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toso\Desktop\Control de stock y ventas garabatos\exel creados\"/>
    </mc:Choice>
  </mc:AlternateContent>
  <bookViews>
    <workbookView xWindow="0" yWindow="0" windowWidth="23040" windowHeight="9192" tabRatio="850" firstSheet="15" activeTab="16"/>
  </bookViews>
  <sheets>
    <sheet name="LISTADO PRODUCTOS" sheetId="1" r:id="rId1"/>
    <sheet name="LISTADO PRODUCTOS LISTBOX" sheetId="11" r:id="rId2"/>
    <sheet name="INGRESO MERCADERÍA" sheetId="2" r:id="rId3"/>
    <sheet name="INGRESO MERCADERÍA LISTBOX" sheetId="13" r:id="rId4"/>
    <sheet name="PRECIOS MERCADERÍA" sheetId="3" r:id="rId5"/>
    <sheet name="PRECIOS MERCADERÍA LISTBOX" sheetId="14" r:id="rId6"/>
    <sheet name="PRECIOS LISTBOX VENTAS" sheetId="19" r:id="rId7"/>
    <sheet name="VENTAS" sheetId="10" r:id="rId8"/>
    <sheet name="VENTAS LISTBOX" sheetId="18" r:id="rId9"/>
    <sheet name="FIADOS" sheetId="26" r:id="rId10"/>
    <sheet name="FIADOS LISTBOX" sheetId="27" r:id="rId11"/>
    <sheet name="STOCK" sheetId="16" r:id="rId12"/>
    <sheet name="STOCK LISTBOX" sheetId="17" r:id="rId13"/>
    <sheet name="PROVEEDORES" sheetId="9" r:id="rId14"/>
    <sheet name="PROVEEDORES LISTBOX" sheetId="15" r:id="rId15"/>
    <sheet name="CLIENTES" sheetId="20" r:id="rId16"/>
    <sheet name="AUTORIZADOS" sheetId="22" r:id="rId17"/>
    <sheet name="SALDO A FAVOR CLIENTES" sheetId="28" r:id="rId18"/>
    <sheet name="CATEGORIAS DE PRODUCTOS" sheetId="7" r:id="rId19"/>
    <sheet name="MEDIOS DE PAGO" sheetId="21" r:id="rId20"/>
    <sheet name="USUARIOS Y CONTRASEÑAS" sheetId="23" r:id="rId21"/>
    <sheet name="LIBRERÍA GARABATOS" sheetId="8" r:id="rId22"/>
    <sheet name="LIBRERÍA GARABATOS EMPLEADO" sheetId="24" r:id="rId2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8" l="1"/>
  <c r="C28" i="18"/>
  <c r="D28" i="18"/>
  <c r="E28" i="18"/>
  <c r="F28" i="18"/>
  <c r="G28" i="18"/>
  <c r="H28" i="18"/>
  <c r="I28" i="18"/>
  <c r="J28" i="18"/>
  <c r="H28" i="10"/>
  <c r="I28" i="10"/>
  <c r="J28" i="10"/>
  <c r="K28" i="10"/>
  <c r="B27" i="18"/>
  <c r="C27" i="18"/>
  <c r="F27" i="18"/>
  <c r="G27" i="18"/>
  <c r="H27" i="18"/>
  <c r="I27" i="18"/>
  <c r="J27" i="18"/>
  <c r="H27" i="10"/>
  <c r="I27" i="10"/>
  <c r="J27" i="10"/>
  <c r="D27" i="18" s="1"/>
  <c r="K27" i="10"/>
  <c r="E27" i="18" s="1"/>
  <c r="B26" i="18" l="1"/>
  <c r="C26" i="18"/>
  <c r="F26" i="18"/>
  <c r="G26" i="18"/>
  <c r="H26" i="18"/>
  <c r="I26" i="18"/>
  <c r="J26" i="18"/>
  <c r="H26" i="10"/>
  <c r="I26" i="10"/>
  <c r="J26" i="10"/>
  <c r="D26" i="18" s="1"/>
  <c r="K26" i="10"/>
  <c r="E26" i="18" s="1"/>
  <c r="B25" i="18"/>
  <c r="C25" i="18"/>
  <c r="F25" i="18"/>
  <c r="G25" i="18"/>
  <c r="H25" i="18"/>
  <c r="I25" i="18"/>
  <c r="J25" i="18"/>
  <c r="H25" i="10"/>
  <c r="I25" i="10"/>
  <c r="J25" i="10"/>
  <c r="D25" i="18" s="1"/>
  <c r="K25" i="10"/>
  <c r="E25" i="18" s="1"/>
  <c r="B24" i="18"/>
  <c r="C24" i="18"/>
  <c r="F24" i="18"/>
  <c r="G24" i="18"/>
  <c r="H24" i="18"/>
  <c r="I24" i="18"/>
  <c r="J24" i="18"/>
  <c r="H24" i="10"/>
  <c r="I24" i="10"/>
  <c r="J24" i="10"/>
  <c r="D24" i="18" s="1"/>
  <c r="K24" i="10"/>
  <c r="E24" i="18" s="1"/>
  <c r="B23" i="18"/>
  <c r="C23" i="18"/>
  <c r="F23" i="18"/>
  <c r="G23" i="18"/>
  <c r="H23" i="18"/>
  <c r="I23" i="18"/>
  <c r="J23" i="18"/>
  <c r="H23" i="10"/>
  <c r="I23" i="10"/>
  <c r="J23" i="10"/>
  <c r="D23" i="18" s="1"/>
  <c r="K23" i="10"/>
  <c r="E23" i="18" s="1"/>
  <c r="B13" i="13" l="1"/>
  <c r="C13" i="13" s="1"/>
  <c r="E13" i="13"/>
  <c r="F13" i="13"/>
  <c r="G13" i="13"/>
  <c r="H13" i="13"/>
  <c r="C13" i="2"/>
  <c r="D13" i="2"/>
  <c r="E13" i="2"/>
  <c r="F13" i="2"/>
  <c r="B12" i="13"/>
  <c r="C12" i="13" s="1"/>
  <c r="E12" i="13"/>
  <c r="F12" i="13"/>
  <c r="G12" i="13"/>
  <c r="H12" i="13"/>
  <c r="C12" i="2"/>
  <c r="D12" i="2"/>
  <c r="E12" i="2"/>
  <c r="F12" i="2"/>
  <c r="B22" i="18"/>
  <c r="C22" i="18"/>
  <c r="F22" i="18"/>
  <c r="G22" i="18"/>
  <c r="H22" i="18"/>
  <c r="I22" i="18"/>
  <c r="J22" i="18"/>
  <c r="H22" i="10"/>
  <c r="I22" i="10"/>
  <c r="J22" i="10"/>
  <c r="D22" i="18" s="1"/>
  <c r="K22" i="10"/>
  <c r="E22" i="18" s="1"/>
  <c r="B12" i="27"/>
  <c r="C12" i="27"/>
  <c r="D12" i="27"/>
  <c r="F12" i="27"/>
  <c r="G12" i="27"/>
  <c r="H12" i="27"/>
  <c r="I12" i="27"/>
  <c r="J12" i="27"/>
  <c r="C12" i="26"/>
  <c r="D12" i="26"/>
  <c r="E12" i="26"/>
  <c r="F12" i="26"/>
  <c r="G12" i="26"/>
  <c r="L12" i="26"/>
  <c r="M12" i="26"/>
  <c r="N12" i="26"/>
  <c r="O12" i="26"/>
  <c r="P12" i="26"/>
  <c r="B21" i="18"/>
  <c r="C21" i="18"/>
  <c r="F21" i="18"/>
  <c r="G21" i="18"/>
  <c r="H21" i="18"/>
  <c r="I21" i="18"/>
  <c r="J21" i="18"/>
  <c r="H21" i="10"/>
  <c r="H12" i="26" s="1"/>
  <c r="I21" i="10"/>
  <c r="I12" i="26" s="1"/>
  <c r="J21" i="10"/>
  <c r="D21" i="18" s="1"/>
  <c r="K21" i="10"/>
  <c r="K12" i="26" s="1"/>
  <c r="D13" i="13" l="1"/>
  <c r="D12" i="13"/>
  <c r="E12" i="27"/>
  <c r="J12" i="26"/>
  <c r="E21" i="18"/>
  <c r="B11" i="27"/>
  <c r="C11" i="27"/>
  <c r="D11" i="27"/>
  <c r="F11" i="27"/>
  <c r="G11" i="27"/>
  <c r="H11" i="27"/>
  <c r="I11" i="27"/>
  <c r="J11" i="27"/>
  <c r="C11" i="26"/>
  <c r="D11" i="26"/>
  <c r="E11" i="26"/>
  <c r="F11" i="26"/>
  <c r="G11" i="26"/>
  <c r="L11" i="26"/>
  <c r="M11" i="26"/>
  <c r="N11" i="26"/>
  <c r="O11" i="26"/>
  <c r="P11" i="26"/>
  <c r="B20" i="18"/>
  <c r="C20" i="18"/>
  <c r="F20" i="18"/>
  <c r="G20" i="18"/>
  <c r="H20" i="18"/>
  <c r="I20" i="18"/>
  <c r="J20" i="18"/>
  <c r="H20" i="10"/>
  <c r="H11" i="26" s="1"/>
  <c r="I20" i="10"/>
  <c r="I11" i="26" s="1"/>
  <c r="J20" i="10"/>
  <c r="D20" i="18" s="1"/>
  <c r="K20" i="10"/>
  <c r="K11" i="26" s="1"/>
  <c r="J11" i="26" l="1"/>
  <c r="E11" i="27"/>
  <c r="E20" i="18"/>
  <c r="B3" i="27"/>
  <c r="B4" i="27"/>
  <c r="B5" i="27"/>
  <c r="B6" i="27"/>
  <c r="B7" i="27"/>
  <c r="B8" i="27"/>
  <c r="B9" i="27"/>
  <c r="B10" i="27"/>
  <c r="B2" i="27"/>
  <c r="J10" i="27" l="1"/>
  <c r="J9" i="27"/>
  <c r="J8" i="27"/>
  <c r="J7" i="27"/>
  <c r="J6" i="27"/>
  <c r="J5" i="27"/>
  <c r="J4" i="27"/>
  <c r="J3" i="27"/>
  <c r="J2" i="27"/>
  <c r="I10" i="27"/>
  <c r="I9" i="27"/>
  <c r="I8" i="27"/>
  <c r="I7" i="27"/>
  <c r="I6" i="27"/>
  <c r="I5" i="27"/>
  <c r="I4" i="27"/>
  <c r="I3" i="27"/>
  <c r="I2" i="27"/>
  <c r="B769" i="17" l="1"/>
  <c r="C769" i="17"/>
  <c r="D769" i="17"/>
  <c r="E769" i="17"/>
  <c r="B769" i="16"/>
  <c r="C769" i="16"/>
  <c r="D769" i="16"/>
  <c r="E769" i="16"/>
  <c r="B769" i="19"/>
  <c r="C769" i="19"/>
  <c r="D769" i="19"/>
  <c r="B769" i="14"/>
  <c r="C769" i="14"/>
  <c r="D769" i="14"/>
  <c r="E769" i="14"/>
  <c r="F769" i="14"/>
  <c r="G769" i="14"/>
  <c r="B769" i="3"/>
  <c r="C769" i="3"/>
  <c r="D769" i="3"/>
  <c r="E769" i="3"/>
  <c r="B769" i="11"/>
  <c r="C769" i="11"/>
  <c r="D769" i="11"/>
  <c r="G2" i="27" l="1"/>
  <c r="H2" i="27"/>
  <c r="G3" i="27"/>
  <c r="H3" i="27"/>
  <c r="G4" i="27"/>
  <c r="H4" i="27"/>
  <c r="G5" i="27"/>
  <c r="H5" i="27"/>
  <c r="G6" i="27"/>
  <c r="H6" i="27"/>
  <c r="G7" i="27"/>
  <c r="H7" i="27"/>
  <c r="G8" i="27"/>
  <c r="H8" i="27"/>
  <c r="G9" i="27"/>
  <c r="H9" i="27"/>
  <c r="G10" i="27"/>
  <c r="H10" i="27"/>
  <c r="F10" i="27"/>
  <c r="D10" i="27"/>
  <c r="C10" i="27"/>
  <c r="F9" i="27"/>
  <c r="D9" i="27"/>
  <c r="C9" i="27"/>
  <c r="F8" i="27"/>
  <c r="D8" i="27"/>
  <c r="C8" i="27"/>
  <c r="F7" i="27"/>
  <c r="D7" i="27"/>
  <c r="C7" i="27"/>
  <c r="F6" i="27"/>
  <c r="D6" i="27"/>
  <c r="C6" i="27"/>
  <c r="F5" i="27"/>
  <c r="D5" i="27"/>
  <c r="C5" i="27"/>
  <c r="F4" i="27"/>
  <c r="D4" i="27"/>
  <c r="C4" i="27"/>
  <c r="F3" i="27"/>
  <c r="D3" i="27"/>
  <c r="C3" i="27"/>
  <c r="F2" i="27"/>
  <c r="D2" i="27"/>
  <c r="C2" i="27"/>
  <c r="C10" i="26"/>
  <c r="D10" i="26"/>
  <c r="E10" i="26"/>
  <c r="F10" i="26"/>
  <c r="G10" i="26"/>
  <c r="L10" i="26"/>
  <c r="M10" i="26"/>
  <c r="N10" i="26"/>
  <c r="O10" i="26"/>
  <c r="P10" i="26"/>
  <c r="B19" i="18"/>
  <c r="C19" i="18"/>
  <c r="F19" i="18"/>
  <c r="G19" i="18"/>
  <c r="H19" i="18"/>
  <c r="I19" i="18"/>
  <c r="J19" i="18"/>
  <c r="H19" i="10"/>
  <c r="H10" i="26" s="1"/>
  <c r="I19" i="10"/>
  <c r="I10" i="26" s="1"/>
  <c r="J19" i="10"/>
  <c r="D19" i="18" s="1"/>
  <c r="K19" i="10"/>
  <c r="K10" i="26" s="1"/>
  <c r="C9" i="26"/>
  <c r="D9" i="26"/>
  <c r="E9" i="26"/>
  <c r="F9" i="26"/>
  <c r="G9" i="26"/>
  <c r="L9" i="26"/>
  <c r="M9" i="26"/>
  <c r="N9" i="26"/>
  <c r="O9" i="26"/>
  <c r="P9" i="26"/>
  <c r="B18" i="18"/>
  <c r="C18" i="18"/>
  <c r="F18" i="18"/>
  <c r="G18" i="18"/>
  <c r="H18" i="18"/>
  <c r="I18" i="18"/>
  <c r="J18" i="18"/>
  <c r="H18" i="10"/>
  <c r="H9" i="26" s="1"/>
  <c r="I18" i="10"/>
  <c r="I9" i="26" s="1"/>
  <c r="J18" i="10"/>
  <c r="D18" i="18" s="1"/>
  <c r="K18" i="10"/>
  <c r="K9" i="26" s="1"/>
  <c r="C8" i="26"/>
  <c r="D8" i="26"/>
  <c r="E8" i="26"/>
  <c r="F8" i="26"/>
  <c r="G8" i="26"/>
  <c r="L8" i="26"/>
  <c r="M8" i="26"/>
  <c r="N8" i="26"/>
  <c r="O8" i="26"/>
  <c r="P8" i="26"/>
  <c r="B17" i="18"/>
  <c r="C17" i="18"/>
  <c r="F17" i="18"/>
  <c r="G17" i="18"/>
  <c r="H17" i="18"/>
  <c r="I17" i="18"/>
  <c r="J17" i="18"/>
  <c r="H17" i="10"/>
  <c r="H8" i="26" s="1"/>
  <c r="I17" i="10"/>
  <c r="I8" i="26" s="1"/>
  <c r="J17" i="10"/>
  <c r="D17" i="18" s="1"/>
  <c r="K17" i="10"/>
  <c r="K8" i="26" s="1"/>
  <c r="E10" i="27" l="1"/>
  <c r="J10" i="26"/>
  <c r="E8" i="27"/>
  <c r="E17" i="18"/>
  <c r="J9" i="26"/>
  <c r="E19" i="18"/>
  <c r="E9" i="27"/>
  <c r="E18" i="18"/>
  <c r="J8" i="26"/>
  <c r="B16" i="18"/>
  <c r="C16" i="18"/>
  <c r="F16" i="18"/>
  <c r="G16" i="18"/>
  <c r="H16" i="18"/>
  <c r="I16" i="18"/>
  <c r="J16" i="18"/>
  <c r="H16" i="10"/>
  <c r="I16" i="10"/>
  <c r="J16" i="10"/>
  <c r="D16" i="18" s="1"/>
  <c r="K16" i="10"/>
  <c r="E16" i="18" s="1"/>
  <c r="B15" i="18" l="1"/>
  <c r="C15" i="18"/>
  <c r="F15" i="18"/>
  <c r="G15" i="18"/>
  <c r="H15" i="18"/>
  <c r="I15" i="18"/>
  <c r="J15" i="18"/>
  <c r="H15" i="10"/>
  <c r="I15" i="10"/>
  <c r="J15" i="10"/>
  <c r="D15" i="18" s="1"/>
  <c r="K15" i="10"/>
  <c r="E15" i="18" s="1"/>
  <c r="B14" i="18"/>
  <c r="C14" i="18"/>
  <c r="F14" i="18"/>
  <c r="G14" i="18"/>
  <c r="H14" i="18"/>
  <c r="I14" i="18"/>
  <c r="J14" i="18"/>
  <c r="H14" i="10"/>
  <c r="I14" i="10"/>
  <c r="J14" i="10"/>
  <c r="D14" i="18" s="1"/>
  <c r="K14" i="10"/>
  <c r="E14" i="18" s="1"/>
  <c r="B13" i="18"/>
  <c r="C13" i="18"/>
  <c r="F13" i="18"/>
  <c r="G13" i="18"/>
  <c r="H13" i="18"/>
  <c r="I13" i="18"/>
  <c r="J13" i="18"/>
  <c r="H13" i="10"/>
  <c r="I13" i="10"/>
  <c r="J13" i="10"/>
  <c r="D13" i="18" s="1"/>
  <c r="K13" i="10"/>
  <c r="E13" i="18" s="1"/>
  <c r="C7" i="26"/>
  <c r="D7" i="26"/>
  <c r="E7" i="26"/>
  <c r="F7" i="26"/>
  <c r="G7" i="26"/>
  <c r="L7" i="26"/>
  <c r="M7" i="26"/>
  <c r="N7" i="26"/>
  <c r="O7" i="26"/>
  <c r="P7" i="26"/>
  <c r="B12" i="18"/>
  <c r="C12" i="18"/>
  <c r="F12" i="18"/>
  <c r="G12" i="18"/>
  <c r="H12" i="18"/>
  <c r="I12" i="18"/>
  <c r="J12" i="18"/>
  <c r="H12" i="10"/>
  <c r="H7" i="26" s="1"/>
  <c r="I12" i="10"/>
  <c r="I7" i="26" s="1"/>
  <c r="J12" i="10"/>
  <c r="K12" i="10"/>
  <c r="E12" i="18" s="1"/>
  <c r="C6" i="26"/>
  <c r="D6" i="26"/>
  <c r="E6" i="26"/>
  <c r="F6" i="26"/>
  <c r="G6" i="26"/>
  <c r="L6" i="26"/>
  <c r="M6" i="26"/>
  <c r="N6" i="26"/>
  <c r="O6" i="26"/>
  <c r="P6" i="26"/>
  <c r="B11" i="18"/>
  <c r="C11" i="18"/>
  <c r="F11" i="18"/>
  <c r="G11" i="18"/>
  <c r="H11" i="18"/>
  <c r="I11" i="18"/>
  <c r="J11" i="18"/>
  <c r="H11" i="10"/>
  <c r="H6" i="26" s="1"/>
  <c r="I11" i="10"/>
  <c r="I6" i="26" s="1"/>
  <c r="J11" i="10"/>
  <c r="K11" i="10"/>
  <c r="K6" i="26" s="1"/>
  <c r="D11" i="18" l="1"/>
  <c r="E6" i="27"/>
  <c r="J7" i="26"/>
  <c r="E7" i="27"/>
  <c r="D12" i="18"/>
  <c r="K7" i="26"/>
  <c r="J6" i="26"/>
  <c r="E11" i="18"/>
  <c r="B10" i="18"/>
  <c r="C10" i="18"/>
  <c r="F10" i="18"/>
  <c r="G10" i="18"/>
  <c r="H10" i="18"/>
  <c r="I10" i="18"/>
  <c r="J10" i="18"/>
  <c r="H10" i="10"/>
  <c r="I10" i="10"/>
  <c r="J10" i="10"/>
  <c r="D10" i="18" s="1"/>
  <c r="K10" i="10"/>
  <c r="E10" i="18" s="1"/>
  <c r="H1" i="22"/>
  <c r="C5" i="26"/>
  <c r="D5" i="26"/>
  <c r="E5" i="26"/>
  <c r="F5" i="26"/>
  <c r="G5" i="26"/>
  <c r="L5" i="26"/>
  <c r="M5" i="26"/>
  <c r="N5" i="26"/>
  <c r="O5" i="26"/>
  <c r="P5" i="26"/>
  <c r="B9" i="18"/>
  <c r="C9" i="18"/>
  <c r="F9" i="18"/>
  <c r="G9" i="18"/>
  <c r="H9" i="18"/>
  <c r="I9" i="18"/>
  <c r="J9" i="18"/>
  <c r="H9" i="10"/>
  <c r="H5" i="26" s="1"/>
  <c r="I9" i="10"/>
  <c r="I5" i="26" s="1"/>
  <c r="J9" i="10"/>
  <c r="K9" i="10"/>
  <c r="K5" i="26" s="1"/>
  <c r="J5" i="26" l="1"/>
  <c r="E5" i="27"/>
  <c r="D9" i="18"/>
  <c r="E9" i="18"/>
  <c r="B8" i="18"/>
  <c r="C8" i="18"/>
  <c r="F8" i="18"/>
  <c r="G8" i="18"/>
  <c r="H8" i="18"/>
  <c r="I8" i="18"/>
  <c r="J8" i="18"/>
  <c r="H8" i="10"/>
  <c r="I8" i="10"/>
  <c r="J8" i="10"/>
  <c r="D8" i="18" s="1"/>
  <c r="K8" i="10"/>
  <c r="E8" i="18" s="1"/>
  <c r="B7" i="18" l="1"/>
  <c r="C7" i="18"/>
  <c r="F7" i="18"/>
  <c r="G7" i="18"/>
  <c r="H7" i="18"/>
  <c r="I7" i="18"/>
  <c r="J7" i="18"/>
  <c r="H7" i="10"/>
  <c r="I7" i="10"/>
  <c r="J7" i="10"/>
  <c r="D7" i="18" s="1"/>
  <c r="K7" i="10"/>
  <c r="E7" i="18" s="1"/>
  <c r="B6" i="18"/>
  <c r="C6" i="18"/>
  <c r="F6" i="18"/>
  <c r="G6" i="18"/>
  <c r="H6" i="18"/>
  <c r="I6" i="18"/>
  <c r="J6" i="18"/>
  <c r="H6" i="10"/>
  <c r="I6" i="10"/>
  <c r="J6" i="10"/>
  <c r="D6" i="18" s="1"/>
  <c r="K6" i="10"/>
  <c r="E6" i="18" s="1"/>
  <c r="B5" i="18"/>
  <c r="C5" i="18"/>
  <c r="F5" i="18"/>
  <c r="G5" i="18"/>
  <c r="H5" i="18"/>
  <c r="I5" i="18"/>
  <c r="J5" i="18"/>
  <c r="H5" i="10"/>
  <c r="I5" i="10"/>
  <c r="J5" i="10"/>
  <c r="D5" i="18" s="1"/>
  <c r="K5" i="10"/>
  <c r="E5" i="18" s="1"/>
  <c r="C4" i="26"/>
  <c r="D4" i="26"/>
  <c r="E4" i="26"/>
  <c r="F4" i="26"/>
  <c r="G4" i="26"/>
  <c r="L4" i="26"/>
  <c r="M4" i="26"/>
  <c r="N4" i="26"/>
  <c r="O4" i="26"/>
  <c r="P4" i="26"/>
  <c r="B4" i="18"/>
  <c r="C4" i="18"/>
  <c r="F4" i="18"/>
  <c r="G4" i="18"/>
  <c r="H4" i="18"/>
  <c r="I4" i="18"/>
  <c r="J4" i="18"/>
  <c r="H4" i="10"/>
  <c r="H4" i="26" s="1"/>
  <c r="I4" i="10"/>
  <c r="I4" i="26" s="1"/>
  <c r="J4" i="10"/>
  <c r="K4" i="10"/>
  <c r="K4" i="26" s="1"/>
  <c r="C3" i="26"/>
  <c r="D3" i="26"/>
  <c r="E3" i="26"/>
  <c r="F3" i="26"/>
  <c r="G3" i="26"/>
  <c r="L3" i="26"/>
  <c r="M3" i="26"/>
  <c r="N3" i="26"/>
  <c r="O3" i="26"/>
  <c r="P3" i="26"/>
  <c r="B3" i="18"/>
  <c r="C3" i="18"/>
  <c r="F3" i="18"/>
  <c r="G3" i="18"/>
  <c r="H3" i="18"/>
  <c r="I3" i="18"/>
  <c r="J3" i="18"/>
  <c r="H3" i="10"/>
  <c r="H3" i="26" s="1"/>
  <c r="I3" i="10"/>
  <c r="I3" i="26" s="1"/>
  <c r="J3" i="10"/>
  <c r="K3" i="10"/>
  <c r="K3" i="26" s="1"/>
  <c r="C2" i="26"/>
  <c r="D2" i="26"/>
  <c r="E2" i="26"/>
  <c r="F2" i="26"/>
  <c r="G2" i="26"/>
  <c r="L2" i="26"/>
  <c r="M2" i="26"/>
  <c r="N2" i="26"/>
  <c r="O2" i="26"/>
  <c r="P2" i="26"/>
  <c r="H2" i="10"/>
  <c r="H2" i="26" s="1"/>
  <c r="I2" i="10"/>
  <c r="I2" i="26" s="1"/>
  <c r="J2" i="10"/>
  <c r="K2" i="10"/>
  <c r="K2" i="26" s="1"/>
  <c r="J2" i="18"/>
  <c r="I2" i="18"/>
  <c r="H2" i="18"/>
  <c r="J2" i="26" l="1"/>
  <c r="E2" i="27"/>
  <c r="D3" i="18"/>
  <c r="E3" i="27"/>
  <c r="D4" i="18"/>
  <c r="E4" i="27"/>
  <c r="J4" i="26"/>
  <c r="E4" i="18"/>
  <c r="J3" i="26"/>
  <c r="E3" i="18"/>
  <c r="G2" i="18"/>
  <c r="F2" i="18"/>
  <c r="C2" i="18"/>
  <c r="E2" i="18" l="1"/>
  <c r="D2" i="18"/>
  <c r="M1" i="20"/>
  <c r="B9" i="17" l="1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614" i="17"/>
  <c r="B615" i="17"/>
  <c r="B616" i="17"/>
  <c r="B617" i="17"/>
  <c r="B618" i="17"/>
  <c r="B619" i="17"/>
  <c r="B620" i="17"/>
  <c r="B621" i="17"/>
  <c r="B622" i="17"/>
  <c r="B623" i="17"/>
  <c r="B624" i="17"/>
  <c r="B625" i="17"/>
  <c r="B626" i="17"/>
  <c r="B627" i="17"/>
  <c r="B628" i="17"/>
  <c r="B629" i="17"/>
  <c r="B630" i="17"/>
  <c r="B631" i="17"/>
  <c r="B632" i="17"/>
  <c r="B633" i="17"/>
  <c r="B634" i="17"/>
  <c r="B635" i="17"/>
  <c r="B636" i="17"/>
  <c r="B637" i="17"/>
  <c r="B638" i="17"/>
  <c r="B639" i="17"/>
  <c r="B640" i="17"/>
  <c r="B641" i="17"/>
  <c r="B642" i="17"/>
  <c r="B643" i="17"/>
  <c r="B644" i="17"/>
  <c r="B645" i="17"/>
  <c r="B646" i="17"/>
  <c r="B647" i="17"/>
  <c r="B648" i="17"/>
  <c r="B649" i="17"/>
  <c r="B650" i="17"/>
  <c r="B651" i="17"/>
  <c r="B652" i="17"/>
  <c r="B653" i="17"/>
  <c r="B654" i="17"/>
  <c r="B655" i="17"/>
  <c r="B656" i="17"/>
  <c r="B657" i="17"/>
  <c r="B658" i="17"/>
  <c r="B659" i="17"/>
  <c r="B660" i="17"/>
  <c r="B661" i="17"/>
  <c r="B662" i="17"/>
  <c r="B663" i="17"/>
  <c r="B664" i="17"/>
  <c r="B665" i="17"/>
  <c r="B666" i="17"/>
  <c r="B667" i="17"/>
  <c r="B668" i="17"/>
  <c r="B669" i="17"/>
  <c r="B670" i="17"/>
  <c r="B671" i="17"/>
  <c r="B672" i="17"/>
  <c r="B673" i="17"/>
  <c r="B674" i="17"/>
  <c r="B675" i="17"/>
  <c r="B676" i="17"/>
  <c r="B677" i="17"/>
  <c r="B678" i="17"/>
  <c r="B679" i="17"/>
  <c r="B680" i="17"/>
  <c r="B681" i="17"/>
  <c r="B682" i="17"/>
  <c r="B683" i="17"/>
  <c r="B684" i="17"/>
  <c r="B685" i="17"/>
  <c r="B686" i="17"/>
  <c r="B687" i="17"/>
  <c r="B688" i="17"/>
  <c r="B689" i="17"/>
  <c r="B690" i="17"/>
  <c r="B691" i="17"/>
  <c r="B692" i="17"/>
  <c r="B693" i="17"/>
  <c r="B694" i="17"/>
  <c r="B695" i="17"/>
  <c r="B696" i="17"/>
  <c r="B697" i="17"/>
  <c r="B698" i="17"/>
  <c r="B699" i="17"/>
  <c r="B700" i="17"/>
  <c r="B701" i="17"/>
  <c r="B702" i="17"/>
  <c r="B703" i="17"/>
  <c r="B704" i="17"/>
  <c r="B705" i="17"/>
  <c r="B706" i="17"/>
  <c r="B707" i="17"/>
  <c r="B708" i="17"/>
  <c r="B709" i="17"/>
  <c r="B710" i="17"/>
  <c r="B711" i="17"/>
  <c r="B712" i="17"/>
  <c r="B713" i="17"/>
  <c r="B714" i="17"/>
  <c r="B715" i="17"/>
  <c r="B716" i="17"/>
  <c r="B717" i="17"/>
  <c r="B718" i="17"/>
  <c r="B719" i="17"/>
  <c r="B720" i="17"/>
  <c r="B721" i="17"/>
  <c r="B722" i="17"/>
  <c r="B723" i="17"/>
  <c r="B724" i="17"/>
  <c r="B725" i="17"/>
  <c r="B726" i="17"/>
  <c r="B727" i="17"/>
  <c r="B728" i="17"/>
  <c r="B729" i="17"/>
  <c r="B730" i="17"/>
  <c r="B731" i="17"/>
  <c r="B732" i="17"/>
  <c r="B733" i="17"/>
  <c r="B734" i="17"/>
  <c r="B735" i="17"/>
  <c r="B736" i="17"/>
  <c r="B737" i="17"/>
  <c r="B738" i="17"/>
  <c r="B739" i="17"/>
  <c r="B740" i="17"/>
  <c r="B741" i="17"/>
  <c r="B742" i="17"/>
  <c r="B743" i="17"/>
  <c r="B744" i="17"/>
  <c r="B745" i="17"/>
  <c r="B746" i="17"/>
  <c r="B747" i="17"/>
  <c r="B748" i="17"/>
  <c r="B749" i="17"/>
  <c r="B750" i="17"/>
  <c r="B751" i="17"/>
  <c r="B752" i="17"/>
  <c r="B753" i="17"/>
  <c r="B754" i="17"/>
  <c r="B755" i="17"/>
  <c r="B756" i="17"/>
  <c r="B757" i="17"/>
  <c r="B758" i="17"/>
  <c r="B759" i="17"/>
  <c r="B760" i="17"/>
  <c r="B761" i="17"/>
  <c r="B762" i="17"/>
  <c r="B763" i="17"/>
  <c r="B764" i="17"/>
  <c r="B765" i="17"/>
  <c r="B766" i="17"/>
  <c r="B767" i="17"/>
  <c r="B76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40" i="17"/>
  <c r="C341" i="17"/>
  <c r="C342" i="17"/>
  <c r="C343" i="17"/>
  <c r="C344" i="17"/>
  <c r="C345" i="17"/>
  <c r="C346" i="17"/>
  <c r="C347" i="17"/>
  <c r="C348" i="17"/>
  <c r="C349" i="17"/>
  <c r="C350" i="17"/>
  <c r="C351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76" i="17"/>
  <c r="C377" i="17"/>
  <c r="C378" i="17"/>
  <c r="C379" i="17"/>
  <c r="C380" i="17"/>
  <c r="C381" i="17"/>
  <c r="C382" i="17"/>
  <c r="C383" i="17"/>
  <c r="C384" i="17"/>
  <c r="C385" i="17"/>
  <c r="C386" i="17"/>
  <c r="C387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12" i="17"/>
  <c r="C413" i="17"/>
  <c r="C414" i="17"/>
  <c r="C415" i="17"/>
  <c r="C416" i="17"/>
  <c r="C417" i="17"/>
  <c r="C418" i="17"/>
  <c r="C419" i="17"/>
  <c r="C420" i="17"/>
  <c r="C421" i="17"/>
  <c r="C422" i="17"/>
  <c r="C423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48" i="17"/>
  <c r="C449" i="17"/>
  <c r="C450" i="17"/>
  <c r="C451" i="17"/>
  <c r="C452" i="17"/>
  <c r="C453" i="17"/>
  <c r="C454" i="17"/>
  <c r="C455" i="17"/>
  <c r="C456" i="17"/>
  <c r="C457" i="17"/>
  <c r="C458" i="17"/>
  <c r="C459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84" i="17"/>
  <c r="C485" i="17"/>
  <c r="C486" i="17"/>
  <c r="C487" i="17"/>
  <c r="C488" i="17"/>
  <c r="C489" i="17"/>
  <c r="C490" i="17"/>
  <c r="C491" i="17"/>
  <c r="C492" i="17"/>
  <c r="C493" i="17"/>
  <c r="C494" i="17"/>
  <c r="C495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20" i="17"/>
  <c r="C521" i="17"/>
  <c r="C522" i="17"/>
  <c r="C523" i="17"/>
  <c r="C524" i="17"/>
  <c r="C525" i="17"/>
  <c r="C526" i="17"/>
  <c r="C527" i="17"/>
  <c r="C528" i="17"/>
  <c r="C529" i="17"/>
  <c r="C530" i="17"/>
  <c r="C531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56" i="17"/>
  <c r="C557" i="17"/>
  <c r="C558" i="17"/>
  <c r="C559" i="17"/>
  <c r="C560" i="17"/>
  <c r="C561" i="17"/>
  <c r="C562" i="17"/>
  <c r="C563" i="17"/>
  <c r="C564" i="17"/>
  <c r="C565" i="17"/>
  <c r="C566" i="17"/>
  <c r="C567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592" i="17"/>
  <c r="C593" i="17"/>
  <c r="C594" i="17"/>
  <c r="C595" i="17"/>
  <c r="C596" i="17"/>
  <c r="C597" i="17"/>
  <c r="C598" i="17"/>
  <c r="C599" i="17"/>
  <c r="C600" i="17"/>
  <c r="C601" i="17"/>
  <c r="C602" i="17"/>
  <c r="C603" i="17"/>
  <c r="C604" i="17"/>
  <c r="C605" i="17"/>
  <c r="C606" i="17"/>
  <c r="C607" i="17"/>
  <c r="C608" i="17"/>
  <c r="C609" i="17"/>
  <c r="C610" i="17"/>
  <c r="C611" i="17"/>
  <c r="C612" i="17"/>
  <c r="C613" i="17"/>
  <c r="C614" i="17"/>
  <c r="C615" i="17"/>
  <c r="C616" i="17"/>
  <c r="C617" i="17"/>
  <c r="C618" i="17"/>
  <c r="C619" i="17"/>
  <c r="C620" i="17"/>
  <c r="C621" i="17"/>
  <c r="C622" i="17"/>
  <c r="C623" i="17"/>
  <c r="C624" i="17"/>
  <c r="C625" i="17"/>
  <c r="C626" i="17"/>
  <c r="C627" i="17"/>
  <c r="C628" i="17"/>
  <c r="C629" i="17"/>
  <c r="C630" i="17"/>
  <c r="C631" i="17"/>
  <c r="C632" i="17"/>
  <c r="C633" i="17"/>
  <c r="C634" i="17"/>
  <c r="C635" i="17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C653" i="17"/>
  <c r="C654" i="17"/>
  <c r="C655" i="17"/>
  <c r="C656" i="17"/>
  <c r="C657" i="17"/>
  <c r="C658" i="17"/>
  <c r="C659" i="17"/>
  <c r="C660" i="17"/>
  <c r="C661" i="17"/>
  <c r="C662" i="17"/>
  <c r="C663" i="17"/>
  <c r="C664" i="17"/>
  <c r="C665" i="17"/>
  <c r="C666" i="17"/>
  <c r="C667" i="17"/>
  <c r="C668" i="17"/>
  <c r="C669" i="17"/>
  <c r="C670" i="17"/>
  <c r="C671" i="17"/>
  <c r="C672" i="17"/>
  <c r="C673" i="17"/>
  <c r="C674" i="17"/>
  <c r="C675" i="17"/>
  <c r="C676" i="17"/>
  <c r="C677" i="17"/>
  <c r="C678" i="17"/>
  <c r="C679" i="17"/>
  <c r="C680" i="17"/>
  <c r="C681" i="17"/>
  <c r="C682" i="17"/>
  <c r="C683" i="17"/>
  <c r="C684" i="17"/>
  <c r="C685" i="17"/>
  <c r="C686" i="17"/>
  <c r="C687" i="17"/>
  <c r="C688" i="17"/>
  <c r="C689" i="17"/>
  <c r="C690" i="17"/>
  <c r="C691" i="17"/>
  <c r="C692" i="17"/>
  <c r="C693" i="17"/>
  <c r="C694" i="17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C708" i="17"/>
  <c r="C709" i="17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735" i="17"/>
  <c r="C736" i="17"/>
  <c r="C737" i="17"/>
  <c r="C738" i="17"/>
  <c r="C739" i="17"/>
  <c r="C740" i="17"/>
  <c r="C741" i="17"/>
  <c r="C742" i="17"/>
  <c r="C743" i="17"/>
  <c r="C744" i="17"/>
  <c r="C745" i="17"/>
  <c r="C746" i="17"/>
  <c r="C747" i="17"/>
  <c r="C748" i="17"/>
  <c r="C749" i="17"/>
  <c r="C750" i="17"/>
  <c r="C751" i="17"/>
  <c r="C752" i="17"/>
  <c r="C753" i="17"/>
  <c r="C754" i="17"/>
  <c r="C755" i="17"/>
  <c r="C756" i="17"/>
  <c r="C757" i="17"/>
  <c r="C758" i="17"/>
  <c r="C759" i="17"/>
  <c r="C760" i="17"/>
  <c r="C761" i="17"/>
  <c r="C762" i="17"/>
  <c r="C763" i="17"/>
  <c r="C764" i="17"/>
  <c r="C765" i="17"/>
  <c r="C766" i="17"/>
  <c r="C767" i="17"/>
  <c r="C76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321" i="17"/>
  <c r="D322" i="17"/>
  <c r="D323" i="17"/>
  <c r="D324" i="17"/>
  <c r="D325" i="17"/>
  <c r="D326" i="17"/>
  <c r="D327" i="17"/>
  <c r="D328" i="17"/>
  <c r="D329" i="17"/>
  <c r="D330" i="17"/>
  <c r="D331" i="17"/>
  <c r="D332" i="17"/>
  <c r="D333" i="17"/>
  <c r="D334" i="17"/>
  <c r="D335" i="17"/>
  <c r="D336" i="17"/>
  <c r="D337" i="17"/>
  <c r="D338" i="17"/>
  <c r="D339" i="17"/>
  <c r="D340" i="17"/>
  <c r="D341" i="17"/>
  <c r="D342" i="17"/>
  <c r="D343" i="17"/>
  <c r="D344" i="17"/>
  <c r="D345" i="17"/>
  <c r="D346" i="17"/>
  <c r="D347" i="17"/>
  <c r="D348" i="17"/>
  <c r="D349" i="17"/>
  <c r="D350" i="17"/>
  <c r="D351" i="17"/>
  <c r="D352" i="17"/>
  <c r="D353" i="17"/>
  <c r="D354" i="17"/>
  <c r="D355" i="17"/>
  <c r="D356" i="17"/>
  <c r="D357" i="17"/>
  <c r="D358" i="17"/>
  <c r="D359" i="17"/>
  <c r="D360" i="17"/>
  <c r="D361" i="17"/>
  <c r="D362" i="17"/>
  <c r="D363" i="17"/>
  <c r="D364" i="17"/>
  <c r="D365" i="17"/>
  <c r="D366" i="17"/>
  <c r="D367" i="17"/>
  <c r="D368" i="17"/>
  <c r="D369" i="17"/>
  <c r="D370" i="17"/>
  <c r="D371" i="17"/>
  <c r="D372" i="17"/>
  <c r="D373" i="17"/>
  <c r="D374" i="17"/>
  <c r="D375" i="17"/>
  <c r="D376" i="17"/>
  <c r="D377" i="17"/>
  <c r="D378" i="17"/>
  <c r="D379" i="17"/>
  <c r="D380" i="17"/>
  <c r="D381" i="17"/>
  <c r="D382" i="17"/>
  <c r="D383" i="17"/>
  <c r="D384" i="17"/>
  <c r="D385" i="17"/>
  <c r="D386" i="17"/>
  <c r="D387" i="17"/>
  <c r="D388" i="17"/>
  <c r="D389" i="17"/>
  <c r="D390" i="17"/>
  <c r="D391" i="17"/>
  <c r="D392" i="17"/>
  <c r="D393" i="17"/>
  <c r="D394" i="17"/>
  <c r="D395" i="17"/>
  <c r="D396" i="17"/>
  <c r="D397" i="17"/>
  <c r="D398" i="17"/>
  <c r="D399" i="17"/>
  <c r="D400" i="17"/>
  <c r="D401" i="17"/>
  <c r="D402" i="17"/>
  <c r="D403" i="17"/>
  <c r="D404" i="17"/>
  <c r="D405" i="17"/>
  <c r="D406" i="17"/>
  <c r="D407" i="17"/>
  <c r="D408" i="17"/>
  <c r="D409" i="17"/>
  <c r="D410" i="17"/>
  <c r="D411" i="17"/>
  <c r="D412" i="17"/>
  <c r="D413" i="17"/>
  <c r="D414" i="17"/>
  <c r="D415" i="17"/>
  <c r="D416" i="17"/>
  <c r="D417" i="17"/>
  <c r="D418" i="17"/>
  <c r="D419" i="17"/>
  <c r="D420" i="17"/>
  <c r="D421" i="17"/>
  <c r="D422" i="17"/>
  <c r="D423" i="17"/>
  <c r="D424" i="17"/>
  <c r="D425" i="17"/>
  <c r="D426" i="17"/>
  <c r="D427" i="17"/>
  <c r="D428" i="17"/>
  <c r="D429" i="17"/>
  <c r="D430" i="17"/>
  <c r="D431" i="17"/>
  <c r="D432" i="17"/>
  <c r="D433" i="17"/>
  <c r="D434" i="17"/>
  <c r="D435" i="17"/>
  <c r="D436" i="17"/>
  <c r="D437" i="17"/>
  <c r="D438" i="17"/>
  <c r="D439" i="17"/>
  <c r="D440" i="17"/>
  <c r="D441" i="17"/>
  <c r="D442" i="17"/>
  <c r="D443" i="17"/>
  <c r="D444" i="17"/>
  <c r="D445" i="17"/>
  <c r="D446" i="17"/>
  <c r="D447" i="17"/>
  <c r="D448" i="17"/>
  <c r="D449" i="17"/>
  <c r="D450" i="17"/>
  <c r="D451" i="17"/>
  <c r="D452" i="17"/>
  <c r="D453" i="17"/>
  <c r="D454" i="17"/>
  <c r="D455" i="17"/>
  <c r="D456" i="17"/>
  <c r="D457" i="17"/>
  <c r="D458" i="17"/>
  <c r="D459" i="17"/>
  <c r="D460" i="17"/>
  <c r="D461" i="17"/>
  <c r="D462" i="17"/>
  <c r="D463" i="17"/>
  <c r="D464" i="17"/>
  <c r="D465" i="17"/>
  <c r="D466" i="17"/>
  <c r="D467" i="17"/>
  <c r="D468" i="17"/>
  <c r="D469" i="17"/>
  <c r="D470" i="17"/>
  <c r="D471" i="17"/>
  <c r="D472" i="17"/>
  <c r="D473" i="17"/>
  <c r="D474" i="17"/>
  <c r="D475" i="17"/>
  <c r="D476" i="17"/>
  <c r="D477" i="17"/>
  <c r="D478" i="17"/>
  <c r="D479" i="17"/>
  <c r="D480" i="17"/>
  <c r="D481" i="17"/>
  <c r="D482" i="17"/>
  <c r="D483" i="17"/>
  <c r="D484" i="17"/>
  <c r="D485" i="17"/>
  <c r="D486" i="17"/>
  <c r="D487" i="17"/>
  <c r="D488" i="17"/>
  <c r="D489" i="17"/>
  <c r="D490" i="17"/>
  <c r="D491" i="17"/>
  <c r="D492" i="17"/>
  <c r="D493" i="17"/>
  <c r="D494" i="17"/>
  <c r="D495" i="17"/>
  <c r="D496" i="17"/>
  <c r="D497" i="17"/>
  <c r="D498" i="17"/>
  <c r="D499" i="17"/>
  <c r="D500" i="17"/>
  <c r="D501" i="17"/>
  <c r="D502" i="17"/>
  <c r="D503" i="17"/>
  <c r="D504" i="17"/>
  <c r="D505" i="17"/>
  <c r="D506" i="17"/>
  <c r="D507" i="17"/>
  <c r="D508" i="17"/>
  <c r="D509" i="17"/>
  <c r="D510" i="17"/>
  <c r="D511" i="17"/>
  <c r="D512" i="17"/>
  <c r="D513" i="17"/>
  <c r="D514" i="17"/>
  <c r="D515" i="17"/>
  <c r="D516" i="17"/>
  <c r="D517" i="17"/>
  <c r="D518" i="17"/>
  <c r="D519" i="17"/>
  <c r="D520" i="17"/>
  <c r="D521" i="17"/>
  <c r="D522" i="17"/>
  <c r="D523" i="17"/>
  <c r="D524" i="17"/>
  <c r="D525" i="17"/>
  <c r="D526" i="17"/>
  <c r="D527" i="17"/>
  <c r="D528" i="17"/>
  <c r="D529" i="17"/>
  <c r="D530" i="17"/>
  <c r="D531" i="17"/>
  <c r="D532" i="17"/>
  <c r="D533" i="17"/>
  <c r="D534" i="17"/>
  <c r="D535" i="17"/>
  <c r="D536" i="17"/>
  <c r="D537" i="17"/>
  <c r="D538" i="17"/>
  <c r="D539" i="17"/>
  <c r="D540" i="17"/>
  <c r="D541" i="17"/>
  <c r="D542" i="17"/>
  <c r="D543" i="17"/>
  <c r="D544" i="17"/>
  <c r="D545" i="17"/>
  <c r="D546" i="17"/>
  <c r="D547" i="17"/>
  <c r="D548" i="17"/>
  <c r="D549" i="17"/>
  <c r="D550" i="17"/>
  <c r="D551" i="17"/>
  <c r="D552" i="17"/>
  <c r="D553" i="17"/>
  <c r="D554" i="17"/>
  <c r="D555" i="17"/>
  <c r="D556" i="17"/>
  <c r="D557" i="17"/>
  <c r="D558" i="17"/>
  <c r="D559" i="17"/>
  <c r="D560" i="17"/>
  <c r="D561" i="17"/>
  <c r="D562" i="17"/>
  <c r="D563" i="17"/>
  <c r="D564" i="17"/>
  <c r="D565" i="17"/>
  <c r="D566" i="17"/>
  <c r="D567" i="17"/>
  <c r="D568" i="17"/>
  <c r="D569" i="17"/>
  <c r="D570" i="17"/>
  <c r="D571" i="17"/>
  <c r="D572" i="17"/>
  <c r="D573" i="17"/>
  <c r="D574" i="17"/>
  <c r="D575" i="17"/>
  <c r="D576" i="17"/>
  <c r="D577" i="17"/>
  <c r="D578" i="17"/>
  <c r="D579" i="17"/>
  <c r="D580" i="17"/>
  <c r="D581" i="17"/>
  <c r="D582" i="17"/>
  <c r="D583" i="17"/>
  <c r="D584" i="17"/>
  <c r="D585" i="17"/>
  <c r="D586" i="17"/>
  <c r="D587" i="17"/>
  <c r="D588" i="17"/>
  <c r="D589" i="17"/>
  <c r="D590" i="17"/>
  <c r="D591" i="17"/>
  <c r="D592" i="17"/>
  <c r="D593" i="17"/>
  <c r="D594" i="17"/>
  <c r="D595" i="17"/>
  <c r="D596" i="17"/>
  <c r="D597" i="17"/>
  <c r="D598" i="17"/>
  <c r="D599" i="17"/>
  <c r="D600" i="17"/>
  <c r="D601" i="17"/>
  <c r="D602" i="17"/>
  <c r="D603" i="17"/>
  <c r="D604" i="17"/>
  <c r="D605" i="17"/>
  <c r="D606" i="17"/>
  <c r="D607" i="17"/>
  <c r="D608" i="17"/>
  <c r="D609" i="17"/>
  <c r="D610" i="17"/>
  <c r="D611" i="17"/>
  <c r="D612" i="17"/>
  <c r="D613" i="17"/>
  <c r="D614" i="17"/>
  <c r="D615" i="17"/>
  <c r="D616" i="17"/>
  <c r="D617" i="17"/>
  <c r="D618" i="17"/>
  <c r="D619" i="17"/>
  <c r="D620" i="17"/>
  <c r="D621" i="17"/>
  <c r="D622" i="17"/>
  <c r="D623" i="17"/>
  <c r="D624" i="17"/>
  <c r="D625" i="17"/>
  <c r="D626" i="17"/>
  <c r="D627" i="17"/>
  <c r="D628" i="17"/>
  <c r="D629" i="17"/>
  <c r="D630" i="17"/>
  <c r="D631" i="17"/>
  <c r="D632" i="17"/>
  <c r="D633" i="17"/>
  <c r="D634" i="17"/>
  <c r="D635" i="17"/>
  <c r="D636" i="17"/>
  <c r="D637" i="17"/>
  <c r="D638" i="17"/>
  <c r="D639" i="17"/>
  <c r="D640" i="17"/>
  <c r="D641" i="17"/>
  <c r="D642" i="17"/>
  <c r="D643" i="17"/>
  <c r="D644" i="17"/>
  <c r="D645" i="17"/>
  <c r="D646" i="17"/>
  <c r="D647" i="17"/>
  <c r="D648" i="17"/>
  <c r="D649" i="17"/>
  <c r="D650" i="17"/>
  <c r="D651" i="17"/>
  <c r="D652" i="17"/>
  <c r="D653" i="17"/>
  <c r="D654" i="17"/>
  <c r="D655" i="17"/>
  <c r="D656" i="17"/>
  <c r="D657" i="17"/>
  <c r="D658" i="17"/>
  <c r="D659" i="17"/>
  <c r="D660" i="17"/>
  <c r="D661" i="17"/>
  <c r="D662" i="17"/>
  <c r="D663" i="17"/>
  <c r="D664" i="17"/>
  <c r="D665" i="17"/>
  <c r="D666" i="17"/>
  <c r="D667" i="17"/>
  <c r="D668" i="17"/>
  <c r="D669" i="17"/>
  <c r="D670" i="17"/>
  <c r="D671" i="17"/>
  <c r="D672" i="17"/>
  <c r="D673" i="17"/>
  <c r="D674" i="17"/>
  <c r="D675" i="17"/>
  <c r="D676" i="17"/>
  <c r="D677" i="17"/>
  <c r="D678" i="17"/>
  <c r="D679" i="17"/>
  <c r="D680" i="17"/>
  <c r="D681" i="17"/>
  <c r="D682" i="17"/>
  <c r="D683" i="17"/>
  <c r="D684" i="17"/>
  <c r="D685" i="17"/>
  <c r="D686" i="17"/>
  <c r="D687" i="17"/>
  <c r="D688" i="17"/>
  <c r="D689" i="17"/>
  <c r="D690" i="17"/>
  <c r="D691" i="17"/>
  <c r="D692" i="17"/>
  <c r="D693" i="17"/>
  <c r="D694" i="17"/>
  <c r="D695" i="17"/>
  <c r="D696" i="17"/>
  <c r="D697" i="17"/>
  <c r="D698" i="17"/>
  <c r="D699" i="17"/>
  <c r="D700" i="17"/>
  <c r="D701" i="17"/>
  <c r="D702" i="17"/>
  <c r="D703" i="17"/>
  <c r="D704" i="17"/>
  <c r="D705" i="17"/>
  <c r="D706" i="17"/>
  <c r="D707" i="17"/>
  <c r="D708" i="17"/>
  <c r="D709" i="17"/>
  <c r="D710" i="17"/>
  <c r="D711" i="17"/>
  <c r="D712" i="17"/>
  <c r="D713" i="17"/>
  <c r="D714" i="17"/>
  <c r="D715" i="17"/>
  <c r="D716" i="17"/>
  <c r="D717" i="17"/>
  <c r="D718" i="17"/>
  <c r="D719" i="17"/>
  <c r="D720" i="17"/>
  <c r="D721" i="17"/>
  <c r="D722" i="17"/>
  <c r="D723" i="17"/>
  <c r="D724" i="17"/>
  <c r="D725" i="17"/>
  <c r="D726" i="17"/>
  <c r="D727" i="17"/>
  <c r="D728" i="17"/>
  <c r="D729" i="17"/>
  <c r="D730" i="17"/>
  <c r="D731" i="17"/>
  <c r="D732" i="17"/>
  <c r="D733" i="17"/>
  <c r="D734" i="17"/>
  <c r="D735" i="17"/>
  <c r="D736" i="17"/>
  <c r="D737" i="17"/>
  <c r="D738" i="17"/>
  <c r="D739" i="17"/>
  <c r="D740" i="17"/>
  <c r="D741" i="17"/>
  <c r="D742" i="17"/>
  <c r="D743" i="17"/>
  <c r="D744" i="17"/>
  <c r="D745" i="17"/>
  <c r="D746" i="17"/>
  <c r="D747" i="17"/>
  <c r="D748" i="17"/>
  <c r="D749" i="17"/>
  <c r="D750" i="17"/>
  <c r="D751" i="17"/>
  <c r="D752" i="17"/>
  <c r="D753" i="17"/>
  <c r="D754" i="17"/>
  <c r="D755" i="17"/>
  <c r="D756" i="17"/>
  <c r="D757" i="17"/>
  <c r="D758" i="17"/>
  <c r="D759" i="17"/>
  <c r="D760" i="17"/>
  <c r="D761" i="17"/>
  <c r="D762" i="17"/>
  <c r="D763" i="17"/>
  <c r="D764" i="17"/>
  <c r="D765" i="17"/>
  <c r="D766" i="17"/>
  <c r="D767" i="17"/>
  <c r="D76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E281" i="17"/>
  <c r="E282" i="17"/>
  <c r="E283" i="17"/>
  <c r="E284" i="17"/>
  <c r="E285" i="17"/>
  <c r="E286" i="17"/>
  <c r="E287" i="17"/>
  <c r="E288" i="17"/>
  <c r="E289" i="17"/>
  <c r="E290" i="17"/>
  <c r="E291" i="17"/>
  <c r="E292" i="17"/>
  <c r="E293" i="17"/>
  <c r="E294" i="17"/>
  <c r="E295" i="17"/>
  <c r="E296" i="17"/>
  <c r="E297" i="17"/>
  <c r="E298" i="17"/>
  <c r="E299" i="17"/>
  <c r="E300" i="17"/>
  <c r="E301" i="17"/>
  <c r="E302" i="17"/>
  <c r="E303" i="17"/>
  <c r="E304" i="17"/>
  <c r="E305" i="17"/>
  <c r="E306" i="17"/>
  <c r="E307" i="17"/>
  <c r="E308" i="17"/>
  <c r="E309" i="17"/>
  <c r="E310" i="17"/>
  <c r="E311" i="17"/>
  <c r="E312" i="17"/>
  <c r="E313" i="17"/>
  <c r="E314" i="17"/>
  <c r="E315" i="17"/>
  <c r="E316" i="17"/>
  <c r="E317" i="17"/>
  <c r="E318" i="17"/>
  <c r="E319" i="17"/>
  <c r="E320" i="17"/>
  <c r="E321" i="17"/>
  <c r="E322" i="17"/>
  <c r="E323" i="17"/>
  <c r="E324" i="17"/>
  <c r="E325" i="17"/>
  <c r="E326" i="17"/>
  <c r="E327" i="17"/>
  <c r="E328" i="17"/>
  <c r="E329" i="17"/>
  <c r="E330" i="17"/>
  <c r="E331" i="17"/>
  <c r="E332" i="17"/>
  <c r="E333" i="17"/>
  <c r="E334" i="17"/>
  <c r="E335" i="17"/>
  <c r="E336" i="17"/>
  <c r="E337" i="17"/>
  <c r="E338" i="17"/>
  <c r="E339" i="17"/>
  <c r="E340" i="17"/>
  <c r="E341" i="17"/>
  <c r="E342" i="17"/>
  <c r="E343" i="17"/>
  <c r="E344" i="17"/>
  <c r="E345" i="17"/>
  <c r="E346" i="17"/>
  <c r="E347" i="17"/>
  <c r="E348" i="17"/>
  <c r="E349" i="17"/>
  <c r="E350" i="17"/>
  <c r="E351" i="17"/>
  <c r="E352" i="17"/>
  <c r="E353" i="17"/>
  <c r="E354" i="17"/>
  <c r="E355" i="17"/>
  <c r="E356" i="17"/>
  <c r="E357" i="17"/>
  <c r="E358" i="17"/>
  <c r="E359" i="17"/>
  <c r="E360" i="17"/>
  <c r="E361" i="17"/>
  <c r="E362" i="17"/>
  <c r="E363" i="17"/>
  <c r="E364" i="17"/>
  <c r="E365" i="17"/>
  <c r="E366" i="17"/>
  <c r="E367" i="17"/>
  <c r="E368" i="17"/>
  <c r="E369" i="17"/>
  <c r="E370" i="17"/>
  <c r="E371" i="17"/>
  <c r="E372" i="17"/>
  <c r="E373" i="17"/>
  <c r="E374" i="17"/>
  <c r="E375" i="17"/>
  <c r="E376" i="17"/>
  <c r="E377" i="17"/>
  <c r="E378" i="17"/>
  <c r="E379" i="17"/>
  <c r="E380" i="17"/>
  <c r="E381" i="17"/>
  <c r="E382" i="17"/>
  <c r="E383" i="17"/>
  <c r="E384" i="17"/>
  <c r="E385" i="17"/>
  <c r="E386" i="17"/>
  <c r="E387" i="17"/>
  <c r="E388" i="17"/>
  <c r="E389" i="17"/>
  <c r="E390" i="17"/>
  <c r="E391" i="17"/>
  <c r="E392" i="17"/>
  <c r="E393" i="17"/>
  <c r="E394" i="17"/>
  <c r="E395" i="17"/>
  <c r="E396" i="17"/>
  <c r="E397" i="17"/>
  <c r="E398" i="17"/>
  <c r="E399" i="17"/>
  <c r="E400" i="17"/>
  <c r="E401" i="17"/>
  <c r="E402" i="17"/>
  <c r="E403" i="17"/>
  <c r="E404" i="17"/>
  <c r="E405" i="17"/>
  <c r="E406" i="17"/>
  <c r="E407" i="17"/>
  <c r="E408" i="17"/>
  <c r="E409" i="17"/>
  <c r="E410" i="17"/>
  <c r="E411" i="17"/>
  <c r="E412" i="17"/>
  <c r="E413" i="17"/>
  <c r="E414" i="17"/>
  <c r="E415" i="17"/>
  <c r="E416" i="17"/>
  <c r="E417" i="17"/>
  <c r="E418" i="17"/>
  <c r="E419" i="17"/>
  <c r="E420" i="17"/>
  <c r="E421" i="17"/>
  <c r="E422" i="17"/>
  <c r="E423" i="17"/>
  <c r="E424" i="17"/>
  <c r="E425" i="17"/>
  <c r="E426" i="17"/>
  <c r="E427" i="17"/>
  <c r="E428" i="17"/>
  <c r="E429" i="17"/>
  <c r="E430" i="17"/>
  <c r="E431" i="17"/>
  <c r="E432" i="17"/>
  <c r="E433" i="17"/>
  <c r="E434" i="17"/>
  <c r="E435" i="17"/>
  <c r="E436" i="17"/>
  <c r="E437" i="17"/>
  <c r="E438" i="17"/>
  <c r="E439" i="17"/>
  <c r="E440" i="17"/>
  <c r="E441" i="17"/>
  <c r="E442" i="17"/>
  <c r="E443" i="17"/>
  <c r="E444" i="17"/>
  <c r="E445" i="17"/>
  <c r="E446" i="17"/>
  <c r="E447" i="17"/>
  <c r="E448" i="17"/>
  <c r="E449" i="17"/>
  <c r="E450" i="17"/>
  <c r="E451" i="17"/>
  <c r="E452" i="17"/>
  <c r="E453" i="17"/>
  <c r="E454" i="17"/>
  <c r="E455" i="17"/>
  <c r="E456" i="17"/>
  <c r="E457" i="17"/>
  <c r="E458" i="17"/>
  <c r="E459" i="17"/>
  <c r="E460" i="17"/>
  <c r="E461" i="17"/>
  <c r="E462" i="17"/>
  <c r="E463" i="17"/>
  <c r="E464" i="17"/>
  <c r="E465" i="17"/>
  <c r="E466" i="17"/>
  <c r="E467" i="17"/>
  <c r="E468" i="17"/>
  <c r="E469" i="17"/>
  <c r="E470" i="17"/>
  <c r="E471" i="17"/>
  <c r="E472" i="17"/>
  <c r="E473" i="17"/>
  <c r="E474" i="17"/>
  <c r="E475" i="17"/>
  <c r="E476" i="17"/>
  <c r="E477" i="17"/>
  <c r="E478" i="17"/>
  <c r="E479" i="17"/>
  <c r="E480" i="17"/>
  <c r="E481" i="17"/>
  <c r="E482" i="17"/>
  <c r="E483" i="17"/>
  <c r="E484" i="17"/>
  <c r="E485" i="17"/>
  <c r="E486" i="17"/>
  <c r="E487" i="17"/>
  <c r="E488" i="17"/>
  <c r="E489" i="17"/>
  <c r="E490" i="17"/>
  <c r="E491" i="17"/>
  <c r="E492" i="17"/>
  <c r="E493" i="17"/>
  <c r="E494" i="17"/>
  <c r="E495" i="17"/>
  <c r="E496" i="17"/>
  <c r="E497" i="17"/>
  <c r="E498" i="17"/>
  <c r="E499" i="17"/>
  <c r="E500" i="17"/>
  <c r="E501" i="17"/>
  <c r="E502" i="17"/>
  <c r="E503" i="17"/>
  <c r="E504" i="17"/>
  <c r="E505" i="17"/>
  <c r="E506" i="17"/>
  <c r="E507" i="17"/>
  <c r="E508" i="17"/>
  <c r="E509" i="17"/>
  <c r="E510" i="17"/>
  <c r="E511" i="17"/>
  <c r="E512" i="17"/>
  <c r="E513" i="17"/>
  <c r="E514" i="17"/>
  <c r="E515" i="17"/>
  <c r="E516" i="17"/>
  <c r="E517" i="17"/>
  <c r="E518" i="17"/>
  <c r="E519" i="17"/>
  <c r="E520" i="17"/>
  <c r="E521" i="17"/>
  <c r="E522" i="17"/>
  <c r="E523" i="17"/>
  <c r="E524" i="17"/>
  <c r="E525" i="17"/>
  <c r="E526" i="17"/>
  <c r="E527" i="17"/>
  <c r="E528" i="17"/>
  <c r="E529" i="17"/>
  <c r="E530" i="17"/>
  <c r="E531" i="17"/>
  <c r="E532" i="17"/>
  <c r="E533" i="17"/>
  <c r="E534" i="17"/>
  <c r="E535" i="17"/>
  <c r="E536" i="17"/>
  <c r="E537" i="17"/>
  <c r="E538" i="17"/>
  <c r="E539" i="17"/>
  <c r="E540" i="17"/>
  <c r="E541" i="17"/>
  <c r="E542" i="17"/>
  <c r="E543" i="17"/>
  <c r="E544" i="17"/>
  <c r="E545" i="17"/>
  <c r="E546" i="17"/>
  <c r="E547" i="17"/>
  <c r="E548" i="17"/>
  <c r="E549" i="17"/>
  <c r="E550" i="17"/>
  <c r="E551" i="17"/>
  <c r="E552" i="17"/>
  <c r="E553" i="17"/>
  <c r="E554" i="17"/>
  <c r="E555" i="17"/>
  <c r="E556" i="17"/>
  <c r="E557" i="17"/>
  <c r="E558" i="17"/>
  <c r="E559" i="17"/>
  <c r="E560" i="17"/>
  <c r="E561" i="17"/>
  <c r="E562" i="17"/>
  <c r="E563" i="17"/>
  <c r="E564" i="17"/>
  <c r="E565" i="17"/>
  <c r="E566" i="17"/>
  <c r="E567" i="17"/>
  <c r="E568" i="17"/>
  <c r="E569" i="17"/>
  <c r="E570" i="17"/>
  <c r="E571" i="17"/>
  <c r="E572" i="17"/>
  <c r="E573" i="17"/>
  <c r="E574" i="17"/>
  <c r="E575" i="17"/>
  <c r="E576" i="17"/>
  <c r="E577" i="17"/>
  <c r="E578" i="17"/>
  <c r="E579" i="17"/>
  <c r="E580" i="17"/>
  <c r="E581" i="17"/>
  <c r="E582" i="17"/>
  <c r="E583" i="17"/>
  <c r="E584" i="17"/>
  <c r="E585" i="17"/>
  <c r="E586" i="17"/>
  <c r="E587" i="17"/>
  <c r="E588" i="17"/>
  <c r="E589" i="17"/>
  <c r="E590" i="17"/>
  <c r="E591" i="17"/>
  <c r="E592" i="17"/>
  <c r="E593" i="17"/>
  <c r="E594" i="17"/>
  <c r="E595" i="17"/>
  <c r="E596" i="17"/>
  <c r="E597" i="17"/>
  <c r="E598" i="17"/>
  <c r="E599" i="17"/>
  <c r="E600" i="17"/>
  <c r="E601" i="17"/>
  <c r="E602" i="17"/>
  <c r="E603" i="17"/>
  <c r="E604" i="17"/>
  <c r="E605" i="17"/>
  <c r="E606" i="17"/>
  <c r="E607" i="17"/>
  <c r="E608" i="17"/>
  <c r="E609" i="17"/>
  <c r="E610" i="17"/>
  <c r="E611" i="17"/>
  <c r="E612" i="17"/>
  <c r="E613" i="17"/>
  <c r="E614" i="17"/>
  <c r="E615" i="17"/>
  <c r="E616" i="17"/>
  <c r="E617" i="17"/>
  <c r="E618" i="17"/>
  <c r="E619" i="17"/>
  <c r="E620" i="17"/>
  <c r="E621" i="17"/>
  <c r="E622" i="17"/>
  <c r="E623" i="17"/>
  <c r="E624" i="17"/>
  <c r="E625" i="17"/>
  <c r="E626" i="17"/>
  <c r="E627" i="17"/>
  <c r="E628" i="17"/>
  <c r="E629" i="17"/>
  <c r="E630" i="17"/>
  <c r="E631" i="17"/>
  <c r="E632" i="17"/>
  <c r="E633" i="17"/>
  <c r="E634" i="17"/>
  <c r="E635" i="17"/>
  <c r="E636" i="17"/>
  <c r="E637" i="17"/>
  <c r="E638" i="17"/>
  <c r="E639" i="17"/>
  <c r="E640" i="17"/>
  <c r="E641" i="17"/>
  <c r="E642" i="17"/>
  <c r="E643" i="17"/>
  <c r="E644" i="17"/>
  <c r="E645" i="17"/>
  <c r="E646" i="17"/>
  <c r="E647" i="17"/>
  <c r="E648" i="17"/>
  <c r="E649" i="17"/>
  <c r="E650" i="17"/>
  <c r="E651" i="17"/>
  <c r="E652" i="17"/>
  <c r="E653" i="17"/>
  <c r="E654" i="17"/>
  <c r="E655" i="17"/>
  <c r="E656" i="17"/>
  <c r="E657" i="17"/>
  <c r="E658" i="17"/>
  <c r="E659" i="17"/>
  <c r="E660" i="17"/>
  <c r="E661" i="17"/>
  <c r="E662" i="17"/>
  <c r="E663" i="17"/>
  <c r="E664" i="17"/>
  <c r="E665" i="17"/>
  <c r="E666" i="17"/>
  <c r="E667" i="17"/>
  <c r="E668" i="17"/>
  <c r="E669" i="17"/>
  <c r="E670" i="17"/>
  <c r="E671" i="17"/>
  <c r="E672" i="17"/>
  <c r="E673" i="17"/>
  <c r="E674" i="17"/>
  <c r="E675" i="17"/>
  <c r="E676" i="17"/>
  <c r="E677" i="17"/>
  <c r="E678" i="17"/>
  <c r="E679" i="17"/>
  <c r="E680" i="17"/>
  <c r="E681" i="17"/>
  <c r="E682" i="17"/>
  <c r="E683" i="17"/>
  <c r="E684" i="17"/>
  <c r="E685" i="17"/>
  <c r="E686" i="17"/>
  <c r="E687" i="17"/>
  <c r="E688" i="17"/>
  <c r="E689" i="17"/>
  <c r="E690" i="17"/>
  <c r="E691" i="17"/>
  <c r="E692" i="17"/>
  <c r="E693" i="17"/>
  <c r="E694" i="17"/>
  <c r="E695" i="17"/>
  <c r="E696" i="17"/>
  <c r="E697" i="17"/>
  <c r="E698" i="17"/>
  <c r="E699" i="17"/>
  <c r="E700" i="17"/>
  <c r="E701" i="17"/>
  <c r="E702" i="17"/>
  <c r="E703" i="17"/>
  <c r="E704" i="17"/>
  <c r="E705" i="17"/>
  <c r="E706" i="17"/>
  <c r="E707" i="17"/>
  <c r="E708" i="17"/>
  <c r="E709" i="17"/>
  <c r="E710" i="17"/>
  <c r="E711" i="17"/>
  <c r="E712" i="17"/>
  <c r="E713" i="17"/>
  <c r="E714" i="17"/>
  <c r="E715" i="17"/>
  <c r="E716" i="17"/>
  <c r="E717" i="17"/>
  <c r="E718" i="17"/>
  <c r="E719" i="17"/>
  <c r="E720" i="17"/>
  <c r="E721" i="17"/>
  <c r="E722" i="17"/>
  <c r="E723" i="17"/>
  <c r="E724" i="17"/>
  <c r="E725" i="17"/>
  <c r="E726" i="17"/>
  <c r="E727" i="17"/>
  <c r="E728" i="17"/>
  <c r="E729" i="17"/>
  <c r="E730" i="17"/>
  <c r="E731" i="17"/>
  <c r="E732" i="17"/>
  <c r="E733" i="17"/>
  <c r="E734" i="17"/>
  <c r="E735" i="17"/>
  <c r="E736" i="17"/>
  <c r="E737" i="17"/>
  <c r="E738" i="17"/>
  <c r="E739" i="17"/>
  <c r="E740" i="17"/>
  <c r="E741" i="17"/>
  <c r="E742" i="17"/>
  <c r="E743" i="17"/>
  <c r="E744" i="17"/>
  <c r="E745" i="17"/>
  <c r="E746" i="17"/>
  <c r="E747" i="17"/>
  <c r="E748" i="17"/>
  <c r="E749" i="17"/>
  <c r="E750" i="17"/>
  <c r="E751" i="17"/>
  <c r="E752" i="17"/>
  <c r="E753" i="17"/>
  <c r="E754" i="17"/>
  <c r="E755" i="17"/>
  <c r="E756" i="17"/>
  <c r="E757" i="17"/>
  <c r="E758" i="17"/>
  <c r="E759" i="17"/>
  <c r="E760" i="17"/>
  <c r="E761" i="17"/>
  <c r="E762" i="17"/>
  <c r="E763" i="17"/>
  <c r="E764" i="17"/>
  <c r="E765" i="17"/>
  <c r="E766" i="17"/>
  <c r="E767" i="17"/>
  <c r="E768" i="17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B201" i="19"/>
  <c r="B202" i="19"/>
  <c r="B203" i="19"/>
  <c r="B204" i="19"/>
  <c r="B205" i="19"/>
  <c r="B206" i="19"/>
  <c r="B207" i="19"/>
  <c r="B208" i="19"/>
  <c r="B209" i="19"/>
  <c r="B210" i="19"/>
  <c r="B211" i="19"/>
  <c r="B212" i="19"/>
  <c r="B213" i="19"/>
  <c r="B214" i="19"/>
  <c r="B215" i="19"/>
  <c r="B216" i="19"/>
  <c r="B217" i="19"/>
  <c r="B218" i="19"/>
  <c r="B219" i="19"/>
  <c r="B220" i="19"/>
  <c r="B221" i="19"/>
  <c r="B222" i="19"/>
  <c r="B223" i="19"/>
  <c r="B224" i="19"/>
  <c r="B225" i="19"/>
  <c r="B226" i="19"/>
  <c r="B227" i="19"/>
  <c r="B228" i="19"/>
  <c r="B229" i="19"/>
  <c r="B230" i="19"/>
  <c r="B231" i="19"/>
  <c r="B232" i="19"/>
  <c r="B233" i="19"/>
  <c r="B234" i="19"/>
  <c r="B235" i="19"/>
  <c r="B236" i="19"/>
  <c r="B237" i="19"/>
  <c r="B238" i="19"/>
  <c r="B239" i="19"/>
  <c r="B240" i="19"/>
  <c r="B241" i="19"/>
  <c r="B242" i="19"/>
  <c r="B243" i="19"/>
  <c r="B244" i="19"/>
  <c r="B245" i="19"/>
  <c r="B246" i="19"/>
  <c r="B247" i="19"/>
  <c r="B248" i="19"/>
  <c r="B249" i="19"/>
  <c r="B250" i="19"/>
  <c r="B251" i="19"/>
  <c r="B252" i="19"/>
  <c r="B253" i="19"/>
  <c r="B254" i="19"/>
  <c r="B255" i="19"/>
  <c r="B256" i="19"/>
  <c r="B257" i="19"/>
  <c r="B258" i="19"/>
  <c r="B259" i="19"/>
  <c r="B260" i="19"/>
  <c r="B261" i="19"/>
  <c r="B262" i="19"/>
  <c r="B263" i="19"/>
  <c r="B264" i="19"/>
  <c r="B265" i="19"/>
  <c r="B266" i="19"/>
  <c r="B267" i="19"/>
  <c r="B268" i="19"/>
  <c r="B269" i="19"/>
  <c r="B270" i="19"/>
  <c r="B271" i="19"/>
  <c r="B272" i="19"/>
  <c r="B273" i="19"/>
  <c r="B274" i="19"/>
  <c r="B275" i="19"/>
  <c r="B276" i="19"/>
  <c r="B277" i="19"/>
  <c r="B278" i="19"/>
  <c r="B279" i="19"/>
  <c r="B280" i="19"/>
  <c r="B281" i="19"/>
  <c r="B282" i="19"/>
  <c r="B283" i="19"/>
  <c r="B284" i="19"/>
  <c r="B285" i="19"/>
  <c r="B286" i="19"/>
  <c r="B287" i="19"/>
  <c r="B288" i="19"/>
  <c r="B289" i="19"/>
  <c r="B290" i="19"/>
  <c r="B291" i="19"/>
  <c r="B292" i="19"/>
  <c r="B293" i="19"/>
  <c r="B294" i="19"/>
  <c r="B295" i="19"/>
  <c r="B296" i="19"/>
  <c r="B297" i="19"/>
  <c r="B298" i="19"/>
  <c r="B299" i="19"/>
  <c r="B300" i="19"/>
  <c r="B301" i="19"/>
  <c r="B302" i="19"/>
  <c r="B303" i="19"/>
  <c r="B304" i="19"/>
  <c r="B305" i="19"/>
  <c r="B306" i="19"/>
  <c r="B307" i="19"/>
  <c r="B308" i="19"/>
  <c r="B309" i="19"/>
  <c r="B310" i="19"/>
  <c r="B311" i="19"/>
  <c r="B312" i="19"/>
  <c r="B313" i="19"/>
  <c r="B314" i="19"/>
  <c r="B315" i="19"/>
  <c r="B316" i="19"/>
  <c r="B317" i="19"/>
  <c r="B318" i="19"/>
  <c r="B319" i="19"/>
  <c r="B320" i="19"/>
  <c r="B321" i="19"/>
  <c r="B322" i="19"/>
  <c r="B323" i="19"/>
  <c r="B324" i="19"/>
  <c r="B325" i="19"/>
  <c r="B326" i="19"/>
  <c r="B327" i="19"/>
  <c r="B328" i="19"/>
  <c r="B329" i="19"/>
  <c r="B330" i="19"/>
  <c r="B331" i="19"/>
  <c r="B332" i="19"/>
  <c r="B333" i="19"/>
  <c r="B334" i="19"/>
  <c r="B335" i="19"/>
  <c r="B336" i="19"/>
  <c r="B337" i="19"/>
  <c r="B338" i="19"/>
  <c r="B339" i="19"/>
  <c r="B340" i="19"/>
  <c r="B341" i="19"/>
  <c r="B342" i="19"/>
  <c r="B343" i="19"/>
  <c r="B344" i="19"/>
  <c r="B345" i="19"/>
  <c r="B346" i="19"/>
  <c r="B347" i="19"/>
  <c r="B348" i="19"/>
  <c r="B349" i="19"/>
  <c r="B350" i="19"/>
  <c r="B351" i="19"/>
  <c r="B352" i="19"/>
  <c r="B353" i="19"/>
  <c r="B354" i="19"/>
  <c r="B355" i="19"/>
  <c r="B356" i="19"/>
  <c r="B357" i="19"/>
  <c r="B358" i="19"/>
  <c r="B359" i="19"/>
  <c r="B360" i="19"/>
  <c r="B361" i="19"/>
  <c r="B362" i="19"/>
  <c r="B363" i="19"/>
  <c r="B364" i="19"/>
  <c r="B365" i="19"/>
  <c r="B366" i="19"/>
  <c r="B367" i="19"/>
  <c r="B368" i="19"/>
  <c r="B369" i="19"/>
  <c r="B370" i="19"/>
  <c r="B371" i="19"/>
  <c r="B372" i="19"/>
  <c r="B373" i="19"/>
  <c r="B374" i="19"/>
  <c r="B375" i="19"/>
  <c r="B376" i="19"/>
  <c r="B377" i="19"/>
  <c r="B378" i="19"/>
  <c r="B379" i="19"/>
  <c r="B380" i="19"/>
  <c r="B381" i="19"/>
  <c r="B382" i="19"/>
  <c r="B383" i="19"/>
  <c r="B384" i="19"/>
  <c r="B385" i="19"/>
  <c r="B386" i="19"/>
  <c r="B387" i="19"/>
  <c r="B388" i="19"/>
  <c r="B389" i="19"/>
  <c r="B390" i="19"/>
  <c r="B391" i="19"/>
  <c r="B392" i="19"/>
  <c r="B393" i="19"/>
  <c r="B394" i="19"/>
  <c r="B395" i="19"/>
  <c r="B396" i="19"/>
  <c r="B397" i="19"/>
  <c r="B398" i="19"/>
  <c r="B399" i="19"/>
  <c r="B400" i="19"/>
  <c r="B401" i="19"/>
  <c r="B402" i="19"/>
  <c r="B403" i="19"/>
  <c r="B404" i="19"/>
  <c r="B405" i="19"/>
  <c r="B406" i="19"/>
  <c r="B407" i="19"/>
  <c r="B408" i="19"/>
  <c r="B409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B431" i="19"/>
  <c r="B432" i="19"/>
  <c r="B433" i="19"/>
  <c r="B434" i="19"/>
  <c r="B435" i="19"/>
  <c r="B436" i="19"/>
  <c r="B437" i="19"/>
  <c r="B438" i="19"/>
  <c r="B439" i="19"/>
  <c r="B440" i="19"/>
  <c r="B441" i="19"/>
  <c r="B442" i="19"/>
  <c r="B443" i="19"/>
  <c r="B444" i="19"/>
  <c r="B445" i="19"/>
  <c r="B446" i="19"/>
  <c r="B447" i="19"/>
  <c r="B448" i="19"/>
  <c r="B449" i="19"/>
  <c r="B450" i="19"/>
  <c r="B451" i="19"/>
  <c r="B452" i="19"/>
  <c r="B453" i="19"/>
  <c r="B454" i="19"/>
  <c r="B455" i="19"/>
  <c r="B456" i="19"/>
  <c r="B457" i="19"/>
  <c r="B458" i="19"/>
  <c r="B459" i="19"/>
  <c r="B460" i="19"/>
  <c r="B461" i="19"/>
  <c r="B462" i="19"/>
  <c r="B463" i="19"/>
  <c r="B464" i="19"/>
  <c r="B465" i="19"/>
  <c r="B466" i="19"/>
  <c r="B467" i="19"/>
  <c r="B468" i="19"/>
  <c r="B469" i="19"/>
  <c r="B470" i="19"/>
  <c r="B471" i="19"/>
  <c r="B472" i="19"/>
  <c r="B473" i="19"/>
  <c r="B474" i="19"/>
  <c r="B475" i="19"/>
  <c r="B476" i="19"/>
  <c r="B477" i="19"/>
  <c r="B478" i="19"/>
  <c r="B479" i="19"/>
  <c r="B480" i="19"/>
  <c r="B481" i="19"/>
  <c r="B482" i="19"/>
  <c r="B483" i="19"/>
  <c r="B484" i="19"/>
  <c r="B485" i="19"/>
  <c r="B486" i="19"/>
  <c r="B487" i="19"/>
  <c r="B488" i="19"/>
  <c r="B489" i="19"/>
  <c r="B490" i="19"/>
  <c r="B491" i="19"/>
  <c r="B492" i="19"/>
  <c r="B493" i="19"/>
  <c r="B494" i="19"/>
  <c r="B495" i="19"/>
  <c r="B496" i="19"/>
  <c r="B497" i="19"/>
  <c r="B498" i="19"/>
  <c r="B499" i="19"/>
  <c r="B500" i="19"/>
  <c r="B501" i="19"/>
  <c r="B502" i="19"/>
  <c r="B503" i="19"/>
  <c r="B504" i="19"/>
  <c r="B505" i="19"/>
  <c r="B506" i="19"/>
  <c r="B507" i="19"/>
  <c r="B508" i="19"/>
  <c r="B509" i="19"/>
  <c r="B510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C260" i="19"/>
  <c r="C261" i="19"/>
  <c r="C262" i="19"/>
  <c r="C263" i="19"/>
  <c r="C264" i="19"/>
  <c r="C265" i="19"/>
  <c r="C266" i="19"/>
  <c r="C267" i="19"/>
  <c r="C268" i="19"/>
  <c r="C269" i="19"/>
  <c r="C270" i="19"/>
  <c r="C271" i="19"/>
  <c r="C272" i="19"/>
  <c r="C273" i="19"/>
  <c r="C274" i="19"/>
  <c r="C275" i="19"/>
  <c r="C276" i="19"/>
  <c r="C277" i="19"/>
  <c r="C278" i="19"/>
  <c r="C279" i="19"/>
  <c r="C280" i="19"/>
  <c r="C281" i="19"/>
  <c r="C282" i="19"/>
  <c r="C283" i="19"/>
  <c r="C284" i="19"/>
  <c r="C285" i="19"/>
  <c r="C286" i="19"/>
  <c r="C287" i="19"/>
  <c r="C288" i="19"/>
  <c r="C289" i="19"/>
  <c r="C290" i="19"/>
  <c r="C291" i="19"/>
  <c r="C292" i="19"/>
  <c r="C293" i="19"/>
  <c r="C294" i="19"/>
  <c r="C295" i="19"/>
  <c r="C296" i="19"/>
  <c r="C297" i="19"/>
  <c r="C298" i="19"/>
  <c r="C299" i="19"/>
  <c r="C300" i="19"/>
  <c r="C301" i="19"/>
  <c r="C302" i="19"/>
  <c r="C303" i="19"/>
  <c r="C304" i="19"/>
  <c r="C305" i="19"/>
  <c r="C306" i="19"/>
  <c r="C307" i="19"/>
  <c r="C308" i="19"/>
  <c r="C309" i="19"/>
  <c r="C310" i="19"/>
  <c r="C311" i="19"/>
  <c r="C312" i="19"/>
  <c r="C313" i="19"/>
  <c r="C314" i="19"/>
  <c r="C315" i="19"/>
  <c r="C316" i="19"/>
  <c r="C317" i="19"/>
  <c r="C318" i="19"/>
  <c r="C319" i="19"/>
  <c r="C320" i="19"/>
  <c r="C321" i="19"/>
  <c r="C322" i="19"/>
  <c r="C323" i="19"/>
  <c r="C324" i="19"/>
  <c r="C325" i="19"/>
  <c r="C326" i="19"/>
  <c r="C327" i="19"/>
  <c r="C328" i="19"/>
  <c r="C329" i="19"/>
  <c r="C330" i="19"/>
  <c r="C331" i="19"/>
  <c r="C332" i="19"/>
  <c r="C333" i="19"/>
  <c r="C334" i="19"/>
  <c r="C335" i="19"/>
  <c r="C336" i="19"/>
  <c r="C337" i="19"/>
  <c r="C338" i="19"/>
  <c r="C339" i="19"/>
  <c r="C340" i="19"/>
  <c r="C341" i="19"/>
  <c r="C342" i="19"/>
  <c r="C343" i="19"/>
  <c r="C344" i="19"/>
  <c r="C345" i="19"/>
  <c r="C346" i="19"/>
  <c r="C347" i="19"/>
  <c r="C348" i="19"/>
  <c r="C349" i="19"/>
  <c r="C350" i="19"/>
  <c r="C351" i="19"/>
  <c r="C352" i="19"/>
  <c r="C353" i="19"/>
  <c r="C354" i="19"/>
  <c r="C355" i="19"/>
  <c r="C356" i="19"/>
  <c r="C357" i="19"/>
  <c r="C358" i="19"/>
  <c r="C359" i="19"/>
  <c r="C360" i="19"/>
  <c r="C361" i="19"/>
  <c r="C362" i="19"/>
  <c r="C363" i="19"/>
  <c r="C364" i="19"/>
  <c r="C365" i="19"/>
  <c r="C366" i="19"/>
  <c r="C367" i="19"/>
  <c r="C368" i="19"/>
  <c r="C369" i="19"/>
  <c r="C370" i="19"/>
  <c r="C371" i="19"/>
  <c r="C372" i="19"/>
  <c r="C373" i="19"/>
  <c r="C374" i="19"/>
  <c r="C375" i="19"/>
  <c r="C376" i="19"/>
  <c r="C377" i="19"/>
  <c r="C378" i="19"/>
  <c r="C379" i="19"/>
  <c r="C380" i="19"/>
  <c r="C381" i="19"/>
  <c r="C382" i="19"/>
  <c r="C383" i="19"/>
  <c r="C384" i="19"/>
  <c r="C385" i="19"/>
  <c r="C386" i="19"/>
  <c r="C387" i="19"/>
  <c r="C388" i="19"/>
  <c r="C389" i="19"/>
  <c r="C390" i="19"/>
  <c r="C391" i="19"/>
  <c r="C392" i="19"/>
  <c r="C393" i="19"/>
  <c r="C394" i="19"/>
  <c r="C395" i="19"/>
  <c r="C396" i="19"/>
  <c r="C397" i="19"/>
  <c r="C398" i="19"/>
  <c r="C399" i="19"/>
  <c r="C400" i="19"/>
  <c r="C401" i="19"/>
  <c r="C402" i="19"/>
  <c r="C403" i="19"/>
  <c r="C404" i="19"/>
  <c r="C405" i="19"/>
  <c r="C406" i="19"/>
  <c r="C407" i="19"/>
  <c r="C408" i="19"/>
  <c r="C409" i="19"/>
  <c r="C410" i="19"/>
  <c r="C411" i="19"/>
  <c r="C412" i="19"/>
  <c r="C413" i="19"/>
  <c r="C414" i="19"/>
  <c r="C415" i="19"/>
  <c r="C416" i="19"/>
  <c r="C417" i="19"/>
  <c r="C418" i="19"/>
  <c r="C419" i="19"/>
  <c r="C420" i="19"/>
  <c r="C421" i="19"/>
  <c r="C422" i="19"/>
  <c r="C423" i="19"/>
  <c r="C424" i="19"/>
  <c r="C425" i="19"/>
  <c r="C426" i="19"/>
  <c r="C427" i="19"/>
  <c r="C428" i="19"/>
  <c r="C429" i="19"/>
  <c r="C430" i="19"/>
  <c r="C431" i="19"/>
  <c r="C432" i="19"/>
  <c r="C433" i="19"/>
  <c r="C434" i="19"/>
  <c r="C435" i="19"/>
  <c r="C436" i="19"/>
  <c r="C437" i="19"/>
  <c r="C438" i="19"/>
  <c r="C439" i="19"/>
  <c r="C440" i="19"/>
  <c r="C441" i="19"/>
  <c r="C442" i="19"/>
  <c r="C443" i="19"/>
  <c r="C444" i="19"/>
  <c r="C445" i="19"/>
  <c r="C446" i="19"/>
  <c r="C447" i="19"/>
  <c r="C448" i="19"/>
  <c r="C449" i="19"/>
  <c r="C450" i="19"/>
  <c r="C451" i="19"/>
  <c r="C452" i="19"/>
  <c r="C453" i="19"/>
  <c r="C454" i="19"/>
  <c r="C455" i="19"/>
  <c r="C456" i="19"/>
  <c r="C457" i="19"/>
  <c r="C458" i="19"/>
  <c r="C459" i="19"/>
  <c r="C460" i="19"/>
  <c r="C461" i="19"/>
  <c r="C462" i="19"/>
  <c r="C463" i="19"/>
  <c r="C464" i="19"/>
  <c r="C465" i="19"/>
  <c r="C466" i="19"/>
  <c r="C467" i="19"/>
  <c r="C468" i="19"/>
  <c r="C469" i="19"/>
  <c r="C470" i="19"/>
  <c r="C471" i="19"/>
  <c r="C472" i="19"/>
  <c r="C473" i="19"/>
  <c r="C474" i="19"/>
  <c r="C475" i="19"/>
  <c r="C476" i="19"/>
  <c r="C477" i="19"/>
  <c r="C478" i="19"/>
  <c r="C479" i="19"/>
  <c r="C480" i="19"/>
  <c r="C481" i="19"/>
  <c r="C482" i="19"/>
  <c r="C483" i="19"/>
  <c r="C484" i="19"/>
  <c r="C485" i="19"/>
  <c r="C486" i="19"/>
  <c r="C487" i="19"/>
  <c r="C488" i="19"/>
  <c r="C489" i="19"/>
  <c r="C490" i="19"/>
  <c r="C491" i="19"/>
  <c r="C492" i="19"/>
  <c r="C493" i="19"/>
  <c r="C494" i="19"/>
  <c r="C495" i="19"/>
  <c r="C496" i="19"/>
  <c r="C497" i="19"/>
  <c r="C498" i="19"/>
  <c r="C499" i="19"/>
  <c r="C500" i="19"/>
  <c r="C501" i="19"/>
  <c r="C502" i="19"/>
  <c r="C503" i="19"/>
  <c r="C504" i="19"/>
  <c r="C505" i="19"/>
  <c r="C506" i="19"/>
  <c r="C507" i="19"/>
  <c r="C508" i="19"/>
  <c r="C509" i="19"/>
  <c r="C510" i="19"/>
  <c r="C511" i="19"/>
  <c r="C512" i="19"/>
  <c r="C513" i="19"/>
  <c r="C514" i="19"/>
  <c r="C515" i="19"/>
  <c r="C516" i="19"/>
  <c r="C517" i="19"/>
  <c r="C518" i="19"/>
  <c r="C519" i="19"/>
  <c r="C520" i="19"/>
  <c r="C521" i="19"/>
  <c r="C522" i="19"/>
  <c r="C523" i="19"/>
  <c r="C524" i="19"/>
  <c r="C525" i="19"/>
  <c r="C526" i="19"/>
  <c r="C527" i="19"/>
  <c r="C528" i="19"/>
  <c r="C529" i="19"/>
  <c r="C530" i="19"/>
  <c r="C531" i="19"/>
  <c r="C532" i="19"/>
  <c r="C533" i="19"/>
  <c r="C534" i="19"/>
  <c r="C535" i="19"/>
  <c r="C536" i="19"/>
  <c r="C537" i="19"/>
  <c r="C538" i="19"/>
  <c r="C539" i="19"/>
  <c r="C540" i="19"/>
  <c r="C541" i="19"/>
  <c r="C542" i="19"/>
  <c r="C543" i="19"/>
  <c r="C544" i="19"/>
  <c r="C545" i="19"/>
  <c r="C546" i="19"/>
  <c r="C547" i="19"/>
  <c r="C548" i="19"/>
  <c r="C549" i="19"/>
  <c r="C550" i="19"/>
  <c r="C551" i="19"/>
  <c r="C552" i="19"/>
  <c r="C553" i="19"/>
  <c r="C554" i="19"/>
  <c r="C555" i="19"/>
  <c r="C556" i="19"/>
  <c r="C557" i="19"/>
  <c r="C558" i="19"/>
  <c r="C559" i="19"/>
  <c r="C560" i="19"/>
  <c r="C561" i="19"/>
  <c r="C562" i="19"/>
  <c r="C563" i="19"/>
  <c r="C564" i="19"/>
  <c r="C565" i="19"/>
  <c r="C566" i="19"/>
  <c r="C567" i="19"/>
  <c r="C568" i="19"/>
  <c r="C569" i="19"/>
  <c r="C570" i="19"/>
  <c r="C571" i="19"/>
  <c r="C572" i="19"/>
  <c r="C573" i="19"/>
  <c r="C574" i="19"/>
  <c r="C575" i="19"/>
  <c r="C576" i="19"/>
  <c r="C577" i="19"/>
  <c r="C578" i="19"/>
  <c r="C579" i="19"/>
  <c r="C580" i="19"/>
  <c r="C581" i="19"/>
  <c r="C582" i="19"/>
  <c r="C583" i="19"/>
  <c r="C584" i="19"/>
  <c r="C585" i="19"/>
  <c r="C586" i="19"/>
  <c r="C587" i="19"/>
  <c r="C588" i="19"/>
  <c r="C589" i="19"/>
  <c r="C590" i="19"/>
  <c r="C591" i="19"/>
  <c r="C592" i="19"/>
  <c r="C593" i="19"/>
  <c r="C594" i="19"/>
  <c r="C595" i="19"/>
  <c r="C596" i="19"/>
  <c r="C597" i="19"/>
  <c r="C598" i="19"/>
  <c r="C599" i="19"/>
  <c r="C600" i="19"/>
  <c r="C601" i="19"/>
  <c r="C602" i="19"/>
  <c r="C603" i="19"/>
  <c r="C604" i="19"/>
  <c r="C605" i="19"/>
  <c r="C606" i="19"/>
  <c r="C607" i="19"/>
  <c r="C608" i="19"/>
  <c r="C609" i="19"/>
  <c r="C610" i="19"/>
  <c r="C611" i="19"/>
  <c r="C612" i="19"/>
  <c r="C613" i="19"/>
  <c r="C614" i="19"/>
  <c r="C615" i="19"/>
  <c r="C616" i="19"/>
  <c r="C617" i="19"/>
  <c r="C618" i="19"/>
  <c r="C619" i="19"/>
  <c r="C620" i="19"/>
  <c r="C621" i="19"/>
  <c r="C622" i="19"/>
  <c r="C623" i="19"/>
  <c r="C624" i="19"/>
  <c r="C625" i="19"/>
  <c r="C626" i="19"/>
  <c r="C627" i="19"/>
  <c r="C628" i="19"/>
  <c r="C629" i="19"/>
  <c r="C630" i="19"/>
  <c r="C631" i="19"/>
  <c r="C632" i="19"/>
  <c r="C633" i="19"/>
  <c r="C634" i="19"/>
  <c r="C635" i="19"/>
  <c r="C636" i="19"/>
  <c r="C637" i="19"/>
  <c r="C638" i="19"/>
  <c r="C639" i="19"/>
  <c r="C640" i="19"/>
  <c r="C641" i="19"/>
  <c r="C642" i="19"/>
  <c r="C643" i="19"/>
  <c r="C644" i="19"/>
  <c r="C645" i="19"/>
  <c r="C646" i="19"/>
  <c r="C647" i="19"/>
  <c r="C648" i="19"/>
  <c r="C649" i="19"/>
  <c r="C650" i="19"/>
  <c r="C651" i="19"/>
  <c r="C652" i="19"/>
  <c r="C653" i="19"/>
  <c r="C654" i="19"/>
  <c r="C655" i="19"/>
  <c r="C656" i="19"/>
  <c r="C657" i="19"/>
  <c r="C658" i="19"/>
  <c r="C659" i="19"/>
  <c r="C660" i="19"/>
  <c r="C661" i="19"/>
  <c r="C662" i="19"/>
  <c r="C663" i="19"/>
  <c r="C664" i="19"/>
  <c r="C665" i="19"/>
  <c r="C666" i="19"/>
  <c r="C667" i="19"/>
  <c r="C668" i="19"/>
  <c r="C669" i="19"/>
  <c r="C670" i="19"/>
  <c r="C671" i="19"/>
  <c r="C672" i="19"/>
  <c r="C673" i="19"/>
  <c r="C674" i="19"/>
  <c r="C675" i="19"/>
  <c r="C676" i="19"/>
  <c r="C677" i="19"/>
  <c r="C678" i="19"/>
  <c r="C679" i="19"/>
  <c r="C680" i="19"/>
  <c r="C681" i="19"/>
  <c r="C682" i="19"/>
  <c r="C683" i="19"/>
  <c r="C684" i="19"/>
  <c r="C685" i="19"/>
  <c r="C686" i="19"/>
  <c r="C687" i="19"/>
  <c r="C688" i="19"/>
  <c r="C689" i="19"/>
  <c r="C690" i="19"/>
  <c r="C691" i="19"/>
  <c r="C692" i="19"/>
  <c r="C693" i="19"/>
  <c r="C694" i="19"/>
  <c r="C695" i="19"/>
  <c r="C696" i="19"/>
  <c r="C697" i="19"/>
  <c r="C698" i="19"/>
  <c r="C699" i="19"/>
  <c r="C700" i="19"/>
  <c r="C701" i="19"/>
  <c r="C702" i="19"/>
  <c r="C703" i="19"/>
  <c r="C704" i="19"/>
  <c r="C705" i="19"/>
  <c r="C706" i="19"/>
  <c r="C707" i="19"/>
  <c r="C708" i="19"/>
  <c r="C709" i="19"/>
  <c r="C710" i="19"/>
  <c r="C711" i="19"/>
  <c r="C712" i="19"/>
  <c r="C713" i="19"/>
  <c r="C714" i="19"/>
  <c r="C715" i="19"/>
  <c r="C716" i="19"/>
  <c r="C717" i="19"/>
  <c r="C718" i="19"/>
  <c r="C719" i="19"/>
  <c r="C720" i="19"/>
  <c r="C721" i="19"/>
  <c r="C722" i="19"/>
  <c r="C723" i="19"/>
  <c r="C724" i="19"/>
  <c r="C725" i="19"/>
  <c r="C726" i="19"/>
  <c r="C727" i="19"/>
  <c r="C728" i="19"/>
  <c r="C729" i="19"/>
  <c r="C730" i="19"/>
  <c r="C731" i="19"/>
  <c r="C732" i="19"/>
  <c r="C733" i="19"/>
  <c r="C734" i="19"/>
  <c r="C735" i="19"/>
  <c r="C736" i="19"/>
  <c r="C737" i="19"/>
  <c r="C738" i="19"/>
  <c r="C739" i="19"/>
  <c r="C740" i="19"/>
  <c r="C741" i="19"/>
  <c r="C742" i="19"/>
  <c r="C743" i="19"/>
  <c r="C744" i="19"/>
  <c r="C745" i="19"/>
  <c r="C746" i="19"/>
  <c r="C747" i="19"/>
  <c r="C748" i="19"/>
  <c r="C749" i="19"/>
  <c r="C750" i="19"/>
  <c r="C751" i="19"/>
  <c r="C752" i="19"/>
  <c r="C753" i="19"/>
  <c r="C754" i="19"/>
  <c r="C755" i="19"/>
  <c r="C756" i="19"/>
  <c r="C757" i="19"/>
  <c r="C758" i="19"/>
  <c r="C759" i="19"/>
  <c r="C760" i="19"/>
  <c r="C761" i="19"/>
  <c r="C762" i="19"/>
  <c r="C763" i="19"/>
  <c r="C764" i="19"/>
  <c r="C765" i="19"/>
  <c r="C766" i="19"/>
  <c r="C767" i="19"/>
  <c r="C76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D492" i="19"/>
  <c r="D493" i="19"/>
  <c r="D494" i="19"/>
  <c r="D495" i="19"/>
  <c r="D496" i="19"/>
  <c r="D497" i="19"/>
  <c r="D498" i="19"/>
  <c r="D499" i="19"/>
  <c r="D500" i="19"/>
  <c r="D501" i="19"/>
  <c r="D502" i="19"/>
  <c r="D503" i="19"/>
  <c r="D504" i="19"/>
  <c r="D505" i="19"/>
  <c r="D506" i="19"/>
  <c r="D507" i="19"/>
  <c r="D508" i="19"/>
  <c r="D509" i="19"/>
  <c r="D510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749" i="19"/>
  <c r="D750" i="19"/>
  <c r="D751" i="19"/>
  <c r="D752" i="19"/>
  <c r="D753" i="19"/>
  <c r="D754" i="19"/>
  <c r="D755" i="19"/>
  <c r="D756" i="19"/>
  <c r="D757" i="19"/>
  <c r="D758" i="19"/>
  <c r="D759" i="19"/>
  <c r="D760" i="19"/>
  <c r="D761" i="19"/>
  <c r="D762" i="19"/>
  <c r="D763" i="19"/>
  <c r="D764" i="19"/>
  <c r="D765" i="19"/>
  <c r="D766" i="19"/>
  <c r="D767" i="19"/>
  <c r="D768" i="19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08" i="14"/>
  <c r="E309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331" i="14"/>
  <c r="E332" i="14"/>
  <c r="E333" i="14"/>
  <c r="E334" i="14"/>
  <c r="E335" i="14"/>
  <c r="E336" i="14"/>
  <c r="E337" i="14"/>
  <c r="E338" i="14"/>
  <c r="E339" i="14"/>
  <c r="E340" i="14"/>
  <c r="E341" i="14"/>
  <c r="E342" i="14"/>
  <c r="E343" i="14"/>
  <c r="E344" i="14"/>
  <c r="E345" i="14"/>
  <c r="E346" i="14"/>
  <c r="E347" i="14"/>
  <c r="E348" i="14"/>
  <c r="E349" i="14"/>
  <c r="E350" i="14"/>
  <c r="E351" i="14"/>
  <c r="E352" i="14"/>
  <c r="E353" i="14"/>
  <c r="E354" i="14"/>
  <c r="E355" i="14"/>
  <c r="E356" i="14"/>
  <c r="E357" i="14"/>
  <c r="E358" i="14"/>
  <c r="E359" i="14"/>
  <c r="E360" i="14"/>
  <c r="E361" i="14"/>
  <c r="E362" i="14"/>
  <c r="E363" i="14"/>
  <c r="E364" i="14"/>
  <c r="E365" i="14"/>
  <c r="E366" i="14"/>
  <c r="E367" i="14"/>
  <c r="E368" i="14"/>
  <c r="E369" i="14"/>
  <c r="E370" i="14"/>
  <c r="E371" i="14"/>
  <c r="E372" i="14"/>
  <c r="E373" i="14"/>
  <c r="E374" i="14"/>
  <c r="E375" i="14"/>
  <c r="E376" i="14"/>
  <c r="E377" i="14"/>
  <c r="E378" i="14"/>
  <c r="E379" i="14"/>
  <c r="E380" i="14"/>
  <c r="E381" i="14"/>
  <c r="E382" i="14"/>
  <c r="E383" i="14"/>
  <c r="E384" i="14"/>
  <c r="E385" i="14"/>
  <c r="E386" i="14"/>
  <c r="E387" i="14"/>
  <c r="E388" i="14"/>
  <c r="E389" i="14"/>
  <c r="E390" i="14"/>
  <c r="E391" i="14"/>
  <c r="E392" i="14"/>
  <c r="E393" i="14"/>
  <c r="E394" i="14"/>
  <c r="E395" i="14"/>
  <c r="E396" i="14"/>
  <c r="E397" i="14"/>
  <c r="E398" i="14"/>
  <c r="E399" i="14"/>
  <c r="E400" i="14"/>
  <c r="E401" i="14"/>
  <c r="E402" i="14"/>
  <c r="E403" i="14"/>
  <c r="E404" i="14"/>
  <c r="E405" i="14"/>
  <c r="E406" i="14"/>
  <c r="E407" i="14"/>
  <c r="E408" i="14"/>
  <c r="E409" i="14"/>
  <c r="E410" i="14"/>
  <c r="E411" i="14"/>
  <c r="E412" i="14"/>
  <c r="E413" i="14"/>
  <c r="E414" i="14"/>
  <c r="E415" i="14"/>
  <c r="E416" i="14"/>
  <c r="E417" i="14"/>
  <c r="E418" i="14"/>
  <c r="E419" i="14"/>
  <c r="E420" i="14"/>
  <c r="E421" i="14"/>
  <c r="E422" i="14"/>
  <c r="E423" i="14"/>
  <c r="E424" i="14"/>
  <c r="E425" i="14"/>
  <c r="E426" i="14"/>
  <c r="E427" i="14"/>
  <c r="E428" i="14"/>
  <c r="E429" i="14"/>
  <c r="E430" i="14"/>
  <c r="E431" i="14"/>
  <c r="E432" i="14"/>
  <c r="E433" i="14"/>
  <c r="E434" i="14"/>
  <c r="E435" i="14"/>
  <c r="E436" i="14"/>
  <c r="E437" i="14"/>
  <c r="E438" i="14"/>
  <c r="E439" i="14"/>
  <c r="E440" i="14"/>
  <c r="E441" i="14"/>
  <c r="E442" i="14"/>
  <c r="E443" i="14"/>
  <c r="E444" i="14"/>
  <c r="E445" i="14"/>
  <c r="E446" i="14"/>
  <c r="E447" i="14"/>
  <c r="E448" i="14"/>
  <c r="E449" i="14"/>
  <c r="E450" i="14"/>
  <c r="E451" i="14"/>
  <c r="E452" i="14"/>
  <c r="E453" i="14"/>
  <c r="E454" i="14"/>
  <c r="E455" i="14"/>
  <c r="E456" i="14"/>
  <c r="E457" i="14"/>
  <c r="E458" i="14"/>
  <c r="E459" i="14"/>
  <c r="E460" i="14"/>
  <c r="E461" i="14"/>
  <c r="E462" i="14"/>
  <c r="E463" i="14"/>
  <c r="E464" i="14"/>
  <c r="E465" i="14"/>
  <c r="E466" i="14"/>
  <c r="E467" i="14"/>
  <c r="E468" i="14"/>
  <c r="E469" i="14"/>
  <c r="E470" i="14"/>
  <c r="E471" i="14"/>
  <c r="E472" i="14"/>
  <c r="E473" i="14"/>
  <c r="E474" i="14"/>
  <c r="E475" i="14"/>
  <c r="E476" i="14"/>
  <c r="E477" i="14"/>
  <c r="E478" i="14"/>
  <c r="E479" i="14"/>
  <c r="E480" i="14"/>
  <c r="E481" i="14"/>
  <c r="E482" i="14"/>
  <c r="E483" i="14"/>
  <c r="E484" i="14"/>
  <c r="E485" i="14"/>
  <c r="E486" i="14"/>
  <c r="E487" i="14"/>
  <c r="E488" i="14"/>
  <c r="E489" i="14"/>
  <c r="E490" i="14"/>
  <c r="E491" i="14"/>
  <c r="E492" i="14"/>
  <c r="E493" i="14"/>
  <c r="E494" i="14"/>
  <c r="E495" i="14"/>
  <c r="E496" i="14"/>
  <c r="E497" i="14"/>
  <c r="E498" i="14"/>
  <c r="E499" i="14"/>
  <c r="E500" i="14"/>
  <c r="E501" i="14"/>
  <c r="E502" i="14"/>
  <c r="E503" i="14"/>
  <c r="E504" i="14"/>
  <c r="E505" i="14"/>
  <c r="E506" i="14"/>
  <c r="E507" i="14"/>
  <c r="E508" i="14"/>
  <c r="E509" i="14"/>
  <c r="E510" i="14"/>
  <c r="E511" i="14"/>
  <c r="E512" i="14"/>
  <c r="E513" i="14"/>
  <c r="E514" i="14"/>
  <c r="E515" i="14"/>
  <c r="E516" i="14"/>
  <c r="E517" i="14"/>
  <c r="E518" i="14"/>
  <c r="E519" i="14"/>
  <c r="E520" i="14"/>
  <c r="E521" i="14"/>
  <c r="E522" i="14"/>
  <c r="E523" i="14"/>
  <c r="E524" i="14"/>
  <c r="E525" i="14"/>
  <c r="E526" i="14"/>
  <c r="E527" i="14"/>
  <c r="E528" i="14"/>
  <c r="E529" i="14"/>
  <c r="E530" i="14"/>
  <c r="E531" i="14"/>
  <c r="E532" i="14"/>
  <c r="E533" i="14"/>
  <c r="E534" i="14"/>
  <c r="E535" i="14"/>
  <c r="E536" i="14"/>
  <c r="E537" i="14"/>
  <c r="E538" i="14"/>
  <c r="E539" i="14"/>
  <c r="E540" i="14"/>
  <c r="E541" i="14"/>
  <c r="E542" i="14"/>
  <c r="E543" i="14"/>
  <c r="E544" i="14"/>
  <c r="E545" i="14"/>
  <c r="E546" i="14"/>
  <c r="E547" i="14"/>
  <c r="E548" i="14"/>
  <c r="E549" i="14"/>
  <c r="E550" i="14"/>
  <c r="E551" i="14"/>
  <c r="E552" i="14"/>
  <c r="E553" i="14"/>
  <c r="E554" i="14"/>
  <c r="E555" i="14"/>
  <c r="E556" i="14"/>
  <c r="E557" i="14"/>
  <c r="E558" i="14"/>
  <c r="E559" i="14"/>
  <c r="E560" i="14"/>
  <c r="E561" i="14"/>
  <c r="E562" i="14"/>
  <c r="E563" i="14"/>
  <c r="E564" i="14"/>
  <c r="E565" i="14"/>
  <c r="E566" i="14"/>
  <c r="E567" i="14"/>
  <c r="E568" i="14"/>
  <c r="E569" i="14"/>
  <c r="E570" i="14"/>
  <c r="E571" i="14"/>
  <c r="E572" i="14"/>
  <c r="E573" i="14"/>
  <c r="E574" i="14"/>
  <c r="E575" i="14"/>
  <c r="E576" i="14"/>
  <c r="E577" i="14"/>
  <c r="E578" i="14"/>
  <c r="E579" i="14"/>
  <c r="E580" i="14"/>
  <c r="E581" i="14"/>
  <c r="E582" i="14"/>
  <c r="E583" i="14"/>
  <c r="E584" i="14"/>
  <c r="E585" i="14"/>
  <c r="E586" i="14"/>
  <c r="E587" i="14"/>
  <c r="E588" i="14"/>
  <c r="E589" i="14"/>
  <c r="E590" i="14"/>
  <c r="E591" i="14"/>
  <c r="E592" i="14"/>
  <c r="E593" i="14"/>
  <c r="E594" i="14"/>
  <c r="E595" i="14"/>
  <c r="E596" i="14"/>
  <c r="E597" i="14"/>
  <c r="E598" i="14"/>
  <c r="E599" i="14"/>
  <c r="E600" i="14"/>
  <c r="E601" i="14"/>
  <c r="E602" i="14"/>
  <c r="E603" i="14"/>
  <c r="E604" i="14"/>
  <c r="E605" i="14"/>
  <c r="E606" i="14"/>
  <c r="E607" i="14"/>
  <c r="E608" i="14"/>
  <c r="E609" i="14"/>
  <c r="E610" i="14"/>
  <c r="E611" i="14"/>
  <c r="E612" i="14"/>
  <c r="E613" i="14"/>
  <c r="E614" i="14"/>
  <c r="E615" i="14"/>
  <c r="E616" i="14"/>
  <c r="E617" i="14"/>
  <c r="E618" i="14"/>
  <c r="E619" i="14"/>
  <c r="E620" i="14"/>
  <c r="E621" i="14"/>
  <c r="E622" i="14"/>
  <c r="E623" i="14"/>
  <c r="E624" i="14"/>
  <c r="E625" i="14"/>
  <c r="E626" i="14"/>
  <c r="E627" i="14"/>
  <c r="E628" i="14"/>
  <c r="E629" i="14"/>
  <c r="E630" i="14"/>
  <c r="E631" i="14"/>
  <c r="E632" i="14"/>
  <c r="E633" i="14"/>
  <c r="E634" i="14"/>
  <c r="E635" i="14"/>
  <c r="E636" i="14"/>
  <c r="E637" i="14"/>
  <c r="E638" i="14"/>
  <c r="E639" i="14"/>
  <c r="E640" i="14"/>
  <c r="E641" i="14"/>
  <c r="E642" i="14"/>
  <c r="E643" i="14"/>
  <c r="E644" i="14"/>
  <c r="E645" i="14"/>
  <c r="E646" i="14"/>
  <c r="E647" i="14"/>
  <c r="E648" i="14"/>
  <c r="E649" i="14"/>
  <c r="E650" i="14"/>
  <c r="E651" i="14"/>
  <c r="E652" i="14"/>
  <c r="E653" i="14"/>
  <c r="E654" i="14"/>
  <c r="E655" i="14"/>
  <c r="E656" i="14"/>
  <c r="E657" i="14"/>
  <c r="E658" i="14"/>
  <c r="E659" i="14"/>
  <c r="E660" i="14"/>
  <c r="E661" i="14"/>
  <c r="E662" i="14"/>
  <c r="E663" i="14"/>
  <c r="E664" i="14"/>
  <c r="E665" i="14"/>
  <c r="E666" i="14"/>
  <c r="E667" i="14"/>
  <c r="E668" i="14"/>
  <c r="E669" i="14"/>
  <c r="E670" i="14"/>
  <c r="E671" i="14"/>
  <c r="E672" i="14"/>
  <c r="E673" i="14"/>
  <c r="E674" i="14"/>
  <c r="E675" i="14"/>
  <c r="E676" i="14"/>
  <c r="E677" i="14"/>
  <c r="E678" i="14"/>
  <c r="E679" i="14"/>
  <c r="E680" i="14"/>
  <c r="E681" i="14"/>
  <c r="E682" i="14"/>
  <c r="E683" i="14"/>
  <c r="E684" i="14"/>
  <c r="E685" i="14"/>
  <c r="E686" i="14"/>
  <c r="E687" i="14"/>
  <c r="E688" i="14"/>
  <c r="E689" i="14"/>
  <c r="E690" i="14"/>
  <c r="E691" i="14"/>
  <c r="E692" i="14"/>
  <c r="E693" i="14"/>
  <c r="E694" i="14"/>
  <c r="E695" i="14"/>
  <c r="E696" i="14"/>
  <c r="E697" i="14"/>
  <c r="E698" i="14"/>
  <c r="E699" i="14"/>
  <c r="E700" i="14"/>
  <c r="E701" i="14"/>
  <c r="E702" i="14"/>
  <c r="E703" i="14"/>
  <c r="E704" i="14"/>
  <c r="E705" i="14"/>
  <c r="E706" i="14"/>
  <c r="E707" i="14"/>
  <c r="E708" i="14"/>
  <c r="E709" i="14"/>
  <c r="E710" i="14"/>
  <c r="E711" i="14"/>
  <c r="E712" i="14"/>
  <c r="E713" i="14"/>
  <c r="E714" i="14"/>
  <c r="E715" i="14"/>
  <c r="E716" i="14"/>
  <c r="E717" i="14"/>
  <c r="E718" i="14"/>
  <c r="E719" i="14"/>
  <c r="E720" i="14"/>
  <c r="E721" i="14"/>
  <c r="E722" i="14"/>
  <c r="E723" i="14"/>
  <c r="E724" i="14"/>
  <c r="E725" i="14"/>
  <c r="E726" i="14"/>
  <c r="E727" i="14"/>
  <c r="E728" i="14"/>
  <c r="E729" i="14"/>
  <c r="E730" i="14"/>
  <c r="E731" i="14"/>
  <c r="E732" i="14"/>
  <c r="E733" i="14"/>
  <c r="E734" i="14"/>
  <c r="E735" i="14"/>
  <c r="E736" i="14"/>
  <c r="E737" i="14"/>
  <c r="E738" i="14"/>
  <c r="E739" i="14"/>
  <c r="E740" i="14"/>
  <c r="E741" i="14"/>
  <c r="E742" i="14"/>
  <c r="E743" i="14"/>
  <c r="E744" i="14"/>
  <c r="E745" i="14"/>
  <c r="E746" i="14"/>
  <c r="E747" i="14"/>
  <c r="E748" i="14"/>
  <c r="E749" i="14"/>
  <c r="E750" i="14"/>
  <c r="E751" i="14"/>
  <c r="E752" i="14"/>
  <c r="E753" i="14"/>
  <c r="E754" i="14"/>
  <c r="E755" i="14"/>
  <c r="E756" i="14"/>
  <c r="E757" i="14"/>
  <c r="E758" i="14"/>
  <c r="E759" i="14"/>
  <c r="E760" i="14"/>
  <c r="E761" i="14"/>
  <c r="E762" i="14"/>
  <c r="E763" i="14"/>
  <c r="E764" i="14"/>
  <c r="E765" i="14"/>
  <c r="E766" i="14"/>
  <c r="E767" i="14"/>
  <c r="E76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1" i="14"/>
  <c r="F532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5" i="14"/>
  <c r="F556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79" i="14"/>
  <c r="F580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3" i="14"/>
  <c r="F604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7" i="14"/>
  <c r="F628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1" i="14"/>
  <c r="F652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675" i="14"/>
  <c r="F676" i="14"/>
  <c r="F677" i="14"/>
  <c r="F678" i="14"/>
  <c r="F679" i="14"/>
  <c r="F680" i="14"/>
  <c r="F681" i="14"/>
  <c r="F682" i="14"/>
  <c r="F683" i="14"/>
  <c r="F684" i="14"/>
  <c r="F685" i="14"/>
  <c r="F686" i="14"/>
  <c r="F687" i="14"/>
  <c r="F688" i="14"/>
  <c r="F689" i="14"/>
  <c r="F690" i="14"/>
  <c r="F691" i="14"/>
  <c r="F692" i="14"/>
  <c r="F693" i="14"/>
  <c r="F694" i="14"/>
  <c r="F695" i="14"/>
  <c r="F696" i="14"/>
  <c r="F697" i="14"/>
  <c r="F698" i="14"/>
  <c r="F699" i="14"/>
  <c r="F700" i="14"/>
  <c r="F701" i="14"/>
  <c r="F702" i="14"/>
  <c r="F703" i="14"/>
  <c r="F704" i="14"/>
  <c r="F705" i="14"/>
  <c r="F706" i="14"/>
  <c r="F707" i="14"/>
  <c r="F708" i="14"/>
  <c r="F709" i="14"/>
  <c r="F710" i="14"/>
  <c r="F711" i="14"/>
  <c r="F712" i="14"/>
  <c r="F713" i="14"/>
  <c r="F714" i="14"/>
  <c r="F715" i="14"/>
  <c r="F716" i="14"/>
  <c r="F717" i="14"/>
  <c r="F718" i="14"/>
  <c r="F719" i="14"/>
  <c r="F720" i="14"/>
  <c r="F721" i="14"/>
  <c r="F722" i="14"/>
  <c r="F723" i="14"/>
  <c r="F724" i="14"/>
  <c r="F725" i="14"/>
  <c r="F726" i="14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48" i="14"/>
  <c r="F749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B2" i="18" l="1"/>
  <c r="T1" i="10"/>
  <c r="I1" i="1"/>
  <c r="B11" i="13" l="1"/>
  <c r="C11" i="13" s="1"/>
  <c r="E11" i="13"/>
  <c r="F11" i="13"/>
  <c r="G11" i="13"/>
  <c r="H11" i="13"/>
  <c r="C11" i="2"/>
  <c r="D11" i="2"/>
  <c r="E11" i="2"/>
  <c r="F11" i="2"/>
  <c r="B10" i="13"/>
  <c r="C10" i="13" s="1"/>
  <c r="E10" i="13"/>
  <c r="F10" i="13"/>
  <c r="G10" i="13"/>
  <c r="H10" i="13"/>
  <c r="C10" i="2"/>
  <c r="D10" i="2"/>
  <c r="E10" i="2"/>
  <c r="F10" i="2"/>
  <c r="D11" i="13" l="1"/>
  <c r="D10" i="13"/>
  <c r="B9" i="13"/>
  <c r="C9" i="13" s="1"/>
  <c r="E9" i="13"/>
  <c r="F9" i="13"/>
  <c r="G9" i="13"/>
  <c r="H9" i="13"/>
  <c r="C9" i="2"/>
  <c r="D9" i="2"/>
  <c r="E9" i="2"/>
  <c r="F9" i="2"/>
  <c r="B8" i="13"/>
  <c r="C8" i="13" s="1"/>
  <c r="E8" i="13"/>
  <c r="F8" i="13"/>
  <c r="G8" i="13"/>
  <c r="H8" i="13"/>
  <c r="C8" i="2"/>
  <c r="D8" i="2"/>
  <c r="E8" i="2"/>
  <c r="F8" i="2"/>
  <c r="B8" i="17"/>
  <c r="C8" i="17"/>
  <c r="D8" i="17"/>
  <c r="E8" i="17"/>
  <c r="B8" i="19"/>
  <c r="C8" i="19"/>
  <c r="D8" i="19"/>
  <c r="B8" i="14"/>
  <c r="C8" i="14"/>
  <c r="D8" i="14"/>
  <c r="E8" i="14"/>
  <c r="F8" i="14"/>
  <c r="G8" i="14"/>
  <c r="B8" i="3"/>
  <c r="C8" i="3"/>
  <c r="D8" i="3"/>
  <c r="E8" i="3"/>
  <c r="B8" i="11"/>
  <c r="C8" i="11"/>
  <c r="D8" i="11"/>
  <c r="B8" i="16"/>
  <c r="C8" i="16"/>
  <c r="D8" i="16"/>
  <c r="E8" i="16"/>
  <c r="B7" i="17"/>
  <c r="C7" i="17"/>
  <c r="D7" i="17"/>
  <c r="E7" i="17"/>
  <c r="B7" i="19"/>
  <c r="C7" i="19"/>
  <c r="D7" i="19"/>
  <c r="B7" i="14"/>
  <c r="C7" i="14"/>
  <c r="D7" i="14"/>
  <c r="E7" i="14"/>
  <c r="F7" i="14"/>
  <c r="G7" i="14"/>
  <c r="B7" i="3"/>
  <c r="C7" i="3"/>
  <c r="D7" i="3"/>
  <c r="E7" i="3"/>
  <c r="B7" i="11"/>
  <c r="C7" i="11"/>
  <c r="D7" i="11"/>
  <c r="B7" i="16"/>
  <c r="C7" i="16"/>
  <c r="D7" i="16"/>
  <c r="E7" i="16"/>
  <c r="B5" i="19"/>
  <c r="B6" i="19"/>
  <c r="C5" i="19"/>
  <c r="C6" i="19"/>
  <c r="D5" i="19"/>
  <c r="D6" i="19"/>
  <c r="E5" i="14"/>
  <c r="F5" i="14"/>
  <c r="E6" i="14"/>
  <c r="F6" i="14"/>
  <c r="D5" i="14"/>
  <c r="D6" i="14"/>
  <c r="D4" i="14"/>
  <c r="B7" i="13"/>
  <c r="C7" i="13" s="1"/>
  <c r="E7" i="13"/>
  <c r="F7" i="13"/>
  <c r="G7" i="13"/>
  <c r="H7" i="13"/>
  <c r="C7" i="2"/>
  <c r="D7" i="2"/>
  <c r="E7" i="2"/>
  <c r="F7" i="2"/>
  <c r="B6" i="13"/>
  <c r="C6" i="13" s="1"/>
  <c r="E6" i="13"/>
  <c r="F6" i="13"/>
  <c r="G6" i="13"/>
  <c r="H6" i="13"/>
  <c r="C6" i="2"/>
  <c r="D6" i="2"/>
  <c r="E6" i="2"/>
  <c r="F6" i="2"/>
  <c r="B6" i="17"/>
  <c r="C6" i="17"/>
  <c r="D6" i="17"/>
  <c r="E6" i="17"/>
  <c r="B6" i="14"/>
  <c r="C6" i="14"/>
  <c r="G6" i="14"/>
  <c r="B6" i="3"/>
  <c r="C6" i="3"/>
  <c r="D6" i="3"/>
  <c r="E6" i="3"/>
  <c r="B6" i="11"/>
  <c r="C6" i="11"/>
  <c r="D6" i="11"/>
  <c r="B6" i="16"/>
  <c r="C6" i="16"/>
  <c r="D6" i="16"/>
  <c r="E6" i="16"/>
  <c r="B5" i="17"/>
  <c r="C5" i="17"/>
  <c r="D5" i="17"/>
  <c r="E5" i="17"/>
  <c r="B5" i="14"/>
  <c r="C5" i="14"/>
  <c r="G5" i="14"/>
  <c r="B5" i="3"/>
  <c r="C5" i="3"/>
  <c r="D5" i="3"/>
  <c r="E5" i="3"/>
  <c r="B5" i="11"/>
  <c r="C5" i="11"/>
  <c r="D5" i="11"/>
  <c r="B5" i="16"/>
  <c r="C5" i="16"/>
  <c r="D5" i="16"/>
  <c r="E5" i="16"/>
  <c r="D4" i="19"/>
  <c r="C4" i="19"/>
  <c r="B4" i="19"/>
  <c r="D3" i="19"/>
  <c r="C3" i="19"/>
  <c r="B3" i="19"/>
  <c r="D2" i="19"/>
  <c r="C2" i="19"/>
  <c r="B2" i="19"/>
  <c r="D9" i="13" l="1"/>
  <c r="D8" i="13"/>
  <c r="D7" i="13"/>
  <c r="D6" i="13"/>
  <c r="B5" i="13"/>
  <c r="D5" i="13" s="1"/>
  <c r="E5" i="13"/>
  <c r="F5" i="13"/>
  <c r="G5" i="13"/>
  <c r="H5" i="13"/>
  <c r="C5" i="2"/>
  <c r="D5" i="2"/>
  <c r="E5" i="2"/>
  <c r="F5" i="2"/>
  <c r="B4" i="13"/>
  <c r="C4" i="13" s="1"/>
  <c r="E4" i="13"/>
  <c r="F4" i="13"/>
  <c r="G4" i="13"/>
  <c r="H4" i="13"/>
  <c r="C4" i="2"/>
  <c r="D4" i="2"/>
  <c r="E4" i="2"/>
  <c r="F4" i="2"/>
  <c r="B3" i="13"/>
  <c r="C3" i="13" s="1"/>
  <c r="E3" i="13"/>
  <c r="F3" i="13"/>
  <c r="G3" i="13"/>
  <c r="H3" i="13"/>
  <c r="C3" i="2"/>
  <c r="D3" i="2"/>
  <c r="E3" i="2"/>
  <c r="F3" i="2"/>
  <c r="B2" i="16"/>
  <c r="C2" i="16"/>
  <c r="D2" i="16"/>
  <c r="E2" i="16"/>
  <c r="C5" i="13" l="1"/>
  <c r="D4" i="13"/>
  <c r="D3" i="13"/>
  <c r="B3" i="14"/>
  <c r="B4" i="14"/>
  <c r="C3" i="14"/>
  <c r="C4" i="14"/>
  <c r="D3" i="14"/>
  <c r="E3" i="14"/>
  <c r="E4" i="14"/>
  <c r="F3" i="14"/>
  <c r="F4" i="14"/>
  <c r="G3" i="14"/>
  <c r="G4" i="14"/>
  <c r="B2" i="13"/>
  <c r="C2" i="13" s="1"/>
  <c r="E2" i="13"/>
  <c r="F2" i="13"/>
  <c r="G2" i="13"/>
  <c r="H2" i="13"/>
  <c r="C2" i="2"/>
  <c r="D2" i="2"/>
  <c r="E2" i="2"/>
  <c r="F2" i="2"/>
  <c r="D2" i="13" l="1"/>
  <c r="B4" i="17" l="1"/>
  <c r="C4" i="17"/>
  <c r="D4" i="17"/>
  <c r="E4" i="17"/>
  <c r="B4" i="3"/>
  <c r="C4" i="3"/>
  <c r="D4" i="3"/>
  <c r="E4" i="3"/>
  <c r="B4" i="11"/>
  <c r="C4" i="11"/>
  <c r="D4" i="11"/>
  <c r="B4" i="16"/>
  <c r="C4" i="16"/>
  <c r="D4" i="16"/>
  <c r="E4" i="16"/>
  <c r="F2" i="14" l="1"/>
  <c r="E2" i="14"/>
  <c r="D2" i="14"/>
  <c r="B3" i="17"/>
  <c r="C3" i="17"/>
  <c r="D3" i="17"/>
  <c r="E3" i="17"/>
  <c r="B3" i="3"/>
  <c r="C3" i="3"/>
  <c r="D3" i="3"/>
  <c r="E3" i="3"/>
  <c r="B3" i="11"/>
  <c r="C3" i="11"/>
  <c r="D3" i="11"/>
  <c r="B3" i="16"/>
  <c r="C3" i="16"/>
  <c r="D3" i="16"/>
  <c r="E3" i="16"/>
  <c r="C2" i="17"/>
  <c r="B2" i="17"/>
  <c r="C2" i="14"/>
  <c r="B2" i="14"/>
  <c r="E2" i="3"/>
  <c r="D2" i="3"/>
  <c r="C2" i="3"/>
  <c r="B2" i="3"/>
  <c r="D2" i="11"/>
  <c r="C2" i="11"/>
  <c r="B2" i="11"/>
  <c r="F2" i="15" l="1"/>
  <c r="F3" i="15"/>
  <c r="F4" i="15"/>
  <c r="F5" i="15"/>
  <c r="F6" i="15"/>
  <c r="F7" i="15"/>
  <c r="F8" i="15"/>
  <c r="F9" i="15"/>
  <c r="F10" i="15"/>
  <c r="F11" i="15"/>
  <c r="F12" i="15"/>
  <c r="E2" i="15"/>
  <c r="E3" i="15"/>
  <c r="E4" i="15"/>
  <c r="E5" i="15"/>
  <c r="E6" i="15"/>
  <c r="E7" i="15"/>
  <c r="E8" i="15"/>
  <c r="E9" i="15"/>
  <c r="E10" i="15"/>
  <c r="E11" i="15"/>
  <c r="E12" i="15"/>
  <c r="D2" i="15"/>
  <c r="D3" i="15"/>
  <c r="D4" i="15"/>
  <c r="D5" i="15"/>
  <c r="D6" i="15"/>
  <c r="D7" i="15"/>
  <c r="D8" i="15"/>
  <c r="D9" i="15"/>
  <c r="D10" i="15"/>
  <c r="D11" i="15"/>
  <c r="D12" i="15"/>
  <c r="C2" i="15"/>
  <c r="C3" i="15"/>
  <c r="C4" i="15"/>
  <c r="C5" i="15"/>
  <c r="C6" i="15"/>
  <c r="C7" i="15"/>
  <c r="C8" i="15"/>
  <c r="C9" i="15"/>
  <c r="C10" i="15"/>
  <c r="C11" i="15"/>
  <c r="C12" i="15"/>
  <c r="B2" i="15"/>
  <c r="B3" i="15"/>
  <c r="B4" i="15"/>
  <c r="B5" i="15"/>
  <c r="B6" i="15"/>
  <c r="B7" i="15"/>
  <c r="B8" i="15"/>
  <c r="B9" i="15"/>
  <c r="B10" i="15"/>
  <c r="B11" i="15"/>
  <c r="B12" i="15"/>
  <c r="G2" i="14"/>
  <c r="E2" i="17"/>
  <c r="D2" i="17"/>
  <c r="O1" i="2" l="1"/>
</calcChain>
</file>

<file path=xl/sharedStrings.xml><?xml version="1.0" encoding="utf-8"?>
<sst xmlns="http://schemas.openxmlformats.org/spreadsheetml/2006/main" count="3616" uniqueCount="970">
  <si>
    <t>Código</t>
  </si>
  <si>
    <t>Código de barras</t>
  </si>
  <si>
    <t>Categoría</t>
  </si>
  <si>
    <t>Producto</t>
  </si>
  <si>
    <t>Descripción</t>
  </si>
  <si>
    <t>Comentarios</t>
  </si>
  <si>
    <t>Proveedor</t>
  </si>
  <si>
    <t>Cantidad</t>
  </si>
  <si>
    <t>Precio de compra</t>
  </si>
  <si>
    <t>Precio de venta</t>
  </si>
  <si>
    <t>Margen de ganancia</t>
  </si>
  <si>
    <t xml:space="preserve">Ganancia </t>
  </si>
  <si>
    <t>Resaltador Bic</t>
  </si>
  <si>
    <t>N/A</t>
  </si>
  <si>
    <t>Cuaderno Rivadavia escolar 194h 88g</t>
  </si>
  <si>
    <t>Set de Resaltadores NUWA x5u en dispenser</t>
  </si>
  <si>
    <t>Categorias</t>
  </si>
  <si>
    <t>LIBRERÍA</t>
  </si>
  <si>
    <t>Fecha de alta</t>
  </si>
  <si>
    <t>Fecha de ingreso</t>
  </si>
  <si>
    <t>Razon social</t>
  </si>
  <si>
    <t>E-mail</t>
  </si>
  <si>
    <t>Telefono</t>
  </si>
  <si>
    <t>Direccion</t>
  </si>
  <si>
    <t>Sitio web</t>
  </si>
  <si>
    <t>CUIL-CUIT</t>
  </si>
  <si>
    <t>gera</t>
  </si>
  <si>
    <t>hola</t>
  </si>
  <si>
    <t>liybb</t>
  </si>
  <si>
    <t>s</t>
  </si>
  <si>
    <t>c</t>
  </si>
  <si>
    <t>sd</t>
  </si>
  <si>
    <t>d</t>
  </si>
  <si>
    <t>qwd</t>
  </si>
  <si>
    <t>ax</t>
  </si>
  <si>
    <t>czx</t>
  </si>
  <si>
    <t>w</t>
  </si>
  <si>
    <t>freiberg</t>
  </si>
  <si>
    <t>ABG</t>
  </si>
  <si>
    <t>Super Mami</t>
  </si>
  <si>
    <t>Cordiez</t>
  </si>
  <si>
    <t>Librería julio</t>
  </si>
  <si>
    <t>Transporte andesmar</t>
  </si>
  <si>
    <t>Transporte herniquez</t>
  </si>
  <si>
    <t>FUM</t>
  </si>
  <si>
    <t>Observaciones</t>
  </si>
  <si>
    <t>Codigo</t>
  </si>
  <si>
    <t>Descripcion</t>
  </si>
  <si>
    <t>Precio unitario</t>
  </si>
  <si>
    <t>Total</t>
  </si>
  <si>
    <t>ID ingreso</t>
  </si>
  <si>
    <t>Fecha de venta</t>
  </si>
  <si>
    <t>Codigo de barras</t>
  </si>
  <si>
    <t>Categoria</t>
  </si>
  <si>
    <t>ID venta</t>
  </si>
  <si>
    <t>Cantadidad</t>
  </si>
  <si>
    <t>Proximo codigo</t>
  </si>
  <si>
    <t>Ruptura de stock</t>
  </si>
  <si>
    <t>Stock</t>
  </si>
  <si>
    <t>Franpapel</t>
  </si>
  <si>
    <t>Ari artistica</t>
  </si>
  <si>
    <t>grupo tam srl</t>
  </si>
  <si>
    <t>librería mayor</t>
  </si>
  <si>
    <t>17/03/2023 21:49:47</t>
  </si>
  <si>
    <t>lknalksd</t>
  </si>
  <si>
    <t>18/03/2023 17:07:26</t>
  </si>
  <si>
    <t>sdvsdf</t>
  </si>
  <si>
    <t>18/03/2023 17:08:55</t>
  </si>
  <si>
    <t>&lt;zx&lt;zx</t>
  </si>
  <si>
    <t>18/03/2023 17:12:53</t>
  </si>
  <si>
    <t>lknkwejrnkwerr</t>
  </si>
  <si>
    <t>20/03/2023 16:34:48</t>
  </si>
  <si>
    <t>NO APLICA</t>
  </si>
  <si>
    <t>Llego tarde</t>
  </si>
  <si>
    <t>20/03/2023 16:40:06</t>
  </si>
  <si>
    <t>llego bien</t>
  </si>
  <si>
    <t>todo ok</t>
  </si>
  <si>
    <t>21/03/2023 8:56:57</t>
  </si>
  <si>
    <t>asdasd</t>
  </si>
  <si>
    <t>sdfsdf</t>
  </si>
  <si>
    <t>Nombre</t>
  </si>
  <si>
    <t>ID cliente</t>
  </si>
  <si>
    <t>Apellido</t>
  </si>
  <si>
    <t>DNI</t>
  </si>
  <si>
    <t xml:space="preserve">Telefono </t>
  </si>
  <si>
    <t>Bernardi</t>
  </si>
  <si>
    <t>Ciudad</t>
  </si>
  <si>
    <t>Total producto</t>
  </si>
  <si>
    <t>Total venta</t>
  </si>
  <si>
    <t xml:space="preserve">
</t>
  </si>
  <si>
    <t>PAPELERIA Y ARTISTICA</t>
  </si>
  <si>
    <t>MARROQUINERIA</t>
  </si>
  <si>
    <t xml:space="preserve">OFICINA </t>
  </si>
  <si>
    <t>COMPUTACION</t>
  </si>
  <si>
    <t>LIBROS</t>
  </si>
  <si>
    <t>REGALERIA</t>
  </si>
  <si>
    <t>IMPRESIÓN, PLASTIF, ANILLADOS</t>
  </si>
  <si>
    <t>JUGUETERIA</t>
  </si>
  <si>
    <t>Cuaderno 29.7 America flex - 7792216854173</t>
  </si>
  <si>
    <t>Cuaderno 29.7 America Nos/Avon 80h</t>
  </si>
  <si>
    <t>Resaltador Sharpie x12</t>
  </si>
  <si>
    <t>Cuaderno 16.21 America Nos c/espiral x 84h</t>
  </si>
  <si>
    <t>Cuaderno E7 Éxito Colegial Tapa c/ motivos 60h</t>
  </si>
  <si>
    <t>Cuaderno Colegial Éxito x 60h</t>
  </si>
  <si>
    <t>Cuaderno Colegial Éxito x 100h</t>
  </si>
  <si>
    <t>Cuaderno ABC Rivadavia x 60h</t>
  </si>
  <si>
    <t>Cuaderno ABC Rivadavia x 100h</t>
  </si>
  <si>
    <t>Block A6 Alfa anillado Rayado 80h</t>
  </si>
  <si>
    <t>Block A5 anillado Alfa</t>
  </si>
  <si>
    <t>Block A4 Alfa anillado</t>
  </si>
  <si>
    <t>Block A4 Avon</t>
  </si>
  <si>
    <t>Block Oficio Avon</t>
  </si>
  <si>
    <t>Tijera para Zurdos Maped</t>
  </si>
  <si>
    <t>Cuaderno Éxito Nº3 x 48h Forrado</t>
  </si>
  <si>
    <t>Cuaderno Éxito Nº3 x 48h Motivos - 7791762225079</t>
  </si>
  <si>
    <t>Cuaderno Éxito Nº3 x 48h Lunares - 7791762378072</t>
  </si>
  <si>
    <t>Cuaderno Rivadavia Nº3 x 50h Forrado araña</t>
  </si>
  <si>
    <t>Cuaderno Rivadavia Nº3 x 50h Lunar</t>
  </si>
  <si>
    <t>Cuaderno ABC Inicial T/C</t>
  </si>
  <si>
    <t>Cuaderno Escolar Éxito x 48h Forrado</t>
  </si>
  <si>
    <t>Cuaderno Escolar ABC Rivadavia x 50h - 7792216051053</t>
  </si>
  <si>
    <t>Cuaderno Escolar America x 82h T/C - 7792216675709</t>
  </si>
  <si>
    <t xml:space="preserve"> cuaderno Escolar America 42h T/C - 7792216000495</t>
  </si>
  <si>
    <t>Cuaderno Escolar Gloria x 84h</t>
  </si>
  <si>
    <t>Cuaderno Rivadavia escolar T dura 50h 16.21</t>
  </si>
  <si>
    <t>Cuaderno T/flex Gloria x 48h - 7791762110078</t>
  </si>
  <si>
    <t>Cuaderno T/flex Gloria x 24h</t>
  </si>
  <si>
    <t>Repuesto N°3 Husares x 480h</t>
  </si>
  <si>
    <t>Repuesto A4 Éxito M/Reforzado x 96h - 7791762400124</t>
  </si>
  <si>
    <t>Repuesto A4 Rivadavia M/Ref x96h - 7792216041917</t>
  </si>
  <si>
    <t>Repuesto A4 Rivadavia M/Ref x 48h</t>
  </si>
  <si>
    <t>Repuesto escolar A4 Éxito x 192h M/Reforzado</t>
  </si>
  <si>
    <t xml:space="preserve">Repuesto A4 Husares x 48h </t>
  </si>
  <si>
    <t>Repuesto A4 Husares 120h</t>
  </si>
  <si>
    <t>Repuesto Nº3 Éxito M/R x 480h</t>
  </si>
  <si>
    <t>Repuesto Nº3 Éxito M/R x 96h - 7791762480126</t>
  </si>
  <si>
    <t>Repuesto Éxito N°3 M/R x 48h</t>
  </si>
  <si>
    <t>Repuesto Nº3 Éxito M/R x 24h</t>
  </si>
  <si>
    <t>Repuesto Nº3 Éxito x 480h</t>
  </si>
  <si>
    <t>Repuesto Nº3 Éxito x 96h</t>
  </si>
  <si>
    <t>Repuesto Nº3 Éxito x 48h</t>
  </si>
  <si>
    <t>Repuesto Nº3 Éxito x 24h - 7791762486333</t>
  </si>
  <si>
    <t>Repuesto Nº3 Rivadavia x 480h - 7792216050162</t>
  </si>
  <si>
    <t>Repuesto Nº3 Rivadavia x 96h - 7792216041658</t>
  </si>
  <si>
    <t>Repuesto Nº3 Rivadavia x 48h</t>
  </si>
  <si>
    <t>Repuesto Nº3 Rivadavia x 24h</t>
  </si>
  <si>
    <t>Cuaderno T/flex Gloria x 84h</t>
  </si>
  <si>
    <t xml:space="preserve">Repuesto husares x 96h A4 rayado - </t>
  </si>
  <si>
    <t>Repuesto A4 Husares 96h - 7792564060837</t>
  </si>
  <si>
    <t>Repuesto escolar N°3 Husares x 96h</t>
  </si>
  <si>
    <t>Repuesto Nº6 Canson Luma Blanco</t>
  </si>
  <si>
    <t>Repuesto Nº5 Canson Luma Blanco</t>
  </si>
  <si>
    <t>Repuesto Nº3 Canson Luma Blanco</t>
  </si>
  <si>
    <t>Repuesto Nº5 Canson Luma Color</t>
  </si>
  <si>
    <t>Repuesto Nº3 Canson Luma Color</t>
  </si>
  <si>
    <t>Repuesto Nº5 Canson Luma Negro</t>
  </si>
  <si>
    <t>Repuesto Nº3 Canson Luma Negro</t>
  </si>
  <si>
    <t>Repuesto Nº5 Calcar Luma</t>
  </si>
  <si>
    <t>Repuesto Nº3 Calcar Luma</t>
  </si>
  <si>
    <t>Carpeta escolar Nº3 colores y dibujos lindos Mooving</t>
  </si>
  <si>
    <t>Carpeta Nº3 Neon 2020</t>
  </si>
  <si>
    <t>Carpeta Nº3 Jurasic Park</t>
  </si>
  <si>
    <t>Carpeta Nº3 3aros diseño zapatilla linea snakers Ito 2020</t>
  </si>
  <si>
    <t>Carpeta Nº3 isofit forrada lisa</t>
  </si>
  <si>
    <t>Carpeta Nº3 Rivadavia C/Çhojas</t>
  </si>
  <si>
    <t>Carpeta escolar Nº3 Util-off Mia / Love</t>
  </si>
  <si>
    <t>Carpeta Dibujo Nº3 3aros (Se entrega con aros OTA 35mm)</t>
  </si>
  <si>
    <t>Carpeta Avery esquela 3 anillos small format</t>
  </si>
  <si>
    <t>Cuaderno Nº3 Triunfante lunares x 50h</t>
  </si>
  <si>
    <t>Carpeta Nº5 mooving / camaron brujo / rexon / ink-drop  c/aros</t>
  </si>
  <si>
    <t>Carpeta Nº5 el nene c/aros y hojas</t>
  </si>
  <si>
    <t>Carpeta Nº5 C/Relieve</t>
  </si>
  <si>
    <t>Carpeta Nº5 Lavable</t>
  </si>
  <si>
    <t>Carpeta 3 Solapas Mot. Varios</t>
  </si>
  <si>
    <t>Carpeta 3 Solapas Comun</t>
  </si>
  <si>
    <t>Carpeta 3 solapas 35 x 50 Rivadavia</t>
  </si>
  <si>
    <t>Carpeta Fibra 35 x 50</t>
  </si>
  <si>
    <t>Repuesto Canson N°5 Luma FLUO</t>
  </si>
  <si>
    <t>Carpeta A4 Arte Benito/Barsky/Elisa/Milagros c/repuesto</t>
  </si>
  <si>
    <t>Carpeta A4 Rivadavia c/repuesto x96hray y 48h cuad + separadores</t>
  </si>
  <si>
    <t>Carpeta A4 Arte Clip/Bloom/barsky/benito c/repuesto</t>
  </si>
  <si>
    <t>Marcador Maped Color Peps Duo Stamp</t>
  </si>
  <si>
    <t>Crayon Pizzini x 6u Art. 9206</t>
  </si>
  <si>
    <t>Block de dibujo Luma/triunfante Nº5 20/24 hojas color</t>
  </si>
  <si>
    <t>Micro Tank pen 0,7</t>
  </si>
  <si>
    <t>Toyo Max 0,7</t>
  </si>
  <si>
    <t>Boligrafo Bic Grip</t>
  </si>
  <si>
    <t>Boligrafo Paper Mate Kilometrico 300RT</t>
  </si>
  <si>
    <t>Boligrafo Bic Cristal fina 2x $300</t>
  </si>
  <si>
    <t>Boligrafo Bic Cristal</t>
  </si>
  <si>
    <t>Boligrafo Faber Trilux 3 x $300</t>
  </si>
  <si>
    <t>Boligrafo Bic opaco 2 x $300</t>
  </si>
  <si>
    <t>Boligrafo Bic Vive</t>
  </si>
  <si>
    <t>Boligrafo Bic Shimmer 2 x $300</t>
  </si>
  <si>
    <t>Boligrafo Bic Opaco fina</t>
  </si>
  <si>
    <t>Boligrafo Bic Bold</t>
  </si>
  <si>
    <t>Roller Bic Gripp</t>
  </si>
  <si>
    <t>Carpeta N°3 con cordon Comunes</t>
  </si>
  <si>
    <t>Boligrafo borrable Erasermate comun</t>
  </si>
  <si>
    <t>Boligrafo Borrable OLAMI Negro</t>
  </si>
  <si>
    <t>Portaminas Filgo Real Grip 0.5</t>
  </si>
  <si>
    <t>Boligrafo Wero retractil Pastel Notes Corazon</t>
  </si>
  <si>
    <t>Boligrafo retractil pastel notes unicornio</t>
  </si>
  <si>
    <t>Portaminas Bic Clic Matic Atlantis pencil 0.5</t>
  </si>
  <si>
    <t>Minas pizzini 0.5 HB - Art. S5300HB - 7793198530079</t>
  </si>
  <si>
    <t>Minas Pizzini 0,7 HB - Art. S7300HB - 7793198730073</t>
  </si>
  <si>
    <t>Minas Faber Castell 0.5 HB</t>
  </si>
  <si>
    <t>Minas Faber Castell 0,7 HB</t>
  </si>
  <si>
    <t>Minas Faber Castell 0.5 2H</t>
  </si>
  <si>
    <t>Minas Pizzini 2mm B - Art. S20300B - 7793198203034</t>
  </si>
  <si>
    <t>Sacapuntas Maped CROC CROC</t>
  </si>
  <si>
    <t>Notas Adhesivas WERO Fun WE 1144</t>
  </si>
  <si>
    <t>Gomas c/formas Wero Cool Pops c/u se vende x unidad</t>
  </si>
  <si>
    <t xml:space="preserve">Separador de materias cartulina con lengüeta A4/Of x5u color </t>
  </si>
  <si>
    <t>Compas pizzini Pk133 - Art. PK133 - 7793198133003</t>
  </si>
  <si>
    <t>Compas Pelikan en caja</t>
  </si>
  <si>
    <t>Resaltador Micro Margi 2000</t>
  </si>
  <si>
    <t>Resaltador Pizzini Duo - Art. 1282 - 7793198128887</t>
  </si>
  <si>
    <t>Resaltador edding 342</t>
  </si>
  <si>
    <t>Marcador escolar Maped DUO TIP x 10u</t>
  </si>
  <si>
    <t>Fibron Bic Marking Biselado extra grueso</t>
  </si>
  <si>
    <t>Fibron Bic Marking redondo</t>
  </si>
  <si>
    <t>Marcador Edding 180 Colores Varios</t>
  </si>
  <si>
    <t>Tijera Maped Vivo 13cm</t>
  </si>
  <si>
    <t xml:space="preserve">Tijera Pizzini Spazio 17cm PS-70 escolar </t>
  </si>
  <si>
    <t>Tijera Maped advanced office 17cm</t>
  </si>
  <si>
    <t>Tijera Maped Universal 21cm</t>
  </si>
  <si>
    <t>Tijera Olami Standard 17.5cm</t>
  </si>
  <si>
    <t>Crayon Ezco Jumbo x 12u</t>
  </si>
  <si>
    <t>Lapices de colores Bic Evolution x 24</t>
  </si>
  <si>
    <t>Lapices de colores Skycolor pastel x 12</t>
  </si>
  <si>
    <t>Lapices de colores Maped Star pinturitas x 36 u</t>
  </si>
  <si>
    <t>Lapices de colores Maped Star pinturitas x 48 u</t>
  </si>
  <si>
    <t>Colores Sylvapen x6 Fluo</t>
  </si>
  <si>
    <t>Colores x 12 Simball Largos Acuarelables</t>
  </si>
  <si>
    <t>Colores Simball x 12 largos innovation</t>
  </si>
  <si>
    <t>Lapices de colores Pastel Mooving Dulce pastel x 10</t>
  </si>
  <si>
    <t>Lapices de colores Paper mate x 15u incluye 3 NEON</t>
  </si>
  <si>
    <t xml:space="preserve">Colores Faber castell x24 </t>
  </si>
  <si>
    <t xml:space="preserve">Colores Faber Castell x12 +2N </t>
  </si>
  <si>
    <t>Marcadores escolares Skycolor x 10</t>
  </si>
  <si>
    <t>Marcadores Maped Long Life punta conica</t>
  </si>
  <si>
    <t>Cuaderno America T/Flex 48h</t>
  </si>
  <si>
    <t>Marcadores Deli Sketch triangular Doble punta Box x 12u</t>
  </si>
  <si>
    <t>Marcador Trabí Art Brush Pastel x 6u</t>
  </si>
  <si>
    <t>Tijera Maped Advanced 21cm Asim Try Me</t>
  </si>
  <si>
    <t>Portaminas Micro Executive 0,7</t>
  </si>
  <si>
    <t>Adhesivo Sintetico Pizzini x 30ml</t>
  </si>
  <si>
    <t>Adhesivo Sintetico Voligoma x 30ml</t>
  </si>
  <si>
    <t>Adhesivo Sintetico Voligoma x 50ml</t>
  </si>
  <si>
    <t>Silicona liquida Pritt 105gr</t>
  </si>
  <si>
    <t>Adhesivo vinilico Señorita x 1Kg</t>
  </si>
  <si>
    <t>Adhesivo vinilico Señorita/Maped x 500gr</t>
  </si>
  <si>
    <t>Adhesivo vinilico Señorita/Maped x 250gr</t>
  </si>
  <si>
    <t>Adhesivo vinilico Señorita/Maped x 100gr/125gr</t>
  </si>
  <si>
    <t>Goma de borrar Maped Technic</t>
  </si>
  <si>
    <t xml:space="preserve">Papel Glace Lustre </t>
  </si>
  <si>
    <t xml:space="preserve">Papel Glace Fluo - </t>
  </si>
  <si>
    <t>Papel Glace metalizado -</t>
  </si>
  <si>
    <t>Sacapuntas Maped Vivo</t>
  </si>
  <si>
    <t>Sacapuntas Maped monstruito</t>
  </si>
  <si>
    <t>Sacapuntas Metal</t>
  </si>
  <si>
    <t>Lapiz Negro Filgo Pinto</t>
  </si>
  <si>
    <t>Lapiz Negro Bic Evolution</t>
  </si>
  <si>
    <t xml:space="preserve">Lapiz Negro Skycolor </t>
  </si>
  <si>
    <t>Regla Pizzini 20cm Art. 1702 - 170268</t>
  </si>
  <si>
    <t>Regla Pizzini 30cm Art. 170230 - 7793198170275</t>
  </si>
  <si>
    <t>Set de Geometria Pizzini Mi mundo Pastel</t>
  </si>
  <si>
    <t>Regla Flexible x20cm Keyroad/util uno</t>
  </si>
  <si>
    <t>Regla de aluminio con porta lapiz Keyroad 20cm</t>
  </si>
  <si>
    <t>Escuadra 45º Pizzini 20cm</t>
  </si>
  <si>
    <t>Escuadra 30º Pizzini 20cm</t>
  </si>
  <si>
    <t>Transportador pizzini - Art. 6702 - 7793198670256</t>
  </si>
  <si>
    <t>Lupa NC 60mm</t>
  </si>
  <si>
    <t>Escuadra Dibujo Tecnico 45º 3732</t>
  </si>
  <si>
    <t>Escuadra Dibujo Tecnico 30º</t>
  </si>
  <si>
    <t>Set Escuadras Dibujo Tecnico</t>
  </si>
  <si>
    <t>Silicona liquida College 30ml</t>
  </si>
  <si>
    <t>Microfibra Toyo 98</t>
  </si>
  <si>
    <t>Lapicera Roller Tinta Paper Mate Ink Joy Gel 0.7</t>
  </si>
  <si>
    <t>Escuadra multimedida</t>
  </si>
  <si>
    <t>Regla Flexible x 30cm Keyroad</t>
  </si>
  <si>
    <t>Microfibra Pizzini 0,3 punta descartable - Art. DPO.3NG - 7793198412139</t>
  </si>
  <si>
    <t>Lapiz carpintero HARDEN</t>
  </si>
  <si>
    <t xml:space="preserve">Escarapela PIN </t>
  </si>
  <si>
    <t>Escarapela Tela</t>
  </si>
  <si>
    <t>Goma Maped Technic Duo New Generation</t>
  </si>
  <si>
    <t>Boligrafo Filgo Fastrack retractil</t>
  </si>
  <si>
    <t>Tabla Periodica</t>
  </si>
  <si>
    <t>Escarapelas varias tela</t>
  </si>
  <si>
    <t>Lapiz Negro Trabí Neon por fuera y diseño C/Goma</t>
  </si>
  <si>
    <t>Blister Lapiz Negro Mooving Disney x 6u</t>
  </si>
  <si>
    <t>Roller Tinta Gel Mooving x10</t>
  </si>
  <si>
    <t>Roller Silky NEON/PASTEL Mooving x5</t>
  </si>
  <si>
    <t>Resaltadores NEON / PASTEL Dupla ideal Mooving x 4</t>
  </si>
  <si>
    <t>Resaltador NEON Colores Aroma Perfumados x 4u</t>
  </si>
  <si>
    <t>Resaltadores Glitter Mooving x4</t>
  </si>
  <si>
    <t>Libreta NAT Ledesma tapa flexible 16.21 42h</t>
  </si>
  <si>
    <t>Marcador doble punta Trabí Duplo Permanente</t>
  </si>
  <si>
    <t>Cuaderno Triunfante 16.21 T/Carton 120hs</t>
  </si>
  <si>
    <t>Repuesto Éxito NAT x288h C/Margen Reforzado N°3</t>
  </si>
  <si>
    <t>Repuesto Éxito N°3 NAT M/R x 96h</t>
  </si>
  <si>
    <t>Repuesto escolar N°3 Éxito NAT con Margen Reforzado x 96h</t>
  </si>
  <si>
    <t>Repuesto Calcar Nº5 Luma</t>
  </si>
  <si>
    <t>Repuesto Calcar Nº3 Luma</t>
  </si>
  <si>
    <t>Mapa Nº6</t>
  </si>
  <si>
    <t>Cuaderno Triunfante/Laprida Nº3 x 50h - 7792216049913</t>
  </si>
  <si>
    <t>Flauta Blester NC</t>
  </si>
  <si>
    <t>Escalimetro Maped en estuche</t>
  </si>
  <si>
    <t>Adhesivo vinilico Tintoretto/model/playcolor/Maxxum x 250gr</t>
  </si>
  <si>
    <t>Transportador Maped 10cm en bolsa</t>
  </si>
  <si>
    <t>Corrector Filgo 012 - 7795513049518</t>
  </si>
  <si>
    <t>Multibase de madera</t>
  </si>
  <si>
    <t>Resaltador en Blister Mini tubo x 6</t>
  </si>
  <si>
    <t>Carpeta N°5 Kraft color</t>
  </si>
  <si>
    <t>Goma Keyroad Windmill</t>
  </si>
  <si>
    <t>Cuaderno ABC Inicial</t>
  </si>
  <si>
    <t>Bandera Argentina 1,3 x 2,5 S/sol</t>
  </si>
  <si>
    <t>Block de dibujo Muresco D/especiales x 20h Nº5</t>
  </si>
  <si>
    <t>Cartulina entretenida Muresco pre cortada formas varias presentacion A4</t>
  </si>
  <si>
    <t>Marcadores Color Peps Glitter x 10</t>
  </si>
  <si>
    <t>Adhesivo vinilico Tintoretto x 100gr</t>
  </si>
  <si>
    <t>Marcador Trabí para Pizarra blanca Recargable 450</t>
  </si>
  <si>
    <t>Block Dibujo Éxito/Luma Nº5 Blanco - 7791762319426</t>
  </si>
  <si>
    <t>Block Dibujo Éxito/Luma Nº6 Blanco</t>
  </si>
  <si>
    <t>Set de Geometria Maped x4 piezas 30cm</t>
  </si>
  <si>
    <t>Tijera para zurdos Maped</t>
  </si>
  <si>
    <t xml:space="preserve">Silicona Liquida CBX x 30ml </t>
  </si>
  <si>
    <t>Colores Simball Largo x 24 innovation</t>
  </si>
  <si>
    <t>Tijera Maped Office Advance Soft Gel 21cm</t>
  </si>
  <si>
    <t>Set de Geometria Maped x 3 piezas</t>
  </si>
  <si>
    <t>Set de Geometria Glee x 3 piezas</t>
  </si>
  <si>
    <t>Resaltador Maped Glitter Pastel</t>
  </si>
  <si>
    <t>Resaltador Maped  PASTEL</t>
  </si>
  <si>
    <t xml:space="preserve">Resaltador Maped FLUO </t>
  </si>
  <si>
    <t>Carpeta Rivadavia Nº3 con repuesto x96h ray y 48h cuad y separadores</t>
  </si>
  <si>
    <t>Marcador Trabí Mega Pinturon x 10</t>
  </si>
  <si>
    <t>MarcadorPelikan Colorella Star Jumbo x8u</t>
  </si>
  <si>
    <t>Marcador Pizzini Mio x 10 - 7793198801001</t>
  </si>
  <si>
    <t>Rompecabezas de madera</t>
  </si>
  <si>
    <t>Block Triunfante Blanco N°6</t>
  </si>
  <si>
    <t>Cuaderno de caligrafia Laprida T/Flex</t>
  </si>
  <si>
    <t>Cuaderno colegial fantasia x 60h</t>
  </si>
  <si>
    <t>Bandera Argentina 90x150 S/sol</t>
  </si>
  <si>
    <t>Bandera Argentina 50x100 S/sol</t>
  </si>
  <si>
    <t>Block Dibujo Nº6 Triunfante/Luma Color</t>
  </si>
  <si>
    <t>Fibron Trabi permanente 411</t>
  </si>
  <si>
    <t>Block art deco Alfa 20h Nº5</t>
  </si>
  <si>
    <t>Regla 50cm PIZZINI PROFESIONAL 173250 - 7793198173252</t>
  </si>
  <si>
    <t>Block Dibujo Blanco N°5 Gloria - 103602 - 7791762001154</t>
  </si>
  <si>
    <t>Lapiz de Graduacion Staedtler</t>
  </si>
  <si>
    <t>Lapiz de Graduacion Faber Castell</t>
  </si>
  <si>
    <t>Tabla periodica para carpeta</t>
  </si>
  <si>
    <t>Block Dibujo Color N°5 Gloria - 103603 - 7791762001161</t>
  </si>
  <si>
    <t>Sacapuntas Maped Ñoki</t>
  </si>
  <si>
    <t xml:space="preserve">Aro OTA Sifap 35mm c/u </t>
  </si>
  <si>
    <t>Aro OTA Sifap 40mm c/u</t>
  </si>
  <si>
    <t xml:space="preserve">Aro OTA Sifap 50mm c/u </t>
  </si>
  <si>
    <t>Tijera simball escolar Pop 12cm</t>
  </si>
  <si>
    <t>Compas Maped Portalapiz</t>
  </si>
  <si>
    <t>Colores Faber Castell x12 cortos</t>
  </si>
  <si>
    <t>Roller Simball Pöwer Gel Mix up x 10u 5 Gel + 5 Glitter</t>
  </si>
  <si>
    <t>Marcador de Pintura Trabí MarkAll</t>
  </si>
  <si>
    <t>Minas OTA para compas</t>
  </si>
  <si>
    <t>Tubo portaplano</t>
  </si>
  <si>
    <t>Boligrafo Paper mate lex Grip Ultra 1mm Retractil</t>
  </si>
  <si>
    <t>Cuaderno Laprida Tapa dura escolar 98h 90gr</t>
  </si>
  <si>
    <t>Repuesto Rescolar Rivadavia N°3 Clasico Con Rótulo Hojas Super Gruesas</t>
  </si>
  <si>
    <t>Tablero de Dibujo Tecnico 40x50 C/atril 6 POS (7753) Pizzini - 7793198775302</t>
  </si>
  <si>
    <t>Lapiz Negro de Graduacion Trabi</t>
  </si>
  <si>
    <t>Boligrafo Borrable Filgo Borrax</t>
  </si>
  <si>
    <t>Carpeta Nº6 para dibujo el nene c/repuestos</t>
  </si>
  <si>
    <t>Carpeta Nº6 para dibujo asamblea s/rep</t>
  </si>
  <si>
    <t>Sacapuntas Keyroad Rubber 2 tamaños</t>
  </si>
  <si>
    <t>Colores largos Simball FLUO x 6</t>
  </si>
  <si>
    <t>Repuesto azul borrable Borrax Filgo</t>
  </si>
  <si>
    <t>Crayon Playcolor Jumbo FLUO x 6</t>
  </si>
  <si>
    <t>Marcadores Mooving punta pincel pastel x 6u</t>
  </si>
  <si>
    <t>Pizarra DELI A4 Magnetica con imanes</t>
  </si>
  <si>
    <t>Folio Luma N°3 reforzado $25 C/u</t>
  </si>
  <si>
    <t>Cuaderno Mooving Magnifique 80h T/C</t>
  </si>
  <si>
    <t>Cuaderno Mooving Magnifique 120 Hojas Tapa Dura hojas con borde color</t>
  </si>
  <si>
    <t>Cuaderno Mooving Minnie Mouse Tapa Carton Semi Rigida 80h</t>
  </si>
  <si>
    <t xml:space="preserve">Boligrafo BIC Cristal UP 1.2mm x8col surtidos </t>
  </si>
  <si>
    <t>Blister Resaltador Filgo Text Marker FLUO</t>
  </si>
  <si>
    <t>Lapicera Punta Aguja Super Point Filgo</t>
  </si>
  <si>
    <t>Rgla de Aluminio Keyroad C/Porta Lapiz 20cm KR9</t>
  </si>
  <si>
    <t>Rgla de Aluminio Keyroad C/Porta Lapiz 30cm KR9</t>
  </si>
  <si>
    <t>Marcador permanente Edding 404 punta fina</t>
  </si>
  <si>
    <t>Roller Super Ball Filgo</t>
  </si>
  <si>
    <t>Adhesivo Glitter NEON/Pastel/Glue 21gr colores surtidos C/U</t>
  </si>
  <si>
    <t>Fibron Faber Castell al agua 56 P.Red.</t>
  </si>
  <si>
    <t>Block Cartulina entretenida Antiestress anti stress Muresco</t>
  </si>
  <si>
    <t>Block Cartulina entretenida Muresco Negra/celeste/amarillo/rosa surtida</t>
  </si>
  <si>
    <t>Fibron Pelikan Permanente Punta Redonda 441</t>
  </si>
  <si>
    <t>Block N°6 Capitolio Blanco</t>
  </si>
  <si>
    <t>Block N°5 Muresco 22 x 29.5 Afiche color x 50h colores</t>
  </si>
  <si>
    <t>Lapiz Borratinta Staedtler escobilla</t>
  </si>
  <si>
    <t>Block Capitolio Collage 20h</t>
  </si>
  <si>
    <t>Adhesivo en barra Giotto 36g</t>
  </si>
  <si>
    <t>Goma DELI Scribe Eraser H00110</t>
  </si>
  <si>
    <t>Carpeta Util-of</t>
  </si>
  <si>
    <t>Set Microfibras Filgo Liner 038 x 10</t>
  </si>
  <si>
    <t>Boligrafo Borrable Trabí Fantastic Tinta azul</t>
  </si>
  <si>
    <t xml:space="preserve">Repuesto Roller borrable Trabí </t>
  </si>
  <si>
    <t>Microfibra Filgo yo amo mis colores FLUO x 5 liner 038 - 7795513075296</t>
  </si>
  <si>
    <t xml:space="preserve">Portaminas BIC AI con grip 0.5 en presentacion </t>
  </si>
  <si>
    <t xml:space="preserve">Cuaderno LAPRIDA AB7 tradicional 21x27 100h Ray </t>
  </si>
  <si>
    <t>Block Muresco Kraft x 30h Muresco</t>
  </si>
  <si>
    <t>Marcadores Mooving Resaltador PWR Chic cuerpo triangular</t>
  </si>
  <si>
    <t>Microfibra Mooving punta metalica 0.4mm estuche x 10u</t>
  </si>
  <si>
    <t>Marcador Pizzini para vidrio x 9 colores</t>
  </si>
  <si>
    <t xml:space="preserve">Marcador Maped Window Color Peps para vidrio </t>
  </si>
  <si>
    <t>Goma de Borrar Dos Banderas 3036/ Minigoma Giotto Pastel</t>
  </si>
  <si>
    <t>Boligrafo Paper mate kilometrico economico</t>
  </si>
  <si>
    <t>Regla Flexible DELI 20cm</t>
  </si>
  <si>
    <t>Boligrafo Maped Visio Pen p/zurdos</t>
  </si>
  <si>
    <t>Lapices de colores Mooving Inseparables x 12 Doble punta (24 colore)</t>
  </si>
  <si>
    <t xml:space="preserve">Goma Maped Technic Duo  </t>
  </si>
  <si>
    <t>Cuaderno rivadavia  60h Tapa semi rigida metalizada ABC 21x27</t>
  </si>
  <si>
    <t>Set de Microfibras Maped Graph peps x 4u</t>
  </si>
  <si>
    <t>Boligrafo Paper Mate Kilometrico 100 3 x $300</t>
  </si>
  <si>
    <t>Microfibra Maped Graph Peps fine 0.4</t>
  </si>
  <si>
    <t>Block N°6 Luma Blanco</t>
  </si>
  <si>
    <t>Microfibra Maped Graph Peps Colores vivos x 4</t>
  </si>
  <si>
    <t>Lupa Maped ergo logic 75mm</t>
  </si>
  <si>
    <t>Canopla Mooving estilo Trend Pastel 1522210</t>
  </si>
  <si>
    <t>Folio Reforzado Borde color Luma N°3</t>
  </si>
  <si>
    <t>Carpeta para aros Ota Lama A4 Carpeta N°4</t>
  </si>
  <si>
    <t>Marcador doble punta Filgo Permanente 042</t>
  </si>
  <si>
    <t>Cuaderno Tapa dura A4 AB7 Laprida 21x27 60h</t>
  </si>
  <si>
    <t>Roller Mooving tinta Gel Silky Glitter x5</t>
  </si>
  <si>
    <t>Boligrafo Gel Glitter Simball x 5u</t>
  </si>
  <si>
    <t>Señaladore Deli Index Tab 100x4</t>
  </si>
  <si>
    <t>Blister boligrafo Paper mate Ink Joy x8u</t>
  </si>
  <si>
    <t>Pizarra blanca 30x40 Marco metal</t>
  </si>
  <si>
    <t xml:space="preserve">Resma A4 Autor 75g </t>
  </si>
  <si>
    <t>Resma A4 Autor 80g</t>
  </si>
  <si>
    <t>Resma A4 Autor 90g</t>
  </si>
  <si>
    <t>Resma Oficio Autor 75g</t>
  </si>
  <si>
    <t>Resma Oficio Autor 80g</t>
  </si>
  <si>
    <t>Resma A4 Chamex 75gr</t>
  </si>
  <si>
    <t>Resma Ledesma NAT A4</t>
  </si>
  <si>
    <t>Resma A4 color autor  x 250h</t>
  </si>
  <si>
    <t>Resma Oficio Autor Color</t>
  </si>
  <si>
    <t>Resma A4 Husares Fluo colores surtido x 20h</t>
  </si>
  <si>
    <t>Palitos Brochet cortos 15cm</t>
  </si>
  <si>
    <t>Palito de brochet largo 25cm</t>
  </si>
  <si>
    <t>Plastificado en Frio BinderPlus 200gr</t>
  </si>
  <si>
    <t xml:space="preserve">Plastificado en Frio LAMA </t>
  </si>
  <si>
    <t>Resma Chamex A4 x 500h color</t>
  </si>
  <si>
    <t>Papel celofan</t>
  </si>
  <si>
    <t>Resma A3 150gr x240h Husares $60 c/u o 4 x $200</t>
  </si>
  <si>
    <t xml:space="preserve">Brillantina x5u Fluo </t>
  </si>
  <si>
    <t>Brillantina x 5u</t>
  </si>
  <si>
    <t xml:space="preserve">Papel madera </t>
  </si>
  <si>
    <t xml:space="preserve">Cartulina Comun </t>
  </si>
  <si>
    <t xml:space="preserve">Cartulina Fluo </t>
  </si>
  <si>
    <t>Cartulina Metalizada</t>
  </si>
  <si>
    <t xml:space="preserve">Cartulina con Motivos </t>
  </si>
  <si>
    <t>Cartulina Entretenida</t>
  </si>
  <si>
    <t>Afiche</t>
  </si>
  <si>
    <t>Papel Crepe Comun</t>
  </si>
  <si>
    <t>Papel Crepe Perlado</t>
  </si>
  <si>
    <t>Papel Crepe Fluo</t>
  </si>
  <si>
    <t>Papel Crepe c/Motivos</t>
  </si>
  <si>
    <t>Papel Crepe Bandera Argentina</t>
  </si>
  <si>
    <t>Papel de Forrar Muresco</t>
  </si>
  <si>
    <t>Papel de Forrar Comun</t>
  </si>
  <si>
    <t>Marcador UNI ORO P. MEDIANA</t>
  </si>
  <si>
    <t>Pinceleta Nª1</t>
  </si>
  <si>
    <t>Pinceleta Nª2</t>
  </si>
  <si>
    <t>Pinceleta Nª3</t>
  </si>
  <si>
    <t>Pinceleta Nª4</t>
  </si>
  <si>
    <t>Pinceleta Nº5</t>
  </si>
  <si>
    <t>Pinceleta Nº6</t>
  </si>
  <si>
    <t>Pinceleta Nº7</t>
  </si>
  <si>
    <t>Broches CBX madera natural 45mm x 35u</t>
  </si>
  <si>
    <t>Goma eva color comun</t>
  </si>
  <si>
    <t>Goma eva corrugada</t>
  </si>
  <si>
    <t>Goma Eva Super Glitter</t>
  </si>
  <si>
    <t>Resma A3 Autor 80gr</t>
  </si>
  <si>
    <t xml:space="preserve">Carton Corrugado Colores </t>
  </si>
  <si>
    <t>Carton Corrugado Kraft</t>
  </si>
  <si>
    <t>Cartulina Hologlitter x plancha</t>
  </si>
  <si>
    <t>Papel Barrilete</t>
  </si>
  <si>
    <t>Papel de regalo Muresco</t>
  </si>
  <si>
    <t>Cinta Scotch 12 mm x 30mt Cablefix</t>
  </si>
  <si>
    <t>Banditas elasticas  caja x 250gr</t>
  </si>
  <si>
    <t>Banditas elasticas caja x 50gr</t>
  </si>
  <si>
    <t>Broche metalizado madera CBX m35mm x 25u</t>
  </si>
  <si>
    <t>Plastilina Tintoretto x 10u</t>
  </si>
  <si>
    <t>Plastilina Maped x 6u</t>
  </si>
  <si>
    <t>Tempera Alba magic/Playcolor x10u</t>
  </si>
  <si>
    <t>Tempera Alba x170gr</t>
  </si>
  <si>
    <t>Pistolita de silicona Liggo garnde barra gruesa 40w</t>
  </si>
  <si>
    <t>Pistolita encoladora chica 7mm LIGGO 10W</t>
  </si>
  <si>
    <t>Pintura p/Tela</t>
  </si>
  <si>
    <t>Acrilico EQ Arte 50cc</t>
  </si>
  <si>
    <t>Brillo en tarro Sifap 25gr</t>
  </si>
  <si>
    <t>Arcilla natural (color gris) Sifap x 300gr</t>
  </si>
  <si>
    <t>Poster XL Para Colorear MAPED 80cm x 100cm</t>
  </si>
  <si>
    <t>Pistola para silicona chica Suprabond hx-100</t>
  </si>
  <si>
    <t>Pistola para silicona fina Suprabond Hx-100 diseños especiales</t>
  </si>
  <si>
    <t>Pistola para silicona gruesa Suprabond</t>
  </si>
  <si>
    <t>Yeso Paris</t>
  </si>
  <si>
    <t>Silicona Liquida Unipox ge 24ml</t>
  </si>
  <si>
    <t>Brillantina Gibre Sifap blister x 5u</t>
  </si>
  <si>
    <t>Chinche Forrada Sifap x 80u</t>
  </si>
  <si>
    <t>Sobre carta chico blanco</t>
  </si>
  <si>
    <t>Sobre Oficio ingles Blanco</t>
  </si>
  <si>
    <t>Cinta de embalar 48mm x 100mts</t>
  </si>
  <si>
    <t>Imanes Flexibles autoadhesivos A4 Sifap x plancha</t>
  </si>
  <si>
    <t>Adhesivo en barra Ezco 21grs</t>
  </si>
  <si>
    <t>Cinta scotch transparente 18mm x 25mt</t>
  </si>
  <si>
    <t>Cinta Scotch 18mm x 30m</t>
  </si>
  <si>
    <t>Cinta confitera</t>
  </si>
  <si>
    <t>Cinta embalar 48mm x 50m Stiko</t>
  </si>
  <si>
    <t>Adhesivo en barra Ezco 21gr</t>
  </si>
  <si>
    <t xml:space="preserve">Papel Secante </t>
  </si>
  <si>
    <t>Tiza Giotto Blanca x 10</t>
  </si>
  <si>
    <t>Tiza Giotto Color x 10</t>
  </si>
  <si>
    <t>Tiza Playcolor/Giotto Blanca x 12</t>
  </si>
  <si>
    <t>Palitos de helado natural x 50</t>
  </si>
  <si>
    <t>Tiza Blanca Giotto x 100</t>
  </si>
  <si>
    <t>Diamantina Maped</t>
  </si>
  <si>
    <t>Tempera Señorita Comun x 250ml</t>
  </si>
  <si>
    <t>Tempera Señorita FLUO x 250ml</t>
  </si>
  <si>
    <t>Tempera Señorita Metalizado x 250ml</t>
  </si>
  <si>
    <t>Acuarela Filgo x 12u</t>
  </si>
  <si>
    <t>Lentejuelas sifap x9 surt</t>
  </si>
  <si>
    <t xml:space="preserve">Pintura dimensional eterna colores </t>
  </si>
  <si>
    <t>Anilina Yacolor</t>
  </si>
  <si>
    <t>Block Nº6 Capitolio Fluo x 16h</t>
  </si>
  <si>
    <t>Cutter Olami 18mm Mango de goma</t>
  </si>
  <si>
    <t>Cutter Olami 9mm Guia metal Mango de Goma</t>
  </si>
  <si>
    <t xml:space="preserve">Barrita de silicona fina Suprabond </t>
  </si>
  <si>
    <t xml:space="preserve">Barrita de silicona Gruesa Suprabond </t>
  </si>
  <si>
    <t>Palitos de helado colores surtidos x 50u</t>
  </si>
  <si>
    <t>Block Origami El Nene x 24h bicolor</t>
  </si>
  <si>
    <t>Palito de helado paleta/jumbo colores x 50u</t>
  </si>
  <si>
    <t>Marcador Edding 4200 P/Porcelana x6u</t>
  </si>
  <si>
    <t>Cutter Maped 9mm</t>
  </si>
  <si>
    <t>Cutter Olami plastico en bolsa Hoja ancha</t>
  </si>
  <si>
    <t>Cutter Olami c/freno plastico en bolsa hoja fina</t>
  </si>
  <si>
    <t>Brillantina Stick/con formitas Sifap</t>
  </si>
  <si>
    <t>Cinta Ribbonete lisa 11mm x 50m Azul/rosa/lila/verde/naranja</t>
  </si>
  <si>
    <t>PVC contact Glitter x mt</t>
  </si>
  <si>
    <t>PVC contact transparente x mt</t>
  </si>
  <si>
    <t>PVC contact madera x mt</t>
  </si>
  <si>
    <t>PVC contact color x mt</t>
  </si>
  <si>
    <t>PVC holografiado x mt</t>
  </si>
  <si>
    <t>PVC traslucido x mt</t>
  </si>
  <si>
    <t>PVC contact ORO/PLATA x mt</t>
  </si>
  <si>
    <t>PVC contact dibujos x mt</t>
  </si>
  <si>
    <t>Cinta papel New-Tape 48mm x 40mts</t>
  </si>
  <si>
    <t>Cinta Papel New-Tape/Stioko 36mm x 40mts</t>
  </si>
  <si>
    <t>Cinta Papel New-Tape/Fijapel 24mm x 40mts</t>
  </si>
  <si>
    <t>Sticker perritos goma eva</t>
  </si>
  <si>
    <t>Repuesto cuchilla Cutter comun 18mm cuchilla ancha x10u $50 x u</t>
  </si>
  <si>
    <t>Repuesto Cutter cuchilla SDI 18mm ancha x10u (la grande) $150 x u</t>
  </si>
  <si>
    <t>Repuesto cuchilla Cutter x hoha 9mm (la chica) $50 x u</t>
  </si>
  <si>
    <t>Pvc Contac Transparente x 2mt</t>
  </si>
  <si>
    <t>Barrita de silicona Fina Liggo (85 x bolsa)</t>
  </si>
  <si>
    <t xml:space="preserve">Barrita de silicona Gruesa Liggo </t>
  </si>
  <si>
    <t>Tijera Maped Crea Cut 5 cortes</t>
  </si>
  <si>
    <t>Tubo lanza papel</t>
  </si>
  <si>
    <t>Tijera Ibi Craft corte con Formas</t>
  </si>
  <si>
    <t>Cinta papel Enmascarar Stiko escolar Rollo chico 18mm x 20m</t>
  </si>
  <si>
    <t>Stiker bien grande</t>
  </si>
  <si>
    <t>Repuesto America x96h M/Ref. Rayado</t>
  </si>
  <si>
    <t>Cinta New-tape enmascarar papel 18mm x 40mts</t>
  </si>
  <si>
    <t>Cinta New-tape enmascarar papel 12mm x 40mts</t>
  </si>
  <si>
    <t>Block/resma  A4 color Luma 100h 4 colores</t>
  </si>
  <si>
    <t>Pinceleta N°4</t>
  </si>
  <si>
    <t>Acuarela Trazos en caja plastica x12 + pincel</t>
  </si>
  <si>
    <t xml:space="preserve">Porcelana Fria Nicronx 500gr </t>
  </si>
  <si>
    <t>Tubo Pulceras luminicentes</t>
  </si>
  <si>
    <t>Sobre polietileno grueso porta credencial</t>
  </si>
  <si>
    <t>Papel metalizado Luma 5 mt X40cm / SE VENDE X METRO</t>
  </si>
  <si>
    <t>Tempera Maped color peps x 12u</t>
  </si>
  <si>
    <t>Hilo YUTE Natural ovillo x 20mts 2807</t>
  </si>
  <si>
    <t>Pintura a la tiza 200cc EQ ARTE</t>
  </si>
  <si>
    <t xml:space="preserve">Cinta regalo rollo (tipo ribbonete) 2cm x 50mt </t>
  </si>
  <si>
    <t>Cinta Doble faz Motex 12mm x 10m</t>
  </si>
  <si>
    <t>Broche Aprieta papel Sifap niquelado N°50 x unidad</t>
  </si>
  <si>
    <t>Broche Aprieta papel N°75 niquelado Sifap x unidad</t>
  </si>
  <si>
    <t>Plastilina Playcolor pastel x 6u</t>
  </si>
  <si>
    <t>Tempera Playcolor Fluo x 6u</t>
  </si>
  <si>
    <t>Cintas IBI CRAFT Glitter</t>
  </si>
  <si>
    <t>Barrita de silicona fina c/brillo</t>
  </si>
  <si>
    <t>Blister Pinceles Olami colores x 4</t>
  </si>
  <si>
    <t>Papel Kraft x hoja</t>
  </si>
  <si>
    <t>Alambre de aluminio CBX colores 1mm x 5mt</t>
  </si>
  <si>
    <t>Canopla cartuchera Mooving Como quieres que te quiera 1510136</t>
  </si>
  <si>
    <t>CANOPLA ALGAMA DOBLE CIERRE BRILLO/cuerina</t>
  </si>
  <si>
    <t>Mochila Fast Racing Art. No. 59060</t>
  </si>
  <si>
    <t>Canopla cartuchera FW con peluche organizador Fun Velvet</t>
  </si>
  <si>
    <t>Canopla Tubo LSyD dos cierres 97.3007.3</t>
  </si>
  <si>
    <t>Mochila LSyD Water War Art. No. 91.17800</t>
  </si>
  <si>
    <t>Mochila Disney Junior de Cresko</t>
  </si>
  <si>
    <t>Mochila IN Influencer Lesedife 68.3003</t>
  </si>
  <si>
    <t>Mochila LSyD BOMB Art. No. 91.1404</t>
  </si>
  <si>
    <t>Mochila LSyD Street Wear Art. No. 91.2805</t>
  </si>
  <si>
    <t>Borrador Sifap Goma eva</t>
  </si>
  <si>
    <t>Blister marcador de pizarra Filgo x 6u</t>
  </si>
  <si>
    <t>Repuesto Parker</t>
  </si>
  <si>
    <t>Abrochadora Maped Vivo Nº10</t>
  </si>
  <si>
    <t>Abrochadora General Office de bolsillo N°10 str-2102</t>
  </si>
  <si>
    <t>Abrochadora Maped Mini Office Nº10 metal</t>
  </si>
  <si>
    <t>Perforadora Kangaroo one hole</t>
  </si>
  <si>
    <t>Portarrollo Dispensador de cinta 30/60mm Olami MT903</t>
  </si>
  <si>
    <t>Tinta para sellos Negro Eureka</t>
  </si>
  <si>
    <t>Libro indice corona 2 manos</t>
  </si>
  <si>
    <t>Ficha Congreso- TRIUNFANTE x100 Nº3</t>
  </si>
  <si>
    <t>Ficha Triunfante x100 Nº2 - 7796569076114</t>
  </si>
  <si>
    <t>Pagare sin protesto Igneo pesos</t>
  </si>
  <si>
    <t>Recibo Husares Duplicado quimico</t>
  </si>
  <si>
    <t>Perforadora Kangaroo DP-280 - 376224</t>
  </si>
  <si>
    <t>Racionador de cinta de empaque metalico Liggo</t>
  </si>
  <si>
    <t>Chinche para dibujo  3 puntas Sifap 50u</t>
  </si>
  <si>
    <t>Tinta para Sellos Pelikan</t>
  </si>
  <si>
    <t>Tinta pàra Sellos Toyo</t>
  </si>
  <si>
    <t>Señalador Bolita SIFAP chico x 150u</t>
  </si>
  <si>
    <t>Broche Dorado Nº8 x100 Sifap 35mm</t>
  </si>
  <si>
    <t>Marcador Permanente Sharpie Negro Punta Fina</t>
  </si>
  <si>
    <t>Marcador sharpie Duo Color</t>
  </si>
  <si>
    <t>Tinta Trabí Permanente</t>
  </si>
  <si>
    <t>Banda elasticas Credencial x 100g</t>
  </si>
  <si>
    <t>Broche metalico con arandela tipo Binder 63mm</t>
  </si>
  <si>
    <t>Marcador de Billetes Trabi</t>
  </si>
  <si>
    <t>Borrador de Madera</t>
  </si>
  <si>
    <t>Plumines</t>
  </si>
  <si>
    <t>Broche doble clip Isofit 25mm</t>
  </si>
  <si>
    <t>Broche Doble Clip 40mm/51mm</t>
  </si>
  <si>
    <t>Tinta Trabi para pizarra blanca - 7790578034202</t>
  </si>
  <si>
    <t>Broche  Maped Nº 24/6 - 26/6 x1000</t>
  </si>
  <si>
    <t>Broche 21/6 x 1000</t>
  </si>
  <si>
    <t>Broche MIT N°64 x 1000</t>
  </si>
  <si>
    <t>Broche 50 x 1000 MIT</t>
  </si>
  <si>
    <t>Broche Mit Nº10 x 1000</t>
  </si>
  <si>
    <t xml:space="preserve">Bibliorato color </t>
  </si>
  <si>
    <t>Bilbliorato color A4 lomo Ancho</t>
  </si>
  <si>
    <t>Bibliorato Color Oficio Lomo Angosto</t>
  </si>
  <si>
    <t>Bibliorato Color Oficio Lomo Ancho</t>
  </si>
  <si>
    <t>Bibliorato Marmolado A4</t>
  </si>
  <si>
    <t>Bibliorato Marmolado Oficio</t>
  </si>
  <si>
    <t>Papel Carbonico Pelikan x u</t>
  </si>
  <si>
    <t>Papel Carbonico Coxi x u</t>
  </si>
  <si>
    <t>Caja Archivo plastica grande c/tapa</t>
  </si>
  <si>
    <t>Marcador Bic Marking Pizarra</t>
  </si>
  <si>
    <t>Talonario Neutro duplicado Alianza - Grande</t>
  </si>
  <si>
    <t>Broche Kangaroo/buffalo Nº10 - 793600660100</t>
  </si>
  <si>
    <t>Talonario contado Husares N 1831</t>
  </si>
  <si>
    <t>Talonario Husares duplicado multiuso N1929</t>
  </si>
  <si>
    <t>Banda elasticas Flexiband x 50gr</t>
  </si>
  <si>
    <t>Folio Oficio Micro/LUMA x100 x bolsa completa $2750 - 7796893002148</t>
  </si>
  <si>
    <t>Folio A4 Micro/LUMA x100 x bolsa completa $2300- 7796893002124</t>
  </si>
  <si>
    <t>Folio Nº3 Luma/Liggo Comun x100 - Pack $1260</t>
  </si>
  <si>
    <t>Broche GRAP N°65 x 1000u</t>
  </si>
  <si>
    <t>Chinche dorado Sifap</t>
  </si>
  <si>
    <t>Portarrollo OTA No.898L</t>
  </si>
  <si>
    <t>Folio A4 Pizzini PREMIUM $50c/u</t>
  </si>
  <si>
    <t>set marcador edding 180 x10 surtidos</t>
  </si>
  <si>
    <t>Libro de Actas Potosi Corona Clochet 2 manos</t>
  </si>
  <si>
    <t>Carpeta Foliada x20 f util-off/display - 7794765003668</t>
  </si>
  <si>
    <t>Alfiler SIFAP CX 50gr</t>
  </si>
  <si>
    <t>Rollo Motex Blanco P/maquina</t>
  </si>
  <si>
    <t>Fichero Metallico Nº2 300 fichas</t>
  </si>
  <si>
    <t>Fichero Metallico Nº3 300 fichas</t>
  </si>
  <si>
    <t>Notas adhesivas Mooving Tropical 45x 50 x 20hj</t>
  </si>
  <si>
    <t>Banderitas Ezco FLUO</t>
  </si>
  <si>
    <t>Carpeta fondo base opaca Oficio T/T</t>
  </si>
  <si>
    <t>Carpeta Fondo base Opaca A4</t>
  </si>
  <si>
    <t>Carpeta C/Vaina Oficio</t>
  </si>
  <si>
    <t>Carpeta c/Vaina A4</t>
  </si>
  <si>
    <t>Carpeta Veloz</t>
  </si>
  <si>
    <t>Carpeta c/vaina color</t>
  </si>
  <si>
    <t>Carpeta foliada Lama 100f A4</t>
  </si>
  <si>
    <t>Cartuchera para cuaderno/agenda FW A5</t>
  </si>
  <si>
    <t>Libro de Actas Potosi 2 manos Clochet</t>
  </si>
  <si>
    <t>Libro de Actas Oficio Potosi Corona 2 manos</t>
  </si>
  <si>
    <t>Tinta BIC para marcador de Pizarra Blanca</t>
  </si>
  <si>
    <t>Clasificador A4 LAMA EF202NE</t>
  </si>
  <si>
    <t>Broche Clip Sifap Forrado Color Nº6</t>
  </si>
  <si>
    <t>Marcador Sharpie Metal plateado/rojo/azul/verde</t>
  </si>
  <si>
    <t>Banderitas flecha Mooving Pastel</t>
  </si>
  <si>
    <t>Clip Sifap N°8 78mm</t>
  </si>
  <si>
    <t>Clip 50mm Trazos</t>
  </si>
  <si>
    <t>Libro Recibos expediente Potosi</t>
  </si>
  <si>
    <t>Carpeta foliada Oficio Util-off 60f - 7794765003712</t>
  </si>
  <si>
    <t>Broche Clip Sifap metal Nº5 / Nº6</t>
  </si>
  <si>
    <t>Carpeta colgante nepaco delta</t>
  </si>
  <si>
    <t>Carpeta foliada 10f util-off oficio - 7794765003644</t>
  </si>
  <si>
    <t>Plancha de ojalillos Ori-Tec C/U</t>
  </si>
  <si>
    <t>Banderitas Mickey de Mooving</t>
  </si>
  <si>
    <t>Banderitas mooving 2100203 / 2</t>
  </si>
  <si>
    <t>banderitas mooving 2100207</t>
  </si>
  <si>
    <t>banderitas mooving 2100402</t>
  </si>
  <si>
    <t>Flechas Adhesivas Mooving pastel</t>
  </si>
  <si>
    <t>Banderitas mooving 2100205</t>
  </si>
  <si>
    <t>Carpeta catalogo foliada 10F General Office A4</t>
  </si>
  <si>
    <t>Marcador SHARPIE STAINED P/TELA PUNTA PINCEL blister x8u</t>
  </si>
  <si>
    <t>Abrochadora brazo largo 31cm + 1000 broche 26/6</t>
  </si>
  <si>
    <t>Almohadilla Pelikan N°0</t>
  </si>
  <si>
    <t>Almohadilla Pelikan N°1</t>
  </si>
  <si>
    <t>Marcador Simball metaizado doble punta pinta 2</t>
  </si>
  <si>
    <t>Abrochadora huvito Eagle Omax Mini N°10 s-5150D</t>
  </si>
  <si>
    <t>Abrochadora Deli Animalitos + broches</t>
  </si>
  <si>
    <t>Abrochadora Metal Kangaroo HP-10 Pinza</t>
  </si>
  <si>
    <t>Broche dorado Sifap en bolsa N°14 63mm</t>
  </si>
  <si>
    <t>Resaltador Trabí Pastel/FLUO High Texter</t>
  </si>
  <si>
    <t>Notas adhesivas traslucidas extra fuerte super adhesiva</t>
  </si>
  <si>
    <t>Resaltador Pelikan textmarker Flash</t>
  </si>
  <si>
    <t>Anotador MEMO FIX formas varias Pastel</t>
  </si>
  <si>
    <t>Notas MEMO FIX Phantone 25x74</t>
  </si>
  <si>
    <t>Mini cubo notas pastel Memo Fix200h 74x74</t>
  </si>
  <si>
    <t>Clasificador LAMA Oficio colores vivos y negro EF202FCR</t>
  </si>
  <si>
    <t>Taco MEMOFIX CUBO 200h 50x50 PASTEL surt-226</t>
  </si>
  <si>
    <t>Taco Notas adhesivas NEON Ezco</t>
  </si>
  <si>
    <t>Adaptador OTG USB</t>
  </si>
  <si>
    <t>Cable HDMI Apro</t>
  </si>
  <si>
    <t>Notas adhesivas Util-of 76x127 amarillo 100h</t>
  </si>
  <si>
    <t>Notas adhesivas Util-of 76x102 amarilla 100h</t>
  </si>
  <si>
    <t xml:space="preserve">Abrochadora MIT 24/6 Pintada </t>
  </si>
  <si>
    <t xml:space="preserve">Perforador MIT Mediano Pintado </t>
  </si>
  <si>
    <t>Pizarra Blanca C/Iman alto impacto N°7 61*91</t>
  </si>
  <si>
    <t>Pizarra Blanca C/Iman Alto Impacto N°9 91*123</t>
  </si>
  <si>
    <t>Pizarra Blanca N°8 Alto Impacto 70*123</t>
  </si>
  <si>
    <t>Notas Adhesivas Deli animales</t>
  </si>
  <si>
    <t>Notas adhesivas Memo Fix 74x74 8h  decoradas</t>
  </si>
  <si>
    <t>Pizarra Blanca N°9 Alto Impacto 91*123</t>
  </si>
  <si>
    <t>Clasificador Oficio Avios Combinado</t>
  </si>
  <si>
    <t>Marcador de pizarra Simball</t>
  </si>
  <si>
    <t>Taco color FLUO Simball Office 75x75 80h</t>
  </si>
  <si>
    <t>Pizarra Blanca Magnetica OLAMI 35 x 43</t>
  </si>
  <si>
    <t>Pizarra Blanca Magnetica OLAMI 43 x 58</t>
  </si>
  <si>
    <t>Notas Adhesivas BOHO FW 17 stick notes distintas</t>
  </si>
  <si>
    <t>Blister Marcadores Permanentes NEON Sharpie x 5</t>
  </si>
  <si>
    <t>Pen Drive Verbatim 32GB Pin Stripe</t>
  </si>
  <si>
    <t>Pen Drive Verbatim 16GB Store n Go</t>
  </si>
  <si>
    <t>Pen drive Vervatim 64gb 2.0 Microban Pin Strip</t>
  </si>
  <si>
    <t>Clasificador 5 divisiones Pastel</t>
  </si>
  <si>
    <t>Auricular economico</t>
  </si>
  <si>
    <t>Disco externo Seagate 2tb</t>
  </si>
  <si>
    <t>Consola ALIEN PRO 2 videojuegos</t>
  </si>
  <si>
    <t>Calculadora Kenko de Bolsillo KK-402</t>
  </si>
  <si>
    <t>Calculadora Ecal TC37</t>
  </si>
  <si>
    <t>Calculadora Casio Fx-82 cientifica</t>
  </si>
  <si>
    <t>Calculadora Ecal TC 95 MS</t>
  </si>
  <si>
    <t>Calculadora Casio HL-820LV</t>
  </si>
  <si>
    <t>Calculadora Ecal TC 82</t>
  </si>
  <si>
    <t>Mouse Genius retractil</t>
  </si>
  <si>
    <t>Mouse Gamer GX AMMOX X1-400</t>
  </si>
  <si>
    <t>Mouse FLICA Diseños especiales inalambrico</t>
  </si>
  <si>
    <t>Brick Game 9999 in 1</t>
  </si>
  <si>
    <t>Pad Mouse FLICA Eco Cuero</t>
  </si>
  <si>
    <t>Funda tablet 7" NOGA</t>
  </si>
  <si>
    <t>Parlante Genius SP-HF180 6wRMS</t>
  </si>
  <si>
    <t>Auricular Genius sobre oreja HS-M270</t>
  </si>
  <si>
    <t>Teclado inalambrico compacto LOGITECH K230</t>
  </si>
  <si>
    <t>Mini teclado numerico NETMAK NM KB240</t>
  </si>
  <si>
    <t>Cargador USB Energizer</t>
  </si>
  <si>
    <t>Cable audio Mini plug - mini plug (Rojo)</t>
  </si>
  <si>
    <t>Equipo de audio para motos</t>
  </si>
  <si>
    <t>Mouse inalambrico Genius NX-7000</t>
  </si>
  <si>
    <t>Joestick para Celu</t>
  </si>
  <si>
    <t>Reposa celular piramide soporte diferentes angulos 228747</t>
  </si>
  <si>
    <t>Cable iphone en bolsita suelto</t>
  </si>
  <si>
    <t>Auricular sobre oreja</t>
  </si>
  <si>
    <t>Calculadora ECAL TC63</t>
  </si>
  <si>
    <t>Bateria cargador  Power Bank chato</t>
  </si>
  <si>
    <t>Teclado + mouse IBEK BK-811</t>
  </si>
  <si>
    <t>Calculadora Motex doble visor KK-8585-12</t>
  </si>
  <si>
    <t>Cable Samsung USB - Type C</t>
  </si>
  <si>
    <t>Calculadora Casio MW-5V-WE</t>
  </si>
  <si>
    <t>Cable Fast Charging Samsung Galaxy Note</t>
  </si>
  <si>
    <t>Toner Global para Xerox Phaser 3020</t>
  </si>
  <si>
    <t>El Principito Catapulta Junior</t>
  </si>
  <si>
    <t>Set Mi primer libro de actividades + 24 colores Filgo</t>
  </si>
  <si>
    <t xml:space="preserve">Libro Paleta Magica de colores (12 Posters con acuarelas en cada pagina) </t>
  </si>
  <si>
    <t>Largo petalo de mar- Isabel Allende</t>
  </si>
  <si>
    <t>Las neuronas de dios de Diego Golombek</t>
  </si>
  <si>
    <t>Cruzar la noche de Alicia Barberis</t>
  </si>
  <si>
    <t>Una caza de secretos de paula bombara</t>
  </si>
  <si>
    <t>Cuando me muera quiero que me toquen cumbia de cristian alarcon</t>
  </si>
  <si>
    <t>La chica pajaro de paula bombara</t>
  </si>
  <si>
    <t>Libritos Mandalitas Ed. Betina</t>
  </si>
  <si>
    <t>El Retrato de Doria Grey</t>
  </si>
  <si>
    <t>La Gitanilla</t>
  </si>
  <si>
    <t>La Isla del Tesoro</t>
  </si>
  <si>
    <t>Diccionario de sinonimos y antonimos Estrada</t>
  </si>
  <si>
    <t>Juega y Colorea (Libro para pintar+ Stikers + crayones)</t>
  </si>
  <si>
    <t>Mamá gracias por tu amor VyR</t>
  </si>
  <si>
    <t>Premio a la mejor Madre VyR</t>
  </si>
  <si>
    <t>Querida Mama VyR</t>
  </si>
  <si>
    <t>cuento uno y cuento dos</t>
  </si>
  <si>
    <t>Libro Biblia para niños de Giuseppino de Roma</t>
  </si>
  <si>
    <t>Diccionario escolar Rivadavia</t>
  </si>
  <si>
    <t>Stiker grande</t>
  </si>
  <si>
    <t>DESAPARECIDA de Gabriel Barnes</t>
  </si>
  <si>
    <t>PROHIBIDO SOÑAR Carlos Marianidis</t>
  </si>
  <si>
    <t>QUIEN SE ANIMA A BAJAR AL SOTANO</t>
  </si>
  <si>
    <t>LA PUERTA SECRETA</t>
  </si>
  <si>
    <t>LA FAMA ES PURO CUENTO</t>
  </si>
  <si>
    <t>Elegi el nombre para tu bebe</t>
  </si>
  <si>
    <t>Libro Busca y Encuentra</t>
  </si>
  <si>
    <t>Libro colección bilingüe latinbooks Toco y aprendo colección x 4</t>
  </si>
  <si>
    <t>Cuerpos que importan de Judith Butler</t>
  </si>
  <si>
    <t>Cuaderno FW Travel Journal Colección Feel Cuero Buffalo</t>
  </si>
  <si>
    <t>Cuaderno FW Sketch Book Colección Feel Tela Texturada</t>
  </si>
  <si>
    <t>Cuaderno Fw Love Journal Feel Tela Satinada</t>
  </si>
  <si>
    <t>Cuaderno Onix 16.21 anillado 120h T/C</t>
  </si>
  <si>
    <t>Cuaderno Onix 16.21 anillado 96hs T/C Hojas decoradas</t>
  </si>
  <si>
    <t>Cuaderno Onix 16.21 anillado 120hs T/C hojas decoradas</t>
  </si>
  <si>
    <t>Agenda FW 12x17 Diaria Linea Travel Marmol</t>
  </si>
  <si>
    <t>Agenda 12x17 dos dias x pagina Linea Universo</t>
  </si>
  <si>
    <t>Agenda Onix Batik 16 x 22 352 paginas 1dia x pag</t>
  </si>
  <si>
    <t>Cuaderno anillado Bookcel ahuesado Ediciones de la Montaña 80h 80gr</t>
  </si>
  <si>
    <t>Libreta Ediciones de la Montaña 64 hojas lisas Bookcel ahuesado 80gr</t>
  </si>
  <si>
    <t>Notepad Block de notas con imán 50h</t>
  </si>
  <si>
    <t>Libro de recetas y paisajes del sur</t>
  </si>
  <si>
    <t>Taza de Genko grande</t>
  </si>
  <si>
    <t>Taza de Genko chica</t>
  </si>
  <si>
    <t>Boligrafo Vaquita Vaca Wero</t>
  </si>
  <si>
    <t>MAPED Creativ PAT DOUGH Masas c/ extrusor</t>
  </si>
  <si>
    <t>Maped Creativ 50 Pieces Kit para colorear</t>
  </si>
  <si>
    <t>Maped Creativ VELVET MOSAICS</t>
  </si>
  <si>
    <t>Plasticlips crea sin limites 40 piezas</t>
  </si>
  <si>
    <t>Cartelito de puerta infantil colours</t>
  </si>
  <si>
    <t>Porta lapices para Cuadernos / Agendas Para 1 Lapicera FW Metal</t>
  </si>
  <si>
    <t>Masas con cortante Dido</t>
  </si>
  <si>
    <t>Masas Maped Creativ Pote x 114gr</t>
  </si>
  <si>
    <t>Cerebronia conexión mental</t>
  </si>
  <si>
    <t>Cartas Naipes Truco Habana Plastificadas x 40c</t>
  </si>
  <si>
    <t>Agenda FW Inspire Diaria Batik</t>
  </si>
  <si>
    <t>Set regadera con pala y rastrillo chico</t>
  </si>
  <si>
    <t>Set DURAVIT PALITA RASTRILLO Y MOLDES</t>
  </si>
  <si>
    <t>Juego de mesa LA GRANJA MILLONARIA 3200 RUIBAL</t>
  </si>
  <si>
    <t>Juego de mesa Conquista del Mundo</t>
  </si>
  <si>
    <t>Set balde con rastrillo y pala mediano Luni/Duravit</t>
  </si>
  <si>
    <t>Rompecabezas c/iman grande PIPI KUKU</t>
  </si>
  <si>
    <t>Rompecabezas inicial de PIPIKUKU madera c/iman 4 piezas</t>
  </si>
  <si>
    <t>Rompecabezas de en plancha de encastre PIPIU KUKU 36 piezas madera</t>
  </si>
  <si>
    <t xml:space="preserve">Arrastre madera </t>
  </si>
  <si>
    <t>Memo test madera PIPI KUKU</t>
  </si>
  <si>
    <t>Piezas de madera Aprendiendo PIPI KUKU 48 piezas</t>
  </si>
  <si>
    <t>Juego de cartas CONQUISTA DEL MUNDO</t>
  </si>
  <si>
    <t>Juego de bolsillo LA CASA DE LOS FANTASMAS 506</t>
  </si>
  <si>
    <t>Duravit</t>
  </si>
  <si>
    <t>Porta mfoto PIPI KUKU</t>
  </si>
  <si>
    <t>Trencito Feliz JNG Childy plast Art. 012193</t>
  </si>
  <si>
    <t>Masa perfumada en Pote Expresa Emocion</t>
  </si>
  <si>
    <t>Bitacora La cuadra/animalitos imantados</t>
  </si>
  <si>
    <t>Veo veo El Espacio - 50 personajes del espacio para buscarlos por el tablero</t>
  </si>
  <si>
    <t>Caja sorpresa x bolsa</t>
  </si>
  <si>
    <t>Pistola de agua Lyon Toys modelo 912-2</t>
  </si>
  <si>
    <t>DEBITO</t>
  </si>
  <si>
    <t>CREDITO</t>
  </si>
  <si>
    <t>EFECTIVO</t>
  </si>
  <si>
    <t>TRANSFERENCIA</t>
  </si>
  <si>
    <t>MEDIOS DE PAGO</t>
  </si>
  <si>
    <t>QR</t>
  </si>
  <si>
    <t>FIADO</t>
  </si>
  <si>
    <t>Cuenta</t>
  </si>
  <si>
    <t>Corfone</t>
  </si>
  <si>
    <t>Escuela</t>
  </si>
  <si>
    <t>Apellido titular</t>
  </si>
  <si>
    <t>Nombre titular</t>
  </si>
  <si>
    <t>e-mail de contacto</t>
  </si>
  <si>
    <t>Cliente</t>
  </si>
  <si>
    <t>Medio de pago</t>
  </si>
  <si>
    <t>Vendedor</t>
  </si>
  <si>
    <t>Foto</t>
  </si>
  <si>
    <t>ID cuenta</t>
  </si>
  <si>
    <t>Gerardo</t>
  </si>
  <si>
    <t>Toso</t>
  </si>
  <si>
    <t>Usuario</t>
  </si>
  <si>
    <t xml:space="preserve">Nombre </t>
  </si>
  <si>
    <t>Contraseña</t>
  </si>
  <si>
    <t>e.toso</t>
  </si>
  <si>
    <t>Exequiel</t>
  </si>
  <si>
    <t>exe2212</t>
  </si>
  <si>
    <t>nati.f</t>
  </si>
  <si>
    <t>Natalia</t>
  </si>
  <si>
    <t>Ferreyra</t>
  </si>
  <si>
    <t>Nivel de acceso</t>
  </si>
  <si>
    <t>nati3312</t>
  </si>
  <si>
    <t>gera2212</t>
  </si>
  <si>
    <t>p.lenes</t>
  </si>
  <si>
    <t>Paula</t>
  </si>
  <si>
    <t>Lenes</t>
  </si>
  <si>
    <t>pauli_cba</t>
  </si>
  <si>
    <t>admin</t>
  </si>
  <si>
    <t>14 - Berardo Boso</t>
  </si>
  <si>
    <t>5 - Bernardi Lucas</t>
  </si>
  <si>
    <t>Precio unitario actualizado</t>
  </si>
  <si>
    <t>Total actualizado</t>
  </si>
  <si>
    <t>Sub Total producto</t>
  </si>
  <si>
    <t>Descuento producto</t>
  </si>
  <si>
    <t>7,5</t>
  </si>
  <si>
    <t>13 - Gonzalez Maria Regina</t>
  </si>
  <si>
    <t>Cliente Ocasional</t>
  </si>
  <si>
    <t>1 - Cliente Ocasional Cliente Ocasional.jpg</t>
  </si>
  <si>
    <t>1 - Cliente Ocasional Cliente Ocasional</t>
  </si>
  <si>
    <t>2 - Toso Gerardo Jose</t>
  </si>
  <si>
    <t>EPEC</t>
  </si>
  <si>
    <t>Estado</t>
  </si>
  <si>
    <t>Abonado</t>
  </si>
  <si>
    <t>Deuda</t>
  </si>
  <si>
    <t>844,05</t>
  </si>
  <si>
    <t>8 - Ratazzi Horacio</t>
  </si>
  <si>
    <t>545,4</t>
  </si>
  <si>
    <t>Fecha de pago</t>
  </si>
  <si>
    <t>5</t>
  </si>
  <si>
    <t xml:space="preserve">Cuaderno 16.21 Avon x 84h Rayadas </t>
  </si>
  <si>
    <t>17/07/2023</t>
  </si>
  <si>
    <t>18/07/2023</t>
  </si>
  <si>
    <t>Saldo a favor</t>
  </si>
  <si>
    <t>1</t>
  </si>
  <si>
    <t>3 - Gonzalez Vazquez Maria Regina</t>
  </si>
  <si>
    <t>20</t>
  </si>
  <si>
    <t>12</t>
  </si>
  <si>
    <t>24/07/2023 22:33:23</t>
  </si>
  <si>
    <t>24/07/2023 22:35:28</t>
  </si>
  <si>
    <t>8956,5</t>
  </si>
  <si>
    <t>24/07/2023</t>
  </si>
  <si>
    <t>ESCUELA</t>
  </si>
  <si>
    <t>CORFONE</t>
  </si>
  <si>
    <t>Martinez</t>
  </si>
  <si>
    <t>Rodriguez</t>
  </si>
  <si>
    <t>Neuquen</t>
  </si>
  <si>
    <t>Sucunza</t>
  </si>
  <si>
    <t>Maria Antonia</t>
  </si>
  <si>
    <t>m.sucunza@gmail.com</t>
  </si>
  <si>
    <t>Las Ovejas</t>
  </si>
  <si>
    <t>San Martin 134</t>
  </si>
  <si>
    <t>Albaro Benito</t>
  </si>
  <si>
    <t>rodriguez.albaro@corfone.com.ar</t>
  </si>
  <si>
    <t>Av. Argentina 1567</t>
  </si>
  <si>
    <t>3 - Rodriguez Albaro Benito.jpg</t>
  </si>
  <si>
    <t>Alvarez</t>
  </si>
  <si>
    <t>Nicolas Alberto</t>
  </si>
  <si>
    <t>alvarez_nico@gmail.com</t>
  </si>
  <si>
    <t>Las ovejas</t>
  </si>
  <si>
    <t>Los platanos 635</t>
  </si>
  <si>
    <t>4 - Alvarez Nicolas Alberto.jpg</t>
  </si>
  <si>
    <t>Torres</t>
  </si>
  <si>
    <t>Mariano</t>
  </si>
  <si>
    <t>torres_mariano@hotmail.com</t>
  </si>
  <si>
    <t>Sargento Cabral 136</t>
  </si>
  <si>
    <t>5 - Torres Mariano.jpg</t>
  </si>
  <si>
    <t>Salazar</t>
  </si>
  <si>
    <t>Julieta</t>
  </si>
  <si>
    <t>6 - Julieta Salazar.jpg</t>
  </si>
  <si>
    <t>Roberto</t>
  </si>
  <si>
    <t>7 - Martinez Roberto.jpg</t>
  </si>
  <si>
    <t>Herling</t>
  </si>
  <si>
    <t>Halland</t>
  </si>
  <si>
    <t>8 - Halland Herling.jpg</t>
  </si>
  <si>
    <t>Nicolas</t>
  </si>
  <si>
    <t>De la Cruz</t>
  </si>
  <si>
    <t>9 - De la Cruz Nicolas.jpg</t>
  </si>
  <si>
    <t>Berardo</t>
  </si>
  <si>
    <t>Boso</t>
  </si>
  <si>
    <t>10 - Boso Berardo.jpg</t>
  </si>
  <si>
    <t>4 - Alvarez Nicolas Alberto</t>
  </si>
  <si>
    <t>3199,5</t>
  </si>
  <si>
    <t>Jorgelina</t>
  </si>
  <si>
    <t>2 - Sucunza Jorgelina.jpg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</si>
</sst>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;[Red]0"/>
    <numFmt numFmtId="165" formatCode="[$-C0A]d\ &quot;de&quot;\ mmmm\ &quot;de&quot;\ yyyy;@"/>
    <numFmt numFmtId="166" formatCode="[$$-2C0A]\ #,##0.00"/>
    <numFmt numFmtId="167" formatCode="[$-40A]d&quot; de &quot;mmmm&quot; de &quot;yyyy;@"/>
    <numFmt numFmtId="168" formatCode="[$$-2C0A]\ #,##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scheme val="minor"/>
    </font>
    <font>
      <sz val="1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BC2E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rgb="FF9BC2E6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rgb="FF9BC2E6"/>
      </top>
      <bottom style="thin">
        <color rgb="FF9BC2E6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9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3" borderId="4" xfId="0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3" borderId="4" xfId="0" applyFill="1" applyBorder="1"/>
    <xf numFmtId="0" fontId="4" fillId="3" borderId="5" xfId="0" applyFont="1" applyFill="1" applyBorder="1"/>
    <xf numFmtId="0" fontId="1" fillId="2" borderId="6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4" borderId="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10" xfId="0" applyNumberFormat="1" applyBorder="1" applyAlignment="1">
      <alignment horizontal="left" vertical="center"/>
    </xf>
    <xf numFmtId="3" fontId="0" fillId="0" borderId="0" xfId="0" applyNumberFormat="1"/>
    <xf numFmtId="3" fontId="0" fillId="0" borderId="0" xfId="0" applyNumberFormat="1" applyAlignment="1">
      <alignment horizontal="left" vertical="center"/>
    </xf>
    <xf numFmtId="0" fontId="1" fillId="2" borderId="11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2" fillId="0" borderId="0" xfId="0" applyNumberFormat="1" applyFont="1" applyAlignment="1">
      <alignment horizontal="left" vertical="center"/>
    </xf>
    <xf numFmtId="3" fontId="2" fillId="0" borderId="0" xfId="0" applyNumberFormat="1" applyFont="1" applyAlignment="1">
      <alignment horizontal="center"/>
    </xf>
    <xf numFmtId="3" fontId="0" fillId="0" borderId="0" xfId="0" applyNumberFormat="1" applyFill="1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3" borderId="0" xfId="0" applyFill="1"/>
    <xf numFmtId="0" fontId="0" fillId="5" borderId="0" xfId="0" applyFill="1"/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0" fillId="0" borderId="13" xfId="0" applyFont="1" applyFill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1" fillId="0" borderId="0" xfId="0" applyFont="1"/>
    <xf numFmtId="166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0" fillId="0" borderId="8" xfId="0" applyFont="1" applyFill="1" applyBorder="1" applyAlignment="1">
      <alignment horizontal="center" vertical="center"/>
    </xf>
    <xf numFmtId="168" fontId="0" fillId="0" borderId="0" xfId="0" applyNumberForma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0" fontId="5" fillId="0" borderId="0" xfId="1" applyFill="1" applyAlignment="1">
      <alignment horizontal="center" vertical="center"/>
    </xf>
    <xf numFmtId="168" fontId="0" fillId="0" borderId="0" xfId="0" applyNumberFormat="1" applyAlignment="1">
      <alignment horizontal="left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13"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numFmt numFmtId="168" formatCode="[$$-2C0A]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rgb="FF9BC2E6"/>
        </top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rgb="FF9BC2E6"/>
        </top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rgb="FF9BC2E6"/>
        </top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9BC2E6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9BC2E6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[$$-2C0A]\ #,##0"/>
      <alignment horizontal="left" vertical="center" textRotation="0" wrapText="0" indent="0" justifyLastLine="0" shrinkToFit="0" readingOrder="0"/>
    </dxf>
    <dxf>
      <numFmt numFmtId="168" formatCode="[$$-2C0A]\ #,##0"/>
      <alignment horizontal="left" vertical="center" textRotation="0" wrapText="0" indent="0" justifyLastLine="0" shrinkToFit="0" readingOrder="0"/>
    </dxf>
    <dxf>
      <numFmt numFmtId="168" formatCode="[$$-2C0A]\ #,##0"/>
      <alignment horizontal="left" vertical="center" textRotation="0" wrapText="0" indent="0" justifyLastLine="0" shrinkToFit="0" readingOrder="0"/>
    </dxf>
    <dxf>
      <numFmt numFmtId="168" formatCode="[$$-2C0A]\ #,##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numFmt numFmtId="166" formatCode="[$$-2C0A]\ #,##0.0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numFmt numFmtId="167" formatCode="[$-40A]d&quot; de &quot;mmmm&quot; de &quot;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9BC2E6"/>
        </top>
      </border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9BC2E6"/>
        </top>
      </border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9BC2E6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9BC2E6"/>
        </top>
      </border>
    </dxf>
    <dxf>
      <alignment horizontal="left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5" formatCode="[$-C0A]d\ &quot;de&quot;\ mmmm\ &quot;de&quot;\ 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rgb="FF9BC2E6"/>
        </top>
      </border>
    </dxf>
    <dxf>
      <alignment horizontal="left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9BC2E6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EB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167640</xdr:rowOff>
    </xdr:from>
    <xdr:to>
      <xdr:col>2</xdr:col>
      <xdr:colOff>289560</xdr:colOff>
      <xdr:row>6</xdr:row>
      <xdr:rowOff>7620</xdr:rowOff>
    </xdr:to>
    <xdr:sp macro="[0]!llamar_GESTIONAR_PRODUCTOS" textlink="">
      <xdr:nvSpPr>
        <xdr:cNvPr id="2" name="Rectángulo redondeado 1"/>
        <xdr:cNvSpPr/>
      </xdr:nvSpPr>
      <xdr:spPr>
        <a:xfrm>
          <a:off x="0" y="899160"/>
          <a:ext cx="1874520" cy="3886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GESTRIONAR PRODUCTOS</a:t>
          </a:r>
        </a:p>
      </xdr:txBody>
    </xdr:sp>
    <xdr:clientData/>
  </xdr:twoCellAnchor>
  <xdr:twoCellAnchor>
    <xdr:from>
      <xdr:col>0</xdr:col>
      <xdr:colOff>30480</xdr:colOff>
      <xdr:row>8</xdr:row>
      <xdr:rowOff>0</xdr:rowOff>
    </xdr:from>
    <xdr:to>
      <xdr:col>2</xdr:col>
      <xdr:colOff>289560</xdr:colOff>
      <xdr:row>9</xdr:row>
      <xdr:rowOff>121920</xdr:rowOff>
    </xdr:to>
    <xdr:sp macro="[0]!Módulo1.llamar_INGRESO_MERCADERIA" textlink="">
      <xdr:nvSpPr>
        <xdr:cNvPr id="3" name="Rectángulo redondeado 2"/>
        <xdr:cNvSpPr/>
      </xdr:nvSpPr>
      <xdr:spPr>
        <a:xfrm>
          <a:off x="30480" y="1645920"/>
          <a:ext cx="1844040" cy="3048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INGRESO MERCADERÍA</a:t>
          </a:r>
        </a:p>
      </xdr:txBody>
    </xdr:sp>
    <xdr:clientData/>
  </xdr:twoCellAnchor>
  <xdr:twoCellAnchor>
    <xdr:from>
      <xdr:col>4</xdr:col>
      <xdr:colOff>68580</xdr:colOff>
      <xdr:row>3</xdr:row>
      <xdr:rowOff>83820</xdr:rowOff>
    </xdr:from>
    <xdr:to>
      <xdr:col>6</xdr:col>
      <xdr:colOff>601980</xdr:colOff>
      <xdr:row>5</xdr:row>
      <xdr:rowOff>68580</xdr:rowOff>
    </xdr:to>
    <xdr:sp macro="[0]!llamar_TABLA_INGRESOS" textlink="">
      <xdr:nvSpPr>
        <xdr:cNvPr id="4" name="Rectángulo redondeado 3"/>
        <xdr:cNvSpPr/>
      </xdr:nvSpPr>
      <xdr:spPr>
        <a:xfrm>
          <a:off x="3238500" y="815340"/>
          <a:ext cx="2118360" cy="3505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GESTIONAR REGISTRO INGRESOS</a:t>
          </a:r>
        </a:p>
      </xdr:txBody>
    </xdr:sp>
    <xdr:clientData/>
  </xdr:twoCellAnchor>
  <xdr:twoCellAnchor>
    <xdr:from>
      <xdr:col>4</xdr:col>
      <xdr:colOff>213360</xdr:colOff>
      <xdr:row>8</xdr:row>
      <xdr:rowOff>0</xdr:rowOff>
    </xdr:from>
    <xdr:to>
      <xdr:col>6</xdr:col>
      <xdr:colOff>594360</xdr:colOff>
      <xdr:row>9</xdr:row>
      <xdr:rowOff>129540</xdr:rowOff>
    </xdr:to>
    <xdr:sp macro="[0]!llamar_MODIFICAR_PRECIOS" textlink="">
      <xdr:nvSpPr>
        <xdr:cNvPr id="5" name="Rectángulo redondeado 4"/>
        <xdr:cNvSpPr/>
      </xdr:nvSpPr>
      <xdr:spPr>
        <a:xfrm>
          <a:off x="3383280" y="1645920"/>
          <a:ext cx="1965960" cy="3124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GESTIONAR PRECIOS</a:t>
          </a:r>
        </a:p>
      </xdr:txBody>
    </xdr:sp>
    <xdr:clientData/>
  </xdr:twoCellAnchor>
  <xdr:twoCellAnchor>
    <xdr:from>
      <xdr:col>2</xdr:col>
      <xdr:colOff>373380</xdr:colOff>
      <xdr:row>11</xdr:row>
      <xdr:rowOff>137160</xdr:rowOff>
    </xdr:from>
    <xdr:to>
      <xdr:col>4</xdr:col>
      <xdr:colOff>472440</xdr:colOff>
      <xdr:row>13</xdr:row>
      <xdr:rowOff>144780</xdr:rowOff>
    </xdr:to>
    <xdr:sp macro="[0]!llamar_VENTAS" textlink="">
      <xdr:nvSpPr>
        <xdr:cNvPr id="6" name="Rectángulo redondeado 5"/>
        <xdr:cNvSpPr/>
      </xdr:nvSpPr>
      <xdr:spPr>
        <a:xfrm>
          <a:off x="1958340" y="2331720"/>
          <a:ext cx="168402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VENTAS</a:t>
          </a:r>
        </a:p>
      </xdr:txBody>
    </xdr:sp>
    <xdr:clientData/>
  </xdr:twoCellAnchor>
  <xdr:twoCellAnchor>
    <xdr:from>
      <xdr:col>8</xdr:col>
      <xdr:colOff>281940</xdr:colOff>
      <xdr:row>3</xdr:row>
      <xdr:rowOff>7620</xdr:rowOff>
    </xdr:from>
    <xdr:to>
      <xdr:col>10</xdr:col>
      <xdr:colOff>251460</xdr:colOff>
      <xdr:row>4</xdr:row>
      <xdr:rowOff>152400</xdr:rowOff>
    </xdr:to>
    <xdr:sp macro="[0]!llamar_CUENTA_CLIENTE_CHOICE" textlink="">
      <xdr:nvSpPr>
        <xdr:cNvPr id="7" name="Rectángulo redondeado 6"/>
        <xdr:cNvSpPr/>
      </xdr:nvSpPr>
      <xdr:spPr>
        <a:xfrm>
          <a:off x="6621780" y="556260"/>
          <a:ext cx="1554480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171450" indent="-171450" algn="l">
            <a:buFont typeface="Arial" panose="020B0604020202020204" pitchFamily="34" charset="0"/>
            <a:buChar char="•"/>
          </a:pPr>
          <a:r>
            <a:rPr lang="es-ES" sz="1100"/>
            <a:t>CLIENTES</a:t>
          </a:r>
        </a:p>
      </xdr:txBody>
    </xdr:sp>
    <xdr:clientData/>
  </xdr:twoCellAnchor>
  <xdr:twoCellAnchor>
    <xdr:from>
      <xdr:col>7</xdr:col>
      <xdr:colOff>662940</xdr:colOff>
      <xdr:row>10</xdr:row>
      <xdr:rowOff>7620</xdr:rowOff>
    </xdr:from>
    <xdr:to>
      <xdr:col>9</xdr:col>
      <xdr:colOff>373380</xdr:colOff>
      <xdr:row>12</xdr:row>
      <xdr:rowOff>68580</xdr:rowOff>
    </xdr:to>
    <xdr:sp macro="[0]!llamar_SELECCIONAR_CUENTA" textlink="">
      <xdr:nvSpPr>
        <xdr:cNvPr id="8" name="Rectángulo redondeado 7"/>
        <xdr:cNvSpPr/>
      </xdr:nvSpPr>
      <xdr:spPr>
        <a:xfrm>
          <a:off x="6210300" y="1836420"/>
          <a:ext cx="1295400" cy="4267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FIADOS</a:t>
          </a:r>
        </a:p>
      </xdr:txBody>
    </xdr:sp>
    <xdr:clientData/>
  </xdr:twoCellAnchor>
  <xdr:twoCellAnchor>
    <xdr:from>
      <xdr:col>4</xdr:col>
      <xdr:colOff>670560</xdr:colOff>
      <xdr:row>17</xdr:row>
      <xdr:rowOff>106680</xdr:rowOff>
    </xdr:from>
    <xdr:to>
      <xdr:col>6</xdr:col>
      <xdr:colOff>563880</xdr:colOff>
      <xdr:row>20</xdr:row>
      <xdr:rowOff>30480</xdr:rowOff>
    </xdr:to>
    <xdr:sp macro="[0]!llamar_STOCK" textlink="">
      <xdr:nvSpPr>
        <xdr:cNvPr id="9" name="Rectángulo redondeado 8"/>
        <xdr:cNvSpPr/>
      </xdr:nvSpPr>
      <xdr:spPr>
        <a:xfrm>
          <a:off x="3840480" y="3215640"/>
          <a:ext cx="1478280" cy="4724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STOCK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289560</xdr:colOff>
      <xdr:row>2</xdr:row>
      <xdr:rowOff>0</xdr:rowOff>
    </xdr:to>
    <xdr:sp macro="[0]!llamar_GESTIONAR_PRODUCTOS" textlink="">
      <xdr:nvSpPr>
        <xdr:cNvPr id="2" name="Rectángulo redondeado 1"/>
        <xdr:cNvSpPr/>
      </xdr:nvSpPr>
      <xdr:spPr>
        <a:xfrm>
          <a:off x="0" y="716280"/>
          <a:ext cx="1874520" cy="3886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GESTRIONAR PRODUCTOS</a:t>
          </a:r>
        </a:p>
      </xdr:txBody>
    </xdr:sp>
    <xdr:clientData/>
  </xdr:twoCellAnchor>
  <xdr:twoCellAnchor>
    <xdr:from>
      <xdr:col>0</xdr:col>
      <xdr:colOff>30480</xdr:colOff>
      <xdr:row>2</xdr:row>
      <xdr:rowOff>0</xdr:rowOff>
    </xdr:from>
    <xdr:to>
      <xdr:col>2</xdr:col>
      <xdr:colOff>289560</xdr:colOff>
      <xdr:row>2</xdr:row>
      <xdr:rowOff>0</xdr:rowOff>
    </xdr:to>
    <xdr:sp macro="[0]!Módulo1.llamar_INGRESO_MERCADERIA" textlink="">
      <xdr:nvSpPr>
        <xdr:cNvPr id="3" name="Rectángulo redondeado 2"/>
        <xdr:cNvSpPr/>
      </xdr:nvSpPr>
      <xdr:spPr>
        <a:xfrm>
          <a:off x="30480" y="1463040"/>
          <a:ext cx="1844040" cy="3048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INGRESO MERCADERÍA</a:t>
          </a:r>
        </a:p>
      </xdr:txBody>
    </xdr:sp>
    <xdr:clientData/>
  </xdr:twoCellAnchor>
  <xdr:twoCellAnchor>
    <xdr:from>
      <xdr:col>2</xdr:col>
      <xdr:colOff>373380</xdr:colOff>
      <xdr:row>2</xdr:row>
      <xdr:rowOff>137160</xdr:rowOff>
    </xdr:from>
    <xdr:to>
      <xdr:col>4</xdr:col>
      <xdr:colOff>472440</xdr:colOff>
      <xdr:row>4</xdr:row>
      <xdr:rowOff>144780</xdr:rowOff>
    </xdr:to>
    <xdr:sp macro="[0]!llamar_VENTAS" textlink="">
      <xdr:nvSpPr>
        <xdr:cNvPr id="6" name="Rectángulo redondeado 5"/>
        <xdr:cNvSpPr/>
      </xdr:nvSpPr>
      <xdr:spPr>
        <a:xfrm>
          <a:off x="1958340" y="2148840"/>
          <a:ext cx="168402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VENTAS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LISTADO_PRODUCTOS" displayName="LISTADO_PRODUCTOS" ref="A1:F769" totalsRowShown="0" headerRowDxfId="212" dataDxfId="210" headerRowBorderDxfId="211" tableBorderDxfId="209">
  <autoFilter ref="A1:F769"/>
  <tableColumns count="6">
    <tableColumn id="1" name="Código" dataDxfId="208"/>
    <tableColumn id="2" name="Código de barras" dataDxfId="207"/>
    <tableColumn id="3" name="Categoría" dataDxfId="206"/>
    <tableColumn id="4" name="Producto" dataDxfId="205"/>
    <tableColumn id="5" name="Descripción" dataDxfId="204"/>
    <tableColumn id="6" name="Comentarios" dataDxfId="20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LISTADO_PRODUCTOS_LISTBOX" displayName="LISTADO_PRODUCTOS_LISTBOX" ref="A1:D769" totalsRowShown="0" headerRowDxfId="202" dataDxfId="200" headerRowBorderDxfId="201" tableBorderDxfId="199">
  <autoFilter ref="A1:D769"/>
  <tableColumns count="4">
    <tableColumn id="1" name="Código" dataDxfId="198"/>
    <tableColumn id="3" name="Categoría" dataDxfId="197">
      <calculatedColumnFormula>VLOOKUP(LISTADO_PRODUCTOS_LISTBOX[Código],LISTADO_PRODUCTOS[#All],3)</calculatedColumnFormula>
    </tableColumn>
    <tableColumn id="4" name="Producto" dataDxfId="196">
      <calculatedColumnFormula>VLOOKUP(LISTADO_PRODUCTOS_LISTBOX[Código],LISTADO_PRODUCTOS[#All],4)</calculatedColumnFormula>
    </tableColumn>
    <tableColumn id="5" name="Descripción" dataDxfId="195">
      <calculatedColumnFormula>VLOOKUP(LISTADO_PRODUCTOS_LISTBOX[Código],LISTADO_PRODUCTOS[#All],5)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_INGRESO_MERCADERIA" displayName="TABLA_INGRESO_MERCADERIA" ref="A1:L13" totalsRowShown="0" headerRowDxfId="194" dataDxfId="192" headerRowBorderDxfId="193" tableBorderDxfId="191">
  <autoFilter ref="A1:L13"/>
  <tableColumns count="12">
    <tableColumn id="1" name="ID ingreso" dataDxfId="190"/>
    <tableColumn id="14" name="Codigo" dataDxfId="189"/>
    <tableColumn id="2" name="Código de barras" dataDxfId="188">
      <calculatedColumnFormula>VLOOKUP(TABLA_INGRESO_MERCADERIA[Codigo],LISTADO_PRODUCTOS[#All],2)</calculatedColumnFormula>
    </tableColumn>
    <tableColumn id="3" name="Categoría" dataDxfId="187">
      <calculatedColumnFormula>VLOOKUP(TABLA_INGRESO_MERCADERIA[Codigo],LISTADO_PRODUCTOS[#All],3)</calculatedColumnFormula>
    </tableColumn>
    <tableColumn id="4" name="Producto" dataDxfId="186">
      <calculatedColumnFormula>VLOOKUP(TABLA_INGRESO_MERCADERIA[Codigo],LISTADO_PRODUCTOS[#All],4)</calculatedColumnFormula>
    </tableColumn>
    <tableColumn id="5" name="Descripcion" dataDxfId="185">
      <calculatedColumnFormula>VLOOKUP(TABLA_INGRESO_MERCADERIA[Codigo],LISTADO_PRODUCTOS[#All],5)</calculatedColumnFormula>
    </tableColumn>
    <tableColumn id="6" name="Observaciones" dataDxfId="184"/>
    <tableColumn id="15" name="Proveedor" dataDxfId="183"/>
    <tableColumn id="18" name="Total" dataDxfId="182"/>
    <tableColumn id="7" name="Cantidad" dataDxfId="181"/>
    <tableColumn id="8" name="Precio unitario" dataDxfId="180"/>
    <tableColumn id="9" name="Fecha de ingreso" dataDxfId="1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A_INGRESO_MERCADERIA_LISTBOX" displayName="TABLA_INGRESO_MERCADERIA_LISTBOX" ref="A1:H13" totalsRowShown="0" headerRowDxfId="178" dataDxfId="176" headerRowBorderDxfId="177" tableBorderDxfId="175">
  <autoFilter ref="A1:H13"/>
  <tableColumns count="8">
    <tableColumn id="1" name="ID ingreso" dataDxfId="174"/>
    <tableColumn id="14" name="Codigo" dataDxfId="173">
      <calculatedColumnFormula>VLOOKUP(TABLA_INGRESO_MERCADERIA_LISTBOX[[#This Row],[ID ingreso]],TABLA_INGRESO_MERCADERIA[#All],2)</calculatedColumnFormula>
    </tableColumn>
    <tableColumn id="4" name="Producto" dataDxfId="172">
      <calculatedColumnFormula>VLOOKUP(TABLA_INGRESO_MERCADERIA_LISTBOX[Codigo],LISTADO_PRODUCTOS[#All],4)</calculatedColumnFormula>
    </tableColumn>
    <tableColumn id="5" name="Descripcion" dataDxfId="171">
      <calculatedColumnFormula>VLOOKUP(TABLA_INGRESO_MERCADERIA_LISTBOX[Codigo],LISTADO_PRODUCTOS[#All],5)</calculatedColumnFormula>
    </tableColumn>
    <tableColumn id="15" name="Proveedor" dataDxfId="170">
      <calculatedColumnFormula>VLOOKUP(TABLA_INGRESO_MERCADERIA_LISTBOX[[#This Row],[ID ingreso]],TABLA_INGRESO_MERCADERIA[#All],8)</calculatedColumnFormula>
    </tableColumn>
    <tableColumn id="18" name="Total" dataDxfId="169">
      <calculatedColumnFormula>VLOOKUP(TABLA_INGRESO_MERCADERIA_LISTBOX[[#This Row],[ID ingreso]],TABLA_INGRESO_MERCADERIA[#All],9)</calculatedColumnFormula>
    </tableColumn>
    <tableColumn id="7" name="Cantidad" dataDxfId="168">
      <calculatedColumnFormula>VLOOKUP(TABLA_INGRESO_MERCADERIA_LISTBOX[[#This Row],[ID ingreso]],TABLA_INGRESO_MERCADERIA[#All],10)</calculatedColumnFormula>
    </tableColumn>
    <tableColumn id="9" name="Fecha de ingreso" dataDxfId="167">
      <calculatedColumnFormula>VLOOKUP(TABLA_INGRESO_MERCADERIA_LISTBOX[[#This Row],[ID ingreso]],TABLA_INGRESO_MERCADERIA[#All],12)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A_PRECIOS" displayName="TABLA_PRECIOS" ref="A1:J769" totalsRowShown="0" headerRowDxfId="166" dataDxfId="164" headerRowBorderDxfId="165" tableBorderDxfId="163">
  <autoFilter ref="A1:J769"/>
  <tableColumns count="10">
    <tableColumn id="14" name="Código" dataDxfId="162"/>
    <tableColumn id="2" name="Código de barras" dataDxfId="161">
      <calculatedColumnFormula>VLOOKUP(TABLA_PRECIOS[Código],LISTADO_PRODUCTOS[#All],2)</calculatedColumnFormula>
    </tableColumn>
    <tableColumn id="3" name="Categoría" dataDxfId="160">
      <calculatedColumnFormula>VLOOKUP(TABLA_PRECIOS[Código],LISTADO_PRODUCTOS[#All],3)</calculatedColumnFormula>
    </tableColumn>
    <tableColumn id="4" name="Producto" dataDxfId="159">
      <calculatedColumnFormula>VLOOKUP(TABLA_PRECIOS[Código],LISTADO_PRODUCTOS[#All],4)</calculatedColumnFormula>
    </tableColumn>
    <tableColumn id="5" name="Descripción" dataDxfId="158">
      <calculatedColumnFormula>VLOOKUP(TABLA_PRECIOS[Código],LISTADO_PRODUCTOS[#All],5)</calculatedColumnFormula>
    </tableColumn>
    <tableColumn id="6" name="Precio de compra" dataDxfId="157"/>
    <tableColumn id="17" name="Precio de venta" dataDxfId="156"/>
    <tableColumn id="16" name="Margen de ganancia" dataDxfId="155"/>
    <tableColumn id="18" name="Ganancia " dataDxfId="154"/>
    <tableColumn id="7" name="FUM" dataDxfId="1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ABLA_PRECIOS_LISTBOX" displayName="TABLA_PRECIOS_LISTBOX" ref="A1:G769" totalsRowShown="0" headerRowDxfId="152" headerRowBorderDxfId="151" tableBorderDxfId="150">
  <autoFilter ref="A1:G769"/>
  <tableColumns count="7">
    <tableColumn id="14" name="Código" dataDxfId="149"/>
    <tableColumn id="4" name="Producto" dataDxfId="148">
      <calculatedColumnFormula>VLOOKUP(TABLA_PRECIOS_LISTBOX[Código],LISTADO_PRODUCTOS[#All],4)</calculatedColumnFormula>
    </tableColumn>
    <tableColumn id="5" name="Descripción" dataDxfId="147">
      <calculatedColumnFormula>VLOOKUP(TABLA_PRECIOS_LISTBOX[Código],LISTADO_PRODUCTOS[#All],5)</calculatedColumnFormula>
    </tableColumn>
    <tableColumn id="6" name="Precio de compra" dataDxfId="146">
      <calculatedColumnFormula>VLOOKUP(TABLA_PRECIOS_LISTBOX[[#This Row],[Código]],TABLA_PRECIOS[#All],6)</calculatedColumnFormula>
    </tableColumn>
    <tableColumn id="17" name="Precio de venta" dataDxfId="145">
      <calculatedColumnFormula>VLOOKUP(TABLA_PRECIOS_LISTBOX[[#This Row],[Código]],TABLA_PRECIOS[#All],7)</calculatedColumnFormula>
    </tableColumn>
    <tableColumn id="16" name="Margen de ganancia" dataDxfId="144">
      <calculatedColumnFormula>VLOOKUP(TABLA_PRECIOS_LISTBOX[[#This Row],[Código]],TABLA_PRECIOS[#All],8)</calculatedColumnFormula>
    </tableColumn>
    <tableColumn id="2" name="FUM" dataDxfId="143">
      <calculatedColumnFormula>VLOOKUP(TABLA_PRECIOS_LISTBOX[[#This Row],[Código]],TABLA_PRECIOS[#All],10)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ABLA_PRECIOS_LISTBOX_VENTAS" displayName="TABLA_PRECIOS_LISTBOX_VENTAS" ref="A1:D769" totalsRowShown="0" headerRowDxfId="142" headerRowBorderDxfId="141" tableBorderDxfId="140">
  <autoFilter ref="A1:D769"/>
  <tableColumns count="4">
    <tableColumn id="14" name="Código" dataDxfId="139"/>
    <tableColumn id="4" name="Producto" dataDxfId="138">
      <calculatedColumnFormula>VLOOKUP(TABLA_PRECIOS_LISTBOX_VENTAS[Código],LISTADO_PRODUCTOS[#All],4)</calculatedColumnFormula>
    </tableColumn>
    <tableColumn id="5" name="Descripción" dataDxfId="137">
      <calculatedColumnFormula>VLOOKUP(TABLA_PRECIOS_LISTBOX_VENTAS[Código],LISTADO_PRODUCTOS[#All],5)</calculatedColumnFormula>
    </tableColumn>
    <tableColumn id="17" name="Precio de venta" dataDxfId="136">
      <calculatedColumnFormula>VLOOKUP(TABLA_PRECIOS_LISTBOX_VENTAS[[#This Row],[Código]],TABLA_PRECIOS[#All],7)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VENTAS" displayName="VENTAS" ref="A1:Q28" totalsRowShown="0" headerRowDxfId="135" dataDxfId="134">
  <autoFilter ref="A1:Q28"/>
  <tableColumns count="17">
    <tableColumn id="1" name="ID venta" dataDxfId="133"/>
    <tableColumn id="2" name="Fecha de venta" dataDxfId="132"/>
    <tableColumn id="16" name="Vendedor" dataDxfId="131"/>
    <tableColumn id="15" name="Cuenta" dataDxfId="130"/>
    <tableColumn id="14" name="Cliente" dataDxfId="129"/>
    <tableColumn id="13" name="Medio de pago" dataDxfId="128"/>
    <tableColumn id="3" name="Codigo" dataDxfId="127"/>
    <tableColumn id="4" name="Codigo de barras" dataDxfId="126">
      <calculatedColumnFormula>VLOOKUP(VENTAS[Codigo],LISTADO_PRODUCTOS[#All],2)</calculatedColumnFormula>
    </tableColumn>
    <tableColumn id="5" name="Categoria" dataDxfId="125">
      <calculatedColumnFormula>VLOOKUP(VENTAS[Codigo],LISTADO_PRODUCTOS[#All],3)</calculatedColumnFormula>
    </tableColumn>
    <tableColumn id="6" name="Producto" dataDxfId="124">
      <calculatedColumnFormula>VLOOKUP(VENTAS[Codigo],LISTADO_PRODUCTOS[#All],4)</calculatedColumnFormula>
    </tableColumn>
    <tableColumn id="7" name="Descripcion" dataDxfId="123">
      <calculatedColumnFormula>VLOOKUP(VENTAS[Codigo],LISTADO_PRODUCTOS[#All],5)</calculatedColumnFormula>
    </tableColumn>
    <tableColumn id="8" name="Cantadidad" dataDxfId="122"/>
    <tableColumn id="9" name="Precio unitario" dataDxfId="121"/>
    <tableColumn id="10" name="Sub Total producto" dataDxfId="120"/>
    <tableColumn id="12" name="Descuento producto" dataDxfId="119"/>
    <tableColumn id="17" name="Total producto" dataDxfId="118"/>
    <tableColumn id="11" name="Total venta" dataDxfId="1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5" name="VENTAS_LISTBOX" displayName="VENTAS_LISTBOX" ref="A1:J28" totalsRowShown="0" headerRowDxfId="116" dataDxfId="115">
  <autoFilter ref="A1:J28"/>
  <tableColumns count="10">
    <tableColumn id="1" name="ID venta" dataDxfId="114"/>
    <tableColumn id="2" name="Fecha de venta" dataDxfId="113">
      <calculatedColumnFormula>VLOOKUP(VENTAS_LISTBOX[ID venta],VENTAS[#All],2)</calculatedColumnFormula>
    </tableColumn>
    <tableColumn id="3" name="Codigo" dataDxfId="112">
      <calculatedColumnFormula>VLOOKUP(VENTAS_LISTBOX[ID venta],VENTAS[#All],7)</calculatedColumnFormula>
    </tableColumn>
    <tableColumn id="4" name="Producto" dataDxfId="111">
      <calculatedColumnFormula>VLOOKUP(VENTAS_LISTBOX[ID venta],VENTAS[#All],10)</calculatedColumnFormula>
    </tableColumn>
    <tableColumn id="5" name="Descripcion" dataDxfId="110">
      <calculatedColumnFormula>VLOOKUP(VENTAS_LISTBOX[ID venta],VENTAS[#All],11)</calculatedColumnFormula>
    </tableColumn>
    <tableColumn id="6" name="Cantidad" dataDxfId="109">
      <calculatedColumnFormula>VLOOKUP(VENTAS_LISTBOX[ID venta],VENTAS[#All],12)</calculatedColumnFormula>
    </tableColumn>
    <tableColumn id="7" name="Precio unitario" dataDxfId="108">
      <calculatedColumnFormula>VLOOKUP(VENTAS_LISTBOX[ID venta],VENTAS[#All],13)</calculatedColumnFormula>
    </tableColumn>
    <tableColumn id="11" name="Descuento producto" dataDxfId="107">
      <calculatedColumnFormula>VLOOKUP(VENTAS_LISTBOX[ID venta],VENTAS[#All],15)</calculatedColumnFormula>
    </tableColumn>
    <tableColumn id="8" name="Total producto" dataDxfId="106">
      <calculatedColumnFormula>VLOOKUP(VENTAS_LISTBOX[ID venta],VENTAS[#All],16)</calculatedColumnFormula>
    </tableColumn>
    <tableColumn id="9" name="Total venta" dataDxfId="105">
      <calculatedColumnFormula>VLOOKUP(VENTAS_LISTBOX[ID venta],VENTAS[#All],17)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FIADOS" displayName="FIADOS" ref="A1:S12" totalsRowShown="0" headerRowDxfId="104" dataDxfId="103">
  <autoFilter ref="A1:S12"/>
  <tableColumns count="19">
    <tableColumn id="1" name="ID venta" dataDxfId="102"/>
    <tableColumn id="18" name="Estado" dataDxfId="101"/>
    <tableColumn id="2" name="Fecha de venta" dataDxfId="100">
      <calculatedColumnFormula>VLOOKUP(FIADOS[ID venta],VENTAS[#All],2)</calculatedColumnFormula>
    </tableColumn>
    <tableColumn id="16" name="Vendedor" dataDxfId="99">
      <calculatedColumnFormula>VLOOKUP(FIADOS[ID venta],VENTAS[#All],3)</calculatedColumnFormula>
    </tableColumn>
    <tableColumn id="15" name="Cuenta" dataDxfId="98">
      <calculatedColumnFormula>VLOOKUP(FIADOS[ID venta],VENTAS[#All],4)</calculatedColumnFormula>
    </tableColumn>
    <tableColumn id="14" name="Cliente" dataDxfId="97">
      <calculatedColumnFormula>VLOOKUP(FIADOS[ID venta],VENTAS[#All],5)</calculatedColumnFormula>
    </tableColumn>
    <tableColumn id="3" name="Codigo" dataDxfId="96">
      <calculatedColumnFormula>VLOOKUP(FIADOS[ID venta],VENTAS[#All],7)</calculatedColumnFormula>
    </tableColumn>
    <tableColumn id="4" name="Codigo de barras" dataDxfId="95">
      <calculatedColumnFormula>VLOOKUP(FIADOS[ID venta],VENTAS[#All],8)</calculatedColumnFormula>
    </tableColumn>
    <tableColumn id="5" name="Categoria" dataDxfId="94">
      <calculatedColumnFormula>VLOOKUP(FIADOS[ID venta],VENTAS[#All],9)</calculatedColumnFormula>
    </tableColumn>
    <tableColumn id="6" name="Producto" dataDxfId="93">
      <calculatedColumnFormula>VLOOKUP(FIADOS[ID venta],VENTAS[#All],10)</calculatedColumnFormula>
    </tableColumn>
    <tableColumn id="7" name="Descripcion" dataDxfId="92">
      <calculatedColumnFormula>VLOOKUP(FIADOS[ID venta],VENTAS[#All],11)</calculatedColumnFormula>
    </tableColumn>
    <tableColumn id="8" name="Cantadidad" dataDxfId="91">
      <calculatedColumnFormula>VLOOKUP(FIADOS[ID venta],VENTAS[#All],12)</calculatedColumnFormula>
    </tableColumn>
    <tableColumn id="9" name="Precio unitario" dataDxfId="90">
      <calculatedColumnFormula>VLOOKUP(FIADOS[ID venta],VENTAS[#All],13)</calculatedColumnFormula>
    </tableColumn>
    <tableColumn id="17" name="Sub Total producto" dataDxfId="89">
      <calculatedColumnFormula>VLOOKUP(FIADOS[ID venta],VENTAS[#All],14)</calculatedColumnFormula>
    </tableColumn>
    <tableColumn id="13" name="Descuento producto" dataDxfId="88">
      <calculatedColumnFormula>VLOOKUP(FIADOS[ID venta],VENTAS[#All],15)</calculatedColumnFormula>
    </tableColumn>
    <tableColumn id="10" name="Total producto" dataDxfId="87">
      <calculatedColumnFormula>VLOOKUP(FIADOS[ID venta],VENTAS[#All],16)</calculatedColumnFormula>
    </tableColumn>
    <tableColumn id="19" name="Fecha de pago" dataDxfId="86"/>
    <tableColumn id="11" name="Precio unitario actualizado" dataDxfId="85">
      <calculatedColumnFormula>VLOOKUP(FIADOS[ID venta],VENTAS[#All],13)</calculatedColumnFormula>
    </tableColumn>
    <tableColumn id="12" name="Total actualizado" dataDxfId="84">
      <calculatedColumnFormula>VLOOKUP(FIADOS[ID venta],VENTAS[#All],16)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9" name="FIADOS_LISTBOX" displayName="FIADOS_LISTBOX" ref="A1:J12" totalsRowShown="0" headerRowDxfId="83" dataDxfId="82">
  <autoFilter ref="A1:J12"/>
  <tableColumns count="10">
    <tableColumn id="1" name="ID venta" dataDxfId="81"/>
    <tableColumn id="18" name="Estado" dataDxfId="80">
      <calculatedColumnFormula>VLOOKUP(FIADOS_LISTBOX[ID venta],FIADOS[#All],2)</calculatedColumnFormula>
    </tableColumn>
    <tableColumn id="2" name="Fecha de venta" dataDxfId="79">
      <calculatedColumnFormula>VLOOKUP(FIADOS_LISTBOX[ID venta],VENTAS[#All],2)</calculatedColumnFormula>
    </tableColumn>
    <tableColumn id="15" name="Cuenta" dataDxfId="78">
      <calculatedColumnFormula>VLOOKUP(FIADOS_LISTBOX[ID venta],VENTAS[#All],4)</calculatedColumnFormula>
    </tableColumn>
    <tableColumn id="6" name="Producto" dataDxfId="77">
      <calculatedColumnFormula>VLOOKUP(FIADOS_LISTBOX[ID venta],VENTAS[#All],10)</calculatedColumnFormula>
    </tableColumn>
    <tableColumn id="8" name="Cantadidad" dataDxfId="76">
      <calculatedColumnFormula>VLOOKUP(FIADOS_LISTBOX[ID venta],VENTAS[#All],12)</calculatedColumnFormula>
    </tableColumn>
    <tableColumn id="9" name="Precio unitario" dataDxfId="75">
      <calculatedColumnFormula>VLOOKUP(FIADOS_LISTBOX[ID venta],VENTAS[#All],13)</calculatedColumnFormula>
    </tableColumn>
    <tableColumn id="10" name="Total producto" dataDxfId="74">
      <calculatedColumnFormula>VLOOKUP(FIADOS_LISTBOX[ID venta],VENTAS[#All],16)</calculatedColumnFormula>
    </tableColumn>
    <tableColumn id="3" name="Precio unitario actualizado" dataDxfId="73">
      <calculatedColumnFormula>VLOOKUP(FIADOS_LISTBOX[ID venta],FIADOS[#All],18)</calculatedColumnFormula>
    </tableColumn>
    <tableColumn id="4" name="Total actualizado" dataDxfId="72">
      <calculatedColumnFormula>VLOOKUP(FIADOS_LISTBOX[ID venta],FIADOS[#All],19)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A_STOCK" displayName="TABLA_STOCK" ref="A1:G769" totalsRowShown="0" headerRowDxfId="71" dataDxfId="70">
  <autoFilter ref="A1:G769"/>
  <tableColumns count="7">
    <tableColumn id="1" name="Codigo" dataDxfId="69"/>
    <tableColumn id="7" name="Codigo de barras" dataDxfId="68">
      <calculatedColumnFormula>VLOOKUP(TABLA_STOCK[Codigo],LISTADO_PRODUCTOS[#All],2)</calculatedColumnFormula>
    </tableColumn>
    <tableColumn id="2" name="Categoria" dataDxfId="67">
      <calculatedColumnFormula>VLOOKUP(TABLA_STOCK[Codigo],LISTADO_PRODUCTOS[#All],3)</calculatedColumnFormula>
    </tableColumn>
    <tableColumn id="3" name="Producto" dataDxfId="66">
      <calculatedColumnFormula>VLOOKUP(TABLA_STOCK[Codigo],LISTADO_PRODUCTOS[#All],4)</calculatedColumnFormula>
    </tableColumn>
    <tableColumn id="4" name="Descripcion" dataDxfId="65">
      <calculatedColumnFormula>VLOOKUP(TABLA_STOCK[Codigo],LISTADO_PRODUCTOS[#All],5)</calculatedColumnFormula>
    </tableColumn>
    <tableColumn id="5" name="Ruptura de stock" dataDxfId="64"/>
    <tableColumn id="6" name="Stock" dataDxfId="6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TABLA_STOCK_LISTBOX" displayName="TABLA_STOCK_LISTBOX" ref="A1:E769" totalsRowShown="0">
  <autoFilter ref="A1:E769"/>
  <tableColumns count="5">
    <tableColumn id="1" name="Codigo" dataDxfId="62"/>
    <tableColumn id="3" name="Producto" dataDxfId="61">
      <calculatedColumnFormula>VLOOKUP(TABLA_STOCK_LISTBOX[[#This Row],[Codigo]],LISTADO_PRODUCTOS[#All],4)</calculatedColumnFormula>
    </tableColumn>
    <tableColumn id="4" name="Descripcion" dataDxfId="60">
      <calculatedColumnFormula>VLOOKUP(TABLA_STOCK_LISTBOX[[#This Row],[Codigo]],LISTADO_PRODUCTOS[#All],5)</calculatedColumnFormula>
    </tableColumn>
    <tableColumn id="5" name="Ruptura de stock" dataDxfId="59">
      <calculatedColumnFormula>VLOOKUP(TABLA_STOCK_LISTBOX[[#This Row],[Codigo]],TABLA_STOCK[#All],6)</calculatedColumnFormula>
    </tableColumn>
    <tableColumn id="6" name="Stock" dataDxfId="58">
      <calculatedColumnFormula>VLOOKUP(TABLA_STOCK_LISTBOX[[#This Row],[Codigo]],TABLA_STOCK[#All],7)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5" name="TABLA_PROVEEDORES" displayName="TABLA_PROVEEDORES" ref="A1:H12" totalsRowShown="0" headerRowDxfId="57" dataDxfId="55" headerRowBorderDxfId="56" tableBorderDxfId="54">
  <autoFilter ref="A1:H12"/>
  <tableColumns count="8">
    <tableColumn id="1" name="Razon social" dataDxfId="53"/>
    <tableColumn id="14" name="Fecha de alta" dataDxfId="52"/>
    <tableColumn id="7" name="CUIL-CUIT" dataDxfId="51"/>
    <tableColumn id="2" name="E-mail" dataDxfId="50"/>
    <tableColumn id="3" name="Telefono" dataDxfId="49"/>
    <tableColumn id="6" name="Sitio web" dataDxfId="48"/>
    <tableColumn id="4" name="Direccion" dataDxfId="47"/>
    <tableColumn id="5" name="FUM" dataDxfId="4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0" name="TABLA_PROVEEDORES_LISTBOX" displayName="TABLA_PROVEEDORES_LISTBOX" ref="A1:F12" totalsRowShown="0" headerRowDxfId="45" dataDxfId="43" headerRowBorderDxfId="44" tableBorderDxfId="42">
  <autoFilter ref="A1:F12"/>
  <tableColumns count="6">
    <tableColumn id="14" name="Razon social" dataDxfId="41"/>
    <tableColumn id="7" name="CUIL-CUIT" dataDxfId="40">
      <calculatedColumnFormula>VLOOKUP(TABLA_PROVEEDORES_LISTBOX[[#This Row],[Razon social]],TABLA_PROVEEDORES[#All],3,FALSE)</calculatedColumnFormula>
    </tableColumn>
    <tableColumn id="2" name="E-mail" dataDxfId="39">
      <calculatedColumnFormula>VLOOKUP(TABLA_PROVEEDORES_LISTBOX[[#This Row],[Razon social]],TABLA_PROVEEDORES[#All],4,FALSE)</calculatedColumnFormula>
    </tableColumn>
    <tableColumn id="3" name="Telefono" dataDxfId="38">
      <calculatedColumnFormula>VLOOKUP(TABLA_PROVEEDORES_LISTBOX[[#This Row],[Razon social]],TABLA_PROVEEDORES[#All],5,FALSE)</calculatedColumnFormula>
    </tableColumn>
    <tableColumn id="6" name="Sitio web" dataDxfId="37">
      <calculatedColumnFormula>VLOOKUP(TABLA_PROVEEDORES_LISTBOX[[#This Row],[Razon social]],TABLA_PROVEEDORES[#All],6,FALSE)</calculatedColumnFormula>
    </tableColumn>
    <tableColumn id="4" name="Direccion" dataDxfId="36">
      <calculatedColumnFormula>VLOOKUP(TABLA_PROVEEDORES_LISTBOX[[#This Row],[Razon social]],TABLA_PROVEEDORES[#All],7,FALSE)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3" name="CLIENTES" displayName="CLIENTES" ref="A1:J6" totalsRowShown="0" headerRowDxfId="35" dataDxfId="33" headerRowBorderDxfId="34" tableBorderDxfId="32">
  <autoFilter ref="A1:J6"/>
  <tableColumns count="10">
    <tableColumn id="14" name="ID cuenta" dataDxfId="31"/>
    <tableColumn id="5" name="Cuenta" dataDxfId="30"/>
    <tableColumn id="7" name="Apellido titular" dataDxfId="29"/>
    <tableColumn id="2" name="Nombre titular" dataDxfId="28"/>
    <tableColumn id="1" name="DNI" dataDxfId="27"/>
    <tableColumn id="3" name="Telefono " dataDxfId="26"/>
    <tableColumn id="6" name="e-mail de contacto" dataDxfId="25"/>
    <tableColumn id="9" name="Ciudad" dataDxfId="24" dataCellStyle="Hipervínculo"/>
    <tableColumn id="10" name="Direccion" dataDxfId="23" dataCellStyle="Hipervínculo"/>
    <tableColumn id="11" name="Comentarios" dataDxfId="22" dataCellStyle="Hipervíncul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A_AUTORIZADOS" displayName="TABLA_AUTORIZADOS" ref="A1:E11" totalsRowShown="0" headerRowDxfId="21" dataDxfId="19" headerRowBorderDxfId="20" tableBorderDxfId="18">
  <autoFilter ref="A1:E11"/>
  <tableColumns count="5">
    <tableColumn id="12" name="ID cliente" dataDxfId="17"/>
    <tableColumn id="5" name="Cuenta" dataDxfId="16"/>
    <tableColumn id="7" name="Apellido" dataDxfId="15"/>
    <tableColumn id="2" name="Nombre" dataDxfId="14"/>
    <tableColumn id="11" name="Foto" dataDxfId="13" dataCellStyle="Hipervíncul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1" name="BALANCE_CLIENTES" displayName="BALANCE_CLIENTES" ref="A1:C6" totalsRowShown="0" headerRowDxfId="12" dataDxfId="10" headerRowBorderDxfId="11" tableBorderDxfId="9">
  <autoFilter ref="A1:C6"/>
  <tableColumns count="3">
    <tableColumn id="14" name="ID cuenta" dataDxfId="8"/>
    <tableColumn id="5" name="Cuenta" dataDxfId="7"/>
    <tableColumn id="1" name="Saldo a favor" dataDxf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" name="CATEGORIAS" displayName="CATEGORIAS" ref="A1:A10" totalsRowShown="0" headerRowDxfId="5" dataDxfId="4">
  <autoFilter ref="A1:A10"/>
  <tableColumns count="1">
    <tableColumn id="1" name="Categorias" dataDxfId="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6" name="MEDIOS_DE_PAGO" displayName="MEDIOS_DE_PAGO" ref="A1:A7" totalsRowShown="0" headerRowDxfId="2" dataDxfId="1">
  <autoFilter ref="A1:A7"/>
  <tableColumns count="1">
    <tableColumn id="1" name="MEDIOS DE PAGO" dataDxfId="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8" name="USUARIO_Y_CONTRASEÑA" displayName="USUARIO_Y_CONTRASEÑA" ref="A1:E5" totalsRowShown="0">
  <autoFilter ref="A1:E5"/>
  <tableColumns count="5">
    <tableColumn id="1" name="Usuario"/>
    <tableColumn id="2" name="Nombre "/>
    <tableColumn id="3" name="Apellido"/>
    <tableColumn id="5" name="Nivel de acceso"/>
    <tableColumn id="4" name="Contraseñ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496"/>
  <sheetViews>
    <sheetView topLeftCell="A737" zoomScale="90" zoomScaleNormal="90" workbookViewId="0">
      <selection activeCell="B742" sqref="B742"/>
    </sheetView>
  </sheetViews>
  <sheetFormatPr baseColWidth="10" defaultRowHeight="14.4" x14ac:dyDescent="0.3"/>
  <cols>
    <col min="1" max="1" width="13.88671875" style="4" customWidth="1"/>
    <col min="2" max="2" width="19.33203125" customWidth="1"/>
    <col min="3" max="3" width="15" customWidth="1"/>
    <col min="4" max="4" width="70.77734375" customWidth="1"/>
    <col min="5" max="5" width="33.109375" customWidth="1"/>
    <col min="6" max="6" width="41.33203125" customWidth="1"/>
    <col min="8" max="8" width="15.88671875" customWidth="1"/>
  </cols>
  <sheetData>
    <row r="1" spans="1:9" ht="12" customHeight="1" thickBot="1" x14ac:dyDescent="0.35">
      <c r="A1" s="37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4" t="s">
        <v>5</v>
      </c>
      <c r="H1" s="14" t="s">
        <v>56</v>
      </c>
      <c r="I1" s="15">
        <f>MAX(LISTADO_PRODUCTOS[Código])+1</f>
        <v>9360</v>
      </c>
    </row>
    <row r="2" spans="1:9" ht="12" customHeight="1" x14ac:dyDescent="0.3">
      <c r="A2" s="4">
        <v>1000</v>
      </c>
      <c r="B2" s="4">
        <v>54173</v>
      </c>
      <c r="C2" t="s">
        <v>17</v>
      </c>
      <c r="D2" t="s">
        <v>98</v>
      </c>
      <c r="E2" s="4" t="s">
        <v>13</v>
      </c>
      <c r="F2" s="4" t="s">
        <v>13</v>
      </c>
    </row>
    <row r="3" spans="1:9" ht="12" customHeight="1" x14ac:dyDescent="0.3">
      <c r="A3" s="4">
        <v>1001</v>
      </c>
      <c r="B3" s="4">
        <v>54174</v>
      </c>
      <c r="C3" t="s">
        <v>17</v>
      </c>
      <c r="D3" t="s">
        <v>14</v>
      </c>
      <c r="E3" s="4" t="s">
        <v>13</v>
      </c>
      <c r="F3" s="4" t="s">
        <v>13</v>
      </c>
    </row>
    <row r="4" spans="1:9" ht="12" customHeight="1" x14ac:dyDescent="0.3">
      <c r="A4" s="4">
        <v>1002</v>
      </c>
      <c r="B4" s="4">
        <v>54175</v>
      </c>
      <c r="C4" t="s">
        <v>92</v>
      </c>
      <c r="D4" t="s">
        <v>99</v>
      </c>
      <c r="E4" s="4" t="s">
        <v>13</v>
      </c>
      <c r="F4" s="4" t="s">
        <v>13</v>
      </c>
    </row>
    <row r="5" spans="1:9" ht="12" customHeight="1" x14ac:dyDescent="0.3">
      <c r="A5" s="4">
        <v>1004</v>
      </c>
      <c r="B5" s="4">
        <v>56542156</v>
      </c>
      <c r="C5" t="s">
        <v>17</v>
      </c>
      <c r="D5" t="s">
        <v>100</v>
      </c>
      <c r="E5" s="4" t="s">
        <v>13</v>
      </c>
      <c r="F5" s="4" t="s">
        <v>13</v>
      </c>
    </row>
    <row r="6" spans="1:9" ht="12" customHeight="1" x14ac:dyDescent="0.3">
      <c r="A6" s="4">
        <v>1007</v>
      </c>
      <c r="B6" s="4">
        <v>54177</v>
      </c>
      <c r="C6" t="s">
        <v>17</v>
      </c>
      <c r="D6" t="s">
        <v>101</v>
      </c>
      <c r="E6" s="4" t="s">
        <v>13</v>
      </c>
      <c r="F6" s="4" t="s">
        <v>13</v>
      </c>
    </row>
    <row r="7" spans="1:9" ht="12" customHeight="1" x14ac:dyDescent="0.3">
      <c r="A7" s="4">
        <v>1009</v>
      </c>
      <c r="B7" s="4">
        <v>54178</v>
      </c>
      <c r="C7" t="s">
        <v>17</v>
      </c>
      <c r="D7" t="s">
        <v>102</v>
      </c>
      <c r="E7" s="4" t="s">
        <v>13</v>
      </c>
      <c r="F7" s="4" t="s">
        <v>13</v>
      </c>
    </row>
    <row r="8" spans="1:9" ht="12" customHeight="1" x14ac:dyDescent="0.3">
      <c r="A8" s="4">
        <v>1010</v>
      </c>
      <c r="B8" s="4">
        <v>54179</v>
      </c>
      <c r="C8" t="s">
        <v>17</v>
      </c>
      <c r="D8" t="s">
        <v>103</v>
      </c>
      <c r="E8" s="4" t="s">
        <v>13</v>
      </c>
      <c r="F8" s="4" t="s">
        <v>13</v>
      </c>
    </row>
    <row r="9" spans="1:9" ht="12" customHeight="1" x14ac:dyDescent="0.3">
      <c r="A9" s="4">
        <v>1011</v>
      </c>
      <c r="B9" s="4">
        <v>54180</v>
      </c>
      <c r="C9" t="s">
        <v>17</v>
      </c>
      <c r="D9" t="s">
        <v>104</v>
      </c>
      <c r="E9" s="4" t="s">
        <v>13</v>
      </c>
      <c r="F9" s="4" t="s">
        <v>13</v>
      </c>
    </row>
    <row r="10" spans="1:9" ht="12" customHeight="1" x14ac:dyDescent="0.3">
      <c r="A10" s="4">
        <v>1012</v>
      </c>
      <c r="B10" s="4">
        <v>54181</v>
      </c>
      <c r="C10" t="s">
        <v>17</v>
      </c>
      <c r="D10" t="s">
        <v>105</v>
      </c>
      <c r="E10" s="4" t="s">
        <v>13</v>
      </c>
      <c r="F10" s="4" t="s">
        <v>13</v>
      </c>
    </row>
    <row r="11" spans="1:9" ht="12" customHeight="1" x14ac:dyDescent="0.3">
      <c r="A11" s="4">
        <v>1013</v>
      </c>
      <c r="B11" s="4">
        <v>54182</v>
      </c>
      <c r="C11" t="s">
        <v>17</v>
      </c>
      <c r="D11" t="s">
        <v>106</v>
      </c>
      <c r="E11" s="4" t="s">
        <v>13</v>
      </c>
      <c r="F11" s="4" t="s">
        <v>13</v>
      </c>
    </row>
    <row r="12" spans="1:9" ht="12" customHeight="1" x14ac:dyDescent="0.3">
      <c r="A12" s="4">
        <v>1014</v>
      </c>
      <c r="B12" s="4">
        <v>54183</v>
      </c>
      <c r="C12" t="s">
        <v>17</v>
      </c>
      <c r="D12" t="s">
        <v>107</v>
      </c>
      <c r="E12" s="4" t="s">
        <v>13</v>
      </c>
      <c r="F12" s="4" t="s">
        <v>13</v>
      </c>
    </row>
    <row r="13" spans="1:9" ht="12" customHeight="1" x14ac:dyDescent="0.3">
      <c r="A13" s="4">
        <v>1015</v>
      </c>
      <c r="B13" s="4">
        <v>54184</v>
      </c>
      <c r="C13" t="s">
        <v>17</v>
      </c>
      <c r="D13" t="s">
        <v>915</v>
      </c>
      <c r="E13" s="4" t="s">
        <v>13</v>
      </c>
      <c r="F13" s="4" t="s">
        <v>13</v>
      </c>
    </row>
    <row r="14" spans="1:9" ht="12" customHeight="1" x14ac:dyDescent="0.3">
      <c r="A14" s="4">
        <v>1016</v>
      </c>
      <c r="B14" s="4">
        <v>54185</v>
      </c>
      <c r="C14" t="s">
        <v>17</v>
      </c>
      <c r="D14" t="s">
        <v>108</v>
      </c>
      <c r="E14" s="4" t="s">
        <v>13</v>
      </c>
      <c r="F14" s="4" t="s">
        <v>13</v>
      </c>
    </row>
    <row r="15" spans="1:9" ht="12" customHeight="1" x14ac:dyDescent="0.3">
      <c r="A15" s="4">
        <v>1017</v>
      </c>
      <c r="B15" s="4">
        <v>54186</v>
      </c>
      <c r="C15" t="s">
        <v>17</v>
      </c>
      <c r="D15" t="s">
        <v>109</v>
      </c>
      <c r="E15" s="4" t="s">
        <v>13</v>
      </c>
      <c r="F15" s="4" t="s">
        <v>13</v>
      </c>
    </row>
    <row r="16" spans="1:9" ht="12" customHeight="1" x14ac:dyDescent="0.3">
      <c r="A16" s="4">
        <v>1018</v>
      </c>
      <c r="B16" s="4">
        <v>54187</v>
      </c>
      <c r="C16" t="s">
        <v>17</v>
      </c>
      <c r="D16" t="s">
        <v>110</v>
      </c>
      <c r="E16" s="4" t="s">
        <v>13</v>
      </c>
      <c r="F16" s="4" t="s">
        <v>13</v>
      </c>
    </row>
    <row r="17" spans="1:6" ht="12" customHeight="1" x14ac:dyDescent="0.3">
      <c r="A17" s="4">
        <v>1020</v>
      </c>
      <c r="B17" s="4">
        <v>54188</v>
      </c>
      <c r="C17" t="s">
        <v>17</v>
      </c>
      <c r="D17" t="s">
        <v>111</v>
      </c>
      <c r="E17" s="4" t="s">
        <v>13</v>
      </c>
      <c r="F17" s="4" t="s">
        <v>13</v>
      </c>
    </row>
    <row r="18" spans="1:6" ht="12" customHeight="1" x14ac:dyDescent="0.3">
      <c r="A18" s="4">
        <v>1021</v>
      </c>
      <c r="B18" s="4">
        <v>54189</v>
      </c>
      <c r="C18" t="s">
        <v>17</v>
      </c>
      <c r="D18" t="s">
        <v>112</v>
      </c>
      <c r="E18" s="4" t="s">
        <v>13</v>
      </c>
      <c r="F18" s="4" t="s">
        <v>13</v>
      </c>
    </row>
    <row r="19" spans="1:6" ht="12" customHeight="1" x14ac:dyDescent="0.3">
      <c r="A19" s="4">
        <v>1023</v>
      </c>
      <c r="B19" s="4">
        <v>54190</v>
      </c>
      <c r="C19" t="s">
        <v>17</v>
      </c>
      <c r="D19" t="s">
        <v>113</v>
      </c>
      <c r="E19" s="4" t="s">
        <v>13</v>
      </c>
      <c r="F19" s="4" t="s">
        <v>13</v>
      </c>
    </row>
    <row r="20" spans="1:6" ht="12" customHeight="1" x14ac:dyDescent="0.3">
      <c r="A20" s="4">
        <v>1024</v>
      </c>
      <c r="B20" s="4">
        <v>54191</v>
      </c>
      <c r="C20" t="s">
        <v>17</v>
      </c>
      <c r="D20" t="s">
        <v>114</v>
      </c>
      <c r="E20" s="4" t="s">
        <v>13</v>
      </c>
      <c r="F20" s="4" t="s">
        <v>13</v>
      </c>
    </row>
    <row r="21" spans="1:6" ht="12" customHeight="1" x14ac:dyDescent="0.3">
      <c r="A21" s="4">
        <v>1025</v>
      </c>
      <c r="B21" s="4">
        <v>54192</v>
      </c>
      <c r="C21" t="s">
        <v>17</v>
      </c>
      <c r="D21" t="s">
        <v>115</v>
      </c>
      <c r="E21" s="4" t="s">
        <v>13</v>
      </c>
      <c r="F21" s="4" t="s">
        <v>13</v>
      </c>
    </row>
    <row r="22" spans="1:6" ht="12" customHeight="1" x14ac:dyDescent="0.3">
      <c r="A22" s="4">
        <v>1026</v>
      </c>
      <c r="B22" s="4">
        <v>54193</v>
      </c>
      <c r="C22" t="s">
        <v>17</v>
      </c>
      <c r="D22" t="s">
        <v>116</v>
      </c>
      <c r="E22" s="4" t="s">
        <v>13</v>
      </c>
      <c r="F22" s="4" t="s">
        <v>13</v>
      </c>
    </row>
    <row r="23" spans="1:6" ht="12" customHeight="1" x14ac:dyDescent="0.3">
      <c r="A23" s="4">
        <v>1027</v>
      </c>
      <c r="B23" s="4">
        <v>54194</v>
      </c>
      <c r="C23" t="s">
        <v>17</v>
      </c>
      <c r="D23" t="s">
        <v>117</v>
      </c>
      <c r="E23" s="4" t="s">
        <v>13</v>
      </c>
      <c r="F23" s="4" t="s">
        <v>13</v>
      </c>
    </row>
    <row r="24" spans="1:6" ht="12" customHeight="1" x14ac:dyDescent="0.3">
      <c r="A24" s="4">
        <v>1028</v>
      </c>
      <c r="B24" s="4">
        <v>54195</v>
      </c>
      <c r="C24" t="s">
        <v>17</v>
      </c>
      <c r="D24" t="s">
        <v>118</v>
      </c>
      <c r="E24" s="4" t="s">
        <v>13</v>
      </c>
      <c r="F24" s="4" t="s">
        <v>13</v>
      </c>
    </row>
    <row r="25" spans="1:6" ht="12" customHeight="1" x14ac:dyDescent="0.3">
      <c r="A25" s="4">
        <v>1029</v>
      </c>
      <c r="B25" s="4">
        <v>54196</v>
      </c>
      <c r="C25" t="s">
        <v>17</v>
      </c>
      <c r="D25" t="s">
        <v>119</v>
      </c>
      <c r="E25" s="4" t="s">
        <v>13</v>
      </c>
      <c r="F25" s="4" t="s">
        <v>13</v>
      </c>
    </row>
    <row r="26" spans="1:6" ht="12" customHeight="1" x14ac:dyDescent="0.3">
      <c r="A26" s="4">
        <v>1030</v>
      </c>
      <c r="B26" s="4">
        <v>54197</v>
      </c>
      <c r="C26" t="s">
        <v>17</v>
      </c>
      <c r="D26" t="s">
        <v>120</v>
      </c>
      <c r="E26" s="4" t="s">
        <v>13</v>
      </c>
      <c r="F26" s="4" t="s">
        <v>13</v>
      </c>
    </row>
    <row r="27" spans="1:6" ht="12" customHeight="1" x14ac:dyDescent="0.3">
      <c r="A27" s="4">
        <v>1031</v>
      </c>
      <c r="B27" s="4">
        <v>54198</v>
      </c>
      <c r="C27" t="s">
        <v>17</v>
      </c>
      <c r="D27" t="s">
        <v>121</v>
      </c>
      <c r="E27" s="4" t="s">
        <v>13</v>
      </c>
      <c r="F27" s="4" t="s">
        <v>13</v>
      </c>
    </row>
    <row r="28" spans="1:6" ht="12" customHeight="1" x14ac:dyDescent="0.3">
      <c r="A28" s="4">
        <v>1032</v>
      </c>
      <c r="B28" s="4">
        <v>54199</v>
      </c>
      <c r="C28" t="s">
        <v>17</v>
      </c>
      <c r="D28" t="s">
        <v>122</v>
      </c>
      <c r="E28" s="4" t="s">
        <v>13</v>
      </c>
      <c r="F28" s="4" t="s">
        <v>13</v>
      </c>
    </row>
    <row r="29" spans="1:6" ht="12" customHeight="1" x14ac:dyDescent="0.3">
      <c r="A29" s="4">
        <v>1033</v>
      </c>
      <c r="B29" s="4">
        <v>54200</v>
      </c>
      <c r="C29" t="s">
        <v>17</v>
      </c>
      <c r="D29" t="s">
        <v>123</v>
      </c>
      <c r="E29" s="4" t="s">
        <v>13</v>
      </c>
      <c r="F29" s="4" t="s">
        <v>13</v>
      </c>
    </row>
    <row r="30" spans="1:6" ht="12" customHeight="1" x14ac:dyDescent="0.3">
      <c r="A30" s="4">
        <v>1036</v>
      </c>
      <c r="B30" s="4">
        <v>54201</v>
      </c>
      <c r="C30" t="s">
        <v>17</v>
      </c>
      <c r="D30" t="s">
        <v>124</v>
      </c>
      <c r="E30" s="4" t="s">
        <v>13</v>
      </c>
      <c r="F30" s="4" t="s">
        <v>13</v>
      </c>
    </row>
    <row r="31" spans="1:6" ht="12" customHeight="1" x14ac:dyDescent="0.3">
      <c r="A31" s="4">
        <v>1038</v>
      </c>
      <c r="B31" s="4">
        <v>54202</v>
      </c>
      <c r="C31" t="s">
        <v>17</v>
      </c>
      <c r="D31" t="s">
        <v>125</v>
      </c>
      <c r="E31" s="4" t="s">
        <v>13</v>
      </c>
      <c r="F31" s="4" t="s">
        <v>13</v>
      </c>
    </row>
    <row r="32" spans="1:6" ht="12" customHeight="1" x14ac:dyDescent="0.3">
      <c r="A32" s="4">
        <v>1039</v>
      </c>
      <c r="B32" s="4">
        <v>54203</v>
      </c>
      <c r="C32" t="s">
        <v>17</v>
      </c>
      <c r="D32" t="s">
        <v>126</v>
      </c>
      <c r="E32" s="4" t="s">
        <v>13</v>
      </c>
      <c r="F32" s="4" t="s">
        <v>13</v>
      </c>
    </row>
    <row r="33" spans="1:6" ht="12" customHeight="1" x14ac:dyDescent="0.3">
      <c r="A33" s="4">
        <v>1040</v>
      </c>
      <c r="B33" s="4">
        <v>54204</v>
      </c>
      <c r="C33" t="s">
        <v>17</v>
      </c>
      <c r="D33" t="s">
        <v>127</v>
      </c>
      <c r="E33" s="4" t="s">
        <v>13</v>
      </c>
      <c r="F33" s="4" t="s">
        <v>13</v>
      </c>
    </row>
    <row r="34" spans="1:6" ht="12" customHeight="1" x14ac:dyDescent="0.3">
      <c r="A34" s="4">
        <v>1041</v>
      </c>
      <c r="B34" s="4">
        <v>54205</v>
      </c>
      <c r="C34" t="s">
        <v>17</v>
      </c>
      <c r="D34" t="s">
        <v>128</v>
      </c>
      <c r="E34" s="4" t="s">
        <v>13</v>
      </c>
      <c r="F34" s="4" t="s">
        <v>13</v>
      </c>
    </row>
    <row r="35" spans="1:6" ht="12" customHeight="1" x14ac:dyDescent="0.3">
      <c r="A35" s="4">
        <v>1042</v>
      </c>
      <c r="B35" s="4">
        <v>54206</v>
      </c>
      <c r="C35" t="s">
        <v>17</v>
      </c>
      <c r="D35" t="s">
        <v>129</v>
      </c>
      <c r="E35" s="4" t="s">
        <v>13</v>
      </c>
      <c r="F35" s="4" t="s">
        <v>13</v>
      </c>
    </row>
    <row r="36" spans="1:6" ht="12" customHeight="1" x14ac:dyDescent="0.3">
      <c r="A36" s="4">
        <v>1043</v>
      </c>
      <c r="B36" s="4">
        <v>54207</v>
      </c>
      <c r="C36" t="s">
        <v>17</v>
      </c>
      <c r="D36" t="s">
        <v>130</v>
      </c>
      <c r="E36" s="4" t="s">
        <v>13</v>
      </c>
      <c r="F36" s="4" t="s">
        <v>13</v>
      </c>
    </row>
    <row r="37" spans="1:6" ht="12" customHeight="1" x14ac:dyDescent="0.3">
      <c r="A37" s="4">
        <v>1044</v>
      </c>
      <c r="B37" s="4">
        <v>54208</v>
      </c>
      <c r="C37" t="s">
        <v>17</v>
      </c>
      <c r="D37" t="s">
        <v>131</v>
      </c>
      <c r="E37" s="4" t="s">
        <v>13</v>
      </c>
      <c r="F37" s="4" t="s">
        <v>13</v>
      </c>
    </row>
    <row r="38" spans="1:6" ht="12" customHeight="1" x14ac:dyDescent="0.3">
      <c r="A38" s="4">
        <v>1045</v>
      </c>
      <c r="B38" s="4">
        <v>54209</v>
      </c>
      <c r="C38" t="s">
        <v>17</v>
      </c>
      <c r="D38" t="s">
        <v>132</v>
      </c>
      <c r="E38" s="4" t="s">
        <v>13</v>
      </c>
      <c r="F38" s="4" t="s">
        <v>13</v>
      </c>
    </row>
    <row r="39" spans="1:6" ht="12" customHeight="1" x14ac:dyDescent="0.3">
      <c r="A39" s="4">
        <v>1047</v>
      </c>
      <c r="B39" s="4">
        <v>54210</v>
      </c>
      <c r="C39" t="s">
        <v>17</v>
      </c>
      <c r="D39" t="s">
        <v>133</v>
      </c>
      <c r="E39" s="4" t="s">
        <v>13</v>
      </c>
      <c r="F39" s="4" t="s">
        <v>13</v>
      </c>
    </row>
    <row r="40" spans="1:6" ht="12" customHeight="1" x14ac:dyDescent="0.3">
      <c r="A40" s="4">
        <v>1048</v>
      </c>
      <c r="B40" s="4">
        <v>54211</v>
      </c>
      <c r="C40" t="s">
        <v>17</v>
      </c>
      <c r="D40" t="s">
        <v>134</v>
      </c>
      <c r="E40" s="4" t="s">
        <v>13</v>
      </c>
      <c r="F40" s="4" t="s">
        <v>13</v>
      </c>
    </row>
    <row r="41" spans="1:6" ht="12" customHeight="1" x14ac:dyDescent="0.3">
      <c r="A41" s="4">
        <v>1049</v>
      </c>
      <c r="B41" s="4">
        <v>54212</v>
      </c>
      <c r="C41" t="s">
        <v>17</v>
      </c>
      <c r="D41" t="s">
        <v>135</v>
      </c>
      <c r="E41" s="4" t="s">
        <v>13</v>
      </c>
      <c r="F41" s="4" t="s">
        <v>13</v>
      </c>
    </row>
    <row r="42" spans="1:6" ht="12" customHeight="1" x14ac:dyDescent="0.3">
      <c r="A42" s="4">
        <v>1050</v>
      </c>
      <c r="B42" s="4">
        <v>54213</v>
      </c>
      <c r="C42" t="s">
        <v>17</v>
      </c>
      <c r="D42" t="s">
        <v>136</v>
      </c>
      <c r="E42" s="4" t="s">
        <v>13</v>
      </c>
      <c r="F42" s="4" t="s">
        <v>13</v>
      </c>
    </row>
    <row r="43" spans="1:6" ht="12" customHeight="1" x14ac:dyDescent="0.3">
      <c r="A43" s="4">
        <v>1051</v>
      </c>
      <c r="B43" s="4">
        <v>54214</v>
      </c>
      <c r="C43" t="s">
        <v>17</v>
      </c>
      <c r="D43" t="s">
        <v>137</v>
      </c>
      <c r="E43" s="4" t="s">
        <v>13</v>
      </c>
      <c r="F43" s="4" t="s">
        <v>13</v>
      </c>
    </row>
    <row r="44" spans="1:6" ht="12" customHeight="1" x14ac:dyDescent="0.3">
      <c r="A44" s="4">
        <v>1052</v>
      </c>
      <c r="B44" s="4">
        <v>54215</v>
      </c>
      <c r="C44" t="s">
        <v>17</v>
      </c>
      <c r="D44" t="s">
        <v>138</v>
      </c>
      <c r="E44" s="4" t="s">
        <v>13</v>
      </c>
      <c r="F44" s="4" t="s">
        <v>13</v>
      </c>
    </row>
    <row r="45" spans="1:6" ht="12" customHeight="1" x14ac:dyDescent="0.3">
      <c r="A45" s="4">
        <v>1053</v>
      </c>
      <c r="B45" s="4">
        <v>54216</v>
      </c>
      <c r="C45" t="s">
        <v>17</v>
      </c>
      <c r="D45" t="s">
        <v>139</v>
      </c>
      <c r="E45" s="4" t="s">
        <v>13</v>
      </c>
      <c r="F45" s="4" t="s">
        <v>13</v>
      </c>
    </row>
    <row r="46" spans="1:6" ht="12" customHeight="1" x14ac:dyDescent="0.3">
      <c r="A46" s="4">
        <v>1054</v>
      </c>
      <c r="B46" s="4">
        <v>54217</v>
      </c>
      <c r="C46" t="s">
        <v>17</v>
      </c>
      <c r="D46" t="s">
        <v>140</v>
      </c>
      <c r="E46" s="4" t="s">
        <v>13</v>
      </c>
      <c r="F46" s="4" t="s">
        <v>13</v>
      </c>
    </row>
    <row r="47" spans="1:6" ht="12" customHeight="1" x14ac:dyDescent="0.3">
      <c r="A47" s="4">
        <v>1055</v>
      </c>
      <c r="B47" s="4">
        <v>54218</v>
      </c>
      <c r="C47" t="s">
        <v>17</v>
      </c>
      <c r="D47" t="s">
        <v>141</v>
      </c>
      <c r="E47" s="4" t="s">
        <v>13</v>
      </c>
      <c r="F47" s="4" t="s">
        <v>13</v>
      </c>
    </row>
    <row r="48" spans="1:6" ht="12" customHeight="1" x14ac:dyDescent="0.3">
      <c r="A48" s="4">
        <v>1056</v>
      </c>
      <c r="B48" s="4">
        <v>54219</v>
      </c>
      <c r="C48" t="s">
        <v>17</v>
      </c>
      <c r="D48" t="s">
        <v>142</v>
      </c>
      <c r="E48" s="4" t="s">
        <v>13</v>
      </c>
      <c r="F48" s="4" t="s">
        <v>13</v>
      </c>
    </row>
    <row r="49" spans="1:6" ht="12" customHeight="1" x14ac:dyDescent="0.3">
      <c r="A49" s="4">
        <v>1057</v>
      </c>
      <c r="B49" s="4">
        <v>54220</v>
      </c>
      <c r="C49" t="s">
        <v>17</v>
      </c>
      <c r="D49" t="s">
        <v>143</v>
      </c>
      <c r="E49" s="4" t="s">
        <v>13</v>
      </c>
      <c r="F49" s="4" t="s">
        <v>13</v>
      </c>
    </row>
    <row r="50" spans="1:6" ht="12" customHeight="1" x14ac:dyDescent="0.3">
      <c r="A50" s="4">
        <v>1058</v>
      </c>
      <c r="B50" s="4">
        <v>54221</v>
      </c>
      <c r="C50" t="s">
        <v>17</v>
      </c>
      <c r="D50" t="s">
        <v>144</v>
      </c>
      <c r="E50" s="4" t="s">
        <v>13</v>
      </c>
      <c r="F50" s="4" t="s">
        <v>13</v>
      </c>
    </row>
    <row r="51" spans="1:6" ht="12" customHeight="1" x14ac:dyDescent="0.3">
      <c r="A51" s="4">
        <v>1059</v>
      </c>
      <c r="B51" s="4">
        <v>54222</v>
      </c>
      <c r="C51" t="s">
        <v>17</v>
      </c>
      <c r="D51" t="s">
        <v>145</v>
      </c>
      <c r="E51" s="4" t="s">
        <v>13</v>
      </c>
      <c r="F51" s="4" t="s">
        <v>13</v>
      </c>
    </row>
    <row r="52" spans="1:6" ht="12" customHeight="1" x14ac:dyDescent="0.3">
      <c r="A52" s="4">
        <v>1060</v>
      </c>
      <c r="B52" s="4">
        <v>54223</v>
      </c>
      <c r="C52" t="s">
        <v>17</v>
      </c>
      <c r="D52" t="s">
        <v>146</v>
      </c>
      <c r="E52" s="4" t="s">
        <v>13</v>
      </c>
      <c r="F52" s="4" t="s">
        <v>13</v>
      </c>
    </row>
    <row r="53" spans="1:6" ht="12" customHeight="1" x14ac:dyDescent="0.3">
      <c r="A53" s="4">
        <v>1061</v>
      </c>
      <c r="B53" s="4">
        <v>54224</v>
      </c>
      <c r="C53" t="s">
        <v>17</v>
      </c>
      <c r="D53" t="s">
        <v>147</v>
      </c>
      <c r="E53" s="4" t="s">
        <v>13</v>
      </c>
      <c r="F53" s="4" t="s">
        <v>13</v>
      </c>
    </row>
    <row r="54" spans="1:6" ht="12" customHeight="1" x14ac:dyDescent="0.3">
      <c r="A54" s="4">
        <v>1062</v>
      </c>
      <c r="B54" s="4">
        <v>54225</v>
      </c>
      <c r="C54" t="s">
        <v>17</v>
      </c>
      <c r="D54" t="s">
        <v>148</v>
      </c>
      <c r="E54" s="4" t="s">
        <v>13</v>
      </c>
      <c r="F54" s="4" t="s">
        <v>13</v>
      </c>
    </row>
    <row r="55" spans="1:6" ht="12" customHeight="1" x14ac:dyDescent="0.3">
      <c r="A55" s="4">
        <v>1063</v>
      </c>
      <c r="B55" s="4">
        <v>54226</v>
      </c>
      <c r="C55" t="s">
        <v>17</v>
      </c>
      <c r="D55" t="s">
        <v>149</v>
      </c>
      <c r="E55" s="4" t="s">
        <v>13</v>
      </c>
      <c r="F55" s="4" t="s">
        <v>13</v>
      </c>
    </row>
    <row r="56" spans="1:6" ht="12" customHeight="1" x14ac:dyDescent="0.3">
      <c r="A56" s="4">
        <v>1064</v>
      </c>
      <c r="B56" s="4">
        <v>54227</v>
      </c>
      <c r="C56" t="s">
        <v>17</v>
      </c>
      <c r="D56" t="s">
        <v>150</v>
      </c>
      <c r="E56" s="4" t="s">
        <v>13</v>
      </c>
      <c r="F56" s="4" t="s">
        <v>13</v>
      </c>
    </row>
    <row r="57" spans="1:6" ht="12" customHeight="1" x14ac:dyDescent="0.3">
      <c r="A57" s="4">
        <v>1065</v>
      </c>
      <c r="B57" s="4">
        <v>54228</v>
      </c>
      <c r="C57" t="s">
        <v>17</v>
      </c>
      <c r="D57" t="s">
        <v>151</v>
      </c>
      <c r="E57" s="4" t="s">
        <v>13</v>
      </c>
      <c r="F57" s="4" t="s">
        <v>13</v>
      </c>
    </row>
    <row r="58" spans="1:6" ht="12" customHeight="1" x14ac:dyDescent="0.3">
      <c r="A58" s="4">
        <v>1066</v>
      </c>
      <c r="B58" s="4">
        <v>54229</v>
      </c>
      <c r="C58" t="s">
        <v>17</v>
      </c>
      <c r="D58" t="s">
        <v>152</v>
      </c>
      <c r="E58" s="4" t="s">
        <v>13</v>
      </c>
      <c r="F58" s="4" t="s">
        <v>13</v>
      </c>
    </row>
    <row r="59" spans="1:6" ht="12" customHeight="1" x14ac:dyDescent="0.3">
      <c r="A59" s="4">
        <v>1067</v>
      </c>
      <c r="B59" s="4">
        <v>54230</v>
      </c>
      <c r="C59" t="s">
        <v>17</v>
      </c>
      <c r="D59" t="s">
        <v>153</v>
      </c>
      <c r="E59" s="4" t="s">
        <v>13</v>
      </c>
      <c r="F59" s="4" t="s">
        <v>13</v>
      </c>
    </row>
    <row r="60" spans="1:6" ht="12" customHeight="1" x14ac:dyDescent="0.3">
      <c r="A60" s="4">
        <v>1068</v>
      </c>
      <c r="B60" s="4">
        <v>54231</v>
      </c>
      <c r="C60" t="s">
        <v>17</v>
      </c>
      <c r="D60" t="s">
        <v>154</v>
      </c>
      <c r="E60" s="4" t="s">
        <v>13</v>
      </c>
      <c r="F60" s="4" t="s">
        <v>13</v>
      </c>
    </row>
    <row r="61" spans="1:6" ht="12" customHeight="1" x14ac:dyDescent="0.3">
      <c r="A61" s="4">
        <v>1069</v>
      </c>
      <c r="B61" s="4">
        <v>54232</v>
      </c>
      <c r="C61" t="s">
        <v>17</v>
      </c>
      <c r="D61" t="s">
        <v>155</v>
      </c>
      <c r="E61" s="4" t="s">
        <v>13</v>
      </c>
      <c r="F61" s="4" t="s">
        <v>13</v>
      </c>
    </row>
    <row r="62" spans="1:6" ht="12" customHeight="1" x14ac:dyDescent="0.3">
      <c r="A62" s="4">
        <v>1070</v>
      </c>
      <c r="B62" s="4">
        <v>54233</v>
      </c>
      <c r="C62" t="s">
        <v>17</v>
      </c>
      <c r="D62" t="s">
        <v>156</v>
      </c>
      <c r="E62" s="4" t="s">
        <v>13</v>
      </c>
      <c r="F62" s="4" t="s">
        <v>13</v>
      </c>
    </row>
    <row r="63" spans="1:6" ht="12" customHeight="1" x14ac:dyDescent="0.3">
      <c r="A63" s="4">
        <v>1071</v>
      </c>
      <c r="B63" s="4">
        <v>54234</v>
      </c>
      <c r="C63" t="s">
        <v>17</v>
      </c>
      <c r="D63" t="s">
        <v>157</v>
      </c>
      <c r="E63" s="4" t="s">
        <v>13</v>
      </c>
      <c r="F63" s="4" t="s">
        <v>13</v>
      </c>
    </row>
    <row r="64" spans="1:6" ht="12" customHeight="1" x14ac:dyDescent="0.3">
      <c r="A64" s="4">
        <v>1072</v>
      </c>
      <c r="B64" s="4">
        <v>54235</v>
      </c>
      <c r="C64" t="s">
        <v>17</v>
      </c>
      <c r="D64" t="s">
        <v>158</v>
      </c>
      <c r="E64" s="4" t="s">
        <v>13</v>
      </c>
      <c r="F64" s="4" t="s">
        <v>13</v>
      </c>
    </row>
    <row r="65" spans="1:6" ht="12" customHeight="1" x14ac:dyDescent="0.3">
      <c r="A65" s="4">
        <v>1073</v>
      </c>
      <c r="B65" s="4">
        <v>54236</v>
      </c>
      <c r="C65" t="s">
        <v>17</v>
      </c>
      <c r="D65" t="s">
        <v>159</v>
      </c>
      <c r="E65" s="4" t="s">
        <v>13</v>
      </c>
      <c r="F65" s="4" t="s">
        <v>13</v>
      </c>
    </row>
    <row r="66" spans="1:6" ht="12" customHeight="1" x14ac:dyDescent="0.3">
      <c r="A66" s="4">
        <v>1074</v>
      </c>
      <c r="B66" s="4">
        <v>54237</v>
      </c>
      <c r="C66" t="s">
        <v>17</v>
      </c>
      <c r="D66" t="s">
        <v>160</v>
      </c>
      <c r="E66" s="4" t="s">
        <v>13</v>
      </c>
      <c r="F66" s="4" t="s">
        <v>13</v>
      </c>
    </row>
    <row r="67" spans="1:6" ht="12" customHeight="1" x14ac:dyDescent="0.3">
      <c r="A67" s="4">
        <v>1075</v>
      </c>
      <c r="B67" s="4">
        <v>54238</v>
      </c>
      <c r="C67" t="s">
        <v>17</v>
      </c>
      <c r="D67" t="s">
        <v>161</v>
      </c>
      <c r="E67" s="4" t="s">
        <v>13</v>
      </c>
      <c r="F67" s="4" t="s">
        <v>13</v>
      </c>
    </row>
    <row r="68" spans="1:6" ht="12" customHeight="1" x14ac:dyDescent="0.3">
      <c r="A68" s="4">
        <v>1076</v>
      </c>
      <c r="B68" s="4">
        <v>54239</v>
      </c>
      <c r="C68" t="s">
        <v>17</v>
      </c>
      <c r="D68" t="s">
        <v>162</v>
      </c>
      <c r="E68" s="4" t="s">
        <v>13</v>
      </c>
      <c r="F68" s="4" t="s">
        <v>13</v>
      </c>
    </row>
    <row r="69" spans="1:6" ht="12" customHeight="1" x14ac:dyDescent="0.3">
      <c r="A69" s="4">
        <v>1077</v>
      </c>
      <c r="B69" s="4">
        <v>54240</v>
      </c>
      <c r="C69" t="s">
        <v>17</v>
      </c>
      <c r="D69" t="s">
        <v>163</v>
      </c>
      <c r="E69" s="4" t="s">
        <v>13</v>
      </c>
      <c r="F69" s="4" t="s">
        <v>13</v>
      </c>
    </row>
    <row r="70" spans="1:6" ht="12" customHeight="1" x14ac:dyDescent="0.3">
      <c r="A70" s="4">
        <v>1078</v>
      </c>
      <c r="B70" s="4">
        <v>54241</v>
      </c>
      <c r="C70" t="s">
        <v>17</v>
      </c>
      <c r="D70" t="s">
        <v>164</v>
      </c>
      <c r="E70" s="4" t="s">
        <v>13</v>
      </c>
      <c r="F70" s="4" t="s">
        <v>13</v>
      </c>
    </row>
    <row r="71" spans="1:6" ht="12" customHeight="1" x14ac:dyDescent="0.3">
      <c r="A71" s="4">
        <v>1079</v>
      </c>
      <c r="B71" s="4">
        <v>54242</v>
      </c>
      <c r="C71" t="s">
        <v>17</v>
      </c>
      <c r="D71" t="s">
        <v>165</v>
      </c>
      <c r="E71" s="4" t="s">
        <v>13</v>
      </c>
      <c r="F71" s="4" t="s">
        <v>13</v>
      </c>
    </row>
    <row r="72" spans="1:6" ht="12" customHeight="1" x14ac:dyDescent="0.3">
      <c r="A72" s="4">
        <v>1080</v>
      </c>
      <c r="B72" s="4">
        <v>54243</v>
      </c>
      <c r="C72" t="s">
        <v>17</v>
      </c>
      <c r="D72" t="s">
        <v>166</v>
      </c>
      <c r="E72" s="4" t="s">
        <v>13</v>
      </c>
      <c r="F72" s="4" t="s">
        <v>13</v>
      </c>
    </row>
    <row r="73" spans="1:6" ht="12" customHeight="1" x14ac:dyDescent="0.3">
      <c r="A73" s="4">
        <v>1081</v>
      </c>
      <c r="B73" s="4">
        <v>54244</v>
      </c>
      <c r="C73" t="s">
        <v>17</v>
      </c>
      <c r="D73" t="s">
        <v>167</v>
      </c>
      <c r="E73" s="4" t="s">
        <v>13</v>
      </c>
      <c r="F73" s="4" t="s">
        <v>13</v>
      </c>
    </row>
    <row r="74" spans="1:6" ht="12" customHeight="1" x14ac:dyDescent="0.3">
      <c r="A74" s="4">
        <v>1082</v>
      </c>
      <c r="B74" s="4">
        <v>54245</v>
      </c>
      <c r="C74" t="s">
        <v>17</v>
      </c>
      <c r="D74" t="s">
        <v>168</v>
      </c>
      <c r="E74" s="4" t="s">
        <v>13</v>
      </c>
      <c r="F74" s="4" t="s">
        <v>13</v>
      </c>
    </row>
    <row r="75" spans="1:6" ht="12" customHeight="1" x14ac:dyDescent="0.3">
      <c r="A75" s="4">
        <v>1083</v>
      </c>
      <c r="B75" s="4">
        <v>54246</v>
      </c>
      <c r="C75" t="s">
        <v>17</v>
      </c>
      <c r="D75" t="s">
        <v>169</v>
      </c>
      <c r="E75" s="4" t="s">
        <v>13</v>
      </c>
      <c r="F75" s="4" t="s">
        <v>13</v>
      </c>
    </row>
    <row r="76" spans="1:6" ht="12" customHeight="1" x14ac:dyDescent="0.3">
      <c r="A76" s="4">
        <v>1084</v>
      </c>
      <c r="B76" s="4">
        <v>54247</v>
      </c>
      <c r="C76" t="s">
        <v>17</v>
      </c>
      <c r="D76" t="s">
        <v>170</v>
      </c>
      <c r="E76" s="4" t="s">
        <v>13</v>
      </c>
      <c r="F76" s="4" t="s">
        <v>13</v>
      </c>
    </row>
    <row r="77" spans="1:6" ht="12" customHeight="1" x14ac:dyDescent="0.3">
      <c r="A77" s="4">
        <v>1085</v>
      </c>
      <c r="B77" s="4">
        <v>54248</v>
      </c>
      <c r="C77" t="s">
        <v>17</v>
      </c>
      <c r="D77" t="s">
        <v>171</v>
      </c>
      <c r="E77" s="4" t="s">
        <v>13</v>
      </c>
      <c r="F77" s="4" t="s">
        <v>13</v>
      </c>
    </row>
    <row r="78" spans="1:6" ht="12" customHeight="1" x14ac:dyDescent="0.3">
      <c r="A78" s="4">
        <v>1086</v>
      </c>
      <c r="B78" s="4">
        <v>54249</v>
      </c>
      <c r="C78" t="s">
        <v>17</v>
      </c>
      <c r="D78" t="s">
        <v>172</v>
      </c>
      <c r="E78" s="4" t="s">
        <v>13</v>
      </c>
      <c r="F78" s="4" t="s">
        <v>13</v>
      </c>
    </row>
    <row r="79" spans="1:6" ht="12" customHeight="1" x14ac:dyDescent="0.3">
      <c r="A79" s="4">
        <v>1087</v>
      </c>
      <c r="B79" s="4">
        <v>54250</v>
      </c>
      <c r="C79" t="s">
        <v>17</v>
      </c>
      <c r="D79" t="s">
        <v>173</v>
      </c>
      <c r="E79" s="4" t="s">
        <v>13</v>
      </c>
      <c r="F79" s="4" t="s">
        <v>13</v>
      </c>
    </row>
    <row r="80" spans="1:6" ht="12" customHeight="1" x14ac:dyDescent="0.3">
      <c r="A80" s="4">
        <v>1088</v>
      </c>
      <c r="B80" s="4">
        <v>54251</v>
      </c>
      <c r="C80" t="s">
        <v>17</v>
      </c>
      <c r="D80" t="s">
        <v>174</v>
      </c>
      <c r="E80" s="4" t="s">
        <v>13</v>
      </c>
      <c r="F80" s="4" t="s">
        <v>13</v>
      </c>
    </row>
    <row r="81" spans="1:6" ht="12" customHeight="1" x14ac:dyDescent="0.3">
      <c r="A81" s="4">
        <v>1089</v>
      </c>
      <c r="B81" s="4">
        <v>54252</v>
      </c>
      <c r="C81" t="s">
        <v>17</v>
      </c>
      <c r="D81" t="s">
        <v>175</v>
      </c>
      <c r="E81" s="4" t="s">
        <v>13</v>
      </c>
      <c r="F81" s="4" t="s">
        <v>13</v>
      </c>
    </row>
    <row r="82" spans="1:6" ht="12" customHeight="1" x14ac:dyDescent="0.3">
      <c r="A82" s="4">
        <v>1090</v>
      </c>
      <c r="B82" s="4">
        <v>54253</v>
      </c>
      <c r="C82" t="s">
        <v>17</v>
      </c>
      <c r="D82" t="s">
        <v>176</v>
      </c>
      <c r="E82" s="4" t="s">
        <v>13</v>
      </c>
      <c r="F82" s="4" t="s">
        <v>13</v>
      </c>
    </row>
    <row r="83" spans="1:6" ht="12" customHeight="1" x14ac:dyDescent="0.3">
      <c r="A83" s="4">
        <v>1091</v>
      </c>
      <c r="B83" s="4">
        <v>54254</v>
      </c>
      <c r="C83" t="s">
        <v>17</v>
      </c>
      <c r="D83" t="s">
        <v>177</v>
      </c>
      <c r="E83" s="4" t="s">
        <v>13</v>
      </c>
      <c r="F83" s="4" t="s">
        <v>13</v>
      </c>
    </row>
    <row r="84" spans="1:6" ht="12" customHeight="1" x14ac:dyDescent="0.3">
      <c r="A84" s="4">
        <v>1092</v>
      </c>
      <c r="B84" s="4">
        <v>54255</v>
      </c>
      <c r="C84" t="s">
        <v>17</v>
      </c>
      <c r="D84" t="s">
        <v>178</v>
      </c>
      <c r="E84" s="4" t="s">
        <v>13</v>
      </c>
      <c r="F84" s="4" t="s">
        <v>13</v>
      </c>
    </row>
    <row r="85" spans="1:6" ht="12" customHeight="1" x14ac:dyDescent="0.3">
      <c r="A85" s="4">
        <v>1093</v>
      </c>
      <c r="B85" s="4">
        <v>54256</v>
      </c>
      <c r="C85" t="s">
        <v>17</v>
      </c>
      <c r="D85" t="s">
        <v>179</v>
      </c>
      <c r="E85" s="4" t="s">
        <v>13</v>
      </c>
      <c r="F85" s="4" t="s">
        <v>13</v>
      </c>
    </row>
    <row r="86" spans="1:6" ht="12" customHeight="1" x14ac:dyDescent="0.3">
      <c r="A86" s="4">
        <v>1094</v>
      </c>
      <c r="B86" s="4">
        <v>54257</v>
      </c>
      <c r="C86" t="s">
        <v>17</v>
      </c>
      <c r="D86" t="s">
        <v>180</v>
      </c>
      <c r="E86" s="4" t="s">
        <v>13</v>
      </c>
      <c r="F86" s="4" t="s">
        <v>13</v>
      </c>
    </row>
    <row r="87" spans="1:6" ht="12" customHeight="1" x14ac:dyDescent="0.3">
      <c r="A87" s="4">
        <v>1095</v>
      </c>
      <c r="B87" s="4">
        <v>54258</v>
      </c>
      <c r="C87" t="s">
        <v>17</v>
      </c>
      <c r="D87" t="s">
        <v>181</v>
      </c>
      <c r="E87" s="4" t="s">
        <v>13</v>
      </c>
      <c r="F87" s="4" t="s">
        <v>13</v>
      </c>
    </row>
    <row r="88" spans="1:6" ht="12" customHeight="1" x14ac:dyDescent="0.3">
      <c r="A88" s="4">
        <v>1098</v>
      </c>
      <c r="B88" s="4">
        <v>54259</v>
      </c>
      <c r="C88" t="s">
        <v>17</v>
      </c>
      <c r="D88" t="s">
        <v>182</v>
      </c>
      <c r="E88" s="4" t="s">
        <v>13</v>
      </c>
      <c r="F88" s="4" t="s">
        <v>13</v>
      </c>
    </row>
    <row r="89" spans="1:6" ht="12" customHeight="1" x14ac:dyDescent="0.3">
      <c r="A89" s="4">
        <v>1099</v>
      </c>
      <c r="B89" s="4">
        <v>54260</v>
      </c>
      <c r="C89" t="s">
        <v>17</v>
      </c>
      <c r="D89" t="s">
        <v>183</v>
      </c>
      <c r="E89" s="4" t="s">
        <v>13</v>
      </c>
      <c r="F89" s="4" t="s">
        <v>13</v>
      </c>
    </row>
    <row r="90" spans="1:6" ht="12" customHeight="1" x14ac:dyDescent="0.3">
      <c r="A90" s="4">
        <v>1100</v>
      </c>
      <c r="B90" s="4">
        <v>54261</v>
      </c>
      <c r="C90" t="s">
        <v>17</v>
      </c>
      <c r="D90" t="s">
        <v>184</v>
      </c>
      <c r="E90" s="4" t="s">
        <v>13</v>
      </c>
      <c r="F90" s="4" t="s">
        <v>13</v>
      </c>
    </row>
    <row r="91" spans="1:6" ht="12" customHeight="1" x14ac:dyDescent="0.3">
      <c r="A91" s="4">
        <v>1101</v>
      </c>
      <c r="B91" s="4">
        <v>54262</v>
      </c>
      <c r="C91" t="s">
        <v>17</v>
      </c>
      <c r="D91" t="s">
        <v>185</v>
      </c>
      <c r="E91" s="4" t="s">
        <v>13</v>
      </c>
      <c r="F91" s="4" t="s">
        <v>13</v>
      </c>
    </row>
    <row r="92" spans="1:6" ht="12" customHeight="1" x14ac:dyDescent="0.3">
      <c r="A92" s="4">
        <v>1102</v>
      </c>
      <c r="B92" s="4">
        <v>54263</v>
      </c>
      <c r="C92" t="s">
        <v>17</v>
      </c>
      <c r="D92" t="s">
        <v>186</v>
      </c>
      <c r="E92" s="4" t="s">
        <v>13</v>
      </c>
      <c r="F92" s="4" t="s">
        <v>13</v>
      </c>
    </row>
    <row r="93" spans="1:6" ht="12" customHeight="1" x14ac:dyDescent="0.3">
      <c r="A93" s="4">
        <v>1103</v>
      </c>
      <c r="B93" s="4">
        <v>54264</v>
      </c>
      <c r="C93" t="s">
        <v>17</v>
      </c>
      <c r="D93" t="s">
        <v>187</v>
      </c>
      <c r="E93" s="4" t="s">
        <v>13</v>
      </c>
      <c r="F93" s="4" t="s">
        <v>13</v>
      </c>
    </row>
    <row r="94" spans="1:6" ht="12" customHeight="1" x14ac:dyDescent="0.3">
      <c r="A94" s="4">
        <v>1104</v>
      </c>
      <c r="B94" s="4">
        <v>54265</v>
      </c>
      <c r="C94" t="s">
        <v>17</v>
      </c>
      <c r="D94" t="s">
        <v>188</v>
      </c>
      <c r="E94" s="4" t="s">
        <v>13</v>
      </c>
      <c r="F94" s="4" t="s">
        <v>13</v>
      </c>
    </row>
    <row r="95" spans="1:6" ht="12" customHeight="1" x14ac:dyDescent="0.3">
      <c r="A95" s="4">
        <v>1105</v>
      </c>
      <c r="B95" s="4">
        <v>54266</v>
      </c>
      <c r="C95" t="s">
        <v>17</v>
      </c>
      <c r="D95" t="s">
        <v>189</v>
      </c>
      <c r="E95" s="4" t="s">
        <v>13</v>
      </c>
      <c r="F95" s="4" t="s">
        <v>13</v>
      </c>
    </row>
    <row r="96" spans="1:6" ht="12" customHeight="1" x14ac:dyDescent="0.3">
      <c r="A96" s="4">
        <v>1107</v>
      </c>
      <c r="B96" s="4">
        <v>54267</v>
      </c>
      <c r="C96" t="s">
        <v>17</v>
      </c>
      <c r="D96" t="s">
        <v>190</v>
      </c>
      <c r="E96" s="4" t="s">
        <v>13</v>
      </c>
      <c r="F96" s="4" t="s">
        <v>13</v>
      </c>
    </row>
    <row r="97" spans="1:6" ht="12" customHeight="1" x14ac:dyDescent="0.3">
      <c r="A97" s="4">
        <v>1108</v>
      </c>
      <c r="B97" s="4">
        <v>54268</v>
      </c>
      <c r="C97" t="s">
        <v>17</v>
      </c>
      <c r="D97" t="s">
        <v>191</v>
      </c>
      <c r="E97" s="4" t="s">
        <v>13</v>
      </c>
      <c r="F97" s="4" t="s">
        <v>13</v>
      </c>
    </row>
    <row r="98" spans="1:6" ht="12" customHeight="1" x14ac:dyDescent="0.3">
      <c r="A98" s="4">
        <v>1109</v>
      </c>
      <c r="B98" s="4">
        <v>54269</v>
      </c>
      <c r="C98" t="s">
        <v>17</v>
      </c>
      <c r="D98" t="s">
        <v>192</v>
      </c>
      <c r="E98" s="4" t="s">
        <v>13</v>
      </c>
      <c r="F98" s="4" t="s">
        <v>13</v>
      </c>
    </row>
    <row r="99" spans="1:6" ht="12" customHeight="1" x14ac:dyDescent="0.3">
      <c r="A99" s="4">
        <v>1110</v>
      </c>
      <c r="B99" s="4">
        <v>54270</v>
      </c>
      <c r="C99" t="s">
        <v>17</v>
      </c>
      <c r="D99" t="s">
        <v>193</v>
      </c>
      <c r="E99" s="4" t="s">
        <v>13</v>
      </c>
      <c r="F99" s="4" t="s">
        <v>13</v>
      </c>
    </row>
    <row r="100" spans="1:6" ht="12" customHeight="1" x14ac:dyDescent="0.3">
      <c r="A100" s="4">
        <v>1111</v>
      </c>
      <c r="B100" s="4">
        <v>54271</v>
      </c>
      <c r="C100" t="s">
        <v>17</v>
      </c>
      <c r="D100" t="s">
        <v>194</v>
      </c>
      <c r="E100" s="4" t="s">
        <v>13</v>
      </c>
      <c r="F100" s="4" t="s">
        <v>13</v>
      </c>
    </row>
    <row r="101" spans="1:6" ht="12" customHeight="1" x14ac:dyDescent="0.3">
      <c r="A101" s="4">
        <v>1112</v>
      </c>
      <c r="B101" s="4">
        <v>54272</v>
      </c>
      <c r="C101" t="s">
        <v>17</v>
      </c>
      <c r="D101" t="s">
        <v>195</v>
      </c>
      <c r="E101" s="4" t="s">
        <v>13</v>
      </c>
      <c r="F101" s="4" t="s">
        <v>13</v>
      </c>
    </row>
    <row r="102" spans="1:6" ht="12" customHeight="1" x14ac:dyDescent="0.3">
      <c r="A102" s="4">
        <v>1113</v>
      </c>
      <c r="B102" s="4">
        <v>54273</v>
      </c>
      <c r="C102" t="s">
        <v>17</v>
      </c>
      <c r="D102" t="s">
        <v>196</v>
      </c>
      <c r="E102" s="4" t="s">
        <v>13</v>
      </c>
      <c r="F102" s="4" t="s">
        <v>13</v>
      </c>
    </row>
    <row r="103" spans="1:6" ht="12" customHeight="1" x14ac:dyDescent="0.3">
      <c r="A103" s="4">
        <v>1114</v>
      </c>
      <c r="B103" s="4">
        <v>54274</v>
      </c>
      <c r="C103" t="s">
        <v>17</v>
      </c>
      <c r="D103" t="s">
        <v>197</v>
      </c>
      <c r="E103" s="4" t="s">
        <v>13</v>
      </c>
      <c r="F103" s="4" t="s">
        <v>13</v>
      </c>
    </row>
    <row r="104" spans="1:6" ht="12" customHeight="1" x14ac:dyDescent="0.3">
      <c r="A104" s="4">
        <v>1115</v>
      </c>
      <c r="B104" s="4">
        <v>54275</v>
      </c>
      <c r="C104" t="s">
        <v>17</v>
      </c>
      <c r="D104" t="s">
        <v>198</v>
      </c>
      <c r="E104" s="4" t="s">
        <v>13</v>
      </c>
      <c r="F104" s="4" t="s">
        <v>13</v>
      </c>
    </row>
    <row r="105" spans="1:6" ht="12" customHeight="1" x14ac:dyDescent="0.3">
      <c r="A105" s="4">
        <v>1116</v>
      </c>
      <c r="B105" s="4">
        <v>54276</v>
      </c>
      <c r="C105" t="s">
        <v>17</v>
      </c>
      <c r="D105" t="s">
        <v>199</v>
      </c>
      <c r="E105" s="4" t="s">
        <v>13</v>
      </c>
      <c r="F105" s="4" t="s">
        <v>13</v>
      </c>
    </row>
    <row r="106" spans="1:6" ht="12" customHeight="1" x14ac:dyDescent="0.3">
      <c r="A106" s="4">
        <v>1117</v>
      </c>
      <c r="B106" s="4">
        <v>54277</v>
      </c>
      <c r="C106" t="s">
        <v>17</v>
      </c>
      <c r="D106" t="s">
        <v>200</v>
      </c>
      <c r="E106" s="4" t="s">
        <v>13</v>
      </c>
      <c r="F106" s="4" t="s">
        <v>13</v>
      </c>
    </row>
    <row r="107" spans="1:6" ht="12" customHeight="1" x14ac:dyDescent="0.3">
      <c r="A107" s="4">
        <v>1118</v>
      </c>
      <c r="B107" s="4">
        <v>54278</v>
      </c>
      <c r="C107" t="s">
        <v>17</v>
      </c>
      <c r="D107" t="s">
        <v>201</v>
      </c>
      <c r="E107" s="4" t="s">
        <v>13</v>
      </c>
      <c r="F107" s="4" t="s">
        <v>13</v>
      </c>
    </row>
    <row r="108" spans="1:6" ht="12" customHeight="1" x14ac:dyDescent="0.3">
      <c r="A108" s="4">
        <v>1119</v>
      </c>
      <c r="B108" s="4">
        <v>54279</v>
      </c>
      <c r="C108" t="s">
        <v>17</v>
      </c>
      <c r="D108" t="s">
        <v>202</v>
      </c>
      <c r="E108" s="4" t="s">
        <v>13</v>
      </c>
      <c r="F108" s="4" t="s">
        <v>13</v>
      </c>
    </row>
    <row r="109" spans="1:6" ht="12" customHeight="1" x14ac:dyDescent="0.3">
      <c r="A109" s="4">
        <v>1124</v>
      </c>
      <c r="B109" s="4">
        <v>54280</v>
      </c>
      <c r="C109" t="s">
        <v>17</v>
      </c>
      <c r="D109" t="s">
        <v>203</v>
      </c>
      <c r="E109" s="4" t="s">
        <v>13</v>
      </c>
      <c r="F109" s="4" t="s">
        <v>13</v>
      </c>
    </row>
    <row r="110" spans="1:6" ht="12" customHeight="1" x14ac:dyDescent="0.3">
      <c r="A110" s="4">
        <v>1125</v>
      </c>
      <c r="B110" s="4">
        <v>54281</v>
      </c>
      <c r="C110" t="s">
        <v>17</v>
      </c>
      <c r="D110" t="s">
        <v>204</v>
      </c>
      <c r="E110" s="4" t="s">
        <v>13</v>
      </c>
      <c r="F110" s="4" t="s">
        <v>13</v>
      </c>
    </row>
    <row r="111" spans="1:6" ht="12" customHeight="1" x14ac:dyDescent="0.3">
      <c r="A111" s="4">
        <v>1126</v>
      </c>
      <c r="B111" s="4">
        <v>54282</v>
      </c>
      <c r="C111" t="s">
        <v>17</v>
      </c>
      <c r="D111" t="s">
        <v>205</v>
      </c>
      <c r="E111" s="4" t="s">
        <v>13</v>
      </c>
      <c r="F111" s="4" t="s">
        <v>13</v>
      </c>
    </row>
    <row r="112" spans="1:6" ht="12" customHeight="1" x14ac:dyDescent="0.3">
      <c r="A112" s="4">
        <v>1127</v>
      </c>
      <c r="B112" s="4">
        <v>54283</v>
      </c>
      <c r="C112" t="s">
        <v>17</v>
      </c>
      <c r="D112" t="s">
        <v>206</v>
      </c>
      <c r="E112" s="4" t="s">
        <v>13</v>
      </c>
      <c r="F112" s="4" t="s">
        <v>13</v>
      </c>
    </row>
    <row r="113" spans="1:6" ht="12" customHeight="1" x14ac:dyDescent="0.3">
      <c r="A113" s="4">
        <v>1128</v>
      </c>
      <c r="B113" s="4">
        <v>54284</v>
      </c>
      <c r="C113" t="s">
        <v>17</v>
      </c>
      <c r="D113" t="s">
        <v>207</v>
      </c>
      <c r="E113" s="4" t="s">
        <v>13</v>
      </c>
      <c r="F113" s="4" t="s">
        <v>13</v>
      </c>
    </row>
    <row r="114" spans="1:6" ht="12" customHeight="1" x14ac:dyDescent="0.3">
      <c r="A114" s="4">
        <v>1129</v>
      </c>
      <c r="B114" s="4">
        <v>54285</v>
      </c>
      <c r="C114" t="s">
        <v>17</v>
      </c>
      <c r="D114" t="s">
        <v>208</v>
      </c>
      <c r="E114" s="4" t="s">
        <v>13</v>
      </c>
      <c r="F114" s="4" t="s">
        <v>13</v>
      </c>
    </row>
    <row r="115" spans="1:6" ht="12" customHeight="1" x14ac:dyDescent="0.3">
      <c r="A115" s="4">
        <v>1130</v>
      </c>
      <c r="B115" s="4">
        <v>54286</v>
      </c>
      <c r="C115" t="s">
        <v>17</v>
      </c>
      <c r="D115" t="s">
        <v>209</v>
      </c>
      <c r="E115" s="4" t="s">
        <v>13</v>
      </c>
      <c r="F115" s="4" t="s">
        <v>13</v>
      </c>
    </row>
    <row r="116" spans="1:6" ht="12" customHeight="1" x14ac:dyDescent="0.3">
      <c r="A116" s="4">
        <v>1131</v>
      </c>
      <c r="B116" s="4">
        <v>54287</v>
      </c>
      <c r="C116" t="s">
        <v>17</v>
      </c>
      <c r="D116" t="s">
        <v>210</v>
      </c>
      <c r="E116" s="4" t="s">
        <v>13</v>
      </c>
      <c r="F116" s="4" t="s">
        <v>13</v>
      </c>
    </row>
    <row r="117" spans="1:6" ht="12" customHeight="1" x14ac:dyDescent="0.3">
      <c r="A117" s="4">
        <v>1132</v>
      </c>
      <c r="B117" s="4">
        <v>54288</v>
      </c>
      <c r="C117" t="s">
        <v>17</v>
      </c>
      <c r="D117" t="s">
        <v>211</v>
      </c>
      <c r="E117" s="4" t="s">
        <v>13</v>
      </c>
      <c r="F117" s="4" t="s">
        <v>13</v>
      </c>
    </row>
    <row r="118" spans="1:6" ht="12" customHeight="1" x14ac:dyDescent="0.3">
      <c r="A118" s="4">
        <v>1133</v>
      </c>
      <c r="B118" s="4">
        <v>54289</v>
      </c>
      <c r="C118" t="s">
        <v>17</v>
      </c>
      <c r="D118" t="s">
        <v>212</v>
      </c>
      <c r="E118" s="4" t="s">
        <v>13</v>
      </c>
      <c r="F118" s="4" t="s">
        <v>13</v>
      </c>
    </row>
    <row r="119" spans="1:6" ht="12" customHeight="1" x14ac:dyDescent="0.3">
      <c r="A119" s="4">
        <v>1136</v>
      </c>
      <c r="B119" s="4">
        <v>54290</v>
      </c>
      <c r="C119" t="s">
        <v>17</v>
      </c>
      <c r="D119" t="s">
        <v>213</v>
      </c>
      <c r="E119" s="4" t="s">
        <v>13</v>
      </c>
      <c r="F119" s="4" t="s">
        <v>13</v>
      </c>
    </row>
    <row r="120" spans="1:6" ht="12" customHeight="1" x14ac:dyDescent="0.3">
      <c r="A120" s="4">
        <v>1137</v>
      </c>
      <c r="B120" s="4">
        <v>54291</v>
      </c>
      <c r="C120" t="s">
        <v>17</v>
      </c>
      <c r="D120" t="s">
        <v>214</v>
      </c>
      <c r="E120" s="4" t="s">
        <v>13</v>
      </c>
      <c r="F120" s="4" t="s">
        <v>13</v>
      </c>
    </row>
    <row r="121" spans="1:6" ht="12" customHeight="1" x14ac:dyDescent="0.3">
      <c r="A121" s="4">
        <v>1138</v>
      </c>
      <c r="B121" s="4">
        <v>54292</v>
      </c>
      <c r="C121" t="s">
        <v>17</v>
      </c>
      <c r="D121" t="s">
        <v>215</v>
      </c>
      <c r="E121" s="4" t="s">
        <v>13</v>
      </c>
      <c r="F121" s="4" t="s">
        <v>13</v>
      </c>
    </row>
    <row r="122" spans="1:6" ht="12" customHeight="1" x14ac:dyDescent="0.3">
      <c r="A122" s="4">
        <v>1139</v>
      </c>
      <c r="B122" s="4">
        <v>54293</v>
      </c>
      <c r="C122" t="s">
        <v>17</v>
      </c>
      <c r="D122" t="s">
        <v>216</v>
      </c>
      <c r="E122" s="4" t="s">
        <v>13</v>
      </c>
      <c r="F122" s="4" t="s">
        <v>13</v>
      </c>
    </row>
    <row r="123" spans="1:6" ht="12" customHeight="1" x14ac:dyDescent="0.3">
      <c r="A123" s="4">
        <v>1141</v>
      </c>
      <c r="B123" s="4">
        <v>54294</v>
      </c>
      <c r="C123" t="s">
        <v>17</v>
      </c>
      <c r="D123" t="s">
        <v>217</v>
      </c>
      <c r="E123" s="4" t="s">
        <v>13</v>
      </c>
      <c r="F123" s="4" t="s">
        <v>13</v>
      </c>
    </row>
    <row r="124" spans="1:6" ht="12" customHeight="1" x14ac:dyDescent="0.3">
      <c r="A124" s="4">
        <v>1142</v>
      </c>
      <c r="B124" s="4">
        <v>54295</v>
      </c>
      <c r="C124" t="s">
        <v>17</v>
      </c>
      <c r="D124" t="s">
        <v>218</v>
      </c>
      <c r="E124" s="4" t="s">
        <v>13</v>
      </c>
      <c r="F124" s="4" t="s">
        <v>13</v>
      </c>
    </row>
    <row r="125" spans="1:6" ht="12" customHeight="1" x14ac:dyDescent="0.3">
      <c r="A125" s="4">
        <v>1143</v>
      </c>
      <c r="B125" s="4">
        <v>54296</v>
      </c>
      <c r="C125" t="s">
        <v>17</v>
      </c>
      <c r="D125" t="s">
        <v>12</v>
      </c>
      <c r="E125" s="4" t="s">
        <v>13</v>
      </c>
      <c r="F125" s="4" t="s">
        <v>13</v>
      </c>
    </row>
    <row r="126" spans="1:6" ht="12" customHeight="1" x14ac:dyDescent="0.3">
      <c r="A126" s="4">
        <v>1144</v>
      </c>
      <c r="B126" s="4">
        <v>54297</v>
      </c>
      <c r="C126" t="s">
        <v>17</v>
      </c>
      <c r="D126" t="s">
        <v>219</v>
      </c>
      <c r="E126" s="4" t="s">
        <v>13</v>
      </c>
      <c r="F126" s="4" t="s">
        <v>13</v>
      </c>
    </row>
    <row r="127" spans="1:6" ht="12" customHeight="1" x14ac:dyDescent="0.3">
      <c r="A127" s="4">
        <v>1149</v>
      </c>
      <c r="B127" s="4">
        <v>54298</v>
      </c>
      <c r="C127" t="s">
        <v>17</v>
      </c>
      <c r="D127" t="s">
        <v>220</v>
      </c>
      <c r="E127" s="4" t="s">
        <v>13</v>
      </c>
      <c r="F127" s="4" t="s">
        <v>13</v>
      </c>
    </row>
    <row r="128" spans="1:6" ht="12" customHeight="1" x14ac:dyDescent="0.3">
      <c r="A128" s="4">
        <v>1150</v>
      </c>
      <c r="B128" s="4">
        <v>54299</v>
      </c>
      <c r="C128" t="s">
        <v>17</v>
      </c>
      <c r="D128" t="s">
        <v>221</v>
      </c>
      <c r="E128" s="4" t="s">
        <v>13</v>
      </c>
      <c r="F128" s="4" t="s">
        <v>13</v>
      </c>
    </row>
    <row r="129" spans="1:6" ht="12" customHeight="1" x14ac:dyDescent="0.3">
      <c r="A129" s="4">
        <v>1451</v>
      </c>
      <c r="B129" s="4">
        <v>54300</v>
      </c>
      <c r="C129" t="s">
        <v>17</v>
      </c>
      <c r="D129" t="s">
        <v>222</v>
      </c>
      <c r="E129" s="4" t="s">
        <v>13</v>
      </c>
      <c r="F129" s="4" t="s">
        <v>13</v>
      </c>
    </row>
    <row r="130" spans="1:6" ht="12" customHeight="1" x14ac:dyDescent="0.3">
      <c r="A130" s="4">
        <v>1151</v>
      </c>
      <c r="B130" s="4">
        <v>54301</v>
      </c>
      <c r="C130" t="s">
        <v>17</v>
      </c>
      <c r="D130" t="s">
        <v>223</v>
      </c>
      <c r="E130" s="4" t="s">
        <v>13</v>
      </c>
      <c r="F130" s="4" t="s">
        <v>13</v>
      </c>
    </row>
    <row r="131" spans="1:6" ht="12" customHeight="1" x14ac:dyDescent="0.3">
      <c r="A131" s="4">
        <v>1153</v>
      </c>
      <c r="B131" s="4">
        <v>54302</v>
      </c>
      <c r="C131" t="s">
        <v>17</v>
      </c>
      <c r="D131" t="s">
        <v>224</v>
      </c>
      <c r="E131" s="4" t="s">
        <v>13</v>
      </c>
      <c r="F131" s="4" t="s">
        <v>13</v>
      </c>
    </row>
    <row r="132" spans="1:6" ht="12" customHeight="1" x14ac:dyDescent="0.3">
      <c r="A132" s="4">
        <v>1154</v>
      </c>
      <c r="B132" s="4">
        <v>54303</v>
      </c>
      <c r="C132" t="s">
        <v>17</v>
      </c>
      <c r="D132" t="s">
        <v>225</v>
      </c>
      <c r="E132" s="4" t="s">
        <v>13</v>
      </c>
      <c r="F132" s="4" t="s">
        <v>13</v>
      </c>
    </row>
    <row r="133" spans="1:6" ht="12" customHeight="1" x14ac:dyDescent="0.3">
      <c r="A133" s="4">
        <v>1155</v>
      </c>
      <c r="B133" s="4">
        <v>54304</v>
      </c>
      <c r="C133" t="s">
        <v>17</v>
      </c>
      <c r="D133" t="s">
        <v>226</v>
      </c>
      <c r="E133" s="4" t="s">
        <v>13</v>
      </c>
      <c r="F133" s="4" t="s">
        <v>13</v>
      </c>
    </row>
    <row r="134" spans="1:6" ht="12" customHeight="1" x14ac:dyDescent="0.3">
      <c r="A134" s="4">
        <v>1156</v>
      </c>
      <c r="B134" s="4">
        <v>54305</v>
      </c>
      <c r="C134" t="s">
        <v>17</v>
      </c>
      <c r="D134" t="s">
        <v>227</v>
      </c>
      <c r="E134" s="4" t="s">
        <v>13</v>
      </c>
      <c r="F134" s="4" t="s">
        <v>13</v>
      </c>
    </row>
    <row r="135" spans="1:6" ht="12" customHeight="1" x14ac:dyDescent="0.3">
      <c r="A135" s="4">
        <v>1161</v>
      </c>
      <c r="B135" s="4">
        <v>54306</v>
      </c>
      <c r="C135" t="s">
        <v>17</v>
      </c>
      <c r="D135" t="s">
        <v>228</v>
      </c>
      <c r="E135" s="4" t="s">
        <v>13</v>
      </c>
      <c r="F135" s="4" t="s">
        <v>13</v>
      </c>
    </row>
    <row r="136" spans="1:6" ht="12" customHeight="1" x14ac:dyDescent="0.3">
      <c r="A136" s="4">
        <v>1162</v>
      </c>
      <c r="B136" s="4">
        <v>54307</v>
      </c>
      <c r="C136" t="s">
        <v>17</v>
      </c>
      <c r="D136" t="s">
        <v>229</v>
      </c>
      <c r="E136" s="4" t="s">
        <v>13</v>
      </c>
      <c r="F136" s="4" t="s">
        <v>13</v>
      </c>
    </row>
    <row r="137" spans="1:6" ht="12" customHeight="1" x14ac:dyDescent="0.3">
      <c r="A137" s="4">
        <v>1163</v>
      </c>
      <c r="B137" s="4">
        <v>54308</v>
      </c>
      <c r="C137" t="s">
        <v>17</v>
      </c>
      <c r="D137" t="s">
        <v>230</v>
      </c>
      <c r="E137" s="4" t="s">
        <v>13</v>
      </c>
      <c r="F137" s="4" t="s">
        <v>13</v>
      </c>
    </row>
    <row r="138" spans="1:6" ht="12" customHeight="1" x14ac:dyDescent="0.3">
      <c r="A138" s="4">
        <v>1164</v>
      </c>
      <c r="B138" s="4">
        <v>54309</v>
      </c>
      <c r="C138" t="s">
        <v>17</v>
      </c>
      <c r="D138" t="s">
        <v>231</v>
      </c>
      <c r="E138" s="4" t="s">
        <v>13</v>
      </c>
      <c r="F138" s="4" t="s">
        <v>13</v>
      </c>
    </row>
    <row r="139" spans="1:6" ht="12" customHeight="1" x14ac:dyDescent="0.3">
      <c r="A139" s="4">
        <v>1165</v>
      </c>
      <c r="B139" s="4">
        <v>54310</v>
      </c>
      <c r="C139" t="s">
        <v>17</v>
      </c>
      <c r="D139" t="s">
        <v>232</v>
      </c>
      <c r="E139" s="4" t="s">
        <v>13</v>
      </c>
      <c r="F139" s="4" t="s">
        <v>13</v>
      </c>
    </row>
    <row r="140" spans="1:6" ht="12" customHeight="1" x14ac:dyDescent="0.3">
      <c r="A140" s="4">
        <v>1167</v>
      </c>
      <c r="B140" s="4">
        <v>54311</v>
      </c>
      <c r="C140" t="s">
        <v>17</v>
      </c>
      <c r="D140" t="s">
        <v>233</v>
      </c>
      <c r="E140" s="4" t="s">
        <v>13</v>
      </c>
      <c r="F140" s="4" t="s">
        <v>13</v>
      </c>
    </row>
    <row r="141" spans="1:6" ht="12" customHeight="1" x14ac:dyDescent="0.3">
      <c r="A141" s="4">
        <v>1168</v>
      </c>
      <c r="B141" s="4">
        <v>54312</v>
      </c>
      <c r="C141" t="s">
        <v>17</v>
      </c>
      <c r="D141" t="s">
        <v>234</v>
      </c>
      <c r="E141" s="4" t="s">
        <v>13</v>
      </c>
      <c r="F141" s="4" t="s">
        <v>13</v>
      </c>
    </row>
    <row r="142" spans="1:6" ht="12" customHeight="1" x14ac:dyDescent="0.3">
      <c r="A142" s="4">
        <v>1169</v>
      </c>
      <c r="B142" s="4">
        <v>54313</v>
      </c>
      <c r="C142" t="s">
        <v>17</v>
      </c>
      <c r="D142" t="s">
        <v>235</v>
      </c>
      <c r="E142" s="4" t="s">
        <v>13</v>
      </c>
      <c r="F142" s="4" t="s">
        <v>13</v>
      </c>
    </row>
    <row r="143" spans="1:6" ht="12" customHeight="1" x14ac:dyDescent="0.3">
      <c r="A143" s="4">
        <v>1171</v>
      </c>
      <c r="B143" s="4">
        <v>54314</v>
      </c>
      <c r="C143" t="s">
        <v>17</v>
      </c>
      <c r="D143" t="s">
        <v>236</v>
      </c>
      <c r="E143" s="4" t="s">
        <v>13</v>
      </c>
      <c r="F143" s="4" t="s">
        <v>13</v>
      </c>
    </row>
    <row r="144" spans="1:6" ht="12" customHeight="1" x14ac:dyDescent="0.3">
      <c r="A144" s="4">
        <v>1173</v>
      </c>
      <c r="B144" s="4">
        <v>54315</v>
      </c>
      <c r="C144" t="s">
        <v>17</v>
      </c>
      <c r="D144" t="s">
        <v>237</v>
      </c>
      <c r="E144" s="4" t="s">
        <v>13</v>
      </c>
      <c r="F144" s="4" t="s">
        <v>13</v>
      </c>
    </row>
    <row r="145" spans="1:6" ht="12" customHeight="1" x14ac:dyDescent="0.3">
      <c r="A145" s="4">
        <v>1174</v>
      </c>
      <c r="B145" s="4">
        <v>54316</v>
      </c>
      <c r="C145" t="s">
        <v>17</v>
      </c>
      <c r="D145" t="s">
        <v>238</v>
      </c>
      <c r="E145" s="4" t="s">
        <v>13</v>
      </c>
      <c r="F145" s="4" t="s">
        <v>13</v>
      </c>
    </row>
    <row r="146" spans="1:6" ht="12" customHeight="1" x14ac:dyDescent="0.3">
      <c r="A146" s="4">
        <v>1175</v>
      </c>
      <c r="B146" s="4">
        <v>54317</v>
      </c>
      <c r="C146" t="s">
        <v>17</v>
      </c>
      <c r="D146" t="s">
        <v>239</v>
      </c>
      <c r="E146" s="4" t="s">
        <v>13</v>
      </c>
      <c r="F146" s="4" t="s">
        <v>13</v>
      </c>
    </row>
    <row r="147" spans="1:6" ht="12" customHeight="1" x14ac:dyDescent="0.3">
      <c r="A147" s="4">
        <v>1176</v>
      </c>
      <c r="B147" s="4">
        <v>54318</v>
      </c>
      <c r="C147" t="s">
        <v>17</v>
      </c>
      <c r="D147" t="s">
        <v>240</v>
      </c>
      <c r="E147" s="4" t="s">
        <v>13</v>
      </c>
      <c r="F147" s="4" t="s">
        <v>13</v>
      </c>
    </row>
    <row r="148" spans="1:6" ht="12" customHeight="1" x14ac:dyDescent="0.3">
      <c r="A148" s="4">
        <v>1180</v>
      </c>
      <c r="B148" s="4">
        <v>54319</v>
      </c>
      <c r="C148" t="s">
        <v>17</v>
      </c>
      <c r="D148" t="s">
        <v>241</v>
      </c>
      <c r="E148" s="4" t="s">
        <v>13</v>
      </c>
      <c r="F148" s="4" t="s">
        <v>13</v>
      </c>
    </row>
    <row r="149" spans="1:6" ht="12" customHeight="1" x14ac:dyDescent="0.3">
      <c r="A149" s="4">
        <v>1181</v>
      </c>
      <c r="B149" s="4">
        <v>54320</v>
      </c>
      <c r="C149" t="s">
        <v>17</v>
      </c>
      <c r="D149" t="s">
        <v>242</v>
      </c>
      <c r="E149" s="4" t="s">
        <v>13</v>
      </c>
      <c r="F149" s="4" t="s">
        <v>13</v>
      </c>
    </row>
    <row r="150" spans="1:6" ht="12" customHeight="1" x14ac:dyDescent="0.3">
      <c r="A150" s="4">
        <v>1183</v>
      </c>
      <c r="B150" s="4">
        <v>54321</v>
      </c>
      <c r="C150" t="s">
        <v>17</v>
      </c>
      <c r="D150" t="s">
        <v>243</v>
      </c>
      <c r="E150" s="4" t="s">
        <v>13</v>
      </c>
      <c r="F150" s="4" t="s">
        <v>13</v>
      </c>
    </row>
    <row r="151" spans="1:6" ht="12" customHeight="1" x14ac:dyDescent="0.3">
      <c r="A151" s="4">
        <v>1186</v>
      </c>
      <c r="B151" s="4">
        <v>54322</v>
      </c>
      <c r="C151" t="s">
        <v>17</v>
      </c>
      <c r="D151" t="s">
        <v>244</v>
      </c>
      <c r="E151" s="4" t="s">
        <v>13</v>
      </c>
      <c r="F151" s="4" t="s">
        <v>13</v>
      </c>
    </row>
    <row r="152" spans="1:6" ht="12" customHeight="1" x14ac:dyDescent="0.3">
      <c r="A152" s="4">
        <v>1187</v>
      </c>
      <c r="B152" s="4">
        <v>54323</v>
      </c>
      <c r="C152" t="s">
        <v>17</v>
      </c>
      <c r="D152" t="s">
        <v>245</v>
      </c>
      <c r="E152" s="4" t="s">
        <v>13</v>
      </c>
      <c r="F152" s="4" t="s">
        <v>13</v>
      </c>
    </row>
    <row r="153" spans="1:6" ht="12" customHeight="1" x14ac:dyDescent="0.3">
      <c r="A153" s="4">
        <v>1188</v>
      </c>
      <c r="B153" s="4">
        <v>54324</v>
      </c>
      <c r="C153" t="s">
        <v>17</v>
      </c>
      <c r="D153" t="s">
        <v>246</v>
      </c>
      <c r="E153" s="4" t="s">
        <v>13</v>
      </c>
      <c r="F153" s="4" t="s">
        <v>13</v>
      </c>
    </row>
    <row r="154" spans="1:6" ht="12" customHeight="1" x14ac:dyDescent="0.3">
      <c r="A154" s="4">
        <v>1189</v>
      </c>
      <c r="B154" s="4">
        <v>54325</v>
      </c>
      <c r="C154" t="s">
        <v>17</v>
      </c>
      <c r="D154" t="s">
        <v>247</v>
      </c>
      <c r="E154" s="4" t="s">
        <v>13</v>
      </c>
      <c r="F154" s="4" t="s">
        <v>13</v>
      </c>
    </row>
    <row r="155" spans="1:6" ht="12" customHeight="1" x14ac:dyDescent="0.3">
      <c r="A155" s="4">
        <v>1190</v>
      </c>
      <c r="B155" s="4">
        <v>54326</v>
      </c>
      <c r="C155" t="s">
        <v>17</v>
      </c>
      <c r="D155" t="s">
        <v>248</v>
      </c>
      <c r="E155" s="4" t="s">
        <v>13</v>
      </c>
      <c r="F155" s="4" t="s">
        <v>13</v>
      </c>
    </row>
    <row r="156" spans="1:6" ht="12" customHeight="1" x14ac:dyDescent="0.3">
      <c r="A156" s="4">
        <v>1191</v>
      </c>
      <c r="B156" s="4">
        <v>54327</v>
      </c>
      <c r="C156" t="s">
        <v>17</v>
      </c>
      <c r="D156" t="s">
        <v>249</v>
      </c>
      <c r="E156" s="4" t="s">
        <v>13</v>
      </c>
      <c r="F156" s="4" t="s">
        <v>13</v>
      </c>
    </row>
    <row r="157" spans="1:6" ht="12" customHeight="1" x14ac:dyDescent="0.3">
      <c r="A157" s="4">
        <v>1192</v>
      </c>
      <c r="B157" s="4">
        <v>54328</v>
      </c>
      <c r="C157" t="s">
        <v>17</v>
      </c>
      <c r="D157" t="s">
        <v>250</v>
      </c>
      <c r="E157" s="4" t="s">
        <v>13</v>
      </c>
      <c r="F157" s="4" t="s">
        <v>13</v>
      </c>
    </row>
    <row r="158" spans="1:6" ht="12" customHeight="1" x14ac:dyDescent="0.3">
      <c r="A158" s="4">
        <v>1194</v>
      </c>
      <c r="B158" s="4">
        <v>54329</v>
      </c>
      <c r="C158" t="s">
        <v>17</v>
      </c>
      <c r="D158" t="s">
        <v>251</v>
      </c>
      <c r="E158" s="4" t="s">
        <v>13</v>
      </c>
      <c r="F158" s="4" t="s">
        <v>13</v>
      </c>
    </row>
    <row r="159" spans="1:6" ht="12" customHeight="1" x14ac:dyDescent="0.3">
      <c r="A159" s="4">
        <v>1195</v>
      </c>
      <c r="B159" s="4">
        <v>54330</v>
      </c>
      <c r="C159" t="s">
        <v>17</v>
      </c>
      <c r="D159" t="s">
        <v>252</v>
      </c>
      <c r="E159" s="4" t="s">
        <v>13</v>
      </c>
      <c r="F159" s="4" t="s">
        <v>13</v>
      </c>
    </row>
    <row r="160" spans="1:6" ht="12" customHeight="1" x14ac:dyDescent="0.3">
      <c r="A160" s="4">
        <v>1196</v>
      </c>
      <c r="B160" s="4">
        <v>54331</v>
      </c>
      <c r="C160" t="s">
        <v>17</v>
      </c>
      <c r="D160" t="s">
        <v>253</v>
      </c>
      <c r="E160" s="4" t="s">
        <v>13</v>
      </c>
      <c r="F160" s="4" t="s">
        <v>13</v>
      </c>
    </row>
    <row r="161" spans="1:6" ht="12" customHeight="1" x14ac:dyDescent="0.3">
      <c r="A161" s="4">
        <v>1197</v>
      </c>
      <c r="B161" s="4">
        <v>54332</v>
      </c>
      <c r="C161" t="s">
        <v>17</v>
      </c>
      <c r="D161" t="s">
        <v>254</v>
      </c>
      <c r="E161" s="4" t="s">
        <v>13</v>
      </c>
      <c r="F161" s="4" t="s">
        <v>13</v>
      </c>
    </row>
    <row r="162" spans="1:6" ht="12" customHeight="1" x14ac:dyDescent="0.3">
      <c r="A162" s="4">
        <v>1199</v>
      </c>
      <c r="B162" s="4">
        <v>54333</v>
      </c>
      <c r="C162" t="s">
        <v>17</v>
      </c>
      <c r="D162" t="s">
        <v>255</v>
      </c>
      <c r="E162" s="4" t="s">
        <v>13</v>
      </c>
      <c r="F162" s="4" t="s">
        <v>13</v>
      </c>
    </row>
    <row r="163" spans="1:6" ht="12" customHeight="1" x14ac:dyDescent="0.3">
      <c r="A163" s="4">
        <v>1205</v>
      </c>
      <c r="B163" s="4">
        <v>54334</v>
      </c>
      <c r="C163" t="s">
        <v>17</v>
      </c>
      <c r="D163" t="s">
        <v>256</v>
      </c>
      <c r="E163" s="4" t="s">
        <v>13</v>
      </c>
      <c r="F163" s="4" t="s">
        <v>13</v>
      </c>
    </row>
    <row r="164" spans="1:6" ht="12" customHeight="1" x14ac:dyDescent="0.3">
      <c r="A164" s="4">
        <v>1206</v>
      </c>
      <c r="B164" s="4">
        <v>54335</v>
      </c>
      <c r="C164" t="s">
        <v>17</v>
      </c>
      <c r="D164" t="s">
        <v>257</v>
      </c>
      <c r="E164" s="4" t="s">
        <v>13</v>
      </c>
      <c r="F164" s="4" t="s">
        <v>13</v>
      </c>
    </row>
    <row r="165" spans="1:6" ht="12" customHeight="1" x14ac:dyDescent="0.3">
      <c r="A165" s="4">
        <v>1207</v>
      </c>
      <c r="B165" s="4">
        <v>54336</v>
      </c>
      <c r="C165" t="s">
        <v>17</v>
      </c>
      <c r="D165" t="s">
        <v>258</v>
      </c>
      <c r="E165" s="4" t="s">
        <v>13</v>
      </c>
      <c r="F165" s="4" t="s">
        <v>13</v>
      </c>
    </row>
    <row r="166" spans="1:6" ht="12" customHeight="1" x14ac:dyDescent="0.3">
      <c r="A166" s="4">
        <v>1208</v>
      </c>
      <c r="B166" s="4">
        <v>54337</v>
      </c>
      <c r="C166" t="s">
        <v>17</v>
      </c>
      <c r="D166" t="s">
        <v>259</v>
      </c>
      <c r="E166" s="4" t="s">
        <v>13</v>
      </c>
      <c r="F166" s="4" t="s">
        <v>13</v>
      </c>
    </row>
    <row r="167" spans="1:6" ht="12" customHeight="1" x14ac:dyDescent="0.3">
      <c r="A167" s="4">
        <v>1209</v>
      </c>
      <c r="B167" s="4">
        <v>54338</v>
      </c>
      <c r="C167" t="s">
        <v>17</v>
      </c>
      <c r="D167" t="s">
        <v>260</v>
      </c>
      <c r="E167" s="4" t="s">
        <v>13</v>
      </c>
      <c r="F167" s="4" t="s">
        <v>13</v>
      </c>
    </row>
    <row r="168" spans="1:6" ht="12" customHeight="1" x14ac:dyDescent="0.3">
      <c r="A168" s="4">
        <v>1210</v>
      </c>
      <c r="B168" s="4">
        <v>54339</v>
      </c>
      <c r="C168" t="s">
        <v>17</v>
      </c>
      <c r="D168" t="s">
        <v>261</v>
      </c>
      <c r="E168" s="4" t="s">
        <v>13</v>
      </c>
      <c r="F168" s="4" t="s">
        <v>13</v>
      </c>
    </row>
    <row r="169" spans="1:6" ht="12" customHeight="1" x14ac:dyDescent="0.3">
      <c r="A169" s="4">
        <v>1211</v>
      </c>
      <c r="B169" s="4">
        <v>54340</v>
      </c>
      <c r="C169" t="s">
        <v>17</v>
      </c>
      <c r="D169" t="s">
        <v>262</v>
      </c>
      <c r="E169" s="4" t="s">
        <v>13</v>
      </c>
      <c r="F169" s="4" t="s">
        <v>13</v>
      </c>
    </row>
    <row r="170" spans="1:6" ht="12" customHeight="1" x14ac:dyDescent="0.3">
      <c r="A170" s="4">
        <v>1212</v>
      </c>
      <c r="B170" s="4">
        <v>54341</v>
      </c>
      <c r="C170" t="s">
        <v>17</v>
      </c>
      <c r="D170" t="s">
        <v>263</v>
      </c>
      <c r="E170" s="4" t="s">
        <v>13</v>
      </c>
      <c r="F170" s="4" t="s">
        <v>13</v>
      </c>
    </row>
    <row r="171" spans="1:6" ht="12" customHeight="1" x14ac:dyDescent="0.3">
      <c r="A171" s="4">
        <v>1213</v>
      </c>
      <c r="B171" s="4">
        <v>54342</v>
      </c>
      <c r="C171" t="s">
        <v>17</v>
      </c>
      <c r="D171" t="s">
        <v>264</v>
      </c>
      <c r="E171" s="4" t="s">
        <v>13</v>
      </c>
      <c r="F171" s="4" t="s">
        <v>13</v>
      </c>
    </row>
    <row r="172" spans="1:6" ht="12" customHeight="1" x14ac:dyDescent="0.3">
      <c r="A172" s="4">
        <v>1215</v>
      </c>
      <c r="B172" s="4">
        <v>54343</v>
      </c>
      <c r="C172" t="s">
        <v>17</v>
      </c>
      <c r="D172" t="s">
        <v>265</v>
      </c>
      <c r="E172" s="4" t="s">
        <v>13</v>
      </c>
      <c r="F172" s="4" t="s">
        <v>13</v>
      </c>
    </row>
    <row r="173" spans="1:6" ht="12" customHeight="1" x14ac:dyDescent="0.3">
      <c r="A173" s="4">
        <v>1216</v>
      </c>
      <c r="B173" s="4">
        <v>54344</v>
      </c>
      <c r="C173" t="s">
        <v>17</v>
      </c>
      <c r="D173" t="s">
        <v>266</v>
      </c>
      <c r="E173" s="4" t="s">
        <v>13</v>
      </c>
      <c r="F173" s="4" t="s">
        <v>13</v>
      </c>
    </row>
    <row r="174" spans="1:6" ht="12" customHeight="1" x14ac:dyDescent="0.3">
      <c r="A174" s="4">
        <v>1219</v>
      </c>
      <c r="B174" s="4">
        <v>54345</v>
      </c>
      <c r="C174" t="s">
        <v>17</v>
      </c>
      <c r="D174" t="s">
        <v>267</v>
      </c>
      <c r="E174" s="4" t="s">
        <v>13</v>
      </c>
      <c r="F174" s="4" t="s">
        <v>13</v>
      </c>
    </row>
    <row r="175" spans="1:6" ht="12" customHeight="1" x14ac:dyDescent="0.3">
      <c r="A175" s="4">
        <v>1223</v>
      </c>
      <c r="B175" s="4">
        <v>54346</v>
      </c>
      <c r="C175" t="s">
        <v>17</v>
      </c>
      <c r="D175" t="s">
        <v>268</v>
      </c>
      <c r="E175" s="4" t="s">
        <v>13</v>
      </c>
      <c r="F175" s="4" t="s">
        <v>13</v>
      </c>
    </row>
    <row r="176" spans="1:6" ht="12" customHeight="1" x14ac:dyDescent="0.3">
      <c r="A176" s="4">
        <v>1224</v>
      </c>
      <c r="B176" s="4">
        <v>54347</v>
      </c>
      <c r="C176" t="s">
        <v>17</v>
      </c>
      <c r="D176" t="s">
        <v>269</v>
      </c>
      <c r="E176" s="4" t="s">
        <v>13</v>
      </c>
      <c r="F176" s="4" t="s">
        <v>13</v>
      </c>
    </row>
    <row r="177" spans="1:6" ht="12" customHeight="1" x14ac:dyDescent="0.3">
      <c r="A177" s="4">
        <v>1227</v>
      </c>
      <c r="B177" s="4">
        <v>54348</v>
      </c>
      <c r="C177" t="s">
        <v>17</v>
      </c>
      <c r="D177" t="s">
        <v>270</v>
      </c>
      <c r="E177" s="4" t="s">
        <v>13</v>
      </c>
      <c r="F177" s="4" t="s">
        <v>13</v>
      </c>
    </row>
    <row r="178" spans="1:6" ht="12" customHeight="1" x14ac:dyDescent="0.3">
      <c r="A178" s="4">
        <v>1228</v>
      </c>
      <c r="B178" s="4">
        <v>54349</v>
      </c>
      <c r="C178" t="s">
        <v>17</v>
      </c>
      <c r="D178" t="s">
        <v>271</v>
      </c>
      <c r="E178" s="4" t="s">
        <v>13</v>
      </c>
      <c r="F178" s="4" t="s">
        <v>13</v>
      </c>
    </row>
    <row r="179" spans="1:6" ht="12" customHeight="1" x14ac:dyDescent="0.3">
      <c r="A179" s="4">
        <v>1430</v>
      </c>
      <c r="B179" s="4">
        <v>54350</v>
      </c>
      <c r="C179" t="s">
        <v>17</v>
      </c>
      <c r="D179" t="s">
        <v>272</v>
      </c>
      <c r="E179" s="4" t="s">
        <v>13</v>
      </c>
      <c r="F179" s="4" t="s">
        <v>13</v>
      </c>
    </row>
    <row r="180" spans="1:6" ht="12" customHeight="1" x14ac:dyDescent="0.3">
      <c r="A180" s="4">
        <v>1432</v>
      </c>
      <c r="B180" s="4">
        <v>54351</v>
      </c>
      <c r="C180" t="s">
        <v>17</v>
      </c>
      <c r="D180" t="s">
        <v>273</v>
      </c>
      <c r="E180" s="4" t="s">
        <v>13</v>
      </c>
      <c r="F180" s="4" t="s">
        <v>13</v>
      </c>
    </row>
    <row r="181" spans="1:6" ht="12" customHeight="1" x14ac:dyDescent="0.3">
      <c r="A181" s="4">
        <v>1230</v>
      </c>
      <c r="B181" s="4">
        <v>54352</v>
      </c>
      <c r="C181" t="s">
        <v>17</v>
      </c>
      <c r="D181" t="s">
        <v>274</v>
      </c>
      <c r="E181" s="4" t="s">
        <v>13</v>
      </c>
      <c r="F181" s="4" t="s">
        <v>13</v>
      </c>
    </row>
    <row r="182" spans="1:6" ht="12" customHeight="1" x14ac:dyDescent="0.3">
      <c r="A182" s="4">
        <v>1231</v>
      </c>
      <c r="B182" s="4">
        <v>54353</v>
      </c>
      <c r="C182" t="s">
        <v>17</v>
      </c>
      <c r="D182" t="s">
        <v>275</v>
      </c>
      <c r="E182" s="4" t="s">
        <v>13</v>
      </c>
      <c r="F182" s="4" t="s">
        <v>13</v>
      </c>
    </row>
    <row r="183" spans="1:6" ht="12" customHeight="1" x14ac:dyDescent="0.3">
      <c r="A183" s="4">
        <v>1232</v>
      </c>
      <c r="B183" s="4">
        <v>54354</v>
      </c>
      <c r="C183" t="s">
        <v>17</v>
      </c>
      <c r="D183" t="s">
        <v>276</v>
      </c>
      <c r="E183" s="4" t="s">
        <v>13</v>
      </c>
      <c r="F183" s="4" t="s">
        <v>13</v>
      </c>
    </row>
    <row r="184" spans="1:6" ht="12" customHeight="1" x14ac:dyDescent="0.3">
      <c r="A184" s="4">
        <v>1233</v>
      </c>
      <c r="B184" s="4">
        <v>54355</v>
      </c>
      <c r="C184" t="s">
        <v>17</v>
      </c>
      <c r="D184" t="s">
        <v>277</v>
      </c>
      <c r="E184" s="4" t="s">
        <v>13</v>
      </c>
      <c r="F184" s="4" t="s">
        <v>13</v>
      </c>
    </row>
    <row r="185" spans="1:6" ht="12" customHeight="1" x14ac:dyDescent="0.3">
      <c r="A185" s="4">
        <v>1234</v>
      </c>
      <c r="B185" s="4">
        <v>54356</v>
      </c>
      <c r="C185" t="s">
        <v>17</v>
      </c>
      <c r="D185" t="s">
        <v>278</v>
      </c>
      <c r="E185" s="4" t="s">
        <v>13</v>
      </c>
      <c r="F185" s="4" t="s">
        <v>13</v>
      </c>
    </row>
    <row r="186" spans="1:6" ht="12" customHeight="1" x14ac:dyDescent="0.3">
      <c r="A186" s="4">
        <v>1236</v>
      </c>
      <c r="B186" s="4">
        <v>54357</v>
      </c>
      <c r="C186" t="s">
        <v>17</v>
      </c>
      <c r="D186" t="s">
        <v>279</v>
      </c>
      <c r="E186" s="4" t="s">
        <v>13</v>
      </c>
      <c r="F186" s="4" t="s">
        <v>13</v>
      </c>
    </row>
    <row r="187" spans="1:6" ht="12" customHeight="1" x14ac:dyDescent="0.3">
      <c r="A187" s="4">
        <v>1237</v>
      </c>
      <c r="B187" s="4">
        <v>54358</v>
      </c>
      <c r="C187" t="s">
        <v>17</v>
      </c>
      <c r="D187" t="s">
        <v>280</v>
      </c>
      <c r="E187" s="4" t="s">
        <v>13</v>
      </c>
      <c r="F187" s="4" t="s">
        <v>13</v>
      </c>
    </row>
    <row r="188" spans="1:6" ht="12" customHeight="1" x14ac:dyDescent="0.3">
      <c r="A188" s="4">
        <v>1238</v>
      </c>
      <c r="B188" s="4">
        <v>54359</v>
      </c>
      <c r="C188" t="s">
        <v>17</v>
      </c>
      <c r="D188" t="s">
        <v>281</v>
      </c>
      <c r="E188" s="4" t="s">
        <v>13</v>
      </c>
      <c r="F188" s="4" t="s">
        <v>13</v>
      </c>
    </row>
    <row r="189" spans="1:6" ht="12" customHeight="1" x14ac:dyDescent="0.3">
      <c r="A189" s="4">
        <v>1239</v>
      </c>
      <c r="B189" s="4">
        <v>54360</v>
      </c>
      <c r="C189" t="s">
        <v>17</v>
      </c>
      <c r="D189" t="s">
        <v>282</v>
      </c>
      <c r="E189" s="4" t="s">
        <v>13</v>
      </c>
      <c r="F189" s="4" t="s">
        <v>13</v>
      </c>
    </row>
    <row r="190" spans="1:6" ht="12" customHeight="1" x14ac:dyDescent="0.3">
      <c r="A190" s="4">
        <v>1241</v>
      </c>
      <c r="B190" s="4">
        <v>54361</v>
      </c>
      <c r="C190" t="s">
        <v>17</v>
      </c>
      <c r="D190" t="s">
        <v>283</v>
      </c>
      <c r="E190" s="4" t="s">
        <v>13</v>
      </c>
      <c r="F190" s="4" t="s">
        <v>13</v>
      </c>
    </row>
    <row r="191" spans="1:6" ht="12" customHeight="1" x14ac:dyDescent="0.3">
      <c r="A191" s="4">
        <v>1245</v>
      </c>
      <c r="B191" s="4">
        <v>54362</v>
      </c>
      <c r="C191" t="s">
        <v>17</v>
      </c>
      <c r="D191" t="s">
        <v>284</v>
      </c>
      <c r="E191" s="4" t="s">
        <v>13</v>
      </c>
      <c r="F191" s="4" t="s">
        <v>13</v>
      </c>
    </row>
    <row r="192" spans="1:6" ht="12" customHeight="1" x14ac:dyDescent="0.3">
      <c r="A192" s="4">
        <v>1246</v>
      </c>
      <c r="B192" s="4">
        <v>54363</v>
      </c>
      <c r="C192" t="s">
        <v>17</v>
      </c>
      <c r="D192" t="s">
        <v>285</v>
      </c>
      <c r="E192" s="4" t="s">
        <v>13</v>
      </c>
      <c r="F192" s="4" t="s">
        <v>13</v>
      </c>
    </row>
    <row r="193" spans="1:6" ht="12" customHeight="1" x14ac:dyDescent="0.3">
      <c r="A193" s="4">
        <v>1300</v>
      </c>
      <c r="B193" s="4">
        <v>54364</v>
      </c>
      <c r="C193" t="s">
        <v>17</v>
      </c>
      <c r="D193" t="s">
        <v>286</v>
      </c>
      <c r="E193" s="4" t="s">
        <v>13</v>
      </c>
      <c r="F193" s="4" t="s">
        <v>13</v>
      </c>
    </row>
    <row r="194" spans="1:6" ht="12" customHeight="1" x14ac:dyDescent="0.3">
      <c r="A194" s="4">
        <v>1301</v>
      </c>
      <c r="B194" s="4">
        <v>54365</v>
      </c>
      <c r="C194" t="s">
        <v>17</v>
      </c>
      <c r="D194" t="s">
        <v>287</v>
      </c>
      <c r="E194" s="4" t="s">
        <v>13</v>
      </c>
      <c r="F194" s="4" t="s">
        <v>13</v>
      </c>
    </row>
    <row r="195" spans="1:6" ht="12" customHeight="1" x14ac:dyDescent="0.3">
      <c r="A195" s="4">
        <v>1302</v>
      </c>
      <c r="B195" s="4">
        <v>54366</v>
      </c>
      <c r="C195" t="s">
        <v>17</v>
      </c>
      <c r="D195" t="s">
        <v>288</v>
      </c>
      <c r="E195" s="4" t="s">
        <v>13</v>
      </c>
      <c r="F195" s="4" t="s">
        <v>13</v>
      </c>
    </row>
    <row r="196" spans="1:6" ht="12" customHeight="1" x14ac:dyDescent="0.3">
      <c r="A196" s="4">
        <v>1304</v>
      </c>
      <c r="B196" s="4">
        <v>54367</v>
      </c>
      <c r="C196" t="s">
        <v>17</v>
      </c>
      <c r="D196" t="s">
        <v>289</v>
      </c>
      <c r="E196" s="4" t="s">
        <v>13</v>
      </c>
      <c r="F196" s="4" t="s">
        <v>13</v>
      </c>
    </row>
    <row r="197" spans="1:6" ht="12" customHeight="1" x14ac:dyDescent="0.3">
      <c r="A197" s="4">
        <v>1305</v>
      </c>
      <c r="B197" s="4">
        <v>54368</v>
      </c>
      <c r="C197" t="s">
        <v>17</v>
      </c>
      <c r="D197" t="s">
        <v>290</v>
      </c>
      <c r="E197" s="4" t="s">
        <v>13</v>
      </c>
      <c r="F197" s="4" t="s">
        <v>13</v>
      </c>
    </row>
    <row r="198" spans="1:6" ht="12" customHeight="1" x14ac:dyDescent="0.3">
      <c r="A198" s="4">
        <v>1306</v>
      </c>
      <c r="B198" s="4">
        <v>54369</v>
      </c>
      <c r="C198" t="s">
        <v>17</v>
      </c>
      <c r="D198" t="s">
        <v>291</v>
      </c>
      <c r="E198" s="4" t="s">
        <v>13</v>
      </c>
      <c r="F198" s="4" t="s">
        <v>13</v>
      </c>
    </row>
    <row r="199" spans="1:6" ht="12" customHeight="1" x14ac:dyDescent="0.3">
      <c r="A199" s="4">
        <v>1307</v>
      </c>
      <c r="B199" s="4">
        <v>54370</v>
      </c>
      <c r="C199" t="s">
        <v>17</v>
      </c>
      <c r="D199" t="s">
        <v>292</v>
      </c>
      <c r="E199" s="4" t="s">
        <v>13</v>
      </c>
      <c r="F199" s="4" t="s">
        <v>13</v>
      </c>
    </row>
    <row r="200" spans="1:6" ht="12" customHeight="1" x14ac:dyDescent="0.3">
      <c r="A200" s="4">
        <v>1308</v>
      </c>
      <c r="B200" s="4">
        <v>54371</v>
      </c>
      <c r="C200" t="s">
        <v>17</v>
      </c>
      <c r="D200" t="s">
        <v>293</v>
      </c>
      <c r="E200" s="4" t="s">
        <v>13</v>
      </c>
      <c r="F200" s="4" t="s">
        <v>13</v>
      </c>
    </row>
    <row r="201" spans="1:6" ht="12" customHeight="1" x14ac:dyDescent="0.3">
      <c r="A201" s="4">
        <v>1309</v>
      </c>
      <c r="B201" s="4">
        <v>54372</v>
      </c>
      <c r="C201" t="s">
        <v>17</v>
      </c>
      <c r="D201" t="s">
        <v>294</v>
      </c>
      <c r="E201" s="4" t="s">
        <v>13</v>
      </c>
      <c r="F201" s="4" t="s">
        <v>13</v>
      </c>
    </row>
    <row r="202" spans="1:6" ht="12" customHeight="1" x14ac:dyDescent="0.3">
      <c r="A202" s="4">
        <v>1310</v>
      </c>
      <c r="B202" s="4">
        <v>54373</v>
      </c>
      <c r="C202" t="s">
        <v>17</v>
      </c>
      <c r="D202" t="s">
        <v>295</v>
      </c>
      <c r="E202" s="4" t="s">
        <v>13</v>
      </c>
      <c r="F202" s="4" t="s">
        <v>13</v>
      </c>
    </row>
    <row r="203" spans="1:6" ht="12" customHeight="1" x14ac:dyDescent="0.3">
      <c r="A203" s="4">
        <v>1311</v>
      </c>
      <c r="B203" s="4">
        <v>54374</v>
      </c>
      <c r="C203" t="s">
        <v>17</v>
      </c>
      <c r="D203" t="s">
        <v>296</v>
      </c>
      <c r="E203" s="4" t="s">
        <v>13</v>
      </c>
      <c r="F203" s="4" t="s">
        <v>13</v>
      </c>
    </row>
    <row r="204" spans="1:6" ht="12" customHeight="1" x14ac:dyDescent="0.3">
      <c r="A204" s="4">
        <v>1400</v>
      </c>
      <c r="B204" s="4">
        <v>54375</v>
      </c>
      <c r="C204" t="s">
        <v>17</v>
      </c>
      <c r="D204" t="s">
        <v>297</v>
      </c>
      <c r="E204" s="4" t="s">
        <v>13</v>
      </c>
      <c r="F204" s="4" t="s">
        <v>13</v>
      </c>
    </row>
    <row r="205" spans="1:6" ht="12" customHeight="1" x14ac:dyDescent="0.3">
      <c r="A205" s="4">
        <v>1405</v>
      </c>
      <c r="B205" s="4">
        <v>54376</v>
      </c>
      <c r="C205" t="s">
        <v>17</v>
      </c>
      <c r="D205" t="s">
        <v>298</v>
      </c>
      <c r="E205" s="4" t="s">
        <v>13</v>
      </c>
      <c r="F205" s="4" t="s">
        <v>13</v>
      </c>
    </row>
    <row r="206" spans="1:6" ht="12" customHeight="1" x14ac:dyDescent="0.3">
      <c r="A206" s="4">
        <v>1408</v>
      </c>
      <c r="B206" s="4">
        <v>54377</v>
      </c>
      <c r="C206" t="s">
        <v>17</v>
      </c>
      <c r="D206" t="s">
        <v>299</v>
      </c>
      <c r="E206" s="4" t="s">
        <v>13</v>
      </c>
      <c r="F206" s="4" t="s">
        <v>13</v>
      </c>
    </row>
    <row r="207" spans="1:6" ht="12" customHeight="1" x14ac:dyDescent="0.3">
      <c r="A207" s="4">
        <v>1409</v>
      </c>
      <c r="B207" s="4">
        <v>54378</v>
      </c>
      <c r="C207" t="s">
        <v>17</v>
      </c>
      <c r="D207" t="s">
        <v>300</v>
      </c>
      <c r="E207" s="4" t="s">
        <v>13</v>
      </c>
      <c r="F207" s="4" t="s">
        <v>13</v>
      </c>
    </row>
    <row r="208" spans="1:6" ht="12" customHeight="1" x14ac:dyDescent="0.3">
      <c r="A208" s="4">
        <v>1411</v>
      </c>
      <c r="B208" s="4">
        <v>54379</v>
      </c>
      <c r="C208" t="s">
        <v>17</v>
      </c>
      <c r="D208" t="s">
        <v>301</v>
      </c>
      <c r="E208" s="4" t="s">
        <v>13</v>
      </c>
      <c r="F208" s="4" t="s">
        <v>13</v>
      </c>
    </row>
    <row r="209" spans="1:6" ht="12" customHeight="1" x14ac:dyDescent="0.3">
      <c r="A209" s="4">
        <v>1414</v>
      </c>
      <c r="B209" s="4">
        <v>54380</v>
      </c>
      <c r="C209" t="s">
        <v>17</v>
      </c>
      <c r="D209" t="s">
        <v>302</v>
      </c>
      <c r="E209" s="4" t="s">
        <v>13</v>
      </c>
      <c r="F209" s="4" t="s">
        <v>13</v>
      </c>
    </row>
    <row r="210" spans="1:6" ht="12" customHeight="1" x14ac:dyDescent="0.3">
      <c r="A210" s="4">
        <v>1415</v>
      </c>
      <c r="B210" s="4">
        <v>54381</v>
      </c>
      <c r="C210" t="s">
        <v>17</v>
      </c>
      <c r="D210" t="s">
        <v>303</v>
      </c>
      <c r="E210" s="4" t="s">
        <v>13</v>
      </c>
      <c r="F210" s="4" t="s">
        <v>13</v>
      </c>
    </row>
    <row r="211" spans="1:6" ht="12" customHeight="1" x14ac:dyDescent="0.3">
      <c r="A211" s="4">
        <v>1416</v>
      </c>
      <c r="B211" s="4">
        <v>54382</v>
      </c>
      <c r="C211" t="s">
        <v>17</v>
      </c>
      <c r="D211" t="s">
        <v>304</v>
      </c>
      <c r="E211" s="4" t="s">
        <v>13</v>
      </c>
      <c r="F211" s="4" t="s">
        <v>13</v>
      </c>
    </row>
    <row r="212" spans="1:6" ht="12" customHeight="1" x14ac:dyDescent="0.3">
      <c r="A212" s="4">
        <v>1417</v>
      </c>
      <c r="B212" s="4">
        <v>54383</v>
      </c>
      <c r="C212" t="s">
        <v>17</v>
      </c>
      <c r="D212" t="s">
        <v>305</v>
      </c>
      <c r="E212" s="4" t="s">
        <v>13</v>
      </c>
      <c r="F212" s="4" t="s">
        <v>13</v>
      </c>
    </row>
    <row r="213" spans="1:6" ht="12" customHeight="1" x14ac:dyDescent="0.3">
      <c r="A213" s="4">
        <v>1418</v>
      </c>
      <c r="B213" s="4">
        <v>54384</v>
      </c>
      <c r="C213" t="s">
        <v>17</v>
      </c>
      <c r="D213" t="s">
        <v>306</v>
      </c>
      <c r="E213" s="4" t="s">
        <v>13</v>
      </c>
      <c r="F213" s="4" t="s">
        <v>13</v>
      </c>
    </row>
    <row r="214" spans="1:6" ht="12" customHeight="1" x14ac:dyDescent="0.3">
      <c r="A214" s="4">
        <v>1420</v>
      </c>
      <c r="B214" s="4">
        <v>54385</v>
      </c>
      <c r="C214" t="s">
        <v>17</v>
      </c>
      <c r="D214" t="s">
        <v>307</v>
      </c>
      <c r="E214" s="4" t="s">
        <v>13</v>
      </c>
      <c r="F214" s="4" t="s">
        <v>13</v>
      </c>
    </row>
    <row r="215" spans="1:6" ht="12" customHeight="1" x14ac:dyDescent="0.3">
      <c r="A215" s="4">
        <v>1421</v>
      </c>
      <c r="B215" s="4">
        <v>54386</v>
      </c>
      <c r="C215" t="s">
        <v>17</v>
      </c>
      <c r="D215" t="s">
        <v>308</v>
      </c>
      <c r="E215" s="4" t="s">
        <v>13</v>
      </c>
      <c r="F215" s="4" t="s">
        <v>13</v>
      </c>
    </row>
    <row r="216" spans="1:6" ht="12" customHeight="1" x14ac:dyDescent="0.3">
      <c r="A216" s="4">
        <v>1423</v>
      </c>
      <c r="B216" s="4">
        <v>54387</v>
      </c>
      <c r="C216" t="s">
        <v>17</v>
      </c>
      <c r="D216" t="s">
        <v>309</v>
      </c>
      <c r="E216" s="4" t="s">
        <v>13</v>
      </c>
      <c r="F216" s="4" t="s">
        <v>13</v>
      </c>
    </row>
    <row r="217" spans="1:6" ht="12" customHeight="1" x14ac:dyDescent="0.3">
      <c r="A217" s="4">
        <v>1424</v>
      </c>
      <c r="B217" s="4">
        <v>54388</v>
      </c>
      <c r="C217" t="s">
        <v>17</v>
      </c>
      <c r="D217" t="s">
        <v>310</v>
      </c>
      <c r="E217" s="4" t="s">
        <v>13</v>
      </c>
      <c r="F217" s="4" t="s">
        <v>13</v>
      </c>
    </row>
    <row r="218" spans="1:6" ht="12" customHeight="1" x14ac:dyDescent="0.3">
      <c r="A218" s="4">
        <v>1425</v>
      </c>
      <c r="B218" s="4">
        <v>54389</v>
      </c>
      <c r="C218" t="s">
        <v>17</v>
      </c>
      <c r="D218" t="s">
        <v>311</v>
      </c>
      <c r="E218" s="4" t="s">
        <v>13</v>
      </c>
      <c r="F218" s="4" t="s">
        <v>13</v>
      </c>
    </row>
    <row r="219" spans="1:6" ht="12" customHeight="1" x14ac:dyDescent="0.3">
      <c r="A219" s="4">
        <v>1426</v>
      </c>
      <c r="B219" s="4">
        <v>54390</v>
      </c>
      <c r="C219" t="s">
        <v>17</v>
      </c>
      <c r="D219" t="s">
        <v>312</v>
      </c>
      <c r="E219" s="4" t="s">
        <v>13</v>
      </c>
      <c r="F219" s="4" t="s">
        <v>13</v>
      </c>
    </row>
    <row r="220" spans="1:6" ht="12" customHeight="1" x14ac:dyDescent="0.3">
      <c r="A220" s="4">
        <v>1427</v>
      </c>
      <c r="B220" s="4">
        <v>54391</v>
      </c>
      <c r="C220" t="s">
        <v>17</v>
      </c>
      <c r="D220" t="s">
        <v>313</v>
      </c>
      <c r="E220" s="4" t="s">
        <v>13</v>
      </c>
      <c r="F220" s="4" t="s">
        <v>13</v>
      </c>
    </row>
    <row r="221" spans="1:6" ht="12" customHeight="1" x14ac:dyDescent="0.3">
      <c r="A221" s="4">
        <v>1428</v>
      </c>
      <c r="B221" s="4">
        <v>54392</v>
      </c>
      <c r="C221" t="s">
        <v>17</v>
      </c>
      <c r="D221" t="s">
        <v>15</v>
      </c>
      <c r="E221" s="4" t="s">
        <v>13</v>
      </c>
      <c r="F221" s="4" t="s">
        <v>13</v>
      </c>
    </row>
    <row r="222" spans="1:6" ht="12" customHeight="1" x14ac:dyDescent="0.3">
      <c r="A222" s="4">
        <v>1500</v>
      </c>
      <c r="B222" s="4">
        <v>54393</v>
      </c>
      <c r="C222" t="s">
        <v>17</v>
      </c>
      <c r="D222" t="s">
        <v>314</v>
      </c>
      <c r="E222" s="4" t="s">
        <v>13</v>
      </c>
      <c r="F222" s="4" t="s">
        <v>13</v>
      </c>
    </row>
    <row r="223" spans="1:6" ht="12" customHeight="1" x14ac:dyDescent="0.3">
      <c r="A223" s="4">
        <v>1501</v>
      </c>
      <c r="B223" s="4">
        <v>54394</v>
      </c>
      <c r="C223" t="s">
        <v>17</v>
      </c>
      <c r="D223" t="s">
        <v>315</v>
      </c>
      <c r="E223" s="4" t="s">
        <v>13</v>
      </c>
      <c r="F223" s="4" t="s">
        <v>13</v>
      </c>
    </row>
    <row r="224" spans="1:6" ht="12" customHeight="1" x14ac:dyDescent="0.3">
      <c r="A224" s="4">
        <v>1504</v>
      </c>
      <c r="B224" s="4">
        <v>54395</v>
      </c>
      <c r="C224" t="s">
        <v>17</v>
      </c>
      <c r="D224" t="s">
        <v>316</v>
      </c>
      <c r="E224" s="4" t="s">
        <v>13</v>
      </c>
      <c r="F224" s="4" t="s">
        <v>13</v>
      </c>
    </row>
    <row r="225" spans="1:6" ht="12" customHeight="1" x14ac:dyDescent="0.3">
      <c r="A225" s="4">
        <v>1505</v>
      </c>
      <c r="B225" s="4">
        <v>54396</v>
      </c>
      <c r="C225" t="s">
        <v>17</v>
      </c>
      <c r="D225" t="s">
        <v>317</v>
      </c>
      <c r="E225" s="4" t="s">
        <v>13</v>
      </c>
      <c r="F225" s="4" t="s">
        <v>13</v>
      </c>
    </row>
    <row r="226" spans="1:6" ht="12" customHeight="1" x14ac:dyDescent="0.3">
      <c r="A226" s="4">
        <v>1506</v>
      </c>
      <c r="B226" s="4">
        <v>54397</v>
      </c>
      <c r="C226" t="s">
        <v>17</v>
      </c>
      <c r="D226" t="s">
        <v>318</v>
      </c>
      <c r="E226" s="4" t="s">
        <v>13</v>
      </c>
      <c r="F226" s="4" t="s">
        <v>13</v>
      </c>
    </row>
    <row r="227" spans="1:6" ht="12" customHeight="1" x14ac:dyDescent="0.3">
      <c r="A227" s="4">
        <v>1507</v>
      </c>
      <c r="B227" s="4">
        <v>54398</v>
      </c>
      <c r="C227" t="s">
        <v>17</v>
      </c>
      <c r="D227" t="s">
        <v>319</v>
      </c>
      <c r="E227" s="4" t="s">
        <v>13</v>
      </c>
      <c r="F227" s="4" t="s">
        <v>13</v>
      </c>
    </row>
    <row r="228" spans="1:6" ht="12" customHeight="1" x14ac:dyDescent="0.3">
      <c r="A228" s="4">
        <v>1508</v>
      </c>
      <c r="B228" s="4">
        <v>54399</v>
      </c>
      <c r="C228" t="s">
        <v>17</v>
      </c>
      <c r="D228" t="s">
        <v>320</v>
      </c>
      <c r="E228" s="4" t="s">
        <v>13</v>
      </c>
      <c r="F228" s="4" t="s">
        <v>13</v>
      </c>
    </row>
    <row r="229" spans="1:6" ht="12" customHeight="1" x14ac:dyDescent="0.3">
      <c r="A229" s="4">
        <v>1511</v>
      </c>
      <c r="B229" s="4">
        <v>54400</v>
      </c>
      <c r="C229" t="s">
        <v>17</v>
      </c>
      <c r="D229" t="s">
        <v>321</v>
      </c>
      <c r="E229" s="4" t="s">
        <v>13</v>
      </c>
      <c r="F229" s="4" t="s">
        <v>13</v>
      </c>
    </row>
    <row r="230" spans="1:6" ht="12" customHeight="1" x14ac:dyDescent="0.3">
      <c r="A230" s="4">
        <v>1512</v>
      </c>
      <c r="B230" s="4">
        <v>54401</v>
      </c>
      <c r="C230" t="s">
        <v>17</v>
      </c>
      <c r="D230" t="s">
        <v>322</v>
      </c>
      <c r="E230" s="4" t="s">
        <v>13</v>
      </c>
      <c r="F230" s="4" t="s">
        <v>13</v>
      </c>
    </row>
    <row r="231" spans="1:6" ht="12" customHeight="1" x14ac:dyDescent="0.3">
      <c r="A231" s="4">
        <v>1514</v>
      </c>
      <c r="B231" s="4">
        <v>54402</v>
      </c>
      <c r="C231" t="s">
        <v>17</v>
      </c>
      <c r="D231" t="s">
        <v>323</v>
      </c>
      <c r="E231" s="4" t="s">
        <v>13</v>
      </c>
      <c r="F231" s="4" t="s">
        <v>13</v>
      </c>
    </row>
    <row r="232" spans="1:6" ht="12" customHeight="1" x14ac:dyDescent="0.3">
      <c r="A232" s="4">
        <v>1515</v>
      </c>
      <c r="B232" s="4">
        <v>54403</v>
      </c>
      <c r="C232" t="s">
        <v>17</v>
      </c>
      <c r="D232" t="s">
        <v>324</v>
      </c>
      <c r="E232" s="4" t="s">
        <v>13</v>
      </c>
      <c r="F232" s="4" t="s">
        <v>13</v>
      </c>
    </row>
    <row r="233" spans="1:6" ht="12" customHeight="1" x14ac:dyDescent="0.3">
      <c r="A233" s="4">
        <v>1516</v>
      </c>
      <c r="B233" s="4">
        <v>54404</v>
      </c>
      <c r="C233" t="s">
        <v>17</v>
      </c>
      <c r="D233" t="s">
        <v>325</v>
      </c>
      <c r="E233" s="4" t="s">
        <v>13</v>
      </c>
      <c r="F233" s="4" t="s">
        <v>13</v>
      </c>
    </row>
    <row r="234" spans="1:6" ht="12" customHeight="1" x14ac:dyDescent="0.3">
      <c r="A234" s="4">
        <v>1517</v>
      </c>
      <c r="B234" s="4">
        <v>54405</v>
      </c>
      <c r="C234" t="s">
        <v>17</v>
      </c>
      <c r="D234" t="s">
        <v>326</v>
      </c>
      <c r="E234" s="4" t="s">
        <v>13</v>
      </c>
      <c r="F234" s="4" t="s">
        <v>13</v>
      </c>
    </row>
    <row r="235" spans="1:6" ht="12" customHeight="1" x14ac:dyDescent="0.3">
      <c r="A235" s="4">
        <v>1518</v>
      </c>
      <c r="B235" s="4">
        <v>54406</v>
      </c>
      <c r="C235" t="s">
        <v>17</v>
      </c>
      <c r="D235" t="s">
        <v>327</v>
      </c>
      <c r="E235" s="4" t="s">
        <v>13</v>
      </c>
      <c r="F235" s="4" t="s">
        <v>13</v>
      </c>
    </row>
    <row r="236" spans="1:6" ht="12" customHeight="1" x14ac:dyDescent="0.3">
      <c r="A236" s="4">
        <v>1519</v>
      </c>
      <c r="B236" s="4">
        <v>54407</v>
      </c>
      <c r="C236" t="s">
        <v>17</v>
      </c>
      <c r="D236" t="s">
        <v>328</v>
      </c>
      <c r="E236" s="4" t="s">
        <v>13</v>
      </c>
      <c r="F236" s="4" t="s">
        <v>13</v>
      </c>
    </row>
    <row r="237" spans="1:6" ht="12" customHeight="1" x14ac:dyDescent="0.3">
      <c r="A237" s="4">
        <v>1520</v>
      </c>
      <c r="B237" s="4">
        <v>54408</v>
      </c>
      <c r="C237" t="s">
        <v>17</v>
      </c>
      <c r="D237" t="s">
        <v>329</v>
      </c>
      <c r="E237" s="4" t="s">
        <v>13</v>
      </c>
      <c r="F237" s="4" t="s">
        <v>13</v>
      </c>
    </row>
    <row r="238" spans="1:6" ht="12" customHeight="1" x14ac:dyDescent="0.3">
      <c r="A238" s="4">
        <v>1521</v>
      </c>
      <c r="B238" s="4">
        <v>54409</v>
      </c>
      <c r="C238" t="s">
        <v>17</v>
      </c>
      <c r="D238" t="s">
        <v>330</v>
      </c>
      <c r="E238" s="4" t="s">
        <v>13</v>
      </c>
      <c r="F238" s="4" t="s">
        <v>13</v>
      </c>
    </row>
    <row r="239" spans="1:6" ht="12" customHeight="1" x14ac:dyDescent="0.3">
      <c r="A239" s="4">
        <v>1522</v>
      </c>
      <c r="B239" s="4">
        <v>54410</v>
      </c>
      <c r="C239" t="s">
        <v>17</v>
      </c>
      <c r="D239" t="s">
        <v>331</v>
      </c>
      <c r="E239" s="4" t="s">
        <v>13</v>
      </c>
      <c r="F239" s="4" t="s">
        <v>13</v>
      </c>
    </row>
    <row r="240" spans="1:6" ht="12" customHeight="1" x14ac:dyDescent="0.3">
      <c r="A240" s="4">
        <v>1523</v>
      </c>
      <c r="B240" s="4">
        <v>54411</v>
      </c>
      <c r="C240" t="s">
        <v>17</v>
      </c>
      <c r="D240" t="s">
        <v>332</v>
      </c>
      <c r="E240" s="4" t="s">
        <v>13</v>
      </c>
      <c r="F240" s="4" t="s">
        <v>13</v>
      </c>
    </row>
    <row r="241" spans="1:6" ht="12" customHeight="1" x14ac:dyDescent="0.3">
      <c r="A241" s="4">
        <v>1524</v>
      </c>
      <c r="B241" s="4">
        <v>54412</v>
      </c>
      <c r="C241" t="s">
        <v>17</v>
      </c>
      <c r="D241" t="s">
        <v>333</v>
      </c>
      <c r="E241" s="4" t="s">
        <v>13</v>
      </c>
      <c r="F241" s="4" t="s">
        <v>13</v>
      </c>
    </row>
    <row r="242" spans="1:6" ht="12" customHeight="1" x14ac:dyDescent="0.3">
      <c r="A242" s="4">
        <v>1525</v>
      </c>
      <c r="B242" s="4">
        <v>54413</v>
      </c>
      <c r="C242" t="s">
        <v>17</v>
      </c>
      <c r="D242" t="s">
        <v>334</v>
      </c>
      <c r="E242" s="4" t="s">
        <v>13</v>
      </c>
      <c r="F242" s="4" t="s">
        <v>13</v>
      </c>
    </row>
    <row r="243" spans="1:6" ht="12" customHeight="1" x14ac:dyDescent="0.3">
      <c r="A243" s="4">
        <v>1532</v>
      </c>
      <c r="B243" s="4">
        <v>54414</v>
      </c>
      <c r="C243" t="s">
        <v>17</v>
      </c>
      <c r="D243" t="s">
        <v>335</v>
      </c>
      <c r="E243" s="4" t="s">
        <v>13</v>
      </c>
      <c r="F243" s="4" t="s">
        <v>13</v>
      </c>
    </row>
    <row r="244" spans="1:6" ht="12" customHeight="1" x14ac:dyDescent="0.3">
      <c r="A244" s="4">
        <v>1533</v>
      </c>
      <c r="B244" s="4">
        <v>54415</v>
      </c>
      <c r="C244" t="s">
        <v>17</v>
      </c>
      <c r="D244" t="s">
        <v>336</v>
      </c>
      <c r="E244" s="4" t="s">
        <v>13</v>
      </c>
      <c r="F244" s="4" t="s">
        <v>13</v>
      </c>
    </row>
    <row r="245" spans="1:6" ht="12" customHeight="1" x14ac:dyDescent="0.3">
      <c r="A245" s="4">
        <v>1534</v>
      </c>
      <c r="B245" s="4">
        <v>54416</v>
      </c>
      <c r="C245" t="s">
        <v>17</v>
      </c>
      <c r="D245" t="s">
        <v>337</v>
      </c>
      <c r="E245" s="4" t="s">
        <v>13</v>
      </c>
      <c r="F245" s="4" t="s">
        <v>13</v>
      </c>
    </row>
    <row r="246" spans="1:6" ht="12" customHeight="1" x14ac:dyDescent="0.3">
      <c r="A246" s="4">
        <v>1535</v>
      </c>
      <c r="B246" s="4">
        <v>54417</v>
      </c>
      <c r="C246" t="s">
        <v>17</v>
      </c>
      <c r="D246" t="s">
        <v>338</v>
      </c>
      <c r="E246" s="4" t="s">
        <v>13</v>
      </c>
      <c r="F246" s="4" t="s">
        <v>13</v>
      </c>
    </row>
    <row r="247" spans="1:6" ht="12" customHeight="1" x14ac:dyDescent="0.3">
      <c r="A247" s="4">
        <v>1536</v>
      </c>
      <c r="B247" s="4">
        <v>54418</v>
      </c>
      <c r="C247" t="s">
        <v>17</v>
      </c>
      <c r="D247" t="s">
        <v>339</v>
      </c>
      <c r="E247" s="4" t="s">
        <v>13</v>
      </c>
      <c r="F247" s="4" t="s">
        <v>13</v>
      </c>
    </row>
    <row r="248" spans="1:6" ht="12" customHeight="1" x14ac:dyDescent="0.3">
      <c r="A248" s="4">
        <v>1538</v>
      </c>
      <c r="B248" s="4">
        <v>54419</v>
      </c>
      <c r="C248" t="s">
        <v>17</v>
      </c>
      <c r="D248" t="s">
        <v>340</v>
      </c>
      <c r="E248" s="4" t="s">
        <v>13</v>
      </c>
      <c r="F248" s="4" t="s">
        <v>13</v>
      </c>
    </row>
    <row r="249" spans="1:6" ht="12" customHeight="1" x14ac:dyDescent="0.3">
      <c r="A249" s="4">
        <v>1541</v>
      </c>
      <c r="B249" s="4">
        <v>54420</v>
      </c>
      <c r="C249" t="s">
        <v>17</v>
      </c>
      <c r="D249" t="s">
        <v>341</v>
      </c>
      <c r="E249" s="4" t="s">
        <v>13</v>
      </c>
      <c r="F249" s="4" t="s">
        <v>13</v>
      </c>
    </row>
    <row r="250" spans="1:6" ht="12" customHeight="1" x14ac:dyDescent="0.3">
      <c r="A250" s="4">
        <v>1544</v>
      </c>
      <c r="B250" s="4">
        <v>54421</v>
      </c>
      <c r="C250" t="s">
        <v>17</v>
      </c>
      <c r="D250" t="s">
        <v>342</v>
      </c>
      <c r="E250" s="4" t="s">
        <v>13</v>
      </c>
      <c r="F250" s="4" t="s">
        <v>13</v>
      </c>
    </row>
    <row r="251" spans="1:6" ht="12" customHeight="1" x14ac:dyDescent="0.3">
      <c r="A251" s="4">
        <v>1545</v>
      </c>
      <c r="B251" s="4">
        <v>54422</v>
      </c>
      <c r="C251" t="s">
        <v>17</v>
      </c>
      <c r="D251" t="s">
        <v>343</v>
      </c>
      <c r="E251" s="4" t="s">
        <v>13</v>
      </c>
      <c r="F251" s="4" t="s">
        <v>13</v>
      </c>
    </row>
    <row r="252" spans="1:6" ht="12" customHeight="1" x14ac:dyDescent="0.3">
      <c r="A252" s="4">
        <v>1546</v>
      </c>
      <c r="B252" s="4">
        <v>54423</v>
      </c>
      <c r="C252" t="s">
        <v>17</v>
      </c>
      <c r="D252" t="s">
        <v>344</v>
      </c>
      <c r="E252" s="4" t="s">
        <v>13</v>
      </c>
      <c r="F252" s="4" t="s">
        <v>13</v>
      </c>
    </row>
    <row r="253" spans="1:6" ht="12" customHeight="1" x14ac:dyDescent="0.3">
      <c r="A253" s="4">
        <v>1548</v>
      </c>
      <c r="B253" s="4">
        <v>54424</v>
      </c>
      <c r="C253" t="s">
        <v>17</v>
      </c>
      <c r="D253" t="s">
        <v>345</v>
      </c>
      <c r="E253" s="4" t="s">
        <v>13</v>
      </c>
      <c r="F253" s="4" t="s">
        <v>13</v>
      </c>
    </row>
    <row r="254" spans="1:6" ht="12" customHeight="1" x14ac:dyDescent="0.3">
      <c r="A254" s="4">
        <v>1553</v>
      </c>
      <c r="B254" s="4">
        <v>54425</v>
      </c>
      <c r="C254" t="s">
        <v>17</v>
      </c>
      <c r="D254" t="s">
        <v>346</v>
      </c>
      <c r="E254" s="4" t="s">
        <v>13</v>
      </c>
      <c r="F254" s="4" t="s">
        <v>13</v>
      </c>
    </row>
    <row r="255" spans="1:6" ht="12" customHeight="1" x14ac:dyDescent="0.3">
      <c r="A255" s="4">
        <v>1556</v>
      </c>
      <c r="B255" s="4">
        <v>54426</v>
      </c>
      <c r="C255" t="s">
        <v>17</v>
      </c>
      <c r="D255" t="s">
        <v>347</v>
      </c>
      <c r="E255" s="4" t="s">
        <v>13</v>
      </c>
      <c r="F255" s="4" t="s">
        <v>13</v>
      </c>
    </row>
    <row r="256" spans="1:6" ht="12" customHeight="1" x14ac:dyDescent="0.3">
      <c r="A256" s="4">
        <v>1557</v>
      </c>
      <c r="B256" s="4">
        <v>54427</v>
      </c>
      <c r="C256" t="s">
        <v>17</v>
      </c>
      <c r="D256" t="s">
        <v>348</v>
      </c>
      <c r="E256" s="4" t="s">
        <v>13</v>
      </c>
      <c r="F256" s="4" t="s">
        <v>13</v>
      </c>
    </row>
    <row r="257" spans="1:6" ht="12" customHeight="1" x14ac:dyDescent="0.3">
      <c r="A257" s="4">
        <v>1558</v>
      </c>
      <c r="B257" s="4">
        <v>54428</v>
      </c>
      <c r="C257" t="s">
        <v>17</v>
      </c>
      <c r="D257" t="s">
        <v>349</v>
      </c>
      <c r="E257" s="4" t="s">
        <v>13</v>
      </c>
      <c r="F257" s="4" t="s">
        <v>13</v>
      </c>
    </row>
    <row r="258" spans="1:6" ht="12" customHeight="1" x14ac:dyDescent="0.3">
      <c r="A258" s="4">
        <v>1559</v>
      </c>
      <c r="B258" s="4">
        <v>54429</v>
      </c>
      <c r="C258" t="s">
        <v>17</v>
      </c>
      <c r="D258" t="s">
        <v>350</v>
      </c>
      <c r="E258" s="4" t="s">
        <v>13</v>
      </c>
      <c r="F258" s="4" t="s">
        <v>13</v>
      </c>
    </row>
    <row r="259" spans="1:6" ht="12" customHeight="1" x14ac:dyDescent="0.3">
      <c r="A259" s="4">
        <v>1560</v>
      </c>
      <c r="B259" s="4">
        <v>54430</v>
      </c>
      <c r="C259" t="s">
        <v>17</v>
      </c>
      <c r="D259" t="s">
        <v>351</v>
      </c>
      <c r="E259" s="4" t="s">
        <v>13</v>
      </c>
      <c r="F259" s="4" t="s">
        <v>13</v>
      </c>
    </row>
    <row r="260" spans="1:6" ht="12" customHeight="1" x14ac:dyDescent="0.3">
      <c r="A260" s="4">
        <v>1561</v>
      </c>
      <c r="B260" s="4">
        <v>54431</v>
      </c>
      <c r="C260" t="s">
        <v>17</v>
      </c>
      <c r="D260" t="s">
        <v>352</v>
      </c>
      <c r="E260" s="4" t="s">
        <v>13</v>
      </c>
      <c r="F260" s="4" t="s">
        <v>13</v>
      </c>
    </row>
    <row r="261" spans="1:6" ht="12" customHeight="1" x14ac:dyDescent="0.3">
      <c r="A261" s="4">
        <v>1563</v>
      </c>
      <c r="B261" s="4">
        <v>54432</v>
      </c>
      <c r="C261" t="s">
        <v>17</v>
      </c>
      <c r="D261" t="s">
        <v>353</v>
      </c>
      <c r="E261" s="4" t="s">
        <v>13</v>
      </c>
      <c r="F261" s="4" t="s">
        <v>13</v>
      </c>
    </row>
    <row r="262" spans="1:6" ht="12" customHeight="1" x14ac:dyDescent="0.3">
      <c r="A262" s="4">
        <v>1565</v>
      </c>
      <c r="B262" s="4">
        <v>54433</v>
      </c>
      <c r="C262" t="s">
        <v>17</v>
      </c>
      <c r="D262" t="s">
        <v>354</v>
      </c>
      <c r="E262" s="4" t="s">
        <v>13</v>
      </c>
      <c r="F262" s="4" t="s">
        <v>13</v>
      </c>
    </row>
    <row r="263" spans="1:6" ht="12" customHeight="1" x14ac:dyDescent="0.3">
      <c r="A263" s="4">
        <v>1569</v>
      </c>
      <c r="B263" s="4">
        <v>54434</v>
      </c>
      <c r="C263" t="s">
        <v>17</v>
      </c>
      <c r="D263" t="s">
        <v>355</v>
      </c>
      <c r="E263" s="4" t="s">
        <v>13</v>
      </c>
      <c r="F263" s="4" t="s">
        <v>13</v>
      </c>
    </row>
    <row r="264" spans="1:6" ht="12" customHeight="1" x14ac:dyDescent="0.3">
      <c r="A264" s="4">
        <v>1570</v>
      </c>
      <c r="B264" s="4">
        <v>54435</v>
      </c>
      <c r="C264" t="s">
        <v>17</v>
      </c>
      <c r="D264" t="s">
        <v>356</v>
      </c>
      <c r="E264" s="4" t="s">
        <v>13</v>
      </c>
      <c r="F264" s="4" t="s">
        <v>13</v>
      </c>
    </row>
    <row r="265" spans="1:6" ht="12" customHeight="1" x14ac:dyDescent="0.3">
      <c r="A265" s="4">
        <v>1571</v>
      </c>
      <c r="B265" s="4">
        <v>54436</v>
      </c>
      <c r="C265" t="s">
        <v>17</v>
      </c>
      <c r="D265" t="s">
        <v>357</v>
      </c>
      <c r="E265" s="4" t="s">
        <v>13</v>
      </c>
      <c r="F265" s="4" t="s">
        <v>13</v>
      </c>
    </row>
    <row r="266" spans="1:6" ht="12" customHeight="1" x14ac:dyDescent="0.3">
      <c r="A266" s="4">
        <v>1578</v>
      </c>
      <c r="B266" s="4">
        <v>54437</v>
      </c>
      <c r="C266" t="s">
        <v>17</v>
      </c>
      <c r="D266" t="s">
        <v>358</v>
      </c>
      <c r="E266" s="4" t="s">
        <v>13</v>
      </c>
      <c r="F266" s="4" t="s">
        <v>13</v>
      </c>
    </row>
    <row r="267" spans="1:6" ht="12" customHeight="1" x14ac:dyDescent="0.3">
      <c r="A267" s="4">
        <v>1579</v>
      </c>
      <c r="B267" s="4">
        <v>54438</v>
      </c>
      <c r="C267" t="s">
        <v>17</v>
      </c>
      <c r="D267" t="s">
        <v>359</v>
      </c>
      <c r="E267" s="4" t="s">
        <v>13</v>
      </c>
      <c r="F267" s="4" t="s">
        <v>13</v>
      </c>
    </row>
    <row r="268" spans="1:6" ht="12" customHeight="1" x14ac:dyDescent="0.3">
      <c r="A268" s="4">
        <v>1580</v>
      </c>
      <c r="B268" s="4">
        <v>54439</v>
      </c>
      <c r="C268" t="s">
        <v>17</v>
      </c>
      <c r="D268" t="s">
        <v>360</v>
      </c>
      <c r="E268" s="4" t="s">
        <v>13</v>
      </c>
      <c r="F268" s="4" t="s">
        <v>13</v>
      </c>
    </row>
    <row r="269" spans="1:6" ht="12" customHeight="1" x14ac:dyDescent="0.3">
      <c r="A269" s="4">
        <v>1581</v>
      </c>
      <c r="B269" s="4">
        <v>54440</v>
      </c>
      <c r="C269" t="s">
        <v>17</v>
      </c>
      <c r="D269" t="s">
        <v>361</v>
      </c>
      <c r="E269" s="4" t="s">
        <v>13</v>
      </c>
      <c r="F269" s="4" t="s">
        <v>13</v>
      </c>
    </row>
    <row r="270" spans="1:6" ht="12" customHeight="1" x14ac:dyDescent="0.3">
      <c r="A270" s="4">
        <v>1582</v>
      </c>
      <c r="B270" s="4">
        <v>54441</v>
      </c>
      <c r="C270" t="s">
        <v>17</v>
      </c>
      <c r="D270" t="s">
        <v>362</v>
      </c>
      <c r="E270" s="4" t="s">
        <v>13</v>
      </c>
      <c r="F270" s="4" t="s">
        <v>13</v>
      </c>
    </row>
    <row r="271" spans="1:6" ht="12" customHeight="1" x14ac:dyDescent="0.3">
      <c r="A271" s="4">
        <v>1583</v>
      </c>
      <c r="B271" s="4">
        <v>54442</v>
      </c>
      <c r="C271" t="s">
        <v>17</v>
      </c>
      <c r="D271" t="s">
        <v>363</v>
      </c>
      <c r="E271" s="4" t="s">
        <v>13</v>
      </c>
      <c r="F271" s="4" t="s">
        <v>13</v>
      </c>
    </row>
    <row r="272" spans="1:6" ht="12" customHeight="1" x14ac:dyDescent="0.3">
      <c r="A272" s="4">
        <v>1584</v>
      </c>
      <c r="B272" s="4">
        <v>54443</v>
      </c>
      <c r="C272" t="s">
        <v>17</v>
      </c>
      <c r="D272" t="s">
        <v>364</v>
      </c>
      <c r="E272" s="4" t="s">
        <v>13</v>
      </c>
      <c r="F272" s="4" t="s">
        <v>13</v>
      </c>
    </row>
    <row r="273" spans="1:6" ht="12" customHeight="1" x14ac:dyDescent="0.3">
      <c r="A273" s="4">
        <v>1585</v>
      </c>
      <c r="B273" s="4">
        <v>54444</v>
      </c>
      <c r="C273" t="s">
        <v>17</v>
      </c>
      <c r="D273" t="s">
        <v>365</v>
      </c>
      <c r="E273" s="4" t="s">
        <v>13</v>
      </c>
      <c r="F273" s="4" t="s">
        <v>13</v>
      </c>
    </row>
    <row r="274" spans="1:6" ht="12" customHeight="1" x14ac:dyDescent="0.3">
      <c r="A274" s="4">
        <v>1587</v>
      </c>
      <c r="B274" s="4">
        <v>54445</v>
      </c>
      <c r="C274" t="s">
        <v>17</v>
      </c>
      <c r="D274" t="s">
        <v>366</v>
      </c>
      <c r="E274" s="4" t="s">
        <v>13</v>
      </c>
      <c r="F274" s="4" t="s">
        <v>13</v>
      </c>
    </row>
    <row r="275" spans="1:6" ht="12" customHeight="1" x14ac:dyDescent="0.3">
      <c r="A275" s="4">
        <v>1588</v>
      </c>
      <c r="B275" s="4">
        <v>54446</v>
      </c>
      <c r="C275" t="s">
        <v>17</v>
      </c>
      <c r="D275" t="s">
        <v>367</v>
      </c>
      <c r="E275" s="4" t="s">
        <v>13</v>
      </c>
      <c r="F275" s="4" t="s">
        <v>13</v>
      </c>
    </row>
    <row r="276" spans="1:6" ht="12" customHeight="1" x14ac:dyDescent="0.3">
      <c r="A276" s="4">
        <v>1589</v>
      </c>
      <c r="B276" s="4">
        <v>54447</v>
      </c>
      <c r="C276" t="s">
        <v>17</v>
      </c>
      <c r="D276" t="s">
        <v>368</v>
      </c>
      <c r="E276" s="4" t="s">
        <v>13</v>
      </c>
      <c r="F276" s="4" t="s">
        <v>13</v>
      </c>
    </row>
    <row r="277" spans="1:6" ht="12" customHeight="1" x14ac:dyDescent="0.3">
      <c r="A277" s="4">
        <v>1591</v>
      </c>
      <c r="B277" s="4">
        <v>54448</v>
      </c>
      <c r="C277" t="s">
        <v>17</v>
      </c>
      <c r="D277" t="s">
        <v>369</v>
      </c>
      <c r="E277" s="4" t="s">
        <v>13</v>
      </c>
      <c r="F277" s="4" t="s">
        <v>13</v>
      </c>
    </row>
    <row r="278" spans="1:6" ht="12" customHeight="1" x14ac:dyDescent="0.3">
      <c r="A278" s="4">
        <v>1597</v>
      </c>
      <c r="B278" s="4">
        <v>54449</v>
      </c>
      <c r="C278" t="s">
        <v>17</v>
      </c>
      <c r="D278" t="s">
        <v>370</v>
      </c>
      <c r="E278" s="4" t="s">
        <v>13</v>
      </c>
      <c r="F278" s="4" t="s">
        <v>13</v>
      </c>
    </row>
    <row r="279" spans="1:6" ht="12" customHeight="1" x14ac:dyDescent="0.3">
      <c r="A279" s="4">
        <v>1600</v>
      </c>
      <c r="B279" s="4">
        <v>54450</v>
      </c>
      <c r="C279" t="s">
        <v>17</v>
      </c>
      <c r="D279" t="s">
        <v>371</v>
      </c>
      <c r="E279" s="4" t="s">
        <v>13</v>
      </c>
      <c r="F279" s="4" t="s">
        <v>13</v>
      </c>
    </row>
    <row r="280" spans="1:6" ht="12" customHeight="1" x14ac:dyDescent="0.3">
      <c r="A280" s="4">
        <v>1601</v>
      </c>
      <c r="B280" s="4">
        <v>54451</v>
      </c>
      <c r="C280" t="s">
        <v>17</v>
      </c>
      <c r="D280" t="s">
        <v>372</v>
      </c>
      <c r="E280" s="4" t="s">
        <v>13</v>
      </c>
      <c r="F280" s="4" t="s">
        <v>13</v>
      </c>
    </row>
    <row r="281" spans="1:6" ht="12" customHeight="1" x14ac:dyDescent="0.3">
      <c r="A281" s="4">
        <v>1602</v>
      </c>
      <c r="B281" s="4">
        <v>54452</v>
      </c>
      <c r="C281" t="s">
        <v>17</v>
      </c>
      <c r="D281" t="s">
        <v>373</v>
      </c>
      <c r="E281" s="4" t="s">
        <v>13</v>
      </c>
      <c r="F281" s="4" t="s">
        <v>13</v>
      </c>
    </row>
    <row r="282" spans="1:6" ht="12" customHeight="1" x14ac:dyDescent="0.3">
      <c r="A282" s="4">
        <v>1604</v>
      </c>
      <c r="B282" s="4">
        <v>54453</v>
      </c>
      <c r="C282" t="s">
        <v>17</v>
      </c>
      <c r="D282" t="s">
        <v>374</v>
      </c>
      <c r="E282" s="4" t="s">
        <v>13</v>
      </c>
      <c r="F282" s="4" t="s">
        <v>13</v>
      </c>
    </row>
    <row r="283" spans="1:6" ht="12" customHeight="1" x14ac:dyDescent="0.3">
      <c r="A283" s="4">
        <v>1607</v>
      </c>
      <c r="B283" s="4">
        <v>54454</v>
      </c>
      <c r="C283" t="s">
        <v>17</v>
      </c>
      <c r="D283" t="s">
        <v>375</v>
      </c>
      <c r="E283" s="4" t="s">
        <v>13</v>
      </c>
      <c r="F283" s="4" t="s">
        <v>13</v>
      </c>
    </row>
    <row r="284" spans="1:6" ht="12" customHeight="1" x14ac:dyDescent="0.3">
      <c r="A284" s="4">
        <v>1608</v>
      </c>
      <c r="B284" s="4">
        <v>54455</v>
      </c>
      <c r="C284" t="s">
        <v>17</v>
      </c>
      <c r="D284" t="s">
        <v>376</v>
      </c>
      <c r="E284" s="4" t="s">
        <v>13</v>
      </c>
      <c r="F284" s="4" t="s">
        <v>13</v>
      </c>
    </row>
    <row r="285" spans="1:6" ht="12" customHeight="1" x14ac:dyDescent="0.3">
      <c r="A285" s="4">
        <v>1609</v>
      </c>
      <c r="B285" s="4">
        <v>54456</v>
      </c>
      <c r="C285" t="s">
        <v>17</v>
      </c>
      <c r="D285" t="s">
        <v>377</v>
      </c>
      <c r="E285" s="4" t="s">
        <v>13</v>
      </c>
      <c r="F285" s="4" t="s">
        <v>13</v>
      </c>
    </row>
    <row r="286" spans="1:6" ht="12" customHeight="1" x14ac:dyDescent="0.3">
      <c r="A286" s="4">
        <v>1610</v>
      </c>
      <c r="B286" s="4">
        <v>54457</v>
      </c>
      <c r="C286" t="s">
        <v>17</v>
      </c>
      <c r="D286" t="s">
        <v>378</v>
      </c>
      <c r="E286" s="4" t="s">
        <v>13</v>
      </c>
      <c r="F286" s="4" t="s">
        <v>13</v>
      </c>
    </row>
    <row r="287" spans="1:6" ht="12" customHeight="1" x14ac:dyDescent="0.3">
      <c r="A287" s="4">
        <v>1611</v>
      </c>
      <c r="B287" s="4">
        <v>54458</v>
      </c>
      <c r="C287" t="s">
        <v>17</v>
      </c>
      <c r="D287" t="s">
        <v>379</v>
      </c>
      <c r="E287" s="4" t="s">
        <v>13</v>
      </c>
      <c r="F287" s="4" t="s">
        <v>13</v>
      </c>
    </row>
    <row r="288" spans="1:6" ht="12" customHeight="1" x14ac:dyDescent="0.3">
      <c r="A288" s="4">
        <v>1612</v>
      </c>
      <c r="B288" s="4">
        <v>54459</v>
      </c>
      <c r="C288" t="s">
        <v>17</v>
      </c>
      <c r="D288" t="s">
        <v>380</v>
      </c>
      <c r="E288" s="4" t="s">
        <v>13</v>
      </c>
      <c r="F288" s="4" t="s">
        <v>13</v>
      </c>
    </row>
    <row r="289" spans="1:6" ht="12" customHeight="1" x14ac:dyDescent="0.3">
      <c r="A289" s="4">
        <v>1613</v>
      </c>
      <c r="B289" s="4">
        <v>54460</v>
      </c>
      <c r="C289" t="s">
        <v>17</v>
      </c>
      <c r="D289" t="s">
        <v>381</v>
      </c>
      <c r="E289" s="4" t="s">
        <v>13</v>
      </c>
      <c r="F289" s="4" t="s">
        <v>13</v>
      </c>
    </row>
    <row r="290" spans="1:6" ht="12" customHeight="1" x14ac:dyDescent="0.3">
      <c r="A290" s="4">
        <v>1614</v>
      </c>
      <c r="B290" s="4">
        <v>54461</v>
      </c>
      <c r="C290" t="s">
        <v>17</v>
      </c>
      <c r="D290" t="s">
        <v>382</v>
      </c>
      <c r="E290" s="4" t="s">
        <v>13</v>
      </c>
      <c r="F290" s="4" t="s">
        <v>13</v>
      </c>
    </row>
    <row r="291" spans="1:6" ht="12" customHeight="1" x14ac:dyDescent="0.3">
      <c r="A291" s="4">
        <v>1615</v>
      </c>
      <c r="B291" s="4">
        <v>54462</v>
      </c>
      <c r="C291" t="s">
        <v>17</v>
      </c>
      <c r="D291" t="s">
        <v>383</v>
      </c>
      <c r="E291" s="4" t="s">
        <v>13</v>
      </c>
      <c r="F291" s="4" t="s">
        <v>13</v>
      </c>
    </row>
    <row r="292" spans="1:6" ht="12" customHeight="1" x14ac:dyDescent="0.3">
      <c r="A292" s="4">
        <v>1616</v>
      </c>
      <c r="B292" s="4">
        <v>54463</v>
      </c>
      <c r="C292" t="s">
        <v>17</v>
      </c>
      <c r="D292" t="s">
        <v>384</v>
      </c>
      <c r="E292" s="4" t="s">
        <v>13</v>
      </c>
      <c r="F292" s="4" t="s">
        <v>13</v>
      </c>
    </row>
    <row r="293" spans="1:6" ht="12" customHeight="1" x14ac:dyDescent="0.3">
      <c r="A293" s="4">
        <v>1617</v>
      </c>
      <c r="B293" s="4">
        <v>54464</v>
      </c>
      <c r="C293" t="s">
        <v>17</v>
      </c>
      <c r="D293" t="s">
        <v>385</v>
      </c>
      <c r="E293" s="4" t="s">
        <v>13</v>
      </c>
      <c r="F293" s="4" t="s">
        <v>13</v>
      </c>
    </row>
    <row r="294" spans="1:6" ht="12" customHeight="1" x14ac:dyDescent="0.3">
      <c r="A294" s="4">
        <v>1618</v>
      </c>
      <c r="B294" s="4">
        <v>54465</v>
      </c>
      <c r="C294" t="s">
        <v>17</v>
      </c>
      <c r="D294" t="s">
        <v>386</v>
      </c>
      <c r="E294" s="4" t="s">
        <v>13</v>
      </c>
      <c r="F294" s="4" t="s">
        <v>13</v>
      </c>
    </row>
    <row r="295" spans="1:6" ht="12" customHeight="1" x14ac:dyDescent="0.3">
      <c r="A295" s="4">
        <v>1619</v>
      </c>
      <c r="B295" s="4">
        <v>54466</v>
      </c>
      <c r="C295" t="s">
        <v>17</v>
      </c>
      <c r="D295" t="s">
        <v>387</v>
      </c>
      <c r="E295" s="4" t="s">
        <v>13</v>
      </c>
      <c r="F295" s="4" t="s">
        <v>13</v>
      </c>
    </row>
    <row r="296" spans="1:6" ht="12" customHeight="1" x14ac:dyDescent="0.3">
      <c r="A296" s="4">
        <v>1620</v>
      </c>
      <c r="B296" s="4">
        <v>54467</v>
      </c>
      <c r="C296" t="s">
        <v>17</v>
      </c>
      <c r="D296" t="s">
        <v>388</v>
      </c>
      <c r="E296" s="4" t="s">
        <v>13</v>
      </c>
      <c r="F296" s="4" t="s">
        <v>13</v>
      </c>
    </row>
    <row r="297" spans="1:6" ht="12" customHeight="1" x14ac:dyDescent="0.3">
      <c r="A297" s="4">
        <v>1621</v>
      </c>
      <c r="B297" s="4">
        <v>54468</v>
      </c>
      <c r="C297" t="s">
        <v>17</v>
      </c>
      <c r="D297" t="s">
        <v>389</v>
      </c>
      <c r="E297" s="4" t="s">
        <v>13</v>
      </c>
      <c r="F297" s="4" t="s">
        <v>13</v>
      </c>
    </row>
    <row r="298" spans="1:6" ht="12" customHeight="1" x14ac:dyDescent="0.3">
      <c r="A298" s="4">
        <v>1624</v>
      </c>
      <c r="B298" s="4">
        <v>54469</v>
      </c>
      <c r="C298" t="s">
        <v>17</v>
      </c>
      <c r="D298" t="s">
        <v>390</v>
      </c>
      <c r="E298" s="4" t="s">
        <v>13</v>
      </c>
      <c r="F298" s="4" t="s">
        <v>13</v>
      </c>
    </row>
    <row r="299" spans="1:6" ht="12" customHeight="1" x14ac:dyDescent="0.3">
      <c r="A299" s="4">
        <v>1627</v>
      </c>
      <c r="B299" s="4">
        <v>54470</v>
      </c>
      <c r="C299" t="s">
        <v>17</v>
      </c>
      <c r="D299" t="s">
        <v>391</v>
      </c>
      <c r="E299" s="4" t="s">
        <v>13</v>
      </c>
      <c r="F299" s="4" t="s">
        <v>13</v>
      </c>
    </row>
    <row r="300" spans="1:6" ht="12" customHeight="1" x14ac:dyDescent="0.3">
      <c r="A300" s="4">
        <v>1628</v>
      </c>
      <c r="B300" s="4">
        <v>54471</v>
      </c>
      <c r="C300" t="s">
        <v>17</v>
      </c>
      <c r="D300" t="s">
        <v>392</v>
      </c>
      <c r="E300" s="4" t="s">
        <v>13</v>
      </c>
      <c r="F300" s="4" t="s">
        <v>13</v>
      </c>
    </row>
    <row r="301" spans="1:6" ht="12" customHeight="1" x14ac:dyDescent="0.3">
      <c r="A301" s="4">
        <v>1629</v>
      </c>
      <c r="B301" s="4">
        <v>54472</v>
      </c>
      <c r="C301" t="s">
        <v>17</v>
      </c>
      <c r="D301" t="s">
        <v>393</v>
      </c>
      <c r="E301" s="4" t="s">
        <v>13</v>
      </c>
      <c r="F301" s="4" t="s">
        <v>13</v>
      </c>
    </row>
    <row r="302" spans="1:6" ht="12" customHeight="1" x14ac:dyDescent="0.3">
      <c r="A302" s="4">
        <v>1634</v>
      </c>
      <c r="B302" s="4">
        <v>54473</v>
      </c>
      <c r="C302" t="s">
        <v>17</v>
      </c>
      <c r="D302" t="s">
        <v>394</v>
      </c>
      <c r="E302" s="4" t="s">
        <v>13</v>
      </c>
      <c r="F302" s="4" t="s">
        <v>13</v>
      </c>
    </row>
    <row r="303" spans="1:6" ht="12" customHeight="1" x14ac:dyDescent="0.3">
      <c r="A303" s="4">
        <v>1638</v>
      </c>
      <c r="B303" s="4">
        <v>54474</v>
      </c>
      <c r="C303" t="s">
        <v>17</v>
      </c>
      <c r="D303" t="s">
        <v>395</v>
      </c>
      <c r="E303" s="4" t="s">
        <v>13</v>
      </c>
      <c r="F303" s="4" t="s">
        <v>13</v>
      </c>
    </row>
    <row r="304" spans="1:6" ht="12" customHeight="1" x14ac:dyDescent="0.3">
      <c r="A304" s="4">
        <v>1640</v>
      </c>
      <c r="B304" s="4">
        <v>54475</v>
      </c>
      <c r="C304" t="s">
        <v>17</v>
      </c>
      <c r="D304" t="s">
        <v>396</v>
      </c>
      <c r="E304" s="4" t="s">
        <v>13</v>
      </c>
      <c r="F304" s="4" t="s">
        <v>13</v>
      </c>
    </row>
    <row r="305" spans="1:6" ht="12" customHeight="1" x14ac:dyDescent="0.3">
      <c r="A305" s="4">
        <v>1641</v>
      </c>
      <c r="B305" s="4">
        <v>54476</v>
      </c>
      <c r="C305" t="s">
        <v>17</v>
      </c>
      <c r="D305" t="s">
        <v>397</v>
      </c>
      <c r="E305" s="4" t="s">
        <v>13</v>
      </c>
      <c r="F305" s="4" t="s">
        <v>13</v>
      </c>
    </row>
    <row r="306" spans="1:6" ht="12" customHeight="1" x14ac:dyDescent="0.3">
      <c r="A306" s="4">
        <v>1643</v>
      </c>
      <c r="B306" s="4">
        <v>54477</v>
      </c>
      <c r="C306" t="s">
        <v>17</v>
      </c>
      <c r="D306" t="s">
        <v>398</v>
      </c>
      <c r="E306" s="4" t="s">
        <v>13</v>
      </c>
      <c r="F306" s="4" t="s">
        <v>13</v>
      </c>
    </row>
    <row r="307" spans="1:6" ht="12" customHeight="1" x14ac:dyDescent="0.3">
      <c r="A307" s="4">
        <v>1644</v>
      </c>
      <c r="B307" s="4">
        <v>54478</v>
      </c>
      <c r="C307" t="s">
        <v>17</v>
      </c>
      <c r="D307" t="s">
        <v>399</v>
      </c>
      <c r="E307" s="4" t="s">
        <v>13</v>
      </c>
      <c r="F307" s="4" t="s">
        <v>13</v>
      </c>
    </row>
    <row r="308" spans="1:6" ht="12" customHeight="1" x14ac:dyDescent="0.3">
      <c r="A308" s="4">
        <v>1645</v>
      </c>
      <c r="B308" s="4">
        <v>54479</v>
      </c>
      <c r="C308" t="s">
        <v>17</v>
      </c>
      <c r="D308" t="s">
        <v>400</v>
      </c>
      <c r="E308" s="4" t="s">
        <v>13</v>
      </c>
      <c r="F308" s="4" t="s">
        <v>13</v>
      </c>
    </row>
    <row r="309" spans="1:6" ht="12" customHeight="1" x14ac:dyDescent="0.3">
      <c r="A309" s="4">
        <v>1648</v>
      </c>
      <c r="B309" s="4">
        <v>54480</v>
      </c>
      <c r="C309" t="s">
        <v>17</v>
      </c>
      <c r="D309" t="s">
        <v>401</v>
      </c>
      <c r="E309" s="4" t="s">
        <v>13</v>
      </c>
      <c r="F309" s="4" t="s">
        <v>13</v>
      </c>
    </row>
    <row r="310" spans="1:6" ht="12" customHeight="1" x14ac:dyDescent="0.3">
      <c r="A310" s="4">
        <v>1651</v>
      </c>
      <c r="B310" s="4">
        <v>54481</v>
      </c>
      <c r="C310" t="s">
        <v>17</v>
      </c>
      <c r="D310" t="s">
        <v>402</v>
      </c>
      <c r="E310" s="4" t="s">
        <v>13</v>
      </c>
      <c r="F310" s="4" t="s">
        <v>13</v>
      </c>
    </row>
    <row r="311" spans="1:6" ht="12" customHeight="1" x14ac:dyDescent="0.3">
      <c r="A311" s="4">
        <v>1652</v>
      </c>
      <c r="B311" s="4">
        <v>54482</v>
      </c>
      <c r="C311" t="s">
        <v>17</v>
      </c>
      <c r="D311" t="s">
        <v>403</v>
      </c>
      <c r="E311" s="4" t="s">
        <v>13</v>
      </c>
      <c r="F311" s="4" t="s">
        <v>13</v>
      </c>
    </row>
    <row r="312" spans="1:6" ht="12" customHeight="1" x14ac:dyDescent="0.3">
      <c r="A312" s="4">
        <v>1661</v>
      </c>
      <c r="B312" s="4">
        <v>54483</v>
      </c>
      <c r="C312" t="s">
        <v>17</v>
      </c>
      <c r="D312" t="s">
        <v>404</v>
      </c>
      <c r="E312" s="4" t="s">
        <v>13</v>
      </c>
      <c r="F312" s="4" t="s">
        <v>13</v>
      </c>
    </row>
    <row r="313" spans="1:6" ht="12" customHeight="1" x14ac:dyDescent="0.3">
      <c r="A313" s="4">
        <v>1662</v>
      </c>
      <c r="B313" s="4">
        <v>54484</v>
      </c>
      <c r="C313" t="s">
        <v>17</v>
      </c>
      <c r="D313" t="s">
        <v>405</v>
      </c>
      <c r="E313" s="4" t="s">
        <v>13</v>
      </c>
      <c r="F313" s="4" t="s">
        <v>13</v>
      </c>
    </row>
    <row r="314" spans="1:6" ht="12" customHeight="1" x14ac:dyDescent="0.3">
      <c r="A314" s="4">
        <v>1666</v>
      </c>
      <c r="B314" s="4">
        <v>54485</v>
      </c>
      <c r="C314" t="s">
        <v>17</v>
      </c>
      <c r="D314" t="s">
        <v>406</v>
      </c>
      <c r="E314" s="4" t="s">
        <v>13</v>
      </c>
      <c r="F314" s="4" t="s">
        <v>13</v>
      </c>
    </row>
    <row r="315" spans="1:6" ht="12" customHeight="1" x14ac:dyDescent="0.3">
      <c r="A315" s="4">
        <v>1670</v>
      </c>
      <c r="B315" s="4">
        <v>54486</v>
      </c>
      <c r="C315" t="s">
        <v>17</v>
      </c>
      <c r="D315" t="s">
        <v>407</v>
      </c>
      <c r="E315" s="4" t="s">
        <v>13</v>
      </c>
      <c r="F315" s="4" t="s">
        <v>13</v>
      </c>
    </row>
    <row r="316" spans="1:6" ht="12" customHeight="1" x14ac:dyDescent="0.3">
      <c r="A316" s="4">
        <v>1671</v>
      </c>
      <c r="B316" s="4">
        <v>54487</v>
      </c>
      <c r="C316" t="s">
        <v>17</v>
      </c>
      <c r="D316" t="s">
        <v>408</v>
      </c>
      <c r="E316" s="4" t="s">
        <v>13</v>
      </c>
      <c r="F316" s="4" t="s">
        <v>13</v>
      </c>
    </row>
    <row r="317" spans="1:6" ht="12" customHeight="1" x14ac:dyDescent="0.3">
      <c r="A317" s="4">
        <v>1672</v>
      </c>
      <c r="B317" s="4">
        <v>54488</v>
      </c>
      <c r="C317" t="s">
        <v>17</v>
      </c>
      <c r="D317" t="s">
        <v>409</v>
      </c>
      <c r="E317" s="4" t="s">
        <v>13</v>
      </c>
      <c r="F317" s="4" t="s">
        <v>13</v>
      </c>
    </row>
    <row r="318" spans="1:6" ht="12" customHeight="1" x14ac:dyDescent="0.3">
      <c r="A318" s="4">
        <v>1674</v>
      </c>
      <c r="B318" s="4">
        <v>54489</v>
      </c>
      <c r="C318" t="s">
        <v>17</v>
      </c>
      <c r="D318" t="s">
        <v>410</v>
      </c>
      <c r="E318" s="4" t="s">
        <v>13</v>
      </c>
      <c r="F318" s="4" t="s">
        <v>13</v>
      </c>
    </row>
    <row r="319" spans="1:6" ht="12" customHeight="1" x14ac:dyDescent="0.3">
      <c r="A319" s="4">
        <v>1675</v>
      </c>
      <c r="B319" s="4">
        <v>54490</v>
      </c>
      <c r="C319" t="s">
        <v>17</v>
      </c>
      <c r="D319" t="s">
        <v>411</v>
      </c>
      <c r="E319" s="4" t="s">
        <v>13</v>
      </c>
      <c r="F319" s="4" t="s">
        <v>13</v>
      </c>
    </row>
    <row r="320" spans="1:6" ht="12" customHeight="1" x14ac:dyDescent="0.3">
      <c r="A320" s="4">
        <v>1676</v>
      </c>
      <c r="B320" s="4">
        <v>54491</v>
      </c>
      <c r="C320" t="s">
        <v>17</v>
      </c>
      <c r="D320" t="s">
        <v>412</v>
      </c>
      <c r="E320" s="4" t="s">
        <v>13</v>
      </c>
      <c r="F320" s="4" t="s">
        <v>13</v>
      </c>
    </row>
    <row r="321" spans="1:6" ht="12" customHeight="1" x14ac:dyDescent="0.3">
      <c r="A321" s="4">
        <v>1678</v>
      </c>
      <c r="B321" s="4">
        <v>54492</v>
      </c>
      <c r="C321" t="s">
        <v>17</v>
      </c>
      <c r="D321" t="s">
        <v>413</v>
      </c>
      <c r="E321" s="4" t="s">
        <v>13</v>
      </c>
      <c r="F321" s="4" t="s">
        <v>13</v>
      </c>
    </row>
    <row r="322" spans="1:6" ht="12" customHeight="1" x14ac:dyDescent="0.3">
      <c r="A322" s="4">
        <v>1681</v>
      </c>
      <c r="B322" s="4">
        <v>54493</v>
      </c>
      <c r="C322" t="s">
        <v>17</v>
      </c>
      <c r="D322" t="s">
        <v>414</v>
      </c>
      <c r="E322" s="4" t="s">
        <v>13</v>
      </c>
      <c r="F322" s="4" t="s">
        <v>13</v>
      </c>
    </row>
    <row r="323" spans="1:6" ht="12" customHeight="1" x14ac:dyDescent="0.3">
      <c r="A323" s="4">
        <v>1684</v>
      </c>
      <c r="B323" s="4">
        <v>54494</v>
      </c>
      <c r="C323" t="s">
        <v>17</v>
      </c>
      <c r="D323" t="s">
        <v>415</v>
      </c>
      <c r="E323" s="4" t="s">
        <v>13</v>
      </c>
      <c r="F323" s="4" t="s">
        <v>13</v>
      </c>
    </row>
    <row r="324" spans="1:6" ht="12" customHeight="1" x14ac:dyDescent="0.3">
      <c r="A324" s="4">
        <v>1685</v>
      </c>
      <c r="B324" s="4">
        <v>54495</v>
      </c>
      <c r="C324" t="s">
        <v>17</v>
      </c>
      <c r="D324" t="s">
        <v>416</v>
      </c>
      <c r="E324" s="4" t="s">
        <v>13</v>
      </c>
      <c r="F324" s="4" t="s">
        <v>13</v>
      </c>
    </row>
    <row r="325" spans="1:6" ht="12" customHeight="1" x14ac:dyDescent="0.3">
      <c r="A325" s="4">
        <v>1686</v>
      </c>
      <c r="B325" s="4">
        <v>54496</v>
      </c>
      <c r="C325" t="s">
        <v>17</v>
      </c>
      <c r="D325" t="s">
        <v>417</v>
      </c>
      <c r="E325" s="4" t="s">
        <v>13</v>
      </c>
      <c r="F325" s="4" t="s">
        <v>13</v>
      </c>
    </row>
    <row r="326" spans="1:6" ht="12" customHeight="1" x14ac:dyDescent="0.3">
      <c r="A326" s="4">
        <v>1687</v>
      </c>
      <c r="B326" s="4">
        <v>54497</v>
      </c>
      <c r="C326" t="s">
        <v>17</v>
      </c>
      <c r="D326" t="s">
        <v>418</v>
      </c>
      <c r="E326" s="4" t="s">
        <v>13</v>
      </c>
      <c r="F326" s="4" t="s">
        <v>13</v>
      </c>
    </row>
    <row r="327" spans="1:6" ht="12" customHeight="1" x14ac:dyDescent="0.3">
      <c r="A327" s="4">
        <v>1688</v>
      </c>
      <c r="B327" s="4">
        <v>54498</v>
      </c>
      <c r="C327" t="s">
        <v>17</v>
      </c>
      <c r="D327" t="s">
        <v>419</v>
      </c>
      <c r="E327" s="4" t="s">
        <v>13</v>
      </c>
      <c r="F327" s="4" t="s">
        <v>13</v>
      </c>
    </row>
    <row r="328" spans="1:6" ht="12" customHeight="1" x14ac:dyDescent="0.3">
      <c r="A328" s="4">
        <v>1689</v>
      </c>
      <c r="B328" s="4">
        <v>54499</v>
      </c>
      <c r="C328" t="s">
        <v>17</v>
      </c>
      <c r="D328" t="s">
        <v>420</v>
      </c>
      <c r="E328" s="4" t="s">
        <v>13</v>
      </c>
      <c r="F328" s="4" t="s">
        <v>13</v>
      </c>
    </row>
    <row r="329" spans="1:6" ht="12" customHeight="1" x14ac:dyDescent="0.3">
      <c r="A329" s="4">
        <v>1691</v>
      </c>
      <c r="B329" s="4">
        <v>54500</v>
      </c>
      <c r="C329" t="s">
        <v>17</v>
      </c>
      <c r="D329" t="s">
        <v>421</v>
      </c>
      <c r="E329" s="4" t="s">
        <v>13</v>
      </c>
      <c r="F329" s="4" t="s">
        <v>13</v>
      </c>
    </row>
    <row r="330" spans="1:6" ht="12" customHeight="1" x14ac:dyDescent="0.3">
      <c r="A330" s="4">
        <v>1692</v>
      </c>
      <c r="B330" s="4">
        <v>54501</v>
      </c>
      <c r="C330" t="s">
        <v>17</v>
      </c>
      <c r="D330" t="s">
        <v>422</v>
      </c>
      <c r="E330" s="4" t="s">
        <v>13</v>
      </c>
      <c r="F330" s="4" t="s">
        <v>13</v>
      </c>
    </row>
    <row r="331" spans="1:6" ht="12" customHeight="1" x14ac:dyDescent="0.3">
      <c r="A331" s="4">
        <v>1693</v>
      </c>
      <c r="B331" s="4">
        <v>54502</v>
      </c>
      <c r="C331" t="s">
        <v>17</v>
      </c>
      <c r="D331" t="s">
        <v>423</v>
      </c>
      <c r="E331" s="4" t="s">
        <v>13</v>
      </c>
      <c r="F331" s="4" t="s">
        <v>13</v>
      </c>
    </row>
    <row r="332" spans="1:6" ht="12" customHeight="1" x14ac:dyDescent="0.3">
      <c r="A332" s="4">
        <v>1694</v>
      </c>
      <c r="B332" s="4">
        <v>54503</v>
      </c>
      <c r="C332" t="s">
        <v>17</v>
      </c>
      <c r="D332" t="s">
        <v>424</v>
      </c>
      <c r="E332" s="4" t="s">
        <v>13</v>
      </c>
      <c r="F332" s="4" t="s">
        <v>13</v>
      </c>
    </row>
    <row r="333" spans="1:6" ht="12" customHeight="1" x14ac:dyDescent="0.3">
      <c r="A333" s="4">
        <v>1698</v>
      </c>
      <c r="B333" s="4">
        <v>54504</v>
      </c>
      <c r="C333" t="s">
        <v>17</v>
      </c>
      <c r="D333" t="s">
        <v>425</v>
      </c>
      <c r="E333" s="4" t="s">
        <v>13</v>
      </c>
      <c r="F333" s="4" t="s">
        <v>13</v>
      </c>
    </row>
    <row r="334" spans="1:6" ht="12" customHeight="1" x14ac:dyDescent="0.3">
      <c r="A334" s="4">
        <v>1701</v>
      </c>
      <c r="B334" s="4">
        <v>54505</v>
      </c>
      <c r="C334" t="s">
        <v>17</v>
      </c>
      <c r="D334" t="s">
        <v>426</v>
      </c>
      <c r="E334" s="4" t="s">
        <v>13</v>
      </c>
      <c r="F334" s="4" t="s">
        <v>13</v>
      </c>
    </row>
    <row r="335" spans="1:6" ht="12" customHeight="1" x14ac:dyDescent="0.3">
      <c r="A335" s="4">
        <v>1709</v>
      </c>
      <c r="B335" s="4">
        <v>54506</v>
      </c>
      <c r="C335" t="s">
        <v>17</v>
      </c>
      <c r="D335" t="s">
        <v>427</v>
      </c>
      <c r="E335" s="4" t="s">
        <v>13</v>
      </c>
      <c r="F335" s="4" t="s">
        <v>13</v>
      </c>
    </row>
    <row r="336" spans="1:6" ht="12" customHeight="1" x14ac:dyDescent="0.3">
      <c r="A336" s="4">
        <v>1713</v>
      </c>
      <c r="B336" s="4">
        <v>54507</v>
      </c>
      <c r="C336" t="s">
        <v>17</v>
      </c>
      <c r="D336" t="s">
        <v>428</v>
      </c>
      <c r="E336" s="4" t="s">
        <v>13</v>
      </c>
      <c r="F336" s="4" t="s">
        <v>13</v>
      </c>
    </row>
    <row r="337" spans="1:6" ht="12" customHeight="1" x14ac:dyDescent="0.3">
      <c r="A337" s="4">
        <v>1717</v>
      </c>
      <c r="B337" s="4">
        <v>54508</v>
      </c>
      <c r="C337" t="s">
        <v>17</v>
      </c>
      <c r="D337" t="s">
        <v>429</v>
      </c>
      <c r="E337" s="4" t="s">
        <v>13</v>
      </c>
      <c r="F337" s="4" t="s">
        <v>13</v>
      </c>
    </row>
    <row r="338" spans="1:6" ht="12" customHeight="1" x14ac:dyDescent="0.3">
      <c r="A338" s="4">
        <v>1718</v>
      </c>
      <c r="B338" s="4">
        <v>54509</v>
      </c>
      <c r="C338" t="s">
        <v>17</v>
      </c>
      <c r="D338" t="s">
        <v>430</v>
      </c>
      <c r="E338" s="4" t="s">
        <v>13</v>
      </c>
      <c r="F338" s="4" t="s">
        <v>13</v>
      </c>
    </row>
    <row r="339" spans="1:6" ht="12" customHeight="1" x14ac:dyDescent="0.3">
      <c r="A339" s="4">
        <v>1719</v>
      </c>
      <c r="B339" s="4">
        <v>54510</v>
      </c>
      <c r="C339" t="s">
        <v>17</v>
      </c>
      <c r="D339" t="s">
        <v>431</v>
      </c>
      <c r="E339" s="4" t="s">
        <v>13</v>
      </c>
      <c r="F339" s="4" t="s">
        <v>13</v>
      </c>
    </row>
    <row r="340" spans="1:6" ht="12" customHeight="1" x14ac:dyDescent="0.3">
      <c r="A340" s="4">
        <v>1720</v>
      </c>
      <c r="B340" s="4">
        <v>54511</v>
      </c>
      <c r="C340" t="s">
        <v>17</v>
      </c>
      <c r="D340" t="s">
        <v>432</v>
      </c>
      <c r="E340" s="4" t="s">
        <v>13</v>
      </c>
      <c r="F340" s="4" t="s">
        <v>13</v>
      </c>
    </row>
    <row r="341" spans="1:6" ht="12" customHeight="1" x14ac:dyDescent="0.3">
      <c r="A341" s="4">
        <v>1721</v>
      </c>
      <c r="B341" s="4">
        <v>54512</v>
      </c>
      <c r="C341" t="s">
        <v>17</v>
      </c>
      <c r="D341" t="s">
        <v>433</v>
      </c>
      <c r="E341" s="4" t="s">
        <v>13</v>
      </c>
      <c r="F341" s="4" t="s">
        <v>13</v>
      </c>
    </row>
    <row r="342" spans="1:6" ht="12" customHeight="1" x14ac:dyDescent="0.3">
      <c r="A342" s="4">
        <v>1722</v>
      </c>
      <c r="B342" s="4">
        <v>54513</v>
      </c>
      <c r="C342" t="s">
        <v>17</v>
      </c>
      <c r="D342" t="s">
        <v>434</v>
      </c>
      <c r="E342" s="4" t="s">
        <v>13</v>
      </c>
      <c r="F342" s="4" t="s">
        <v>13</v>
      </c>
    </row>
    <row r="343" spans="1:6" ht="12" customHeight="1" x14ac:dyDescent="0.3">
      <c r="A343" s="4">
        <v>1723</v>
      </c>
      <c r="B343" s="4">
        <v>54514</v>
      </c>
      <c r="C343" t="s">
        <v>17</v>
      </c>
      <c r="D343" t="s">
        <v>435</v>
      </c>
      <c r="E343" s="4" t="s">
        <v>13</v>
      </c>
      <c r="F343" s="4" t="s">
        <v>13</v>
      </c>
    </row>
    <row r="344" spans="1:6" ht="12" customHeight="1" x14ac:dyDescent="0.3">
      <c r="A344" s="4">
        <v>2000</v>
      </c>
      <c r="B344" s="4">
        <v>54515</v>
      </c>
      <c r="C344" t="s">
        <v>90</v>
      </c>
      <c r="D344" t="s">
        <v>436</v>
      </c>
      <c r="E344" s="4" t="s">
        <v>13</v>
      </c>
      <c r="F344" s="4" t="s">
        <v>13</v>
      </c>
    </row>
    <row r="345" spans="1:6" ht="12" customHeight="1" x14ac:dyDescent="0.3">
      <c r="A345" s="4">
        <v>2001</v>
      </c>
      <c r="B345" s="4">
        <v>54516</v>
      </c>
      <c r="C345" t="s">
        <v>90</v>
      </c>
      <c r="D345" t="s">
        <v>437</v>
      </c>
      <c r="E345" s="4" t="s">
        <v>13</v>
      </c>
      <c r="F345" s="4" t="s">
        <v>13</v>
      </c>
    </row>
    <row r="346" spans="1:6" ht="12" customHeight="1" x14ac:dyDescent="0.3">
      <c r="A346" s="4">
        <v>2002</v>
      </c>
      <c r="B346" s="4">
        <v>54517</v>
      </c>
      <c r="C346" t="s">
        <v>90</v>
      </c>
      <c r="D346" t="s">
        <v>438</v>
      </c>
      <c r="E346" s="4" t="s">
        <v>13</v>
      </c>
      <c r="F346" s="4" t="s">
        <v>13</v>
      </c>
    </row>
    <row r="347" spans="1:6" ht="12" customHeight="1" x14ac:dyDescent="0.3">
      <c r="A347" s="4">
        <v>2003</v>
      </c>
      <c r="B347" s="4">
        <v>54518</v>
      </c>
      <c r="C347" t="s">
        <v>90</v>
      </c>
      <c r="D347" t="s">
        <v>439</v>
      </c>
      <c r="E347" s="4" t="s">
        <v>13</v>
      </c>
      <c r="F347" s="4" t="s">
        <v>13</v>
      </c>
    </row>
    <row r="348" spans="1:6" ht="12" customHeight="1" x14ac:dyDescent="0.3">
      <c r="A348" s="4">
        <v>2004</v>
      </c>
      <c r="B348" s="4">
        <v>54519</v>
      </c>
      <c r="C348" t="s">
        <v>90</v>
      </c>
      <c r="D348" t="s">
        <v>440</v>
      </c>
      <c r="E348" s="4" t="s">
        <v>13</v>
      </c>
      <c r="F348" s="4" t="s">
        <v>13</v>
      </c>
    </row>
    <row r="349" spans="1:6" ht="12" customHeight="1" x14ac:dyDescent="0.3">
      <c r="A349" s="4">
        <v>2005</v>
      </c>
      <c r="B349" s="4">
        <v>54520</v>
      </c>
      <c r="C349" t="s">
        <v>90</v>
      </c>
      <c r="D349" t="s">
        <v>441</v>
      </c>
      <c r="E349" s="4" t="s">
        <v>13</v>
      </c>
      <c r="F349" s="4" t="s">
        <v>13</v>
      </c>
    </row>
    <row r="350" spans="1:6" ht="12" customHeight="1" x14ac:dyDescent="0.3">
      <c r="A350" s="4">
        <v>2006</v>
      </c>
      <c r="B350" s="4">
        <v>54521</v>
      </c>
      <c r="C350" t="s">
        <v>90</v>
      </c>
      <c r="D350" t="s">
        <v>442</v>
      </c>
      <c r="E350" s="4" t="s">
        <v>13</v>
      </c>
      <c r="F350" s="4" t="s">
        <v>13</v>
      </c>
    </row>
    <row r="351" spans="1:6" ht="12" customHeight="1" x14ac:dyDescent="0.3">
      <c r="A351" s="4">
        <v>2007</v>
      </c>
      <c r="B351" s="4">
        <v>54522</v>
      </c>
      <c r="C351" t="s">
        <v>90</v>
      </c>
      <c r="D351" t="s">
        <v>443</v>
      </c>
      <c r="E351" s="4" t="s">
        <v>13</v>
      </c>
      <c r="F351" s="4" t="s">
        <v>13</v>
      </c>
    </row>
    <row r="352" spans="1:6" ht="12" customHeight="1" x14ac:dyDescent="0.3">
      <c r="A352" s="4">
        <v>2008</v>
      </c>
      <c r="B352" s="4">
        <v>54523</v>
      </c>
      <c r="C352" t="s">
        <v>90</v>
      </c>
      <c r="D352" t="s">
        <v>444</v>
      </c>
      <c r="E352" s="4" t="s">
        <v>13</v>
      </c>
      <c r="F352" s="4" t="s">
        <v>13</v>
      </c>
    </row>
    <row r="353" spans="1:6" ht="12" customHeight="1" x14ac:dyDescent="0.3">
      <c r="A353" s="4">
        <v>2010</v>
      </c>
      <c r="B353" s="4">
        <v>54524</v>
      </c>
      <c r="C353" t="s">
        <v>90</v>
      </c>
      <c r="D353" t="s">
        <v>445</v>
      </c>
      <c r="E353" s="4" t="s">
        <v>13</v>
      </c>
      <c r="F353" s="4" t="s">
        <v>13</v>
      </c>
    </row>
    <row r="354" spans="1:6" ht="12" customHeight="1" x14ac:dyDescent="0.3">
      <c r="A354" s="4">
        <v>2011</v>
      </c>
      <c r="B354" s="4">
        <v>54525</v>
      </c>
      <c r="C354" t="s">
        <v>90</v>
      </c>
      <c r="D354" t="s">
        <v>446</v>
      </c>
      <c r="E354" s="4" t="s">
        <v>13</v>
      </c>
      <c r="F354" s="4" t="s">
        <v>13</v>
      </c>
    </row>
    <row r="355" spans="1:6" ht="12" customHeight="1" x14ac:dyDescent="0.3">
      <c r="A355" s="4">
        <v>2012</v>
      </c>
      <c r="B355" s="4">
        <v>54526</v>
      </c>
      <c r="C355" t="s">
        <v>90</v>
      </c>
      <c r="D355" t="s">
        <v>447</v>
      </c>
      <c r="E355" s="4" t="s">
        <v>13</v>
      </c>
      <c r="F355" s="4" t="s">
        <v>13</v>
      </c>
    </row>
    <row r="356" spans="1:6" ht="12" customHeight="1" x14ac:dyDescent="0.3">
      <c r="A356" s="4">
        <v>2013</v>
      </c>
      <c r="B356" s="4">
        <v>54527</v>
      </c>
      <c r="C356" t="s">
        <v>90</v>
      </c>
      <c r="D356" t="s">
        <v>448</v>
      </c>
      <c r="E356" s="4" t="s">
        <v>13</v>
      </c>
      <c r="F356" s="4" t="s">
        <v>13</v>
      </c>
    </row>
    <row r="357" spans="1:6" ht="12" customHeight="1" x14ac:dyDescent="0.3">
      <c r="A357" s="4">
        <v>2014</v>
      </c>
      <c r="B357" s="4">
        <v>54528</v>
      </c>
      <c r="C357" t="s">
        <v>90</v>
      </c>
      <c r="D357" t="s">
        <v>449</v>
      </c>
      <c r="E357" s="4" t="s">
        <v>13</v>
      </c>
      <c r="F357" s="4" t="s">
        <v>13</v>
      </c>
    </row>
    <row r="358" spans="1:6" ht="12" customHeight="1" x14ac:dyDescent="0.3">
      <c r="A358" s="4">
        <v>2018</v>
      </c>
      <c r="B358" s="4">
        <v>54529</v>
      </c>
      <c r="C358" t="s">
        <v>90</v>
      </c>
      <c r="D358" t="s">
        <v>450</v>
      </c>
      <c r="E358" s="4" t="s">
        <v>13</v>
      </c>
      <c r="F358" s="4" t="s">
        <v>13</v>
      </c>
    </row>
    <row r="359" spans="1:6" ht="12" customHeight="1" x14ac:dyDescent="0.3">
      <c r="A359" s="4">
        <v>2019</v>
      </c>
      <c r="B359" s="4">
        <v>54530</v>
      </c>
      <c r="C359" t="s">
        <v>90</v>
      </c>
      <c r="D359" t="s">
        <v>451</v>
      </c>
      <c r="E359" s="4" t="s">
        <v>13</v>
      </c>
      <c r="F359" s="4" t="s">
        <v>13</v>
      </c>
    </row>
    <row r="360" spans="1:6" ht="12" customHeight="1" x14ac:dyDescent="0.3">
      <c r="A360" s="4">
        <v>2020</v>
      </c>
      <c r="B360" s="4">
        <v>54531</v>
      </c>
      <c r="C360" t="s">
        <v>90</v>
      </c>
      <c r="D360" t="s">
        <v>452</v>
      </c>
      <c r="E360" s="4" t="s">
        <v>13</v>
      </c>
      <c r="F360" s="4" t="s">
        <v>13</v>
      </c>
    </row>
    <row r="361" spans="1:6" ht="12" customHeight="1" x14ac:dyDescent="0.3">
      <c r="A361" s="4">
        <v>2024</v>
      </c>
      <c r="B361" s="4">
        <v>54532</v>
      </c>
      <c r="C361" t="s">
        <v>90</v>
      </c>
      <c r="D361" t="s">
        <v>453</v>
      </c>
      <c r="E361" s="4" t="s">
        <v>13</v>
      </c>
      <c r="F361" s="4" t="s">
        <v>13</v>
      </c>
    </row>
    <row r="362" spans="1:6" ht="12" customHeight="1" x14ac:dyDescent="0.3">
      <c r="A362" s="4">
        <v>2025</v>
      </c>
      <c r="B362" s="4">
        <v>54533</v>
      </c>
      <c r="C362" t="s">
        <v>90</v>
      </c>
      <c r="D362" t="s">
        <v>454</v>
      </c>
      <c r="E362" s="4" t="s">
        <v>13</v>
      </c>
      <c r="F362" s="4" t="s">
        <v>13</v>
      </c>
    </row>
    <row r="363" spans="1:6" ht="12" customHeight="1" x14ac:dyDescent="0.3">
      <c r="A363" s="4">
        <v>2026</v>
      </c>
      <c r="B363" s="4">
        <v>54534</v>
      </c>
      <c r="C363" t="s">
        <v>90</v>
      </c>
      <c r="D363" t="s">
        <v>455</v>
      </c>
      <c r="E363" s="4" t="s">
        <v>13</v>
      </c>
      <c r="F363" s="4" t="s">
        <v>13</v>
      </c>
    </row>
    <row r="364" spans="1:6" ht="12" customHeight="1" x14ac:dyDescent="0.3">
      <c r="A364" s="4">
        <v>2027</v>
      </c>
      <c r="B364" s="4">
        <v>54535</v>
      </c>
      <c r="C364" t="s">
        <v>90</v>
      </c>
      <c r="D364" t="s">
        <v>456</v>
      </c>
      <c r="E364" s="4" t="s">
        <v>13</v>
      </c>
      <c r="F364" s="4" t="s">
        <v>13</v>
      </c>
    </row>
    <row r="365" spans="1:6" ht="12" customHeight="1" x14ac:dyDescent="0.3">
      <c r="A365" s="4">
        <v>2028</v>
      </c>
      <c r="B365" s="4">
        <v>54536</v>
      </c>
      <c r="C365" t="s">
        <v>90</v>
      </c>
      <c r="D365" t="s">
        <v>457</v>
      </c>
      <c r="E365" s="4" t="s">
        <v>13</v>
      </c>
      <c r="F365" s="4" t="s">
        <v>13</v>
      </c>
    </row>
    <row r="366" spans="1:6" ht="12" customHeight="1" x14ac:dyDescent="0.3">
      <c r="A366" s="4">
        <v>2029</v>
      </c>
      <c r="B366" s="4">
        <v>54537</v>
      </c>
      <c r="C366" t="s">
        <v>90</v>
      </c>
      <c r="D366" t="s">
        <v>458</v>
      </c>
      <c r="E366" s="4" t="s">
        <v>13</v>
      </c>
      <c r="F366" s="4" t="s">
        <v>13</v>
      </c>
    </row>
    <row r="367" spans="1:6" ht="12" customHeight="1" x14ac:dyDescent="0.3">
      <c r="A367" s="4">
        <v>2030</v>
      </c>
      <c r="B367" s="4">
        <v>54538</v>
      </c>
      <c r="C367" t="s">
        <v>90</v>
      </c>
      <c r="D367" t="s">
        <v>459</v>
      </c>
      <c r="E367" s="4" t="s">
        <v>13</v>
      </c>
      <c r="F367" s="4" t="s">
        <v>13</v>
      </c>
    </row>
    <row r="368" spans="1:6" ht="12" customHeight="1" x14ac:dyDescent="0.3">
      <c r="A368" s="4">
        <v>2031</v>
      </c>
      <c r="B368" s="4">
        <v>54539</v>
      </c>
      <c r="C368" t="s">
        <v>90</v>
      </c>
      <c r="D368" t="s">
        <v>460</v>
      </c>
      <c r="E368" s="4" t="s">
        <v>13</v>
      </c>
      <c r="F368" s="4" t="s">
        <v>13</v>
      </c>
    </row>
    <row r="369" spans="1:6" ht="12" customHeight="1" x14ac:dyDescent="0.3">
      <c r="A369" s="4">
        <v>2032</v>
      </c>
      <c r="B369" s="4">
        <v>54540</v>
      </c>
      <c r="C369" t="s">
        <v>90</v>
      </c>
      <c r="D369" t="s">
        <v>461</v>
      </c>
      <c r="E369" s="4" t="s">
        <v>13</v>
      </c>
      <c r="F369" s="4" t="s">
        <v>13</v>
      </c>
    </row>
    <row r="370" spans="1:6" ht="12" customHeight="1" x14ac:dyDescent="0.3">
      <c r="A370" s="4">
        <v>2033</v>
      </c>
      <c r="B370" s="4">
        <v>54541</v>
      </c>
      <c r="C370" t="s">
        <v>90</v>
      </c>
      <c r="D370" t="s">
        <v>462</v>
      </c>
      <c r="E370" s="4" t="s">
        <v>13</v>
      </c>
      <c r="F370" s="4" t="s">
        <v>13</v>
      </c>
    </row>
    <row r="371" spans="1:6" ht="12" customHeight="1" x14ac:dyDescent="0.3">
      <c r="A371" s="4">
        <v>2034</v>
      </c>
      <c r="B371" s="4">
        <v>54542</v>
      </c>
      <c r="C371" t="s">
        <v>90</v>
      </c>
      <c r="D371" t="s">
        <v>463</v>
      </c>
      <c r="E371" s="4" t="s">
        <v>13</v>
      </c>
      <c r="F371" s="4" t="s">
        <v>13</v>
      </c>
    </row>
    <row r="372" spans="1:6" ht="12" customHeight="1" x14ac:dyDescent="0.3">
      <c r="A372" s="4">
        <v>2035</v>
      </c>
      <c r="B372" s="4">
        <v>54543</v>
      </c>
      <c r="C372" t="s">
        <v>90</v>
      </c>
      <c r="D372" t="s">
        <v>464</v>
      </c>
      <c r="E372" s="4" t="s">
        <v>13</v>
      </c>
      <c r="F372" s="4" t="s">
        <v>13</v>
      </c>
    </row>
    <row r="373" spans="1:6" ht="12" customHeight="1" x14ac:dyDescent="0.3">
      <c r="A373" s="4">
        <v>2036</v>
      </c>
      <c r="B373" s="4">
        <v>54544</v>
      </c>
      <c r="C373" t="s">
        <v>90</v>
      </c>
      <c r="D373" t="s">
        <v>465</v>
      </c>
      <c r="E373" s="4" t="s">
        <v>13</v>
      </c>
      <c r="F373" s="4" t="s">
        <v>13</v>
      </c>
    </row>
    <row r="374" spans="1:6" ht="12" customHeight="1" x14ac:dyDescent="0.3">
      <c r="A374" s="4">
        <v>2037</v>
      </c>
      <c r="B374" s="4">
        <v>54545</v>
      </c>
      <c r="C374" t="s">
        <v>90</v>
      </c>
      <c r="D374" t="s">
        <v>466</v>
      </c>
      <c r="E374" s="4" t="s">
        <v>13</v>
      </c>
      <c r="F374" s="4" t="s">
        <v>13</v>
      </c>
    </row>
    <row r="375" spans="1:6" ht="12" customHeight="1" x14ac:dyDescent="0.3">
      <c r="A375" s="4">
        <v>2038</v>
      </c>
      <c r="B375" s="4">
        <v>54546</v>
      </c>
      <c r="C375" t="s">
        <v>90</v>
      </c>
      <c r="D375" t="s">
        <v>467</v>
      </c>
      <c r="E375" s="4" t="s">
        <v>13</v>
      </c>
      <c r="F375" s="4" t="s">
        <v>13</v>
      </c>
    </row>
    <row r="376" spans="1:6" ht="12" customHeight="1" x14ac:dyDescent="0.3">
      <c r="A376" s="4">
        <v>2039</v>
      </c>
      <c r="B376" s="4">
        <v>54547</v>
      </c>
      <c r="C376" t="s">
        <v>90</v>
      </c>
      <c r="D376" t="s">
        <v>468</v>
      </c>
      <c r="E376" s="4" t="s">
        <v>13</v>
      </c>
      <c r="F376" s="4" t="s">
        <v>13</v>
      </c>
    </row>
    <row r="377" spans="1:6" ht="12" customHeight="1" x14ac:dyDescent="0.3">
      <c r="A377" s="4">
        <v>2040</v>
      </c>
      <c r="B377" s="4">
        <v>54548</v>
      </c>
      <c r="C377" t="s">
        <v>90</v>
      </c>
      <c r="D377" t="s">
        <v>469</v>
      </c>
      <c r="E377" s="4" t="s">
        <v>13</v>
      </c>
      <c r="F377" s="4" t="s">
        <v>13</v>
      </c>
    </row>
    <row r="378" spans="1:6" ht="12" customHeight="1" x14ac:dyDescent="0.3">
      <c r="A378" s="4">
        <v>2041</v>
      </c>
      <c r="B378" s="4">
        <v>54549</v>
      </c>
      <c r="C378" t="s">
        <v>90</v>
      </c>
      <c r="D378" t="s">
        <v>470</v>
      </c>
      <c r="E378" s="4" t="s">
        <v>13</v>
      </c>
      <c r="F378" s="4" t="s">
        <v>13</v>
      </c>
    </row>
    <row r="379" spans="1:6" ht="12" customHeight="1" x14ac:dyDescent="0.3">
      <c r="A379" s="4">
        <v>2042</v>
      </c>
      <c r="B379" s="4">
        <v>54550</v>
      </c>
      <c r="C379" t="s">
        <v>90</v>
      </c>
      <c r="D379" t="s">
        <v>471</v>
      </c>
      <c r="E379" s="4" t="s">
        <v>13</v>
      </c>
      <c r="F379" s="4" t="s">
        <v>13</v>
      </c>
    </row>
    <row r="380" spans="1:6" ht="12" customHeight="1" x14ac:dyDescent="0.3">
      <c r="A380" s="4">
        <v>2043</v>
      </c>
      <c r="B380" s="4">
        <v>54551</v>
      </c>
      <c r="C380" t="s">
        <v>90</v>
      </c>
      <c r="D380" t="s">
        <v>472</v>
      </c>
      <c r="E380" s="4" t="s">
        <v>13</v>
      </c>
      <c r="F380" s="4" t="s">
        <v>13</v>
      </c>
    </row>
    <row r="381" spans="1:6" ht="12" customHeight="1" x14ac:dyDescent="0.3">
      <c r="A381" s="4">
        <v>2044</v>
      </c>
      <c r="B381" s="4">
        <v>54552</v>
      </c>
      <c r="C381" t="s">
        <v>90</v>
      </c>
      <c r="D381" t="s">
        <v>473</v>
      </c>
      <c r="E381" s="4" t="s">
        <v>13</v>
      </c>
      <c r="F381" s="4" t="s">
        <v>13</v>
      </c>
    </row>
    <row r="382" spans="1:6" ht="12" customHeight="1" x14ac:dyDescent="0.3">
      <c r="A382" s="4">
        <v>2045</v>
      </c>
      <c r="B382" s="4">
        <v>54553</v>
      </c>
      <c r="C382" t="s">
        <v>90</v>
      </c>
      <c r="D382" t="s">
        <v>474</v>
      </c>
      <c r="E382" s="4" t="s">
        <v>13</v>
      </c>
      <c r="F382" s="4" t="s">
        <v>13</v>
      </c>
    </row>
    <row r="383" spans="1:6" ht="12" customHeight="1" x14ac:dyDescent="0.3">
      <c r="A383" s="4">
        <v>2046</v>
      </c>
      <c r="B383" s="4">
        <v>54554</v>
      </c>
      <c r="C383" t="s">
        <v>90</v>
      </c>
      <c r="D383" t="s">
        <v>475</v>
      </c>
      <c r="E383" s="4" t="s">
        <v>13</v>
      </c>
      <c r="F383" s="4" t="s">
        <v>13</v>
      </c>
    </row>
    <row r="384" spans="1:6" ht="12" customHeight="1" x14ac:dyDescent="0.3">
      <c r="A384" s="4">
        <v>2047</v>
      </c>
      <c r="B384" s="4">
        <v>54555</v>
      </c>
      <c r="C384" t="s">
        <v>90</v>
      </c>
      <c r="D384" t="s">
        <v>476</v>
      </c>
      <c r="E384" s="4" t="s">
        <v>13</v>
      </c>
      <c r="F384" s="4" t="s">
        <v>13</v>
      </c>
    </row>
    <row r="385" spans="1:6" ht="12" customHeight="1" x14ac:dyDescent="0.3">
      <c r="A385" s="4">
        <v>2048</v>
      </c>
      <c r="B385" s="4">
        <v>54556</v>
      </c>
      <c r="C385" t="s">
        <v>90</v>
      </c>
      <c r="D385" t="s">
        <v>477</v>
      </c>
      <c r="E385" s="4" t="s">
        <v>13</v>
      </c>
      <c r="F385" s="4" t="s">
        <v>13</v>
      </c>
    </row>
    <row r="386" spans="1:6" ht="12" customHeight="1" x14ac:dyDescent="0.3">
      <c r="A386" s="4">
        <v>2049</v>
      </c>
      <c r="B386" s="4">
        <v>54557</v>
      </c>
      <c r="C386" t="s">
        <v>90</v>
      </c>
      <c r="D386" t="s">
        <v>478</v>
      </c>
      <c r="E386" s="4" t="s">
        <v>13</v>
      </c>
      <c r="F386" s="4" t="s">
        <v>13</v>
      </c>
    </row>
    <row r="387" spans="1:6" ht="12" customHeight="1" x14ac:dyDescent="0.3">
      <c r="A387" s="4">
        <v>2050</v>
      </c>
      <c r="B387" s="4">
        <v>54558</v>
      </c>
      <c r="C387" t="s">
        <v>90</v>
      </c>
      <c r="D387" t="s">
        <v>479</v>
      </c>
      <c r="E387" s="4" t="s">
        <v>13</v>
      </c>
      <c r="F387" s="4" t="s">
        <v>13</v>
      </c>
    </row>
    <row r="388" spans="1:6" ht="12" customHeight="1" x14ac:dyDescent="0.3">
      <c r="A388" s="4">
        <v>2051</v>
      </c>
      <c r="B388" s="4">
        <v>54559</v>
      </c>
      <c r="C388" t="s">
        <v>90</v>
      </c>
      <c r="D388" t="s">
        <v>480</v>
      </c>
      <c r="E388" s="4" t="s">
        <v>13</v>
      </c>
      <c r="F388" s="4" t="s">
        <v>13</v>
      </c>
    </row>
    <row r="389" spans="1:6" ht="12" customHeight="1" x14ac:dyDescent="0.3">
      <c r="A389" s="4">
        <v>2052</v>
      </c>
      <c r="B389" s="4">
        <v>54560</v>
      </c>
      <c r="C389" t="s">
        <v>90</v>
      </c>
      <c r="D389" t="s">
        <v>481</v>
      </c>
      <c r="E389" s="4" t="s">
        <v>13</v>
      </c>
      <c r="F389" s="4" t="s">
        <v>13</v>
      </c>
    </row>
    <row r="390" spans="1:6" ht="12" customHeight="1" x14ac:dyDescent="0.3">
      <c r="A390" s="4">
        <v>2054</v>
      </c>
      <c r="B390" s="4">
        <v>54561</v>
      </c>
      <c r="C390" t="s">
        <v>90</v>
      </c>
      <c r="D390" t="s">
        <v>482</v>
      </c>
      <c r="E390" s="4" t="s">
        <v>13</v>
      </c>
      <c r="F390" s="4" t="s">
        <v>13</v>
      </c>
    </row>
    <row r="391" spans="1:6" ht="12" customHeight="1" x14ac:dyDescent="0.3">
      <c r="A391" s="4">
        <v>2055</v>
      </c>
      <c r="B391" s="4">
        <v>54562</v>
      </c>
      <c r="C391" t="s">
        <v>90</v>
      </c>
      <c r="D391" t="s">
        <v>483</v>
      </c>
      <c r="E391" s="4" t="s">
        <v>13</v>
      </c>
      <c r="F391" s="4" t="s">
        <v>13</v>
      </c>
    </row>
    <row r="392" spans="1:6" ht="12" customHeight="1" x14ac:dyDescent="0.3">
      <c r="A392" s="4">
        <v>2058</v>
      </c>
      <c r="B392" s="4">
        <v>54563</v>
      </c>
      <c r="C392" t="s">
        <v>90</v>
      </c>
      <c r="D392" t="s">
        <v>484</v>
      </c>
      <c r="E392" s="4" t="s">
        <v>13</v>
      </c>
      <c r="F392" s="4" t="s">
        <v>13</v>
      </c>
    </row>
    <row r="393" spans="1:6" ht="12" customHeight="1" x14ac:dyDescent="0.3">
      <c r="A393" s="4">
        <v>2059</v>
      </c>
      <c r="B393" s="4">
        <v>54564</v>
      </c>
      <c r="C393" t="s">
        <v>90</v>
      </c>
      <c r="D393" t="s">
        <v>485</v>
      </c>
      <c r="E393" s="4" t="s">
        <v>13</v>
      </c>
      <c r="F393" s="4" t="s">
        <v>13</v>
      </c>
    </row>
    <row r="394" spans="1:6" ht="12" customHeight="1" x14ac:dyDescent="0.3">
      <c r="A394" s="4">
        <v>2060</v>
      </c>
      <c r="B394" s="4">
        <v>54565</v>
      </c>
      <c r="C394" t="s">
        <v>90</v>
      </c>
      <c r="D394" t="s">
        <v>485</v>
      </c>
      <c r="E394" s="4" t="s">
        <v>13</v>
      </c>
      <c r="F394" s="4" t="s">
        <v>13</v>
      </c>
    </row>
    <row r="395" spans="1:6" ht="12" customHeight="1" x14ac:dyDescent="0.3">
      <c r="A395" s="4">
        <v>2062</v>
      </c>
      <c r="B395" s="4">
        <v>54566</v>
      </c>
      <c r="C395" t="s">
        <v>90</v>
      </c>
      <c r="D395" t="s">
        <v>486</v>
      </c>
      <c r="E395" s="4" t="s">
        <v>13</v>
      </c>
      <c r="F395" s="4" t="s">
        <v>13</v>
      </c>
    </row>
    <row r="396" spans="1:6" ht="12" customHeight="1" x14ac:dyDescent="0.3">
      <c r="A396" s="4">
        <v>2064</v>
      </c>
      <c r="B396" s="4">
        <v>54567</v>
      </c>
      <c r="C396" t="s">
        <v>90</v>
      </c>
      <c r="D396" t="s">
        <v>487</v>
      </c>
      <c r="E396" s="4" t="s">
        <v>13</v>
      </c>
      <c r="F396" s="4" t="s">
        <v>13</v>
      </c>
    </row>
    <row r="397" spans="1:6" ht="12" customHeight="1" x14ac:dyDescent="0.3">
      <c r="A397" s="4">
        <v>2065</v>
      </c>
      <c r="B397" s="4">
        <v>54568</v>
      </c>
      <c r="C397" t="s">
        <v>90</v>
      </c>
      <c r="D397" t="s">
        <v>488</v>
      </c>
      <c r="E397" s="4" t="s">
        <v>13</v>
      </c>
      <c r="F397" s="4" t="s">
        <v>13</v>
      </c>
    </row>
    <row r="398" spans="1:6" ht="12" customHeight="1" x14ac:dyDescent="0.3">
      <c r="A398" s="4">
        <v>2066</v>
      </c>
      <c r="B398" s="4">
        <v>54569</v>
      </c>
      <c r="C398" t="s">
        <v>90</v>
      </c>
      <c r="D398" t="s">
        <v>489</v>
      </c>
      <c r="E398" s="4" t="s">
        <v>13</v>
      </c>
      <c r="F398" s="4" t="s">
        <v>13</v>
      </c>
    </row>
    <row r="399" spans="1:6" ht="12" customHeight="1" x14ac:dyDescent="0.3">
      <c r="A399" s="4">
        <v>2067</v>
      </c>
      <c r="B399" s="4">
        <v>54570</v>
      </c>
      <c r="C399" t="s">
        <v>90</v>
      </c>
      <c r="D399" t="s">
        <v>490</v>
      </c>
      <c r="E399" s="4" t="s">
        <v>13</v>
      </c>
      <c r="F399" s="4" t="s">
        <v>13</v>
      </c>
    </row>
    <row r="400" spans="1:6" ht="12" customHeight="1" x14ac:dyDescent="0.3">
      <c r="A400" s="4">
        <v>2072</v>
      </c>
      <c r="B400" s="4">
        <v>54571</v>
      </c>
      <c r="C400" t="s">
        <v>90</v>
      </c>
      <c r="D400" t="s">
        <v>491</v>
      </c>
      <c r="E400" s="4" t="s">
        <v>13</v>
      </c>
      <c r="F400" s="4" t="s">
        <v>13</v>
      </c>
    </row>
    <row r="401" spans="1:6" ht="12" customHeight="1" x14ac:dyDescent="0.3">
      <c r="A401" s="4">
        <v>2075</v>
      </c>
      <c r="B401" s="4">
        <v>54572</v>
      </c>
      <c r="C401" t="s">
        <v>90</v>
      </c>
      <c r="D401" t="s">
        <v>492</v>
      </c>
      <c r="E401" s="4" t="s">
        <v>13</v>
      </c>
      <c r="F401" s="4" t="s">
        <v>13</v>
      </c>
    </row>
    <row r="402" spans="1:6" ht="12" customHeight="1" x14ac:dyDescent="0.3">
      <c r="A402" s="4">
        <v>2076</v>
      </c>
      <c r="B402" s="4">
        <v>54573</v>
      </c>
      <c r="C402" t="s">
        <v>90</v>
      </c>
      <c r="D402" t="s">
        <v>493</v>
      </c>
      <c r="E402" s="4" t="s">
        <v>13</v>
      </c>
      <c r="F402" s="4" t="s">
        <v>13</v>
      </c>
    </row>
    <row r="403" spans="1:6" ht="12" customHeight="1" x14ac:dyDescent="0.3">
      <c r="A403" s="4">
        <v>2079</v>
      </c>
      <c r="B403" s="4">
        <v>54574</v>
      </c>
      <c r="C403" t="s">
        <v>90</v>
      </c>
      <c r="D403" t="s">
        <v>494</v>
      </c>
      <c r="E403" s="4" t="s">
        <v>13</v>
      </c>
      <c r="F403" s="4" t="s">
        <v>13</v>
      </c>
    </row>
    <row r="404" spans="1:6" ht="12" customHeight="1" x14ac:dyDescent="0.3">
      <c r="A404" s="4">
        <v>2089</v>
      </c>
      <c r="B404" s="4">
        <v>54575</v>
      </c>
      <c r="C404" t="s">
        <v>90</v>
      </c>
      <c r="D404" t="s">
        <v>495</v>
      </c>
      <c r="E404" s="4" t="s">
        <v>13</v>
      </c>
      <c r="F404" s="4" t="s">
        <v>13</v>
      </c>
    </row>
    <row r="405" spans="1:6" ht="12" customHeight="1" x14ac:dyDescent="0.3">
      <c r="A405" s="4">
        <v>2091</v>
      </c>
      <c r="B405" s="4">
        <v>54576</v>
      </c>
      <c r="C405" t="s">
        <v>90</v>
      </c>
      <c r="D405" t="s">
        <v>496</v>
      </c>
      <c r="E405" s="4" t="s">
        <v>13</v>
      </c>
      <c r="F405" s="4" t="s">
        <v>13</v>
      </c>
    </row>
    <row r="406" spans="1:6" ht="12" customHeight="1" x14ac:dyDescent="0.3">
      <c r="A406" s="4">
        <v>2093</v>
      </c>
      <c r="B406" s="4">
        <v>54577</v>
      </c>
      <c r="C406" t="s">
        <v>90</v>
      </c>
      <c r="D406" t="s">
        <v>497</v>
      </c>
      <c r="E406" s="4" t="s">
        <v>13</v>
      </c>
      <c r="F406" s="4" t="s">
        <v>13</v>
      </c>
    </row>
    <row r="407" spans="1:6" ht="12" customHeight="1" x14ac:dyDescent="0.3">
      <c r="A407" s="4">
        <v>2094</v>
      </c>
      <c r="B407" s="4">
        <v>54578</v>
      </c>
      <c r="C407" t="s">
        <v>90</v>
      </c>
      <c r="D407" t="s">
        <v>498</v>
      </c>
      <c r="E407" s="4" t="s">
        <v>13</v>
      </c>
      <c r="F407" s="4" t="s">
        <v>13</v>
      </c>
    </row>
    <row r="408" spans="1:6" ht="12" customHeight="1" x14ac:dyDescent="0.3">
      <c r="A408" s="4">
        <v>2096</v>
      </c>
      <c r="B408" s="4">
        <v>54579</v>
      </c>
      <c r="C408" t="s">
        <v>90</v>
      </c>
      <c r="D408" t="s">
        <v>499</v>
      </c>
      <c r="E408" s="4" t="s">
        <v>13</v>
      </c>
      <c r="F408" s="4" t="s">
        <v>13</v>
      </c>
    </row>
    <row r="409" spans="1:6" ht="12" customHeight="1" x14ac:dyDescent="0.3">
      <c r="A409" s="4">
        <v>2097</v>
      </c>
      <c r="B409" s="4">
        <v>54580</v>
      </c>
      <c r="C409" t="s">
        <v>90</v>
      </c>
      <c r="D409" t="s">
        <v>500</v>
      </c>
      <c r="E409" s="4" t="s">
        <v>13</v>
      </c>
      <c r="F409" s="4" t="s">
        <v>13</v>
      </c>
    </row>
    <row r="410" spans="1:6" ht="12" customHeight="1" x14ac:dyDescent="0.3">
      <c r="A410" s="4">
        <v>2262</v>
      </c>
      <c r="B410" s="4">
        <v>54581</v>
      </c>
      <c r="C410" t="s">
        <v>90</v>
      </c>
      <c r="D410" t="s">
        <v>501</v>
      </c>
      <c r="E410" s="4" t="s">
        <v>13</v>
      </c>
      <c r="F410" s="4" t="s">
        <v>13</v>
      </c>
    </row>
    <row r="411" spans="1:6" ht="12" customHeight="1" x14ac:dyDescent="0.3">
      <c r="A411" s="4">
        <v>2102</v>
      </c>
      <c r="B411" s="4">
        <v>54582</v>
      </c>
      <c r="C411" t="s">
        <v>90</v>
      </c>
      <c r="D411" t="s">
        <v>502</v>
      </c>
      <c r="E411" s="4" t="s">
        <v>13</v>
      </c>
      <c r="F411" s="4" t="s">
        <v>13</v>
      </c>
    </row>
    <row r="412" spans="1:6" ht="12" customHeight="1" x14ac:dyDescent="0.3">
      <c r="A412" s="4">
        <v>2103</v>
      </c>
      <c r="B412" s="4">
        <v>54583</v>
      </c>
      <c r="C412" t="s">
        <v>90</v>
      </c>
      <c r="D412" t="s">
        <v>503</v>
      </c>
      <c r="E412" s="4" t="s">
        <v>13</v>
      </c>
      <c r="F412" s="4" t="s">
        <v>13</v>
      </c>
    </row>
    <row r="413" spans="1:6" ht="12" customHeight="1" x14ac:dyDescent="0.3">
      <c r="A413" s="4">
        <v>2104</v>
      </c>
      <c r="B413" s="4">
        <v>54584</v>
      </c>
      <c r="C413" t="s">
        <v>90</v>
      </c>
      <c r="D413" t="s">
        <v>504</v>
      </c>
      <c r="E413" s="4" t="s">
        <v>13</v>
      </c>
      <c r="F413" s="4" t="s">
        <v>13</v>
      </c>
    </row>
    <row r="414" spans="1:6" ht="12" customHeight="1" x14ac:dyDescent="0.3">
      <c r="A414" s="4">
        <v>2105</v>
      </c>
      <c r="B414" s="4">
        <v>54585</v>
      </c>
      <c r="C414" t="s">
        <v>90</v>
      </c>
      <c r="D414" t="s">
        <v>505</v>
      </c>
      <c r="E414" s="4" t="s">
        <v>13</v>
      </c>
      <c r="F414" s="4" t="s">
        <v>13</v>
      </c>
    </row>
    <row r="415" spans="1:6" ht="12" customHeight="1" x14ac:dyDescent="0.3">
      <c r="A415" s="4">
        <v>2106</v>
      </c>
      <c r="B415" s="4">
        <v>54586</v>
      </c>
      <c r="C415" t="s">
        <v>90</v>
      </c>
      <c r="D415" t="s">
        <v>506</v>
      </c>
      <c r="E415" s="4" t="s">
        <v>13</v>
      </c>
      <c r="F415" s="4" t="s">
        <v>13</v>
      </c>
    </row>
    <row r="416" spans="1:6" ht="12" customHeight="1" x14ac:dyDescent="0.3">
      <c r="A416" s="4">
        <v>2108</v>
      </c>
      <c r="B416" s="4">
        <v>54587</v>
      </c>
      <c r="C416" t="s">
        <v>90</v>
      </c>
      <c r="D416" t="s">
        <v>507</v>
      </c>
      <c r="E416" s="4" t="s">
        <v>13</v>
      </c>
      <c r="F416" s="4" t="s">
        <v>13</v>
      </c>
    </row>
    <row r="417" spans="1:6" ht="12" customHeight="1" x14ac:dyDescent="0.3">
      <c r="A417" s="4">
        <v>2109</v>
      </c>
      <c r="B417" s="4">
        <v>54588</v>
      </c>
      <c r="C417" t="s">
        <v>90</v>
      </c>
      <c r="D417" t="s">
        <v>508</v>
      </c>
      <c r="E417" s="4" t="s">
        <v>13</v>
      </c>
      <c r="F417" s="4" t="s">
        <v>13</v>
      </c>
    </row>
    <row r="418" spans="1:6" ht="12" customHeight="1" x14ac:dyDescent="0.3">
      <c r="A418" s="4">
        <v>2111</v>
      </c>
      <c r="B418" s="4">
        <v>54589</v>
      </c>
      <c r="C418" t="s">
        <v>90</v>
      </c>
      <c r="D418" t="s">
        <v>509</v>
      </c>
      <c r="E418" s="4" t="s">
        <v>13</v>
      </c>
      <c r="F418" s="4" t="s">
        <v>13</v>
      </c>
    </row>
    <row r="419" spans="1:6" ht="12" customHeight="1" x14ac:dyDescent="0.3">
      <c r="A419" s="4">
        <v>2113</v>
      </c>
      <c r="B419" s="4">
        <v>54590</v>
      </c>
      <c r="C419" t="s">
        <v>90</v>
      </c>
      <c r="D419" t="s">
        <v>510</v>
      </c>
      <c r="E419" s="4" t="s">
        <v>13</v>
      </c>
      <c r="F419" s="4" t="s">
        <v>13</v>
      </c>
    </row>
    <row r="420" spans="1:6" ht="12" customHeight="1" x14ac:dyDescent="0.3">
      <c r="A420" s="4">
        <v>2114</v>
      </c>
      <c r="B420" s="4">
        <v>54591</v>
      </c>
      <c r="C420" t="s">
        <v>90</v>
      </c>
      <c r="D420" t="s">
        <v>511</v>
      </c>
      <c r="E420" s="4" t="s">
        <v>13</v>
      </c>
      <c r="F420" s="4" t="s">
        <v>13</v>
      </c>
    </row>
    <row r="421" spans="1:6" ht="12" customHeight="1" x14ac:dyDescent="0.3">
      <c r="A421" s="4">
        <v>2115</v>
      </c>
      <c r="B421" s="4">
        <v>54592</v>
      </c>
      <c r="C421" t="s">
        <v>90</v>
      </c>
      <c r="D421" t="s">
        <v>512</v>
      </c>
      <c r="E421" s="4" t="s">
        <v>13</v>
      </c>
      <c r="F421" s="4" t="s">
        <v>13</v>
      </c>
    </row>
    <row r="422" spans="1:6" ht="12" customHeight="1" x14ac:dyDescent="0.3">
      <c r="A422" s="4">
        <v>2119</v>
      </c>
      <c r="B422" s="4">
        <v>54593</v>
      </c>
      <c r="C422" t="s">
        <v>90</v>
      </c>
      <c r="D422" t="s">
        <v>513</v>
      </c>
      <c r="E422" s="4" t="s">
        <v>13</v>
      </c>
      <c r="F422" s="4" t="s">
        <v>13</v>
      </c>
    </row>
    <row r="423" spans="1:6" ht="12" customHeight="1" x14ac:dyDescent="0.3">
      <c r="A423" s="4">
        <v>2120</v>
      </c>
      <c r="B423" s="4">
        <v>54594</v>
      </c>
      <c r="C423" t="s">
        <v>90</v>
      </c>
      <c r="D423" t="s">
        <v>399</v>
      </c>
      <c r="E423" s="4" t="s">
        <v>13</v>
      </c>
      <c r="F423" s="4" t="s">
        <v>13</v>
      </c>
    </row>
    <row r="424" spans="1:6" ht="12" customHeight="1" x14ac:dyDescent="0.3">
      <c r="A424" s="4">
        <v>2200</v>
      </c>
      <c r="B424" s="4">
        <v>54595</v>
      </c>
      <c r="C424" t="s">
        <v>90</v>
      </c>
      <c r="D424" t="s">
        <v>514</v>
      </c>
      <c r="E424" s="4" t="s">
        <v>13</v>
      </c>
      <c r="F424" s="4" t="s">
        <v>13</v>
      </c>
    </row>
    <row r="425" spans="1:6" ht="12" customHeight="1" x14ac:dyDescent="0.3">
      <c r="A425" s="4">
        <v>2220</v>
      </c>
      <c r="B425" s="4">
        <v>54596</v>
      </c>
      <c r="C425" t="s">
        <v>90</v>
      </c>
      <c r="D425" t="s">
        <v>515</v>
      </c>
      <c r="E425" s="4" t="s">
        <v>13</v>
      </c>
      <c r="F425" s="4" t="s">
        <v>13</v>
      </c>
    </row>
    <row r="426" spans="1:6" ht="12" customHeight="1" x14ac:dyDescent="0.3">
      <c r="A426" s="4">
        <v>2221</v>
      </c>
      <c r="B426" s="4">
        <v>54597</v>
      </c>
      <c r="C426" t="s">
        <v>90</v>
      </c>
      <c r="D426" t="s">
        <v>516</v>
      </c>
      <c r="E426" s="4" t="s">
        <v>13</v>
      </c>
      <c r="F426" s="4" t="s">
        <v>13</v>
      </c>
    </row>
    <row r="427" spans="1:6" ht="12" customHeight="1" x14ac:dyDescent="0.3">
      <c r="A427" s="4">
        <v>2222</v>
      </c>
      <c r="B427" s="4">
        <v>54598</v>
      </c>
      <c r="C427" t="s">
        <v>90</v>
      </c>
      <c r="D427" t="s">
        <v>517</v>
      </c>
      <c r="E427" s="4" t="s">
        <v>13</v>
      </c>
      <c r="F427" s="4" t="s">
        <v>13</v>
      </c>
    </row>
    <row r="428" spans="1:6" ht="12" customHeight="1" x14ac:dyDescent="0.3">
      <c r="A428" s="4">
        <v>2113</v>
      </c>
      <c r="B428" s="4">
        <v>54599</v>
      </c>
      <c r="C428" t="s">
        <v>90</v>
      </c>
      <c r="D428" t="s">
        <v>510</v>
      </c>
      <c r="E428" s="4" t="s">
        <v>13</v>
      </c>
      <c r="F428" s="4" t="s">
        <v>13</v>
      </c>
    </row>
    <row r="429" spans="1:6" ht="12" customHeight="1" x14ac:dyDescent="0.3">
      <c r="A429" s="4">
        <v>2119</v>
      </c>
      <c r="B429" s="4">
        <v>54600</v>
      </c>
      <c r="C429" t="s">
        <v>90</v>
      </c>
      <c r="D429" t="s">
        <v>518</v>
      </c>
      <c r="E429" s="4" t="s">
        <v>13</v>
      </c>
      <c r="F429" s="4" t="s">
        <v>13</v>
      </c>
    </row>
    <row r="430" spans="1:6" ht="12" customHeight="1" x14ac:dyDescent="0.3">
      <c r="A430" s="4">
        <v>2120</v>
      </c>
      <c r="B430" s="4">
        <v>54601</v>
      </c>
      <c r="C430" t="s">
        <v>90</v>
      </c>
      <c r="D430" t="s">
        <v>399</v>
      </c>
      <c r="E430" s="4" t="s">
        <v>13</v>
      </c>
      <c r="F430" s="4" t="s">
        <v>13</v>
      </c>
    </row>
    <row r="431" spans="1:6" x14ac:dyDescent="0.3">
      <c r="A431" s="4">
        <v>2127</v>
      </c>
      <c r="B431" s="4">
        <v>54602</v>
      </c>
      <c r="C431" t="s">
        <v>90</v>
      </c>
      <c r="D431" t="s">
        <v>519</v>
      </c>
      <c r="E431" s="4" t="s">
        <v>13</v>
      </c>
      <c r="F431" s="4" t="s">
        <v>13</v>
      </c>
    </row>
    <row r="432" spans="1:6" x14ac:dyDescent="0.3">
      <c r="A432" s="4">
        <v>2125</v>
      </c>
      <c r="B432" s="4">
        <v>54603</v>
      </c>
      <c r="C432" t="s">
        <v>90</v>
      </c>
      <c r="D432" t="s">
        <v>520</v>
      </c>
      <c r="E432" s="4" t="s">
        <v>13</v>
      </c>
      <c r="F432" s="4" t="s">
        <v>13</v>
      </c>
    </row>
    <row r="433" spans="1:6" x14ac:dyDescent="0.3">
      <c r="A433" s="4">
        <v>2226</v>
      </c>
      <c r="B433" s="4">
        <v>54604</v>
      </c>
      <c r="C433" t="s">
        <v>90</v>
      </c>
      <c r="D433" t="s">
        <v>521</v>
      </c>
      <c r="E433" s="4" t="s">
        <v>13</v>
      </c>
      <c r="F433" s="4" t="s">
        <v>13</v>
      </c>
    </row>
    <row r="434" spans="1:6" x14ac:dyDescent="0.3">
      <c r="A434" s="4">
        <v>2227</v>
      </c>
      <c r="B434" s="4">
        <v>54605</v>
      </c>
      <c r="C434" t="s">
        <v>90</v>
      </c>
      <c r="D434" t="s">
        <v>522</v>
      </c>
      <c r="E434" s="4" t="s">
        <v>13</v>
      </c>
      <c r="F434" s="4" t="s">
        <v>13</v>
      </c>
    </row>
    <row r="435" spans="1:6" x14ac:dyDescent="0.3">
      <c r="A435" s="4">
        <v>2228</v>
      </c>
      <c r="B435" s="4">
        <v>54606</v>
      </c>
      <c r="C435" t="s">
        <v>90</v>
      </c>
      <c r="D435" t="s">
        <v>523</v>
      </c>
      <c r="E435" s="4" t="s">
        <v>13</v>
      </c>
      <c r="F435" s="4" t="s">
        <v>13</v>
      </c>
    </row>
    <row r="436" spans="1:6" x14ac:dyDescent="0.3">
      <c r="A436" s="4">
        <v>2233</v>
      </c>
      <c r="B436" s="4">
        <v>54607</v>
      </c>
      <c r="C436" t="s">
        <v>90</v>
      </c>
      <c r="D436" t="s">
        <v>524</v>
      </c>
      <c r="E436" s="4" t="s">
        <v>13</v>
      </c>
      <c r="F436" s="4" t="s">
        <v>13</v>
      </c>
    </row>
    <row r="437" spans="1:6" x14ac:dyDescent="0.3">
      <c r="A437" s="4">
        <v>2237</v>
      </c>
      <c r="B437" s="4">
        <v>54608</v>
      </c>
      <c r="C437" t="s">
        <v>90</v>
      </c>
      <c r="D437" t="s">
        <v>525</v>
      </c>
      <c r="E437" s="4" t="s">
        <v>13</v>
      </c>
      <c r="F437" s="4" t="s">
        <v>13</v>
      </c>
    </row>
    <row r="438" spans="1:6" x14ac:dyDescent="0.3">
      <c r="A438" s="4">
        <v>2238</v>
      </c>
      <c r="B438" s="4">
        <v>54609</v>
      </c>
      <c r="C438" t="s">
        <v>90</v>
      </c>
      <c r="D438" t="s">
        <v>526</v>
      </c>
      <c r="E438" s="4" t="s">
        <v>13</v>
      </c>
      <c r="F438" s="4" t="s">
        <v>13</v>
      </c>
    </row>
    <row r="439" spans="1:6" x14ac:dyDescent="0.3">
      <c r="A439" s="4">
        <v>2239</v>
      </c>
      <c r="B439" s="4">
        <v>54610</v>
      </c>
      <c r="C439" t="s">
        <v>90</v>
      </c>
      <c r="D439" t="s">
        <v>527</v>
      </c>
      <c r="E439" s="4" t="s">
        <v>13</v>
      </c>
      <c r="F439" s="4" t="s">
        <v>13</v>
      </c>
    </row>
    <row r="440" spans="1:6" x14ac:dyDescent="0.3">
      <c r="A440" s="4">
        <v>2240</v>
      </c>
      <c r="B440" s="4">
        <v>54611</v>
      </c>
      <c r="C440" t="s">
        <v>90</v>
      </c>
      <c r="D440" t="s">
        <v>528</v>
      </c>
      <c r="E440" s="4" t="s">
        <v>13</v>
      </c>
      <c r="F440" s="4" t="s">
        <v>13</v>
      </c>
    </row>
    <row r="441" spans="1:6" x14ac:dyDescent="0.3">
      <c r="A441" s="4">
        <v>2255</v>
      </c>
      <c r="B441" s="4">
        <v>54612</v>
      </c>
      <c r="C441" t="s">
        <v>90</v>
      </c>
      <c r="D441" t="s">
        <v>529</v>
      </c>
      <c r="E441" s="4" t="s">
        <v>13</v>
      </c>
      <c r="F441" s="4" t="s">
        <v>13</v>
      </c>
    </row>
    <row r="442" spans="1:6" x14ac:dyDescent="0.3">
      <c r="A442" s="4">
        <v>2311</v>
      </c>
      <c r="B442" s="4">
        <v>54613</v>
      </c>
      <c r="C442" t="s">
        <v>90</v>
      </c>
      <c r="D442" t="s">
        <v>530</v>
      </c>
      <c r="E442" s="4" t="s">
        <v>13</v>
      </c>
      <c r="F442" s="4" t="s">
        <v>13</v>
      </c>
    </row>
    <row r="443" spans="1:6" x14ac:dyDescent="0.3">
      <c r="A443" s="4">
        <v>2315</v>
      </c>
      <c r="B443" s="4">
        <v>54614</v>
      </c>
      <c r="C443" t="s">
        <v>90</v>
      </c>
      <c r="D443" t="s">
        <v>531</v>
      </c>
      <c r="E443" s="4" t="s">
        <v>13</v>
      </c>
      <c r="F443" s="4" t="s">
        <v>13</v>
      </c>
    </row>
    <row r="444" spans="1:6" x14ac:dyDescent="0.3">
      <c r="A444" s="4">
        <v>2317</v>
      </c>
      <c r="B444" s="4">
        <v>54615</v>
      </c>
      <c r="C444" t="s">
        <v>90</v>
      </c>
      <c r="D444" t="s">
        <v>532</v>
      </c>
      <c r="E444" s="4" t="s">
        <v>13</v>
      </c>
      <c r="F444" s="4" t="s">
        <v>13</v>
      </c>
    </row>
    <row r="445" spans="1:6" x14ac:dyDescent="0.3">
      <c r="A445" s="4">
        <v>2318</v>
      </c>
      <c r="B445" s="4">
        <v>54616</v>
      </c>
      <c r="C445" t="s">
        <v>90</v>
      </c>
      <c r="D445" t="s">
        <v>533</v>
      </c>
      <c r="E445" s="4" t="s">
        <v>13</v>
      </c>
      <c r="F445" s="4" t="s">
        <v>13</v>
      </c>
    </row>
    <row r="446" spans="1:6" x14ac:dyDescent="0.3">
      <c r="A446" s="4">
        <v>2320</v>
      </c>
      <c r="B446" s="4">
        <v>54617</v>
      </c>
      <c r="C446" t="s">
        <v>90</v>
      </c>
      <c r="D446" t="s">
        <v>534</v>
      </c>
      <c r="E446" s="4" t="s">
        <v>13</v>
      </c>
      <c r="F446" s="4" t="s">
        <v>13</v>
      </c>
    </row>
    <row r="447" spans="1:6" x14ac:dyDescent="0.3">
      <c r="A447" s="4">
        <v>2321</v>
      </c>
      <c r="B447" s="4">
        <v>54618</v>
      </c>
      <c r="C447" t="s">
        <v>90</v>
      </c>
      <c r="D447" t="s">
        <v>535</v>
      </c>
      <c r="E447" s="4" t="s">
        <v>13</v>
      </c>
      <c r="F447" s="4" t="s">
        <v>13</v>
      </c>
    </row>
    <row r="448" spans="1:6" x14ac:dyDescent="0.3">
      <c r="A448" s="4">
        <v>2326</v>
      </c>
      <c r="B448" s="4">
        <v>54619</v>
      </c>
      <c r="C448" t="s">
        <v>90</v>
      </c>
      <c r="D448" t="s">
        <v>536</v>
      </c>
      <c r="E448" s="4" t="s">
        <v>13</v>
      </c>
      <c r="F448" s="4" t="s">
        <v>13</v>
      </c>
    </row>
    <row r="449" spans="1:6" x14ac:dyDescent="0.3">
      <c r="A449" s="4">
        <v>2327</v>
      </c>
      <c r="B449" s="4">
        <v>54620</v>
      </c>
      <c r="C449" t="s">
        <v>90</v>
      </c>
      <c r="D449" t="s">
        <v>537</v>
      </c>
      <c r="E449" s="4" t="s">
        <v>13</v>
      </c>
      <c r="F449" s="4" t="s">
        <v>13</v>
      </c>
    </row>
    <row r="450" spans="1:6" x14ac:dyDescent="0.3">
      <c r="A450" s="4">
        <v>2330</v>
      </c>
      <c r="B450" s="4">
        <v>54621</v>
      </c>
      <c r="C450" t="s">
        <v>90</v>
      </c>
      <c r="D450" t="s">
        <v>538</v>
      </c>
      <c r="E450" s="4" t="s">
        <v>13</v>
      </c>
      <c r="F450" s="4" t="s">
        <v>13</v>
      </c>
    </row>
    <row r="451" spans="1:6" x14ac:dyDescent="0.3">
      <c r="A451" s="4">
        <v>2332</v>
      </c>
      <c r="B451" s="4">
        <v>54622</v>
      </c>
      <c r="C451" t="s">
        <v>90</v>
      </c>
      <c r="D451" t="s">
        <v>539</v>
      </c>
      <c r="E451" s="4" t="s">
        <v>13</v>
      </c>
      <c r="F451" s="4" t="s">
        <v>13</v>
      </c>
    </row>
    <row r="452" spans="1:6" x14ac:dyDescent="0.3">
      <c r="A452" s="4">
        <v>2336</v>
      </c>
      <c r="B452" s="4">
        <v>54623</v>
      </c>
      <c r="C452" t="s">
        <v>90</v>
      </c>
      <c r="D452" t="s">
        <v>540</v>
      </c>
      <c r="E452" s="4" t="s">
        <v>13</v>
      </c>
      <c r="F452" s="4" t="s">
        <v>13</v>
      </c>
    </row>
    <row r="453" spans="1:6" x14ac:dyDescent="0.3">
      <c r="A453" s="4">
        <v>2338</v>
      </c>
      <c r="B453" s="4">
        <v>54624</v>
      </c>
      <c r="C453" t="s">
        <v>90</v>
      </c>
      <c r="D453" t="s">
        <v>541</v>
      </c>
      <c r="E453" s="4" t="s">
        <v>13</v>
      </c>
      <c r="F453" s="4" t="s">
        <v>13</v>
      </c>
    </row>
    <row r="454" spans="1:6" x14ac:dyDescent="0.3">
      <c r="A454" s="4">
        <v>2348</v>
      </c>
      <c r="B454" s="4">
        <v>54625</v>
      </c>
      <c r="C454" t="s">
        <v>90</v>
      </c>
      <c r="D454" t="s">
        <v>542</v>
      </c>
      <c r="E454" s="4" t="s">
        <v>13</v>
      </c>
      <c r="F454" s="4" t="s">
        <v>13</v>
      </c>
    </row>
    <row r="455" spans="1:6" x14ac:dyDescent="0.3">
      <c r="A455" s="4">
        <v>2356</v>
      </c>
      <c r="B455" s="4">
        <v>54626</v>
      </c>
      <c r="C455" t="s">
        <v>90</v>
      </c>
      <c r="D455" t="s">
        <v>543</v>
      </c>
      <c r="E455" s="4" t="s">
        <v>13</v>
      </c>
      <c r="F455" s="4" t="s">
        <v>13</v>
      </c>
    </row>
    <row r="456" spans="1:6" x14ac:dyDescent="0.3">
      <c r="A456" s="4">
        <v>2357</v>
      </c>
      <c r="B456" s="4">
        <v>54627</v>
      </c>
      <c r="C456" t="s">
        <v>90</v>
      </c>
      <c r="D456" t="s">
        <v>544</v>
      </c>
      <c r="E456" s="4" t="s">
        <v>13</v>
      </c>
      <c r="F456" s="4" t="s">
        <v>13</v>
      </c>
    </row>
    <row r="457" spans="1:6" x14ac:dyDescent="0.3">
      <c r="A457" s="4">
        <v>2364</v>
      </c>
      <c r="B457" s="4">
        <v>54628</v>
      </c>
      <c r="C457" t="s">
        <v>90</v>
      </c>
      <c r="D457" t="s">
        <v>545</v>
      </c>
      <c r="E457" s="4" t="s">
        <v>13</v>
      </c>
      <c r="F457" s="4" t="s">
        <v>13</v>
      </c>
    </row>
    <row r="458" spans="1:6" x14ac:dyDescent="0.3">
      <c r="A458" s="4">
        <v>2374</v>
      </c>
      <c r="B458" s="4">
        <v>54629</v>
      </c>
      <c r="C458" t="s">
        <v>90</v>
      </c>
      <c r="D458" t="s">
        <v>546</v>
      </c>
      <c r="E458" s="4" t="s">
        <v>13</v>
      </c>
      <c r="F458" s="4" t="s">
        <v>13</v>
      </c>
    </row>
    <row r="459" spans="1:6" x14ac:dyDescent="0.3">
      <c r="A459" s="4">
        <v>2380</v>
      </c>
      <c r="B459" s="4">
        <v>54630</v>
      </c>
      <c r="C459" t="s">
        <v>90</v>
      </c>
      <c r="D459" t="s">
        <v>547</v>
      </c>
      <c r="E459" s="4" t="s">
        <v>13</v>
      </c>
      <c r="F459" s="4" t="s">
        <v>13</v>
      </c>
    </row>
    <row r="460" spans="1:6" x14ac:dyDescent="0.3">
      <c r="A460" s="4">
        <v>2381</v>
      </c>
      <c r="B460" s="4">
        <v>54631</v>
      </c>
      <c r="C460" t="s">
        <v>90</v>
      </c>
      <c r="D460" t="s">
        <v>548</v>
      </c>
      <c r="E460" s="4" t="s">
        <v>13</v>
      </c>
      <c r="F460" s="4" t="s">
        <v>13</v>
      </c>
    </row>
    <row r="461" spans="1:6" x14ac:dyDescent="0.3">
      <c r="A461" s="4">
        <v>2382</v>
      </c>
      <c r="B461" s="4">
        <v>54632</v>
      </c>
      <c r="C461" t="s">
        <v>90</v>
      </c>
      <c r="D461" t="s">
        <v>549</v>
      </c>
      <c r="E461" s="4" t="s">
        <v>13</v>
      </c>
      <c r="F461" s="4" t="s">
        <v>13</v>
      </c>
    </row>
    <row r="462" spans="1:6" x14ac:dyDescent="0.3">
      <c r="A462" s="4">
        <v>2383</v>
      </c>
      <c r="B462" s="4">
        <v>54633</v>
      </c>
      <c r="C462" t="s">
        <v>90</v>
      </c>
      <c r="D462" t="s">
        <v>550</v>
      </c>
      <c r="E462" s="4" t="s">
        <v>13</v>
      </c>
      <c r="F462" s="4" t="s">
        <v>13</v>
      </c>
    </row>
    <row r="463" spans="1:6" x14ac:dyDescent="0.3">
      <c r="A463" s="4">
        <v>2384</v>
      </c>
      <c r="B463" s="4">
        <v>54634</v>
      </c>
      <c r="C463" t="s">
        <v>90</v>
      </c>
      <c r="D463" t="s">
        <v>551</v>
      </c>
      <c r="E463" s="4" t="s">
        <v>13</v>
      </c>
      <c r="F463" s="4" t="s">
        <v>13</v>
      </c>
    </row>
    <row r="464" spans="1:6" x14ac:dyDescent="0.3">
      <c r="A464" s="4">
        <v>2385</v>
      </c>
      <c r="B464" s="4">
        <v>54635</v>
      </c>
      <c r="C464" t="s">
        <v>90</v>
      </c>
      <c r="D464" t="s">
        <v>552</v>
      </c>
      <c r="E464" s="4" t="s">
        <v>13</v>
      </c>
      <c r="F464" s="4" t="s">
        <v>13</v>
      </c>
    </row>
    <row r="465" spans="1:6" x14ac:dyDescent="0.3">
      <c r="A465" s="4">
        <v>2386</v>
      </c>
      <c r="B465" s="4">
        <v>54636</v>
      </c>
      <c r="C465" t="s">
        <v>90</v>
      </c>
      <c r="D465" t="s">
        <v>553</v>
      </c>
      <c r="E465" s="4" t="s">
        <v>13</v>
      </c>
      <c r="F465" s="4" t="s">
        <v>13</v>
      </c>
    </row>
    <row r="466" spans="1:6" x14ac:dyDescent="0.3">
      <c r="A466" s="4">
        <v>2387</v>
      </c>
      <c r="B466" s="4">
        <v>54637</v>
      </c>
      <c r="C466" t="s">
        <v>90</v>
      </c>
      <c r="D466" t="s">
        <v>554</v>
      </c>
      <c r="E466" s="4" t="s">
        <v>13</v>
      </c>
      <c r="F466" s="4" t="s">
        <v>13</v>
      </c>
    </row>
    <row r="467" spans="1:6" x14ac:dyDescent="0.3">
      <c r="A467" s="4">
        <v>2388</v>
      </c>
      <c r="B467" s="4">
        <v>54638</v>
      </c>
      <c r="C467" t="s">
        <v>90</v>
      </c>
      <c r="D467" t="s">
        <v>555</v>
      </c>
      <c r="E467" s="4" t="s">
        <v>13</v>
      </c>
      <c r="F467" s="4" t="s">
        <v>13</v>
      </c>
    </row>
    <row r="468" spans="1:6" x14ac:dyDescent="0.3">
      <c r="A468" s="4">
        <v>2389</v>
      </c>
      <c r="B468" s="4">
        <v>54639</v>
      </c>
      <c r="C468" t="s">
        <v>90</v>
      </c>
      <c r="D468" t="s">
        <v>556</v>
      </c>
      <c r="E468" s="4" t="s">
        <v>13</v>
      </c>
      <c r="F468" s="4" t="s">
        <v>13</v>
      </c>
    </row>
    <row r="469" spans="1:6" x14ac:dyDescent="0.3">
      <c r="A469" s="4">
        <v>2390</v>
      </c>
      <c r="B469" s="4">
        <v>54640</v>
      </c>
      <c r="C469" t="s">
        <v>90</v>
      </c>
      <c r="D469" t="s">
        <v>557</v>
      </c>
      <c r="E469" s="4" t="s">
        <v>13</v>
      </c>
      <c r="F469" s="4" t="s">
        <v>13</v>
      </c>
    </row>
    <row r="470" spans="1:6" x14ac:dyDescent="0.3">
      <c r="A470" s="4">
        <v>2391</v>
      </c>
      <c r="B470" s="4">
        <v>54641</v>
      </c>
      <c r="C470" t="s">
        <v>90</v>
      </c>
      <c r="D470" t="s">
        <v>558</v>
      </c>
      <c r="E470" s="4" t="s">
        <v>13</v>
      </c>
      <c r="F470" s="4" t="s">
        <v>13</v>
      </c>
    </row>
    <row r="471" spans="1:6" x14ac:dyDescent="0.3">
      <c r="A471" s="4">
        <v>2394</v>
      </c>
      <c r="B471" s="4">
        <v>54642</v>
      </c>
      <c r="C471" t="s">
        <v>90</v>
      </c>
      <c r="D471" t="s">
        <v>559</v>
      </c>
      <c r="E471" s="4" t="s">
        <v>13</v>
      </c>
      <c r="F471" s="4" t="s">
        <v>13</v>
      </c>
    </row>
    <row r="472" spans="1:6" x14ac:dyDescent="0.3">
      <c r="A472" s="4">
        <v>2395</v>
      </c>
      <c r="B472" s="4">
        <v>54643</v>
      </c>
      <c r="C472" t="s">
        <v>90</v>
      </c>
      <c r="D472" t="s">
        <v>560</v>
      </c>
      <c r="E472" s="4" t="s">
        <v>13</v>
      </c>
      <c r="F472" s="4" t="s">
        <v>13</v>
      </c>
    </row>
    <row r="473" spans="1:6" x14ac:dyDescent="0.3">
      <c r="A473" s="4">
        <v>2396</v>
      </c>
      <c r="B473" s="4">
        <v>54644</v>
      </c>
      <c r="C473" t="s">
        <v>90</v>
      </c>
      <c r="D473" t="s">
        <v>561</v>
      </c>
      <c r="E473" s="4" t="s">
        <v>13</v>
      </c>
      <c r="F473" s="4" t="s">
        <v>13</v>
      </c>
    </row>
    <row r="474" spans="1:6" x14ac:dyDescent="0.3">
      <c r="A474" s="4">
        <v>2398</v>
      </c>
      <c r="B474" s="4">
        <v>54645</v>
      </c>
      <c r="C474" t="s">
        <v>90</v>
      </c>
      <c r="D474" t="s">
        <v>562</v>
      </c>
      <c r="E474" s="4" t="s">
        <v>13</v>
      </c>
      <c r="F474" s="4" t="s">
        <v>13</v>
      </c>
    </row>
    <row r="475" spans="1:6" x14ac:dyDescent="0.3">
      <c r="A475" s="4">
        <v>2399</v>
      </c>
      <c r="B475" s="4">
        <v>54646</v>
      </c>
      <c r="C475" t="s">
        <v>90</v>
      </c>
      <c r="D475" t="s">
        <v>563</v>
      </c>
      <c r="E475" s="4" t="s">
        <v>13</v>
      </c>
      <c r="F475" s="4" t="s">
        <v>13</v>
      </c>
    </row>
    <row r="476" spans="1:6" x14ac:dyDescent="0.3">
      <c r="A476" s="4">
        <v>2400</v>
      </c>
      <c r="B476" s="4">
        <v>54647</v>
      </c>
      <c r="C476" t="s">
        <v>90</v>
      </c>
      <c r="D476" t="s">
        <v>564</v>
      </c>
      <c r="E476" s="4" t="s">
        <v>13</v>
      </c>
      <c r="F476" s="4" t="s">
        <v>13</v>
      </c>
    </row>
    <row r="477" spans="1:6" x14ac:dyDescent="0.3">
      <c r="A477" s="4">
        <v>2401</v>
      </c>
      <c r="B477" s="4">
        <v>54648</v>
      </c>
      <c r="C477" t="s">
        <v>90</v>
      </c>
      <c r="D477" t="s">
        <v>565</v>
      </c>
      <c r="E477" s="4" t="s">
        <v>13</v>
      </c>
      <c r="F477" s="4" t="s">
        <v>13</v>
      </c>
    </row>
    <row r="478" spans="1:6" x14ac:dyDescent="0.3">
      <c r="A478" s="4">
        <v>2402</v>
      </c>
      <c r="B478" s="4">
        <v>54649</v>
      </c>
      <c r="C478" t="s">
        <v>90</v>
      </c>
      <c r="D478" t="s">
        <v>566</v>
      </c>
      <c r="E478" s="4" t="s">
        <v>13</v>
      </c>
      <c r="F478" s="4" t="s">
        <v>13</v>
      </c>
    </row>
    <row r="479" spans="1:6" x14ac:dyDescent="0.3">
      <c r="A479" s="4">
        <v>2405</v>
      </c>
      <c r="B479" s="4">
        <v>54650</v>
      </c>
      <c r="C479" t="s">
        <v>90</v>
      </c>
      <c r="D479" t="s">
        <v>567</v>
      </c>
      <c r="E479" s="4" t="s">
        <v>13</v>
      </c>
      <c r="F479" s="4" t="s">
        <v>13</v>
      </c>
    </row>
    <row r="480" spans="1:6" x14ac:dyDescent="0.3">
      <c r="A480" s="4">
        <v>2421</v>
      </c>
      <c r="B480" s="4">
        <v>54651</v>
      </c>
      <c r="C480" t="s">
        <v>90</v>
      </c>
      <c r="D480" t="s">
        <v>568</v>
      </c>
      <c r="E480" s="4" t="s">
        <v>13</v>
      </c>
      <c r="F480" s="4" t="s">
        <v>13</v>
      </c>
    </row>
    <row r="481" spans="1:6" x14ac:dyDescent="0.3">
      <c r="A481" s="4">
        <v>2422</v>
      </c>
      <c r="B481" s="4">
        <v>54652</v>
      </c>
      <c r="C481" t="s">
        <v>90</v>
      </c>
      <c r="D481" t="s">
        <v>569</v>
      </c>
      <c r="E481" s="4" t="s">
        <v>13</v>
      </c>
      <c r="F481" s="4" t="s">
        <v>13</v>
      </c>
    </row>
    <row r="482" spans="1:6" x14ac:dyDescent="0.3">
      <c r="A482" s="4">
        <v>2424</v>
      </c>
      <c r="B482" s="4">
        <v>54653</v>
      </c>
      <c r="C482" t="s">
        <v>90</v>
      </c>
      <c r="D482" t="s">
        <v>570</v>
      </c>
      <c r="E482" s="4" t="s">
        <v>13</v>
      </c>
      <c r="F482" s="4" t="s">
        <v>13</v>
      </c>
    </row>
    <row r="483" spans="1:6" x14ac:dyDescent="0.3">
      <c r="A483" s="4">
        <v>2427</v>
      </c>
      <c r="B483" s="4">
        <v>54654</v>
      </c>
      <c r="C483" t="s">
        <v>90</v>
      </c>
      <c r="D483" t="s">
        <v>571</v>
      </c>
      <c r="E483" s="4" t="s">
        <v>13</v>
      </c>
      <c r="F483" s="4" t="s">
        <v>13</v>
      </c>
    </row>
    <row r="484" spans="1:6" x14ac:dyDescent="0.3">
      <c r="A484" s="4">
        <v>2428</v>
      </c>
      <c r="B484" s="4">
        <v>54655</v>
      </c>
      <c r="C484" t="s">
        <v>90</v>
      </c>
      <c r="D484" t="s">
        <v>572</v>
      </c>
      <c r="E484" s="4" t="s">
        <v>13</v>
      </c>
      <c r="F484" s="4" t="s">
        <v>13</v>
      </c>
    </row>
    <row r="485" spans="1:6" x14ac:dyDescent="0.3">
      <c r="A485" s="4">
        <v>2429</v>
      </c>
      <c r="B485" s="4">
        <v>54656</v>
      </c>
      <c r="C485" t="s">
        <v>90</v>
      </c>
      <c r="D485" t="s">
        <v>573</v>
      </c>
      <c r="E485" s="4" t="s">
        <v>13</v>
      </c>
      <c r="F485" s="4" t="s">
        <v>13</v>
      </c>
    </row>
    <row r="486" spans="1:6" x14ac:dyDescent="0.3">
      <c r="A486" s="4">
        <v>2443</v>
      </c>
      <c r="B486" s="4">
        <v>54657</v>
      </c>
      <c r="C486" t="s">
        <v>90</v>
      </c>
      <c r="D486" t="s">
        <v>574</v>
      </c>
      <c r="E486" s="4" t="s">
        <v>13</v>
      </c>
      <c r="F486" s="4" t="s">
        <v>13</v>
      </c>
    </row>
    <row r="487" spans="1:6" x14ac:dyDescent="0.3">
      <c r="A487" s="4">
        <v>2444</v>
      </c>
      <c r="B487" s="4">
        <v>54658</v>
      </c>
      <c r="C487" t="s">
        <v>90</v>
      </c>
      <c r="D487" t="s">
        <v>575</v>
      </c>
      <c r="E487" s="4" t="s">
        <v>13</v>
      </c>
      <c r="F487" s="4" t="s">
        <v>13</v>
      </c>
    </row>
    <row r="488" spans="1:6" x14ac:dyDescent="0.3">
      <c r="A488" s="4">
        <v>2451</v>
      </c>
      <c r="B488" s="4">
        <v>54659</v>
      </c>
      <c r="C488" t="s">
        <v>90</v>
      </c>
      <c r="D488" t="s">
        <v>576</v>
      </c>
      <c r="E488" s="4" t="s">
        <v>13</v>
      </c>
      <c r="F488" s="4" t="s">
        <v>13</v>
      </c>
    </row>
    <row r="489" spans="1:6" x14ac:dyDescent="0.3">
      <c r="A489" s="4">
        <v>2458</v>
      </c>
      <c r="B489" s="4">
        <v>54660</v>
      </c>
      <c r="C489" t="s">
        <v>90</v>
      </c>
      <c r="D489" t="s">
        <v>577</v>
      </c>
      <c r="E489" s="4" t="s">
        <v>13</v>
      </c>
      <c r="F489" s="4" t="s">
        <v>13</v>
      </c>
    </row>
    <row r="490" spans="1:6" x14ac:dyDescent="0.3">
      <c r="A490" s="4">
        <v>2466</v>
      </c>
      <c r="B490" s="4">
        <v>54661</v>
      </c>
      <c r="C490" t="s">
        <v>90</v>
      </c>
      <c r="D490" t="s">
        <v>578</v>
      </c>
      <c r="E490" s="4" t="s">
        <v>13</v>
      </c>
      <c r="F490" s="4" t="s">
        <v>13</v>
      </c>
    </row>
    <row r="491" spans="1:6" x14ac:dyDescent="0.3">
      <c r="A491" s="4">
        <v>2468</v>
      </c>
      <c r="B491" s="4">
        <v>54662</v>
      </c>
      <c r="C491" t="s">
        <v>90</v>
      </c>
      <c r="D491" t="s">
        <v>579</v>
      </c>
      <c r="E491" s="4" t="s">
        <v>13</v>
      </c>
      <c r="F491" s="4" t="s">
        <v>13</v>
      </c>
    </row>
    <row r="492" spans="1:6" x14ac:dyDescent="0.3">
      <c r="A492" s="4">
        <v>2471</v>
      </c>
      <c r="B492" s="4">
        <v>54663</v>
      </c>
      <c r="C492" t="s">
        <v>90</v>
      </c>
      <c r="D492" t="s">
        <v>580</v>
      </c>
      <c r="E492" s="4" t="s">
        <v>13</v>
      </c>
      <c r="F492" s="4" t="s">
        <v>13</v>
      </c>
    </row>
    <row r="493" spans="1:6" x14ac:dyDescent="0.3">
      <c r="A493" s="4">
        <v>2472</v>
      </c>
      <c r="B493" s="4">
        <v>54664</v>
      </c>
      <c r="C493" t="s">
        <v>90</v>
      </c>
      <c r="D493" t="s">
        <v>581</v>
      </c>
      <c r="E493" s="4" t="s">
        <v>13</v>
      </c>
      <c r="F493" s="4" t="s">
        <v>13</v>
      </c>
    </row>
    <row r="494" spans="1:6" x14ac:dyDescent="0.3">
      <c r="A494" s="4">
        <v>2477</v>
      </c>
      <c r="B494" s="4">
        <v>54665</v>
      </c>
      <c r="C494" t="s">
        <v>90</v>
      </c>
      <c r="D494" t="s">
        <v>582</v>
      </c>
      <c r="E494" s="4" t="s">
        <v>13</v>
      </c>
      <c r="F494" s="4" t="s">
        <v>13</v>
      </c>
    </row>
    <row r="495" spans="1:6" x14ac:dyDescent="0.3">
      <c r="A495" s="4">
        <v>2484</v>
      </c>
      <c r="B495" s="4">
        <v>54666</v>
      </c>
      <c r="C495" t="s">
        <v>90</v>
      </c>
      <c r="D495" t="s">
        <v>583</v>
      </c>
      <c r="E495" s="4" t="s">
        <v>13</v>
      </c>
      <c r="F495" s="4" t="s">
        <v>13</v>
      </c>
    </row>
    <row r="496" spans="1:6" x14ac:dyDescent="0.3">
      <c r="A496" s="4">
        <v>2487</v>
      </c>
      <c r="B496" s="4">
        <v>54667</v>
      </c>
      <c r="C496" t="s">
        <v>90</v>
      </c>
      <c r="D496" t="s">
        <v>584</v>
      </c>
      <c r="E496" s="4" t="s">
        <v>13</v>
      </c>
      <c r="F496" s="4" t="s">
        <v>13</v>
      </c>
    </row>
    <row r="497" spans="1:6" x14ac:dyDescent="0.3">
      <c r="A497" s="4">
        <v>2488</v>
      </c>
      <c r="B497" s="4">
        <v>54668</v>
      </c>
      <c r="C497" t="s">
        <v>90</v>
      </c>
      <c r="D497" t="s">
        <v>585</v>
      </c>
      <c r="E497" s="4" t="s">
        <v>13</v>
      </c>
      <c r="F497" s="4" t="s">
        <v>13</v>
      </c>
    </row>
    <row r="498" spans="1:6" x14ac:dyDescent="0.3">
      <c r="A498" s="4">
        <v>2489</v>
      </c>
      <c r="B498" s="4">
        <v>54669</v>
      </c>
      <c r="C498" t="s">
        <v>90</v>
      </c>
      <c r="D498" t="s">
        <v>586</v>
      </c>
      <c r="E498" s="4" t="s">
        <v>13</v>
      </c>
      <c r="F498" s="4" t="s">
        <v>13</v>
      </c>
    </row>
    <row r="499" spans="1:6" x14ac:dyDescent="0.3">
      <c r="A499" s="4">
        <v>2495</v>
      </c>
      <c r="B499" s="4">
        <v>54670</v>
      </c>
      <c r="C499" t="s">
        <v>90</v>
      </c>
      <c r="D499" t="s">
        <v>587</v>
      </c>
      <c r="E499" s="4" t="s">
        <v>13</v>
      </c>
      <c r="F499" s="4" t="s">
        <v>13</v>
      </c>
    </row>
    <row r="500" spans="1:6" x14ac:dyDescent="0.3">
      <c r="A500" s="4">
        <v>2498</v>
      </c>
      <c r="B500" s="4">
        <v>54671</v>
      </c>
      <c r="C500" t="s">
        <v>90</v>
      </c>
      <c r="D500" t="s">
        <v>588</v>
      </c>
      <c r="E500" s="4" t="s">
        <v>13</v>
      </c>
      <c r="F500" s="4" t="s">
        <v>13</v>
      </c>
    </row>
    <row r="501" spans="1:6" x14ac:dyDescent="0.3">
      <c r="A501" s="4">
        <v>2499</v>
      </c>
      <c r="B501" s="4">
        <v>54672</v>
      </c>
      <c r="C501" t="s">
        <v>90</v>
      </c>
      <c r="D501" t="s">
        <v>589</v>
      </c>
      <c r="E501" s="4" t="s">
        <v>13</v>
      </c>
      <c r="F501" s="4" t="s">
        <v>13</v>
      </c>
    </row>
    <row r="502" spans="1:6" x14ac:dyDescent="0.3">
      <c r="A502" s="4">
        <v>2500</v>
      </c>
      <c r="B502" s="4">
        <v>54673</v>
      </c>
      <c r="C502" t="s">
        <v>90</v>
      </c>
      <c r="D502" t="s">
        <v>590</v>
      </c>
      <c r="E502" s="4" t="s">
        <v>13</v>
      </c>
      <c r="F502" s="4" t="s">
        <v>13</v>
      </c>
    </row>
    <row r="503" spans="1:6" x14ac:dyDescent="0.3">
      <c r="A503" s="4">
        <v>2502</v>
      </c>
      <c r="B503" s="4">
        <v>54674</v>
      </c>
      <c r="C503" t="s">
        <v>90</v>
      </c>
      <c r="D503" t="s">
        <v>591</v>
      </c>
      <c r="E503" s="4" t="s">
        <v>13</v>
      </c>
      <c r="F503" s="4" t="s">
        <v>13</v>
      </c>
    </row>
    <row r="504" spans="1:6" x14ac:dyDescent="0.3">
      <c r="A504" s="4">
        <v>2503</v>
      </c>
      <c r="B504" s="4">
        <v>54675</v>
      </c>
      <c r="C504" t="s">
        <v>90</v>
      </c>
      <c r="D504" t="s">
        <v>592</v>
      </c>
      <c r="E504" s="4" t="s">
        <v>13</v>
      </c>
      <c r="F504" s="4" t="s">
        <v>13</v>
      </c>
    </row>
    <row r="505" spans="1:6" x14ac:dyDescent="0.3">
      <c r="A505" s="4">
        <v>2504</v>
      </c>
      <c r="B505" s="4">
        <v>54676</v>
      </c>
      <c r="C505" t="s">
        <v>90</v>
      </c>
      <c r="D505" t="s">
        <v>593</v>
      </c>
      <c r="E505" s="4" t="s">
        <v>13</v>
      </c>
      <c r="F505" s="4" t="s">
        <v>13</v>
      </c>
    </row>
    <row r="506" spans="1:6" x14ac:dyDescent="0.3">
      <c r="A506" s="4">
        <v>3000</v>
      </c>
      <c r="B506" s="4">
        <v>54677</v>
      </c>
      <c r="C506" t="s">
        <v>91</v>
      </c>
      <c r="D506" t="s">
        <v>594</v>
      </c>
      <c r="E506" s="4" t="s">
        <v>13</v>
      </c>
      <c r="F506" s="4" t="s">
        <v>13</v>
      </c>
    </row>
    <row r="507" spans="1:6" x14ac:dyDescent="0.3">
      <c r="A507" s="4">
        <v>3001</v>
      </c>
      <c r="B507" s="4">
        <v>54678</v>
      </c>
      <c r="C507" t="s">
        <v>91</v>
      </c>
      <c r="D507" t="s">
        <v>595</v>
      </c>
      <c r="E507" s="4" t="s">
        <v>13</v>
      </c>
      <c r="F507" s="4" t="s">
        <v>13</v>
      </c>
    </row>
    <row r="508" spans="1:6" x14ac:dyDescent="0.3">
      <c r="A508" s="4">
        <v>3005</v>
      </c>
      <c r="B508" s="4">
        <v>54679</v>
      </c>
      <c r="C508" t="s">
        <v>91</v>
      </c>
      <c r="D508" t="s">
        <v>596</v>
      </c>
      <c r="E508" s="4" t="s">
        <v>13</v>
      </c>
      <c r="F508" s="4" t="s">
        <v>13</v>
      </c>
    </row>
    <row r="509" spans="1:6" x14ac:dyDescent="0.3">
      <c r="A509" s="4">
        <v>3026</v>
      </c>
      <c r="B509" s="4">
        <v>54680</v>
      </c>
      <c r="C509" t="s">
        <v>91</v>
      </c>
      <c r="D509" t="s">
        <v>597</v>
      </c>
      <c r="E509" s="4" t="s">
        <v>13</v>
      </c>
      <c r="F509" s="4" t="s">
        <v>13</v>
      </c>
    </row>
    <row r="510" spans="1:6" x14ac:dyDescent="0.3">
      <c r="A510" s="4">
        <v>3038</v>
      </c>
      <c r="B510" s="4">
        <v>54681</v>
      </c>
      <c r="C510" t="s">
        <v>91</v>
      </c>
      <c r="D510" t="s">
        <v>598</v>
      </c>
      <c r="E510" s="4" t="s">
        <v>13</v>
      </c>
      <c r="F510" s="4" t="s">
        <v>13</v>
      </c>
    </row>
    <row r="511" spans="1:6" x14ac:dyDescent="0.3">
      <c r="A511" s="4">
        <v>3077</v>
      </c>
      <c r="B511" s="4">
        <v>54682</v>
      </c>
      <c r="C511" t="s">
        <v>91</v>
      </c>
      <c r="D511" t="s">
        <v>599</v>
      </c>
      <c r="E511" s="4" t="s">
        <v>13</v>
      </c>
      <c r="F511" s="4" t="s">
        <v>13</v>
      </c>
    </row>
    <row r="512" spans="1:6" x14ac:dyDescent="0.3">
      <c r="A512" s="4">
        <v>3078</v>
      </c>
      <c r="B512" s="4">
        <v>54683</v>
      </c>
      <c r="C512" t="s">
        <v>91</v>
      </c>
      <c r="D512" t="s">
        <v>600</v>
      </c>
      <c r="E512" s="4" t="s">
        <v>13</v>
      </c>
      <c r="F512" s="4" t="s">
        <v>13</v>
      </c>
    </row>
    <row r="513" spans="1:6" x14ac:dyDescent="0.3">
      <c r="A513" s="4">
        <v>3211</v>
      </c>
      <c r="B513" s="4">
        <v>54684</v>
      </c>
      <c r="C513" t="s">
        <v>91</v>
      </c>
      <c r="D513" t="s">
        <v>601</v>
      </c>
      <c r="E513" s="4" t="s">
        <v>13</v>
      </c>
      <c r="F513" s="4" t="s">
        <v>13</v>
      </c>
    </row>
    <row r="514" spans="1:6" x14ac:dyDescent="0.3">
      <c r="A514" s="4">
        <v>3212</v>
      </c>
      <c r="B514" s="4">
        <v>54685</v>
      </c>
      <c r="C514" t="s">
        <v>91</v>
      </c>
      <c r="D514" t="s">
        <v>602</v>
      </c>
      <c r="E514" s="4" t="s">
        <v>13</v>
      </c>
      <c r="F514" s="4" t="s">
        <v>13</v>
      </c>
    </row>
    <row r="515" spans="1:6" x14ac:dyDescent="0.3">
      <c r="A515" s="4">
        <v>3214</v>
      </c>
      <c r="B515" s="4">
        <v>54686</v>
      </c>
      <c r="C515" t="s">
        <v>91</v>
      </c>
      <c r="D515" t="s">
        <v>603</v>
      </c>
      <c r="E515" s="4" t="s">
        <v>13</v>
      </c>
      <c r="F515" s="4" t="s">
        <v>13</v>
      </c>
    </row>
    <row r="516" spans="1:6" x14ac:dyDescent="0.3">
      <c r="A516" s="4">
        <v>4000</v>
      </c>
      <c r="B516" s="4">
        <v>54687</v>
      </c>
      <c r="C516" t="s">
        <v>92</v>
      </c>
      <c r="D516" t="s">
        <v>604</v>
      </c>
      <c r="E516" s="4" t="s">
        <v>13</v>
      </c>
      <c r="F516" s="4" t="s">
        <v>13</v>
      </c>
    </row>
    <row r="517" spans="1:6" x14ac:dyDescent="0.3">
      <c r="A517" s="4">
        <v>4001</v>
      </c>
      <c r="B517" s="4">
        <v>54688</v>
      </c>
      <c r="C517" t="s">
        <v>92</v>
      </c>
      <c r="D517" t="s">
        <v>605</v>
      </c>
      <c r="E517" s="4" t="s">
        <v>13</v>
      </c>
      <c r="F517" s="4" t="s">
        <v>13</v>
      </c>
    </row>
    <row r="518" spans="1:6" x14ac:dyDescent="0.3">
      <c r="A518" s="4">
        <v>4006</v>
      </c>
      <c r="B518" s="4">
        <v>54689</v>
      </c>
      <c r="C518" t="s">
        <v>92</v>
      </c>
      <c r="D518" t="s">
        <v>606</v>
      </c>
      <c r="E518" s="4" t="s">
        <v>13</v>
      </c>
      <c r="F518" s="4" t="s">
        <v>13</v>
      </c>
    </row>
    <row r="519" spans="1:6" x14ac:dyDescent="0.3">
      <c r="A519" s="4">
        <v>4007</v>
      </c>
      <c r="B519" s="4">
        <v>54690</v>
      </c>
      <c r="C519" t="s">
        <v>92</v>
      </c>
      <c r="D519" t="s">
        <v>607</v>
      </c>
      <c r="E519" s="4" t="s">
        <v>13</v>
      </c>
      <c r="F519" s="4" t="s">
        <v>13</v>
      </c>
    </row>
    <row r="520" spans="1:6" x14ac:dyDescent="0.3">
      <c r="A520" s="4">
        <v>4008</v>
      </c>
      <c r="B520" s="4">
        <v>54691</v>
      </c>
      <c r="C520" t="s">
        <v>92</v>
      </c>
      <c r="D520" t="s">
        <v>608</v>
      </c>
      <c r="E520" s="4" t="s">
        <v>13</v>
      </c>
      <c r="F520" s="4" t="s">
        <v>13</v>
      </c>
    </row>
    <row r="521" spans="1:6" x14ac:dyDescent="0.3">
      <c r="A521" s="4">
        <v>4010</v>
      </c>
      <c r="B521" s="4">
        <v>54692</v>
      </c>
      <c r="C521" t="s">
        <v>92</v>
      </c>
      <c r="D521" t="s">
        <v>609</v>
      </c>
      <c r="E521" s="4" t="s">
        <v>13</v>
      </c>
      <c r="F521" s="4" t="s">
        <v>13</v>
      </c>
    </row>
    <row r="522" spans="1:6" x14ac:dyDescent="0.3">
      <c r="A522" s="4">
        <v>4014</v>
      </c>
      <c r="B522" s="4">
        <v>54693</v>
      </c>
      <c r="C522" t="s">
        <v>92</v>
      </c>
      <c r="D522" t="s">
        <v>610</v>
      </c>
      <c r="E522" s="4" t="s">
        <v>13</v>
      </c>
      <c r="F522" s="4" t="s">
        <v>13</v>
      </c>
    </row>
    <row r="523" spans="1:6" x14ac:dyDescent="0.3">
      <c r="A523" s="4">
        <v>4017</v>
      </c>
      <c r="B523" s="4">
        <v>54694</v>
      </c>
      <c r="C523" t="s">
        <v>92</v>
      </c>
      <c r="D523" t="s">
        <v>611</v>
      </c>
      <c r="E523" s="4" t="s">
        <v>13</v>
      </c>
      <c r="F523" s="4" t="s">
        <v>13</v>
      </c>
    </row>
    <row r="524" spans="1:6" x14ac:dyDescent="0.3">
      <c r="A524" s="4">
        <v>4018</v>
      </c>
      <c r="B524" s="4">
        <v>54695</v>
      </c>
      <c r="C524" t="s">
        <v>92</v>
      </c>
      <c r="D524" t="s">
        <v>612</v>
      </c>
      <c r="E524" s="4" t="s">
        <v>13</v>
      </c>
      <c r="F524" s="4" t="s">
        <v>13</v>
      </c>
    </row>
    <row r="525" spans="1:6" x14ac:dyDescent="0.3">
      <c r="A525" s="4">
        <v>4020</v>
      </c>
      <c r="B525" s="4">
        <v>54696</v>
      </c>
      <c r="C525" t="s">
        <v>92</v>
      </c>
      <c r="D525" t="s">
        <v>613</v>
      </c>
      <c r="E525" s="4" t="s">
        <v>13</v>
      </c>
      <c r="F525" s="4" t="s">
        <v>13</v>
      </c>
    </row>
    <row r="526" spans="1:6" x14ac:dyDescent="0.3">
      <c r="A526" s="4">
        <v>4021</v>
      </c>
      <c r="B526" s="4">
        <v>54697</v>
      </c>
      <c r="C526" t="s">
        <v>92</v>
      </c>
      <c r="D526" t="s">
        <v>614</v>
      </c>
      <c r="E526" s="4" t="s">
        <v>13</v>
      </c>
      <c r="F526" s="4" t="s">
        <v>13</v>
      </c>
    </row>
    <row r="527" spans="1:6" x14ac:dyDescent="0.3">
      <c r="A527" s="4">
        <v>4022</v>
      </c>
      <c r="B527" s="4">
        <v>54698</v>
      </c>
      <c r="C527" t="s">
        <v>92</v>
      </c>
      <c r="D527" t="s">
        <v>615</v>
      </c>
      <c r="E527" s="4" t="s">
        <v>13</v>
      </c>
      <c r="F527" s="4" t="s">
        <v>13</v>
      </c>
    </row>
    <row r="528" spans="1:6" x14ac:dyDescent="0.3">
      <c r="A528" s="4">
        <v>4024</v>
      </c>
      <c r="B528" s="4">
        <v>54699</v>
      </c>
      <c r="C528" t="s">
        <v>92</v>
      </c>
      <c r="D528" t="s">
        <v>616</v>
      </c>
      <c r="E528" s="4" t="s">
        <v>13</v>
      </c>
      <c r="F528" s="4" t="s">
        <v>13</v>
      </c>
    </row>
    <row r="529" spans="1:6" x14ac:dyDescent="0.3">
      <c r="A529" s="4">
        <v>4025</v>
      </c>
      <c r="B529" s="4">
        <v>54700</v>
      </c>
      <c r="C529" t="s">
        <v>92</v>
      </c>
      <c r="D529" t="s">
        <v>617</v>
      </c>
      <c r="E529" s="4" t="s">
        <v>13</v>
      </c>
      <c r="F529" s="4" t="s">
        <v>13</v>
      </c>
    </row>
    <row r="530" spans="1:6" x14ac:dyDescent="0.3">
      <c r="A530" s="4">
        <v>4027</v>
      </c>
      <c r="B530" s="4">
        <v>54701</v>
      </c>
      <c r="C530" t="s">
        <v>92</v>
      </c>
      <c r="D530" t="s">
        <v>618</v>
      </c>
      <c r="E530" s="4" t="s">
        <v>13</v>
      </c>
      <c r="F530" s="4" t="s">
        <v>13</v>
      </c>
    </row>
    <row r="531" spans="1:6" x14ac:dyDescent="0.3">
      <c r="A531" s="4">
        <v>4028</v>
      </c>
      <c r="B531" s="4">
        <v>54702</v>
      </c>
      <c r="C531" t="s">
        <v>92</v>
      </c>
      <c r="D531" t="s">
        <v>619</v>
      </c>
      <c r="E531" s="4" t="s">
        <v>13</v>
      </c>
      <c r="F531" s="4" t="s">
        <v>13</v>
      </c>
    </row>
    <row r="532" spans="1:6" x14ac:dyDescent="0.3">
      <c r="A532" s="4">
        <v>4030</v>
      </c>
      <c r="B532" s="4">
        <v>54703</v>
      </c>
      <c r="C532" t="s">
        <v>92</v>
      </c>
      <c r="D532" t="s">
        <v>620</v>
      </c>
      <c r="E532" s="4" t="s">
        <v>13</v>
      </c>
      <c r="F532" s="4" t="s">
        <v>13</v>
      </c>
    </row>
    <row r="533" spans="1:6" x14ac:dyDescent="0.3">
      <c r="A533" s="4">
        <v>4032</v>
      </c>
      <c r="B533" s="4">
        <v>54704</v>
      </c>
      <c r="C533" t="s">
        <v>92</v>
      </c>
      <c r="D533" t="s">
        <v>621</v>
      </c>
      <c r="E533" s="4" t="s">
        <v>13</v>
      </c>
      <c r="F533" s="4" t="s">
        <v>13</v>
      </c>
    </row>
    <row r="534" spans="1:6" x14ac:dyDescent="0.3">
      <c r="A534" s="4">
        <v>4033</v>
      </c>
      <c r="B534" s="4">
        <v>54705</v>
      </c>
      <c r="C534" t="s">
        <v>92</v>
      </c>
      <c r="D534" t="s">
        <v>622</v>
      </c>
      <c r="E534" s="4" t="s">
        <v>13</v>
      </c>
      <c r="F534" s="4" t="s">
        <v>13</v>
      </c>
    </row>
    <row r="535" spans="1:6" x14ac:dyDescent="0.3">
      <c r="A535" s="4">
        <v>4036</v>
      </c>
      <c r="B535" s="4">
        <v>54706</v>
      </c>
      <c r="C535" t="s">
        <v>92</v>
      </c>
      <c r="D535" t="s">
        <v>623</v>
      </c>
      <c r="E535" s="4" t="s">
        <v>13</v>
      </c>
      <c r="F535" s="4" t="s">
        <v>13</v>
      </c>
    </row>
    <row r="536" spans="1:6" x14ac:dyDescent="0.3">
      <c r="A536" s="4">
        <v>4044</v>
      </c>
      <c r="B536" s="4">
        <v>54707</v>
      </c>
      <c r="C536" t="s">
        <v>92</v>
      </c>
      <c r="D536" t="s">
        <v>624</v>
      </c>
      <c r="E536" s="4" t="s">
        <v>13</v>
      </c>
      <c r="F536" s="4" t="s">
        <v>13</v>
      </c>
    </row>
    <row r="537" spans="1:6" x14ac:dyDescent="0.3">
      <c r="A537" s="4">
        <v>4047</v>
      </c>
      <c r="B537" s="4">
        <v>54708</v>
      </c>
      <c r="C537" t="s">
        <v>92</v>
      </c>
      <c r="D537" t="s">
        <v>625</v>
      </c>
      <c r="E537" s="4" t="s">
        <v>13</v>
      </c>
      <c r="F537" s="4" t="s">
        <v>13</v>
      </c>
    </row>
    <row r="538" spans="1:6" x14ac:dyDescent="0.3">
      <c r="A538" s="4">
        <v>4049</v>
      </c>
      <c r="B538" s="4">
        <v>54709</v>
      </c>
      <c r="C538" t="s">
        <v>92</v>
      </c>
      <c r="D538" t="s">
        <v>626</v>
      </c>
      <c r="E538" s="4" t="s">
        <v>13</v>
      </c>
      <c r="F538" s="4" t="s">
        <v>13</v>
      </c>
    </row>
    <row r="539" spans="1:6" x14ac:dyDescent="0.3">
      <c r="A539" s="4">
        <v>4053</v>
      </c>
      <c r="B539" s="4">
        <v>54710</v>
      </c>
      <c r="C539" t="s">
        <v>92</v>
      </c>
      <c r="D539" t="s">
        <v>627</v>
      </c>
      <c r="E539" s="4" t="s">
        <v>13</v>
      </c>
      <c r="F539" s="4" t="s">
        <v>13</v>
      </c>
    </row>
    <row r="540" spans="1:6" x14ac:dyDescent="0.3">
      <c r="A540" s="4">
        <v>4055</v>
      </c>
      <c r="B540" s="4">
        <v>54711</v>
      </c>
      <c r="C540" t="s">
        <v>92</v>
      </c>
      <c r="D540" t="s">
        <v>628</v>
      </c>
      <c r="E540" s="4" t="s">
        <v>13</v>
      </c>
      <c r="F540" s="4" t="s">
        <v>13</v>
      </c>
    </row>
    <row r="541" spans="1:6" x14ac:dyDescent="0.3">
      <c r="A541" s="4">
        <v>4058</v>
      </c>
      <c r="B541" s="4">
        <v>54712</v>
      </c>
      <c r="C541" t="s">
        <v>92</v>
      </c>
      <c r="D541" t="s">
        <v>629</v>
      </c>
      <c r="E541" s="4" t="s">
        <v>13</v>
      </c>
      <c r="F541" s="4" t="s">
        <v>13</v>
      </c>
    </row>
    <row r="542" spans="1:6" x14ac:dyDescent="0.3">
      <c r="A542" s="4">
        <v>4059</v>
      </c>
      <c r="B542" s="4">
        <v>54713</v>
      </c>
      <c r="C542" t="s">
        <v>92</v>
      </c>
      <c r="D542" t="s">
        <v>630</v>
      </c>
      <c r="E542" s="4" t="s">
        <v>13</v>
      </c>
      <c r="F542" s="4" t="s">
        <v>13</v>
      </c>
    </row>
    <row r="543" spans="1:6" x14ac:dyDescent="0.3">
      <c r="A543" s="4">
        <v>4061</v>
      </c>
      <c r="B543" s="4">
        <v>54714</v>
      </c>
      <c r="C543" t="s">
        <v>92</v>
      </c>
      <c r="D543" t="s">
        <v>631</v>
      </c>
      <c r="E543" s="4" t="s">
        <v>13</v>
      </c>
      <c r="F543" s="4" t="s">
        <v>13</v>
      </c>
    </row>
    <row r="544" spans="1:6" x14ac:dyDescent="0.3">
      <c r="A544" s="4">
        <v>4062</v>
      </c>
      <c r="B544" s="4">
        <v>54715</v>
      </c>
      <c r="C544" t="s">
        <v>92</v>
      </c>
      <c r="D544" t="s">
        <v>632</v>
      </c>
      <c r="E544" s="4" t="s">
        <v>13</v>
      </c>
      <c r="F544" s="4" t="s">
        <v>13</v>
      </c>
    </row>
    <row r="545" spans="1:6" x14ac:dyDescent="0.3">
      <c r="A545" s="4">
        <v>4066</v>
      </c>
      <c r="B545" s="4">
        <v>54716</v>
      </c>
      <c r="C545" t="s">
        <v>92</v>
      </c>
      <c r="D545" t="s">
        <v>633</v>
      </c>
      <c r="E545" s="4" t="s">
        <v>13</v>
      </c>
      <c r="F545" s="4" t="s">
        <v>13</v>
      </c>
    </row>
    <row r="546" spans="1:6" x14ac:dyDescent="0.3">
      <c r="A546" s="4">
        <v>4067</v>
      </c>
      <c r="B546" s="4">
        <v>54717</v>
      </c>
      <c r="C546" t="s">
        <v>92</v>
      </c>
      <c r="D546" t="s">
        <v>634</v>
      </c>
      <c r="E546" s="4" t="s">
        <v>13</v>
      </c>
      <c r="F546" s="4" t="s">
        <v>13</v>
      </c>
    </row>
    <row r="547" spans="1:6" x14ac:dyDescent="0.3">
      <c r="A547" s="4">
        <v>4068</v>
      </c>
      <c r="B547" s="4">
        <v>54718</v>
      </c>
      <c r="C547" t="s">
        <v>92</v>
      </c>
      <c r="D547" t="s">
        <v>635</v>
      </c>
      <c r="E547" s="4" t="s">
        <v>13</v>
      </c>
      <c r="F547" s="4" t="s">
        <v>13</v>
      </c>
    </row>
    <row r="548" spans="1:6" x14ac:dyDescent="0.3">
      <c r="A548" s="4">
        <v>4073</v>
      </c>
      <c r="B548" s="4">
        <v>54719</v>
      </c>
      <c r="C548" t="s">
        <v>92</v>
      </c>
      <c r="D548" t="s">
        <v>636</v>
      </c>
      <c r="E548" s="4" t="s">
        <v>13</v>
      </c>
      <c r="F548" s="4" t="s">
        <v>13</v>
      </c>
    </row>
    <row r="549" spans="1:6" x14ac:dyDescent="0.3">
      <c r="A549" s="4">
        <v>4075</v>
      </c>
      <c r="B549" s="4">
        <v>54720</v>
      </c>
      <c r="C549" t="s">
        <v>92</v>
      </c>
      <c r="D549" t="s">
        <v>637</v>
      </c>
      <c r="E549" s="4" t="s">
        <v>13</v>
      </c>
      <c r="F549" s="4" t="s">
        <v>13</v>
      </c>
    </row>
    <row r="550" spans="1:6" x14ac:dyDescent="0.3">
      <c r="A550" s="4">
        <v>4077</v>
      </c>
      <c r="B550" s="4">
        <v>54721</v>
      </c>
      <c r="C550" t="s">
        <v>92</v>
      </c>
      <c r="D550" t="s">
        <v>638</v>
      </c>
      <c r="E550" s="4" t="s">
        <v>13</v>
      </c>
      <c r="F550" s="4" t="s">
        <v>13</v>
      </c>
    </row>
    <row r="551" spans="1:6" x14ac:dyDescent="0.3">
      <c r="A551" s="4">
        <v>4078</v>
      </c>
      <c r="B551" s="4">
        <v>54722</v>
      </c>
      <c r="C551" t="s">
        <v>92</v>
      </c>
      <c r="D551" t="s">
        <v>639</v>
      </c>
      <c r="E551" s="4" t="s">
        <v>13</v>
      </c>
      <c r="F551" s="4" t="s">
        <v>13</v>
      </c>
    </row>
    <row r="552" spans="1:6" x14ac:dyDescent="0.3">
      <c r="A552" s="4">
        <v>4080</v>
      </c>
      <c r="B552" s="4">
        <v>54723</v>
      </c>
      <c r="C552" t="s">
        <v>92</v>
      </c>
      <c r="D552" t="s">
        <v>640</v>
      </c>
      <c r="E552" s="4" t="s">
        <v>13</v>
      </c>
      <c r="F552" s="4" t="s">
        <v>13</v>
      </c>
    </row>
    <row r="553" spans="1:6" x14ac:dyDescent="0.3">
      <c r="A553" s="4">
        <v>4082</v>
      </c>
      <c r="B553" s="4">
        <v>54724</v>
      </c>
      <c r="C553" t="s">
        <v>92</v>
      </c>
      <c r="D553" t="s">
        <v>641</v>
      </c>
      <c r="E553" s="4" t="s">
        <v>13</v>
      </c>
      <c r="F553" s="4" t="s">
        <v>13</v>
      </c>
    </row>
    <row r="554" spans="1:6" x14ac:dyDescent="0.3">
      <c r="A554" s="4">
        <v>4083</v>
      </c>
      <c r="B554" s="4">
        <v>54725</v>
      </c>
      <c r="C554" t="s">
        <v>92</v>
      </c>
      <c r="D554" t="s">
        <v>642</v>
      </c>
      <c r="E554" s="4" t="s">
        <v>13</v>
      </c>
      <c r="F554" s="4" t="s">
        <v>13</v>
      </c>
    </row>
    <row r="555" spans="1:6" x14ac:dyDescent="0.3">
      <c r="A555" s="4">
        <v>4084</v>
      </c>
      <c r="B555" s="4">
        <v>54726</v>
      </c>
      <c r="C555" t="s">
        <v>92</v>
      </c>
      <c r="D555" t="s">
        <v>643</v>
      </c>
      <c r="E555" s="4" t="s">
        <v>13</v>
      </c>
      <c r="F555" s="4" t="s">
        <v>13</v>
      </c>
    </row>
    <row r="556" spans="1:6" x14ac:dyDescent="0.3">
      <c r="A556" s="4">
        <v>4085</v>
      </c>
      <c r="B556" s="4">
        <v>54727</v>
      </c>
      <c r="C556" t="s">
        <v>92</v>
      </c>
      <c r="D556" t="s">
        <v>644</v>
      </c>
      <c r="E556" s="4" t="s">
        <v>13</v>
      </c>
      <c r="F556" s="4" t="s">
        <v>13</v>
      </c>
    </row>
    <row r="557" spans="1:6" x14ac:dyDescent="0.3">
      <c r="A557" s="4">
        <v>4086</v>
      </c>
      <c r="B557" s="4">
        <v>54728</v>
      </c>
      <c r="C557" t="s">
        <v>92</v>
      </c>
      <c r="D557" t="s">
        <v>645</v>
      </c>
      <c r="E557" s="4" t="s">
        <v>13</v>
      </c>
      <c r="F557" s="4" t="s">
        <v>13</v>
      </c>
    </row>
    <row r="558" spans="1:6" x14ac:dyDescent="0.3">
      <c r="A558" s="4">
        <v>4087</v>
      </c>
      <c r="B558" s="4">
        <v>54729</v>
      </c>
      <c r="C558" t="s">
        <v>92</v>
      </c>
      <c r="D558" t="s">
        <v>646</v>
      </c>
      <c r="E558" s="4" t="s">
        <v>13</v>
      </c>
      <c r="F558" s="4" t="s">
        <v>13</v>
      </c>
    </row>
    <row r="559" spans="1:6" x14ac:dyDescent="0.3">
      <c r="A559" s="4">
        <v>4088</v>
      </c>
      <c r="B559" s="4">
        <v>54730</v>
      </c>
      <c r="C559" t="s">
        <v>92</v>
      </c>
      <c r="D559" t="s">
        <v>647</v>
      </c>
      <c r="E559" s="4" t="s">
        <v>13</v>
      </c>
      <c r="F559" s="4" t="s">
        <v>13</v>
      </c>
    </row>
    <row r="560" spans="1:6" x14ac:dyDescent="0.3">
      <c r="A560" s="4">
        <v>4089</v>
      </c>
      <c r="B560" s="4">
        <v>54731</v>
      </c>
      <c r="C560" t="s">
        <v>92</v>
      </c>
      <c r="D560" t="s">
        <v>648</v>
      </c>
      <c r="E560" s="4" t="s">
        <v>13</v>
      </c>
      <c r="F560" s="4" t="s">
        <v>13</v>
      </c>
    </row>
    <row r="561" spans="1:6" x14ac:dyDescent="0.3">
      <c r="A561" s="4">
        <v>4090</v>
      </c>
      <c r="B561" s="4">
        <v>54732</v>
      </c>
      <c r="C561" t="s">
        <v>92</v>
      </c>
      <c r="D561" t="s">
        <v>649</v>
      </c>
      <c r="E561" s="4" t="s">
        <v>13</v>
      </c>
      <c r="F561" s="4" t="s">
        <v>13</v>
      </c>
    </row>
    <row r="562" spans="1:6" x14ac:dyDescent="0.3">
      <c r="A562" s="4">
        <v>4092</v>
      </c>
      <c r="B562" s="4">
        <v>54733</v>
      </c>
      <c r="C562" t="s">
        <v>92</v>
      </c>
      <c r="D562" t="s">
        <v>650</v>
      </c>
      <c r="E562" s="4" t="s">
        <v>13</v>
      </c>
      <c r="F562" s="4" t="s">
        <v>13</v>
      </c>
    </row>
    <row r="563" spans="1:6" x14ac:dyDescent="0.3">
      <c r="A563" s="4">
        <v>4094</v>
      </c>
      <c r="B563" s="4">
        <v>54734</v>
      </c>
      <c r="C563" t="s">
        <v>92</v>
      </c>
      <c r="D563" t="s">
        <v>651</v>
      </c>
      <c r="E563" s="4" t="s">
        <v>13</v>
      </c>
      <c r="F563" s="4" t="s">
        <v>13</v>
      </c>
    </row>
    <row r="564" spans="1:6" x14ac:dyDescent="0.3">
      <c r="A564" s="4">
        <v>4095</v>
      </c>
      <c r="B564" s="4">
        <v>54735</v>
      </c>
      <c r="C564" t="s">
        <v>92</v>
      </c>
      <c r="D564" t="s">
        <v>652</v>
      </c>
      <c r="E564" s="4" t="s">
        <v>13</v>
      </c>
      <c r="F564" s="4" t="s">
        <v>13</v>
      </c>
    </row>
    <row r="565" spans="1:6" x14ac:dyDescent="0.3">
      <c r="A565" s="4">
        <v>4096</v>
      </c>
      <c r="B565" s="4">
        <v>54736</v>
      </c>
      <c r="C565" t="s">
        <v>92</v>
      </c>
      <c r="D565" t="s">
        <v>653</v>
      </c>
      <c r="E565" s="4" t="s">
        <v>13</v>
      </c>
      <c r="F565" s="4" t="s">
        <v>13</v>
      </c>
    </row>
    <row r="566" spans="1:6" x14ac:dyDescent="0.3">
      <c r="A566" s="4">
        <v>4097</v>
      </c>
      <c r="B566" s="4">
        <v>54737</v>
      </c>
      <c r="C566" t="s">
        <v>92</v>
      </c>
      <c r="D566" t="s">
        <v>654</v>
      </c>
      <c r="E566" s="4" t="s">
        <v>13</v>
      </c>
      <c r="F566" s="4" t="s">
        <v>13</v>
      </c>
    </row>
    <row r="567" spans="1:6" x14ac:dyDescent="0.3">
      <c r="A567" s="4">
        <v>4098</v>
      </c>
      <c r="B567" s="4">
        <v>54738</v>
      </c>
      <c r="C567" t="s">
        <v>92</v>
      </c>
      <c r="D567" t="s">
        <v>655</v>
      </c>
      <c r="E567" s="4" t="s">
        <v>13</v>
      </c>
      <c r="F567" s="4" t="s">
        <v>13</v>
      </c>
    </row>
    <row r="568" spans="1:6" x14ac:dyDescent="0.3">
      <c r="A568" s="4">
        <v>4101</v>
      </c>
      <c r="B568" s="4">
        <v>54739</v>
      </c>
      <c r="C568" t="s">
        <v>92</v>
      </c>
      <c r="D568" t="s">
        <v>656</v>
      </c>
      <c r="E568" s="4" t="s">
        <v>13</v>
      </c>
      <c r="F568" s="4" t="s">
        <v>13</v>
      </c>
    </row>
    <row r="569" spans="1:6" x14ac:dyDescent="0.3">
      <c r="A569" s="4">
        <v>4102</v>
      </c>
      <c r="B569" s="4">
        <v>54740</v>
      </c>
      <c r="C569" t="s">
        <v>92</v>
      </c>
      <c r="D569" t="s">
        <v>657</v>
      </c>
      <c r="E569" s="4" t="s">
        <v>13</v>
      </c>
      <c r="F569" s="4" t="s">
        <v>13</v>
      </c>
    </row>
    <row r="570" spans="1:6" x14ac:dyDescent="0.3">
      <c r="A570" s="4">
        <v>4105</v>
      </c>
      <c r="B570" s="4">
        <v>54741</v>
      </c>
      <c r="C570" t="s">
        <v>92</v>
      </c>
      <c r="D570" t="s">
        <v>658</v>
      </c>
      <c r="E570" s="4" t="s">
        <v>13</v>
      </c>
      <c r="F570" s="4" t="s">
        <v>13</v>
      </c>
    </row>
    <row r="571" spans="1:6" x14ac:dyDescent="0.3">
      <c r="A571" s="4">
        <v>4108</v>
      </c>
      <c r="B571" s="4">
        <v>54742</v>
      </c>
      <c r="C571" t="s">
        <v>92</v>
      </c>
      <c r="D571" t="s">
        <v>659</v>
      </c>
      <c r="E571" s="4" t="s">
        <v>13</v>
      </c>
      <c r="F571" s="4" t="s">
        <v>13</v>
      </c>
    </row>
    <row r="572" spans="1:6" x14ac:dyDescent="0.3">
      <c r="A572" s="4">
        <v>4109</v>
      </c>
      <c r="B572" s="4">
        <v>54743</v>
      </c>
      <c r="C572" t="s">
        <v>92</v>
      </c>
      <c r="D572" t="s">
        <v>660</v>
      </c>
      <c r="E572" s="4" t="s">
        <v>13</v>
      </c>
      <c r="F572" s="4" t="s">
        <v>13</v>
      </c>
    </row>
    <row r="573" spans="1:6" x14ac:dyDescent="0.3">
      <c r="A573" s="4">
        <v>4127</v>
      </c>
      <c r="B573" s="4">
        <v>54744</v>
      </c>
      <c r="C573" t="s">
        <v>92</v>
      </c>
      <c r="D573" t="s">
        <v>661</v>
      </c>
      <c r="E573" s="4" t="s">
        <v>13</v>
      </c>
      <c r="F573" s="4" t="s">
        <v>13</v>
      </c>
    </row>
    <row r="574" spans="1:6" x14ac:dyDescent="0.3">
      <c r="A574" s="4">
        <v>4129</v>
      </c>
      <c r="B574" s="4">
        <v>54745</v>
      </c>
      <c r="C574" t="s">
        <v>92</v>
      </c>
      <c r="D574" t="s">
        <v>662</v>
      </c>
      <c r="E574" s="4" t="s">
        <v>13</v>
      </c>
      <c r="F574" s="4" t="s">
        <v>13</v>
      </c>
    </row>
    <row r="575" spans="1:6" x14ac:dyDescent="0.3">
      <c r="A575" s="4">
        <v>4133</v>
      </c>
      <c r="B575" s="4">
        <v>54746</v>
      </c>
      <c r="C575" t="s">
        <v>92</v>
      </c>
      <c r="D575" t="s">
        <v>663</v>
      </c>
      <c r="E575" s="4" t="s">
        <v>13</v>
      </c>
      <c r="F575" s="4" t="s">
        <v>13</v>
      </c>
    </row>
    <row r="576" spans="1:6" x14ac:dyDescent="0.3">
      <c r="A576" s="4">
        <v>4207</v>
      </c>
      <c r="B576" s="4">
        <v>54747</v>
      </c>
      <c r="C576" t="s">
        <v>92</v>
      </c>
      <c r="D576" t="s">
        <v>664</v>
      </c>
      <c r="E576" s="4" t="s">
        <v>13</v>
      </c>
      <c r="F576" s="4" t="s">
        <v>13</v>
      </c>
    </row>
    <row r="577" spans="1:6" x14ac:dyDescent="0.3">
      <c r="A577" s="4">
        <v>4117</v>
      </c>
      <c r="B577" s="4">
        <v>54748</v>
      </c>
      <c r="C577" t="s">
        <v>92</v>
      </c>
      <c r="D577" t="s">
        <v>665</v>
      </c>
      <c r="E577" s="4" t="s">
        <v>13</v>
      </c>
      <c r="F577" s="4" t="s">
        <v>13</v>
      </c>
    </row>
    <row r="578" spans="1:6" x14ac:dyDescent="0.3">
      <c r="A578" s="4">
        <v>4120</v>
      </c>
      <c r="B578" s="4">
        <v>54749</v>
      </c>
      <c r="C578" t="s">
        <v>92</v>
      </c>
      <c r="D578" t="s">
        <v>666</v>
      </c>
      <c r="E578" s="4" t="s">
        <v>13</v>
      </c>
      <c r="F578" s="4" t="s">
        <v>13</v>
      </c>
    </row>
    <row r="579" spans="1:6" x14ac:dyDescent="0.3">
      <c r="A579" s="4">
        <v>4143</v>
      </c>
      <c r="B579" s="4">
        <v>54750</v>
      </c>
      <c r="C579" t="s">
        <v>92</v>
      </c>
      <c r="D579" t="s">
        <v>667</v>
      </c>
      <c r="E579" s="4" t="s">
        <v>13</v>
      </c>
      <c r="F579" s="4" t="s">
        <v>13</v>
      </c>
    </row>
    <row r="580" spans="1:6" x14ac:dyDescent="0.3">
      <c r="A580" s="4">
        <v>4146</v>
      </c>
      <c r="B580" s="4">
        <v>54751</v>
      </c>
      <c r="C580" t="s">
        <v>92</v>
      </c>
      <c r="D580" t="s">
        <v>668</v>
      </c>
      <c r="E580" s="4" t="s">
        <v>13</v>
      </c>
      <c r="F580" s="4" t="s">
        <v>13</v>
      </c>
    </row>
    <row r="581" spans="1:6" x14ac:dyDescent="0.3">
      <c r="A581" s="4">
        <v>4147</v>
      </c>
      <c r="B581" s="4">
        <v>54752</v>
      </c>
      <c r="C581" t="s">
        <v>92</v>
      </c>
      <c r="D581" t="s">
        <v>669</v>
      </c>
      <c r="E581" s="4" t="s">
        <v>13</v>
      </c>
      <c r="F581" s="4" t="s">
        <v>13</v>
      </c>
    </row>
    <row r="582" spans="1:6" x14ac:dyDescent="0.3">
      <c r="A582" s="4">
        <v>4148</v>
      </c>
      <c r="B582" s="4">
        <v>54753</v>
      </c>
      <c r="C582" t="s">
        <v>92</v>
      </c>
      <c r="D582" t="s">
        <v>670</v>
      </c>
      <c r="E582" s="4" t="s">
        <v>13</v>
      </c>
      <c r="F582" s="4" t="s">
        <v>13</v>
      </c>
    </row>
    <row r="583" spans="1:6" x14ac:dyDescent="0.3">
      <c r="A583" s="4">
        <v>4150</v>
      </c>
      <c r="B583" s="4">
        <v>54754</v>
      </c>
      <c r="C583" t="s">
        <v>92</v>
      </c>
      <c r="D583" t="s">
        <v>671</v>
      </c>
      <c r="E583" s="4" t="s">
        <v>13</v>
      </c>
      <c r="F583" s="4" t="s">
        <v>13</v>
      </c>
    </row>
    <row r="584" spans="1:6" x14ac:dyDescent="0.3">
      <c r="A584" s="4">
        <v>4154</v>
      </c>
      <c r="B584" s="4">
        <v>54755</v>
      </c>
      <c r="C584" t="s">
        <v>92</v>
      </c>
      <c r="D584" t="s">
        <v>672</v>
      </c>
      <c r="E584" s="4" t="s">
        <v>13</v>
      </c>
      <c r="F584" s="4" t="s">
        <v>13</v>
      </c>
    </row>
    <row r="585" spans="1:6" x14ac:dyDescent="0.3">
      <c r="A585" s="4">
        <v>4155</v>
      </c>
      <c r="B585" s="4">
        <v>54756</v>
      </c>
      <c r="C585" t="s">
        <v>92</v>
      </c>
      <c r="D585" t="s">
        <v>673</v>
      </c>
      <c r="E585" s="4" t="s">
        <v>13</v>
      </c>
      <c r="F585" s="4" t="s">
        <v>13</v>
      </c>
    </row>
    <row r="586" spans="1:6" x14ac:dyDescent="0.3">
      <c r="A586" s="4">
        <v>4157</v>
      </c>
      <c r="B586" s="4">
        <v>54757</v>
      </c>
      <c r="C586" t="s">
        <v>92</v>
      </c>
      <c r="D586" t="s">
        <v>674</v>
      </c>
      <c r="E586" s="4" t="s">
        <v>13</v>
      </c>
      <c r="F586" s="4" t="s">
        <v>13</v>
      </c>
    </row>
    <row r="587" spans="1:6" x14ac:dyDescent="0.3">
      <c r="A587" s="4">
        <v>4158</v>
      </c>
      <c r="B587" s="4">
        <v>54758</v>
      </c>
      <c r="C587" t="s">
        <v>92</v>
      </c>
      <c r="D587" t="s">
        <v>675</v>
      </c>
      <c r="E587" s="4" t="s">
        <v>13</v>
      </c>
      <c r="F587" s="4" t="s">
        <v>13</v>
      </c>
    </row>
    <row r="588" spans="1:6" x14ac:dyDescent="0.3">
      <c r="A588" s="4">
        <v>4159</v>
      </c>
      <c r="B588" s="4">
        <v>54759</v>
      </c>
      <c r="C588" t="s">
        <v>92</v>
      </c>
      <c r="D588" t="s">
        <v>676</v>
      </c>
      <c r="E588" s="4" t="s">
        <v>13</v>
      </c>
      <c r="F588" s="4" t="s">
        <v>13</v>
      </c>
    </row>
    <row r="589" spans="1:6" x14ac:dyDescent="0.3">
      <c r="A589" s="4">
        <v>4160</v>
      </c>
      <c r="B589" s="4">
        <v>54760</v>
      </c>
      <c r="C589" t="s">
        <v>92</v>
      </c>
      <c r="D589" t="s">
        <v>677</v>
      </c>
      <c r="E589" s="4" t="s">
        <v>13</v>
      </c>
      <c r="F589" s="4" t="s">
        <v>13</v>
      </c>
    </row>
    <row r="590" spans="1:6" x14ac:dyDescent="0.3">
      <c r="A590" s="4">
        <v>4166</v>
      </c>
      <c r="B590" s="4">
        <v>54761</v>
      </c>
      <c r="C590" t="s">
        <v>92</v>
      </c>
      <c r="D590" t="s">
        <v>678</v>
      </c>
      <c r="E590" s="4" t="s">
        <v>13</v>
      </c>
      <c r="F590" s="4" t="s">
        <v>13</v>
      </c>
    </row>
    <row r="591" spans="1:6" x14ac:dyDescent="0.3">
      <c r="A591" s="4">
        <v>4167</v>
      </c>
      <c r="B591" s="4">
        <v>54762</v>
      </c>
      <c r="C591" t="s">
        <v>92</v>
      </c>
      <c r="D591" t="s">
        <v>679</v>
      </c>
      <c r="E591" s="4" t="s">
        <v>13</v>
      </c>
      <c r="F591" s="4" t="s">
        <v>13</v>
      </c>
    </row>
    <row r="592" spans="1:6" x14ac:dyDescent="0.3">
      <c r="A592" s="4">
        <v>4207</v>
      </c>
      <c r="B592" s="4">
        <v>54763</v>
      </c>
      <c r="C592" t="s">
        <v>92</v>
      </c>
      <c r="D592" t="s">
        <v>680</v>
      </c>
      <c r="E592" s="4" t="s">
        <v>13</v>
      </c>
      <c r="F592" s="4" t="s">
        <v>13</v>
      </c>
    </row>
    <row r="593" spans="1:6" x14ac:dyDescent="0.3">
      <c r="A593" s="4">
        <v>4208</v>
      </c>
      <c r="B593" s="4">
        <v>54764</v>
      </c>
      <c r="C593" t="s">
        <v>92</v>
      </c>
      <c r="D593" t="s">
        <v>681</v>
      </c>
      <c r="E593" s="4" t="s">
        <v>13</v>
      </c>
      <c r="F593" s="4" t="s">
        <v>13</v>
      </c>
    </row>
    <row r="594" spans="1:6" x14ac:dyDescent="0.3">
      <c r="A594" s="4">
        <v>4209</v>
      </c>
      <c r="B594" s="4">
        <v>54765</v>
      </c>
      <c r="C594" t="s">
        <v>92</v>
      </c>
      <c r="D594" t="s">
        <v>682</v>
      </c>
      <c r="E594" s="4" t="s">
        <v>13</v>
      </c>
      <c r="F594" s="4" t="s">
        <v>13</v>
      </c>
    </row>
    <row r="595" spans="1:6" x14ac:dyDescent="0.3">
      <c r="A595" s="4">
        <v>4211</v>
      </c>
      <c r="B595" s="4">
        <v>54766</v>
      </c>
      <c r="C595" t="s">
        <v>92</v>
      </c>
      <c r="D595" t="s">
        <v>683</v>
      </c>
      <c r="E595" s="4" t="s">
        <v>13</v>
      </c>
      <c r="F595" s="4" t="s">
        <v>13</v>
      </c>
    </row>
    <row r="596" spans="1:6" x14ac:dyDescent="0.3">
      <c r="A596" s="4">
        <v>4301</v>
      </c>
      <c r="B596" s="4">
        <v>54767</v>
      </c>
      <c r="C596" t="s">
        <v>92</v>
      </c>
      <c r="D596" t="s">
        <v>684</v>
      </c>
      <c r="E596" s="4" t="s">
        <v>13</v>
      </c>
      <c r="F596" s="4" t="s">
        <v>13</v>
      </c>
    </row>
    <row r="597" spans="1:6" x14ac:dyDescent="0.3">
      <c r="A597" s="4">
        <v>4302</v>
      </c>
      <c r="B597" s="4">
        <v>54768</v>
      </c>
      <c r="C597" t="s">
        <v>92</v>
      </c>
      <c r="D597" t="s">
        <v>685</v>
      </c>
      <c r="E597" s="4" t="s">
        <v>13</v>
      </c>
      <c r="F597" s="4" t="s">
        <v>13</v>
      </c>
    </row>
    <row r="598" spans="1:6" x14ac:dyDescent="0.3">
      <c r="A598" s="4">
        <v>4305</v>
      </c>
      <c r="B598" s="4">
        <v>54769</v>
      </c>
      <c r="C598" t="s">
        <v>92</v>
      </c>
      <c r="D598" t="s">
        <v>686</v>
      </c>
      <c r="E598" s="4" t="s">
        <v>13</v>
      </c>
      <c r="F598" s="4" t="s">
        <v>13</v>
      </c>
    </row>
    <row r="599" spans="1:6" x14ac:dyDescent="0.3">
      <c r="A599" s="4">
        <v>4308</v>
      </c>
      <c r="B599" s="4">
        <v>54770</v>
      </c>
      <c r="C599" t="s">
        <v>92</v>
      </c>
      <c r="D599" t="s">
        <v>687</v>
      </c>
      <c r="E599" s="4" t="s">
        <v>13</v>
      </c>
      <c r="F599" s="4" t="s">
        <v>13</v>
      </c>
    </row>
    <row r="600" spans="1:6" x14ac:dyDescent="0.3">
      <c r="A600" s="4">
        <v>4322</v>
      </c>
      <c r="B600" s="4">
        <v>54771</v>
      </c>
      <c r="C600" t="s">
        <v>92</v>
      </c>
      <c r="D600" t="s">
        <v>688</v>
      </c>
      <c r="E600" s="4" t="s">
        <v>13</v>
      </c>
      <c r="F600" s="4" t="s">
        <v>13</v>
      </c>
    </row>
    <row r="601" spans="1:6" x14ac:dyDescent="0.3">
      <c r="A601" s="4">
        <v>4323</v>
      </c>
      <c r="B601" s="4">
        <v>54772</v>
      </c>
      <c r="C601" t="s">
        <v>92</v>
      </c>
      <c r="D601" t="s">
        <v>689</v>
      </c>
      <c r="E601" s="4" t="s">
        <v>13</v>
      </c>
      <c r="F601" s="4" t="s">
        <v>13</v>
      </c>
    </row>
    <row r="602" spans="1:6" x14ac:dyDescent="0.3">
      <c r="A602" s="4">
        <v>4325</v>
      </c>
      <c r="B602" s="4">
        <v>54773</v>
      </c>
      <c r="C602" t="s">
        <v>92</v>
      </c>
      <c r="D602" t="s">
        <v>690</v>
      </c>
      <c r="E602" s="4" t="s">
        <v>13</v>
      </c>
      <c r="F602" s="4" t="s">
        <v>13</v>
      </c>
    </row>
    <row r="603" spans="1:6" x14ac:dyDescent="0.3">
      <c r="A603" s="4">
        <v>4328</v>
      </c>
      <c r="B603" s="4">
        <v>54774</v>
      </c>
      <c r="C603" t="s">
        <v>92</v>
      </c>
      <c r="D603" t="s">
        <v>691</v>
      </c>
      <c r="E603" s="4" t="s">
        <v>13</v>
      </c>
      <c r="F603" s="4" t="s">
        <v>13</v>
      </c>
    </row>
    <row r="604" spans="1:6" x14ac:dyDescent="0.3">
      <c r="A604" s="4">
        <v>4332</v>
      </c>
      <c r="B604" s="4">
        <v>54775</v>
      </c>
      <c r="C604" t="s">
        <v>92</v>
      </c>
      <c r="D604" t="s">
        <v>692</v>
      </c>
      <c r="E604" s="4" t="s">
        <v>13</v>
      </c>
      <c r="F604" s="4" t="s">
        <v>13</v>
      </c>
    </row>
    <row r="605" spans="1:6" x14ac:dyDescent="0.3">
      <c r="A605" s="4">
        <v>4335</v>
      </c>
      <c r="B605" s="4">
        <v>54776</v>
      </c>
      <c r="C605" t="s">
        <v>92</v>
      </c>
      <c r="D605" t="s">
        <v>693</v>
      </c>
      <c r="E605" s="4" t="s">
        <v>13</v>
      </c>
      <c r="F605" s="4" t="s">
        <v>13</v>
      </c>
    </row>
    <row r="606" spans="1:6" x14ac:dyDescent="0.3">
      <c r="A606" s="4">
        <v>4336</v>
      </c>
      <c r="B606" s="4">
        <v>54777</v>
      </c>
      <c r="C606" t="s">
        <v>92</v>
      </c>
      <c r="D606" t="s">
        <v>694</v>
      </c>
      <c r="E606" s="4" t="s">
        <v>13</v>
      </c>
      <c r="F606" s="4" t="s">
        <v>13</v>
      </c>
    </row>
    <row r="607" spans="1:6" x14ac:dyDescent="0.3">
      <c r="A607" s="4">
        <v>4337</v>
      </c>
      <c r="B607" s="4">
        <v>54778</v>
      </c>
      <c r="C607" t="s">
        <v>92</v>
      </c>
      <c r="D607" t="s">
        <v>695</v>
      </c>
      <c r="E607" s="4" t="s">
        <v>13</v>
      </c>
      <c r="F607" s="4" t="s">
        <v>13</v>
      </c>
    </row>
    <row r="608" spans="1:6" x14ac:dyDescent="0.3">
      <c r="A608" s="4">
        <v>4338</v>
      </c>
      <c r="B608" s="4">
        <v>54779</v>
      </c>
      <c r="C608" t="s">
        <v>92</v>
      </c>
      <c r="D608" t="s">
        <v>696</v>
      </c>
      <c r="E608" s="4" t="s">
        <v>13</v>
      </c>
      <c r="F608" s="4" t="s">
        <v>13</v>
      </c>
    </row>
    <row r="609" spans="1:6" x14ac:dyDescent="0.3">
      <c r="A609" s="4">
        <v>4340</v>
      </c>
      <c r="B609" s="4">
        <v>54780</v>
      </c>
      <c r="C609" t="s">
        <v>92</v>
      </c>
      <c r="D609" t="s">
        <v>697</v>
      </c>
      <c r="E609" s="4" t="s">
        <v>13</v>
      </c>
      <c r="F609" s="4" t="s">
        <v>13</v>
      </c>
    </row>
    <row r="610" spans="1:6" x14ac:dyDescent="0.3">
      <c r="A610" s="4">
        <v>4341</v>
      </c>
      <c r="B610" s="4">
        <v>54781</v>
      </c>
      <c r="C610" t="s">
        <v>92</v>
      </c>
      <c r="D610" t="s">
        <v>698</v>
      </c>
      <c r="E610" s="4" t="s">
        <v>13</v>
      </c>
      <c r="F610" s="4" t="s">
        <v>13</v>
      </c>
    </row>
    <row r="611" spans="1:6" x14ac:dyDescent="0.3">
      <c r="A611" s="4">
        <v>4342</v>
      </c>
      <c r="B611" s="4">
        <v>54782</v>
      </c>
      <c r="C611" t="s">
        <v>92</v>
      </c>
      <c r="D611" t="s">
        <v>699</v>
      </c>
      <c r="E611" s="4" t="s">
        <v>13</v>
      </c>
      <c r="F611" s="4" t="s">
        <v>13</v>
      </c>
    </row>
    <row r="612" spans="1:6" x14ac:dyDescent="0.3">
      <c r="A612" s="4">
        <v>4345</v>
      </c>
      <c r="B612" s="4">
        <v>54783</v>
      </c>
      <c r="C612" t="s">
        <v>92</v>
      </c>
      <c r="D612" t="s">
        <v>700</v>
      </c>
      <c r="E612" s="4" t="s">
        <v>13</v>
      </c>
      <c r="F612" s="4" t="s">
        <v>13</v>
      </c>
    </row>
    <row r="613" spans="1:6" x14ac:dyDescent="0.3">
      <c r="A613" s="4">
        <v>4346</v>
      </c>
      <c r="B613" s="4">
        <v>54784</v>
      </c>
      <c r="C613" t="s">
        <v>92</v>
      </c>
      <c r="D613" t="s">
        <v>701</v>
      </c>
      <c r="E613" s="4" t="s">
        <v>13</v>
      </c>
      <c r="F613" s="4" t="s">
        <v>13</v>
      </c>
    </row>
    <row r="614" spans="1:6" x14ac:dyDescent="0.3">
      <c r="A614" s="4">
        <v>4354</v>
      </c>
      <c r="B614" s="4">
        <v>54785</v>
      </c>
      <c r="C614" t="s">
        <v>92</v>
      </c>
      <c r="D614" t="s">
        <v>702</v>
      </c>
      <c r="E614" s="4" t="s">
        <v>13</v>
      </c>
      <c r="F614" s="4" t="s">
        <v>13</v>
      </c>
    </row>
    <row r="615" spans="1:6" x14ac:dyDescent="0.3">
      <c r="A615" s="4">
        <v>4362</v>
      </c>
      <c r="B615" s="4">
        <v>54786</v>
      </c>
      <c r="C615" t="s">
        <v>92</v>
      </c>
      <c r="D615" t="s">
        <v>703</v>
      </c>
      <c r="E615" s="4" t="s">
        <v>13</v>
      </c>
      <c r="F615" s="4" t="s">
        <v>13</v>
      </c>
    </row>
    <row r="616" spans="1:6" x14ac:dyDescent="0.3">
      <c r="A616" s="4">
        <v>4363</v>
      </c>
      <c r="B616" s="4">
        <v>54787</v>
      </c>
      <c r="C616" t="s">
        <v>92</v>
      </c>
      <c r="D616" t="s">
        <v>704</v>
      </c>
      <c r="E616" s="4" t="s">
        <v>13</v>
      </c>
      <c r="F616" s="4" t="s">
        <v>13</v>
      </c>
    </row>
    <row r="617" spans="1:6" x14ac:dyDescent="0.3">
      <c r="A617" s="4">
        <v>4364</v>
      </c>
      <c r="B617" s="4">
        <v>54788</v>
      </c>
      <c r="C617" t="s">
        <v>92</v>
      </c>
      <c r="D617" t="s">
        <v>705</v>
      </c>
      <c r="E617" s="4" t="s">
        <v>13</v>
      </c>
      <c r="F617" s="4" t="s">
        <v>13</v>
      </c>
    </row>
    <row r="618" spans="1:6" x14ac:dyDescent="0.3">
      <c r="A618" s="4">
        <v>4366</v>
      </c>
      <c r="B618" s="4">
        <v>54789</v>
      </c>
      <c r="C618" t="s">
        <v>92</v>
      </c>
      <c r="D618" t="s">
        <v>706</v>
      </c>
      <c r="E618" s="4" t="s">
        <v>13</v>
      </c>
      <c r="F618" s="4" t="s">
        <v>13</v>
      </c>
    </row>
    <row r="619" spans="1:6" x14ac:dyDescent="0.3">
      <c r="A619" s="4">
        <v>4367</v>
      </c>
      <c r="B619" s="4">
        <v>54790</v>
      </c>
      <c r="C619" t="s">
        <v>92</v>
      </c>
      <c r="D619" t="s">
        <v>707</v>
      </c>
      <c r="E619" s="4" t="s">
        <v>13</v>
      </c>
      <c r="F619" s="4" t="s">
        <v>13</v>
      </c>
    </row>
    <row r="620" spans="1:6" x14ac:dyDescent="0.3">
      <c r="A620" s="4">
        <v>4368</v>
      </c>
      <c r="B620" s="4">
        <v>54791</v>
      </c>
      <c r="C620" t="s">
        <v>92</v>
      </c>
      <c r="D620" t="s">
        <v>708</v>
      </c>
      <c r="E620" s="4" t="s">
        <v>13</v>
      </c>
      <c r="F620" s="4" t="s">
        <v>13</v>
      </c>
    </row>
    <row r="621" spans="1:6" x14ac:dyDescent="0.3">
      <c r="A621" s="4">
        <v>4369</v>
      </c>
      <c r="B621" s="4">
        <v>54792</v>
      </c>
      <c r="C621" t="s">
        <v>92</v>
      </c>
      <c r="D621" t="s">
        <v>709</v>
      </c>
      <c r="E621" s="4" t="s">
        <v>13</v>
      </c>
      <c r="F621" s="4" t="s">
        <v>13</v>
      </c>
    </row>
    <row r="622" spans="1:6" x14ac:dyDescent="0.3">
      <c r="A622" s="4">
        <v>4372</v>
      </c>
      <c r="B622" s="4">
        <v>54793</v>
      </c>
      <c r="C622" t="s">
        <v>92</v>
      </c>
      <c r="D622" t="s">
        <v>710</v>
      </c>
      <c r="E622" s="4" t="s">
        <v>13</v>
      </c>
      <c r="F622" s="4" t="s">
        <v>13</v>
      </c>
    </row>
    <row r="623" spans="1:6" x14ac:dyDescent="0.3">
      <c r="A623" s="4">
        <v>4377</v>
      </c>
      <c r="B623" s="4">
        <v>54794</v>
      </c>
      <c r="C623" t="s">
        <v>92</v>
      </c>
      <c r="D623" t="s">
        <v>711</v>
      </c>
      <c r="E623" s="4" t="s">
        <v>13</v>
      </c>
      <c r="F623" s="4" t="s">
        <v>13</v>
      </c>
    </row>
    <row r="624" spans="1:6" x14ac:dyDescent="0.3">
      <c r="A624" s="4">
        <v>4382</v>
      </c>
      <c r="B624" s="4">
        <v>54795</v>
      </c>
      <c r="C624" t="s">
        <v>92</v>
      </c>
      <c r="D624" t="s">
        <v>712</v>
      </c>
      <c r="E624" s="4" t="s">
        <v>13</v>
      </c>
      <c r="F624" s="4" t="s">
        <v>13</v>
      </c>
    </row>
    <row r="625" spans="1:6" x14ac:dyDescent="0.3">
      <c r="A625" s="4">
        <v>4384</v>
      </c>
      <c r="B625" s="4">
        <v>54796</v>
      </c>
      <c r="C625" t="s">
        <v>92</v>
      </c>
      <c r="D625" t="s">
        <v>713</v>
      </c>
      <c r="E625" s="4" t="s">
        <v>13</v>
      </c>
      <c r="F625" s="4" t="s">
        <v>13</v>
      </c>
    </row>
    <row r="626" spans="1:6" x14ac:dyDescent="0.3">
      <c r="A626" s="4">
        <v>4391</v>
      </c>
      <c r="B626" s="4">
        <v>54797</v>
      </c>
      <c r="C626" t="s">
        <v>92</v>
      </c>
      <c r="D626" t="s">
        <v>714</v>
      </c>
      <c r="E626" s="4" t="s">
        <v>13</v>
      </c>
      <c r="F626" s="4" t="s">
        <v>13</v>
      </c>
    </row>
    <row r="627" spans="1:6" x14ac:dyDescent="0.3">
      <c r="A627" s="4">
        <v>4392</v>
      </c>
      <c r="B627" s="4">
        <v>54798</v>
      </c>
      <c r="C627" t="s">
        <v>92</v>
      </c>
      <c r="D627" t="s">
        <v>715</v>
      </c>
      <c r="E627" s="4" t="s">
        <v>13</v>
      </c>
      <c r="F627" s="4" t="s">
        <v>13</v>
      </c>
    </row>
    <row r="628" spans="1:6" x14ac:dyDescent="0.3">
      <c r="A628" s="4">
        <v>4393</v>
      </c>
      <c r="B628" s="4">
        <v>54799</v>
      </c>
      <c r="C628" t="s">
        <v>92</v>
      </c>
      <c r="D628" t="s">
        <v>716</v>
      </c>
      <c r="E628" s="4" t="s">
        <v>13</v>
      </c>
      <c r="F628" s="4" t="s">
        <v>13</v>
      </c>
    </row>
    <row r="629" spans="1:6" x14ac:dyDescent="0.3">
      <c r="A629" s="4">
        <v>4395</v>
      </c>
      <c r="B629" s="4">
        <v>54800</v>
      </c>
      <c r="C629" t="s">
        <v>92</v>
      </c>
      <c r="D629" t="s">
        <v>717</v>
      </c>
      <c r="E629" s="4" t="s">
        <v>13</v>
      </c>
      <c r="F629" s="4" t="s">
        <v>13</v>
      </c>
    </row>
    <row r="630" spans="1:6" x14ac:dyDescent="0.3">
      <c r="A630" s="4">
        <v>4399</v>
      </c>
      <c r="B630" s="4">
        <v>54801</v>
      </c>
      <c r="C630" t="s">
        <v>92</v>
      </c>
      <c r="D630" t="s">
        <v>718</v>
      </c>
      <c r="E630" s="4" t="s">
        <v>13</v>
      </c>
      <c r="F630" s="4" t="s">
        <v>13</v>
      </c>
    </row>
    <row r="631" spans="1:6" x14ac:dyDescent="0.3">
      <c r="A631" s="4">
        <v>4405</v>
      </c>
      <c r="B631" s="4">
        <v>54802</v>
      </c>
      <c r="C631" t="s">
        <v>92</v>
      </c>
      <c r="D631" t="s">
        <v>719</v>
      </c>
      <c r="E631" s="4" t="s">
        <v>13</v>
      </c>
      <c r="F631" s="4" t="s">
        <v>13</v>
      </c>
    </row>
    <row r="632" spans="1:6" x14ac:dyDescent="0.3">
      <c r="A632" s="4">
        <v>4407</v>
      </c>
      <c r="B632" s="4">
        <v>54803</v>
      </c>
      <c r="C632" t="s">
        <v>92</v>
      </c>
      <c r="D632" t="s">
        <v>720</v>
      </c>
      <c r="E632" s="4" t="s">
        <v>13</v>
      </c>
      <c r="F632" s="4" t="s">
        <v>13</v>
      </c>
    </row>
    <row r="633" spans="1:6" x14ac:dyDescent="0.3">
      <c r="A633" s="4">
        <v>4408</v>
      </c>
      <c r="B633" s="4">
        <v>54804</v>
      </c>
      <c r="C633" t="s">
        <v>92</v>
      </c>
      <c r="D633" t="s">
        <v>721</v>
      </c>
      <c r="E633" s="4" t="s">
        <v>13</v>
      </c>
      <c r="F633" s="4" t="s">
        <v>13</v>
      </c>
    </row>
    <row r="634" spans="1:6" x14ac:dyDescent="0.3">
      <c r="A634" s="4">
        <v>4410</v>
      </c>
      <c r="B634" s="4">
        <v>54805</v>
      </c>
      <c r="C634" t="s">
        <v>92</v>
      </c>
      <c r="D634" t="s">
        <v>722</v>
      </c>
      <c r="E634" s="4" t="s">
        <v>13</v>
      </c>
      <c r="F634" s="4" t="s">
        <v>13</v>
      </c>
    </row>
    <row r="635" spans="1:6" x14ac:dyDescent="0.3">
      <c r="A635" s="4">
        <v>4411</v>
      </c>
      <c r="B635" s="4">
        <v>54806</v>
      </c>
      <c r="C635" t="s">
        <v>92</v>
      </c>
      <c r="D635" t="s">
        <v>723</v>
      </c>
      <c r="E635" s="4" t="s">
        <v>13</v>
      </c>
      <c r="F635" s="4" t="s">
        <v>13</v>
      </c>
    </row>
    <row r="636" spans="1:6" x14ac:dyDescent="0.3">
      <c r="A636" s="4">
        <v>4414</v>
      </c>
      <c r="B636" s="4">
        <v>54807</v>
      </c>
      <c r="C636" t="s">
        <v>92</v>
      </c>
      <c r="D636" t="s">
        <v>724</v>
      </c>
      <c r="E636" s="4" t="s">
        <v>13</v>
      </c>
      <c r="F636" s="4" t="s">
        <v>13</v>
      </c>
    </row>
    <row r="637" spans="1:6" x14ac:dyDescent="0.3">
      <c r="A637" s="4">
        <v>4415</v>
      </c>
      <c r="B637" s="4">
        <v>54808</v>
      </c>
      <c r="C637" t="s">
        <v>92</v>
      </c>
      <c r="D637" t="s">
        <v>725</v>
      </c>
      <c r="E637" s="4" t="s">
        <v>13</v>
      </c>
      <c r="F637" s="4" t="s">
        <v>13</v>
      </c>
    </row>
    <row r="638" spans="1:6" x14ac:dyDescent="0.3">
      <c r="A638" s="4">
        <v>4416</v>
      </c>
      <c r="B638" s="4">
        <v>54809</v>
      </c>
      <c r="C638" t="s">
        <v>92</v>
      </c>
      <c r="D638" t="s">
        <v>726</v>
      </c>
      <c r="E638" s="4" t="s">
        <v>13</v>
      </c>
      <c r="F638" s="4" t="s">
        <v>13</v>
      </c>
    </row>
    <row r="639" spans="1:6" x14ac:dyDescent="0.3">
      <c r="A639" s="4">
        <v>4417</v>
      </c>
      <c r="B639" s="4">
        <v>54810</v>
      </c>
      <c r="C639" t="s">
        <v>92</v>
      </c>
      <c r="D639" t="s">
        <v>727</v>
      </c>
      <c r="E639" s="4" t="s">
        <v>13</v>
      </c>
      <c r="F639" s="4" t="s">
        <v>13</v>
      </c>
    </row>
    <row r="640" spans="1:6" x14ac:dyDescent="0.3">
      <c r="A640" s="4">
        <v>4418</v>
      </c>
      <c r="B640" s="4">
        <v>54811</v>
      </c>
      <c r="C640" t="s">
        <v>92</v>
      </c>
      <c r="D640" t="s">
        <v>728</v>
      </c>
      <c r="E640" s="4" t="s">
        <v>13</v>
      </c>
      <c r="F640" s="4" t="s">
        <v>13</v>
      </c>
    </row>
    <row r="641" spans="1:6" x14ac:dyDescent="0.3">
      <c r="A641" s="4">
        <v>4419</v>
      </c>
      <c r="B641" s="4">
        <v>54812</v>
      </c>
      <c r="C641" t="s">
        <v>92</v>
      </c>
      <c r="D641" t="s">
        <v>729</v>
      </c>
      <c r="E641" s="4" t="s">
        <v>13</v>
      </c>
      <c r="F641" s="4" t="s">
        <v>13</v>
      </c>
    </row>
    <row r="642" spans="1:6" x14ac:dyDescent="0.3">
      <c r="A642" s="4">
        <v>4420</v>
      </c>
      <c r="B642" s="4">
        <v>54813</v>
      </c>
      <c r="C642" t="s">
        <v>92</v>
      </c>
      <c r="D642" t="s">
        <v>730</v>
      </c>
      <c r="E642" s="4" t="s">
        <v>13</v>
      </c>
      <c r="F642" s="4" t="s">
        <v>13</v>
      </c>
    </row>
    <row r="643" spans="1:6" x14ac:dyDescent="0.3">
      <c r="A643" s="4">
        <v>4421</v>
      </c>
      <c r="B643" s="4">
        <v>54814</v>
      </c>
      <c r="C643" t="s">
        <v>92</v>
      </c>
      <c r="D643" t="s">
        <v>731</v>
      </c>
      <c r="E643" s="4" t="s">
        <v>13</v>
      </c>
      <c r="F643" s="4" t="s">
        <v>13</v>
      </c>
    </row>
    <row r="644" spans="1:6" x14ac:dyDescent="0.3">
      <c r="A644" s="4">
        <v>4422</v>
      </c>
      <c r="B644" s="4">
        <v>54815</v>
      </c>
      <c r="C644" t="s">
        <v>92</v>
      </c>
      <c r="D644" t="s">
        <v>732</v>
      </c>
      <c r="E644" s="4" t="s">
        <v>13</v>
      </c>
      <c r="F644" s="4" t="s">
        <v>13</v>
      </c>
    </row>
    <row r="645" spans="1:6" x14ac:dyDescent="0.3">
      <c r="A645" s="4">
        <v>4423</v>
      </c>
      <c r="B645" s="4">
        <v>54816</v>
      </c>
      <c r="C645" t="s">
        <v>92</v>
      </c>
      <c r="D645" t="s">
        <v>733</v>
      </c>
      <c r="E645" s="4" t="s">
        <v>13</v>
      </c>
      <c r="F645" s="4" t="s">
        <v>13</v>
      </c>
    </row>
    <row r="646" spans="1:6" x14ac:dyDescent="0.3">
      <c r="A646" s="4">
        <v>4424</v>
      </c>
      <c r="B646" s="4">
        <v>54817</v>
      </c>
      <c r="C646" t="s">
        <v>92</v>
      </c>
      <c r="D646" t="s">
        <v>734</v>
      </c>
      <c r="E646" s="4" t="s">
        <v>13</v>
      </c>
      <c r="F646" s="4" t="s">
        <v>13</v>
      </c>
    </row>
    <row r="647" spans="1:6" x14ac:dyDescent="0.3">
      <c r="A647" s="4">
        <v>4425</v>
      </c>
      <c r="B647" s="4">
        <v>54818</v>
      </c>
      <c r="C647" t="s">
        <v>92</v>
      </c>
      <c r="D647" t="s">
        <v>735</v>
      </c>
      <c r="E647" s="4" t="s">
        <v>13</v>
      </c>
      <c r="F647" s="4" t="s">
        <v>13</v>
      </c>
    </row>
    <row r="648" spans="1:6" x14ac:dyDescent="0.3">
      <c r="A648" s="4">
        <v>4426</v>
      </c>
      <c r="B648" s="4">
        <v>54819</v>
      </c>
      <c r="C648" t="s">
        <v>92</v>
      </c>
      <c r="D648" t="s">
        <v>736</v>
      </c>
      <c r="E648" s="4" t="s">
        <v>13</v>
      </c>
      <c r="F648" s="4" t="s">
        <v>13</v>
      </c>
    </row>
    <row r="649" spans="1:6" x14ac:dyDescent="0.3">
      <c r="A649" s="4">
        <v>4428</v>
      </c>
      <c r="B649" s="4">
        <v>54820</v>
      </c>
      <c r="C649" t="s">
        <v>92</v>
      </c>
      <c r="D649" t="s">
        <v>737</v>
      </c>
      <c r="E649" s="4" t="s">
        <v>13</v>
      </c>
      <c r="F649" s="4" t="s">
        <v>13</v>
      </c>
    </row>
    <row r="650" spans="1:6" x14ac:dyDescent="0.3">
      <c r="A650" s="4">
        <v>4431</v>
      </c>
      <c r="B650" s="4">
        <v>54821</v>
      </c>
      <c r="C650" t="s">
        <v>92</v>
      </c>
      <c r="D650" t="s">
        <v>738</v>
      </c>
      <c r="E650" s="4" t="s">
        <v>13</v>
      </c>
      <c r="F650" s="4" t="s">
        <v>13</v>
      </c>
    </row>
    <row r="651" spans="1:6" x14ac:dyDescent="0.3">
      <c r="A651" s="4">
        <v>5001</v>
      </c>
      <c r="B651" s="4">
        <v>54822</v>
      </c>
      <c r="C651" t="s">
        <v>93</v>
      </c>
      <c r="D651" t="s">
        <v>739</v>
      </c>
      <c r="E651" s="4" t="s">
        <v>13</v>
      </c>
      <c r="F651" s="4" t="s">
        <v>13</v>
      </c>
    </row>
    <row r="652" spans="1:6" x14ac:dyDescent="0.3">
      <c r="A652" s="4">
        <v>5002</v>
      </c>
      <c r="B652" s="4">
        <v>54823</v>
      </c>
      <c r="C652" t="s">
        <v>93</v>
      </c>
      <c r="D652" t="s">
        <v>740</v>
      </c>
      <c r="E652" s="4" t="s">
        <v>13</v>
      </c>
      <c r="F652" s="4" t="s">
        <v>13</v>
      </c>
    </row>
    <row r="653" spans="1:6" x14ac:dyDescent="0.3">
      <c r="A653" s="4">
        <v>5003</v>
      </c>
      <c r="B653" s="4">
        <v>54824</v>
      </c>
      <c r="C653" t="s">
        <v>93</v>
      </c>
      <c r="D653" t="s">
        <v>741</v>
      </c>
      <c r="E653" s="4" t="s">
        <v>13</v>
      </c>
      <c r="F653" s="4" t="s">
        <v>13</v>
      </c>
    </row>
    <row r="654" spans="1:6" x14ac:dyDescent="0.3">
      <c r="A654" s="4">
        <v>5009</v>
      </c>
      <c r="B654" s="4">
        <v>54825</v>
      </c>
      <c r="C654" t="s">
        <v>93</v>
      </c>
      <c r="D654" t="s">
        <v>742</v>
      </c>
      <c r="E654" s="4" t="s">
        <v>13</v>
      </c>
      <c r="F654" s="4" t="s">
        <v>13</v>
      </c>
    </row>
    <row r="655" spans="1:6" x14ac:dyDescent="0.3">
      <c r="A655" s="4">
        <v>5010</v>
      </c>
      <c r="B655" s="4">
        <v>54826</v>
      </c>
      <c r="C655" t="s">
        <v>93</v>
      </c>
      <c r="D655" t="s">
        <v>743</v>
      </c>
      <c r="E655" s="4" t="s">
        <v>13</v>
      </c>
      <c r="F655" s="4" t="s">
        <v>13</v>
      </c>
    </row>
    <row r="656" spans="1:6" x14ac:dyDescent="0.3">
      <c r="A656" s="4">
        <v>5013</v>
      </c>
      <c r="B656" s="4">
        <v>54827</v>
      </c>
      <c r="C656" t="s">
        <v>93</v>
      </c>
      <c r="D656" t="s">
        <v>744</v>
      </c>
      <c r="E656" s="4" t="s">
        <v>13</v>
      </c>
      <c r="F656" s="4" t="s">
        <v>13</v>
      </c>
    </row>
    <row r="657" spans="1:6" x14ac:dyDescent="0.3">
      <c r="A657" s="4">
        <v>5018</v>
      </c>
      <c r="B657" s="4">
        <v>54828</v>
      </c>
      <c r="C657" t="s">
        <v>93</v>
      </c>
      <c r="D657" t="s">
        <v>745</v>
      </c>
      <c r="E657" s="4" t="s">
        <v>13</v>
      </c>
      <c r="F657" s="4" t="s">
        <v>13</v>
      </c>
    </row>
    <row r="658" spans="1:6" x14ac:dyDescent="0.3">
      <c r="A658" s="4">
        <v>5108</v>
      </c>
      <c r="B658" s="4">
        <v>54829</v>
      </c>
      <c r="C658" t="s">
        <v>93</v>
      </c>
      <c r="D658" t="s">
        <v>746</v>
      </c>
      <c r="E658" s="4" t="s">
        <v>13</v>
      </c>
      <c r="F658" s="4" t="s">
        <v>13</v>
      </c>
    </row>
    <row r="659" spans="1:6" x14ac:dyDescent="0.3">
      <c r="A659" s="4">
        <v>5109</v>
      </c>
      <c r="B659" s="4">
        <v>54830</v>
      </c>
      <c r="C659" t="s">
        <v>93</v>
      </c>
      <c r="D659" t="s">
        <v>747</v>
      </c>
      <c r="E659" s="4" t="s">
        <v>13</v>
      </c>
      <c r="F659" s="4" t="s">
        <v>13</v>
      </c>
    </row>
    <row r="660" spans="1:6" x14ac:dyDescent="0.3">
      <c r="A660" s="4">
        <v>5111</v>
      </c>
      <c r="B660" s="4">
        <v>54831</v>
      </c>
      <c r="C660" t="s">
        <v>93</v>
      </c>
      <c r="D660" t="s">
        <v>748</v>
      </c>
      <c r="E660" s="4" t="s">
        <v>13</v>
      </c>
      <c r="F660" s="4" t="s">
        <v>13</v>
      </c>
    </row>
    <row r="661" spans="1:6" x14ac:dyDescent="0.3">
      <c r="A661" s="4">
        <v>5113</v>
      </c>
      <c r="B661" s="4">
        <v>54832</v>
      </c>
      <c r="C661" t="s">
        <v>93</v>
      </c>
      <c r="D661" t="s">
        <v>749</v>
      </c>
      <c r="E661" s="4" t="s">
        <v>13</v>
      </c>
      <c r="F661" s="4" t="s">
        <v>13</v>
      </c>
    </row>
    <row r="662" spans="1:6" x14ac:dyDescent="0.3">
      <c r="A662" s="4">
        <v>5114</v>
      </c>
      <c r="B662" s="4">
        <v>54833</v>
      </c>
      <c r="C662" t="s">
        <v>93</v>
      </c>
      <c r="D662" t="s">
        <v>750</v>
      </c>
      <c r="E662" s="4" t="s">
        <v>13</v>
      </c>
      <c r="F662" s="4" t="s">
        <v>13</v>
      </c>
    </row>
    <row r="663" spans="1:6" x14ac:dyDescent="0.3">
      <c r="A663" s="4">
        <v>5115</v>
      </c>
      <c r="B663" s="4">
        <v>54834</v>
      </c>
      <c r="C663" t="s">
        <v>93</v>
      </c>
      <c r="D663" t="s">
        <v>751</v>
      </c>
      <c r="E663" s="4" t="s">
        <v>13</v>
      </c>
      <c r="F663" s="4" t="s">
        <v>13</v>
      </c>
    </row>
    <row r="664" spans="1:6" x14ac:dyDescent="0.3">
      <c r="A664" s="4">
        <v>5118</v>
      </c>
      <c r="B664" s="4">
        <v>54835</v>
      </c>
      <c r="C664" t="s">
        <v>93</v>
      </c>
      <c r="D664" t="s">
        <v>752</v>
      </c>
      <c r="E664" s="4" t="s">
        <v>13</v>
      </c>
      <c r="F664" s="4" t="s">
        <v>13</v>
      </c>
    </row>
    <row r="665" spans="1:6" x14ac:dyDescent="0.3">
      <c r="A665" s="4">
        <v>5120</v>
      </c>
      <c r="B665" s="4">
        <v>54836</v>
      </c>
      <c r="C665" t="s">
        <v>93</v>
      </c>
      <c r="D665" t="s">
        <v>753</v>
      </c>
      <c r="E665" s="4" t="s">
        <v>13</v>
      </c>
      <c r="F665" s="4" t="s">
        <v>13</v>
      </c>
    </row>
    <row r="666" spans="1:6" x14ac:dyDescent="0.3">
      <c r="A666" s="4">
        <v>5129</v>
      </c>
      <c r="B666" s="4">
        <v>54837</v>
      </c>
      <c r="C666" t="s">
        <v>93</v>
      </c>
      <c r="D666" t="s">
        <v>754</v>
      </c>
      <c r="E666" s="4" t="s">
        <v>13</v>
      </c>
      <c r="F666" s="4" t="s">
        <v>13</v>
      </c>
    </row>
    <row r="667" spans="1:6" x14ac:dyDescent="0.3">
      <c r="A667" s="4">
        <v>5133</v>
      </c>
      <c r="B667" s="4">
        <v>54838</v>
      </c>
      <c r="C667" t="s">
        <v>93</v>
      </c>
      <c r="D667" t="s">
        <v>755</v>
      </c>
      <c r="E667" s="4" t="s">
        <v>13</v>
      </c>
      <c r="F667" s="4" t="s">
        <v>13</v>
      </c>
    </row>
    <row r="668" spans="1:6" x14ac:dyDescent="0.3">
      <c r="A668" s="4">
        <v>5134</v>
      </c>
      <c r="B668" s="4">
        <v>54839</v>
      </c>
      <c r="C668" t="s">
        <v>93</v>
      </c>
      <c r="D668" t="s">
        <v>756</v>
      </c>
      <c r="E668" s="4" t="s">
        <v>13</v>
      </c>
      <c r="F668" s="4" t="s">
        <v>13</v>
      </c>
    </row>
    <row r="669" spans="1:6" x14ac:dyDescent="0.3">
      <c r="A669" s="4">
        <v>5140</v>
      </c>
      <c r="B669" s="4">
        <v>54840</v>
      </c>
      <c r="C669" t="s">
        <v>93</v>
      </c>
      <c r="D669" t="s">
        <v>757</v>
      </c>
      <c r="E669" s="4" t="s">
        <v>13</v>
      </c>
      <c r="F669" s="4" t="s">
        <v>13</v>
      </c>
    </row>
    <row r="670" spans="1:6" x14ac:dyDescent="0.3">
      <c r="A670" s="4">
        <v>5143</v>
      </c>
      <c r="B670" s="4">
        <v>54841</v>
      </c>
      <c r="C670" t="s">
        <v>93</v>
      </c>
      <c r="D670" t="s">
        <v>758</v>
      </c>
      <c r="E670" s="4" t="s">
        <v>13</v>
      </c>
      <c r="F670" s="4" t="s">
        <v>13</v>
      </c>
    </row>
    <row r="671" spans="1:6" x14ac:dyDescent="0.3">
      <c r="A671" s="4">
        <v>5146</v>
      </c>
      <c r="B671" s="4">
        <v>54842</v>
      </c>
      <c r="C671" t="s">
        <v>93</v>
      </c>
      <c r="D671" t="s">
        <v>759</v>
      </c>
      <c r="E671" s="4" t="s">
        <v>13</v>
      </c>
      <c r="F671" s="4" t="s">
        <v>13</v>
      </c>
    </row>
    <row r="672" spans="1:6" x14ac:dyDescent="0.3">
      <c r="A672" s="4">
        <v>5148</v>
      </c>
      <c r="B672" s="4">
        <v>54843</v>
      </c>
      <c r="C672" t="s">
        <v>93</v>
      </c>
      <c r="D672" t="s">
        <v>760</v>
      </c>
      <c r="E672" s="4" t="s">
        <v>13</v>
      </c>
      <c r="F672" s="4" t="s">
        <v>13</v>
      </c>
    </row>
    <row r="673" spans="1:6" x14ac:dyDescent="0.3">
      <c r="A673" s="4">
        <v>5167</v>
      </c>
      <c r="B673" s="4">
        <v>54844</v>
      </c>
      <c r="C673" t="s">
        <v>93</v>
      </c>
      <c r="D673" t="s">
        <v>761</v>
      </c>
      <c r="E673" s="4" t="s">
        <v>13</v>
      </c>
      <c r="F673" s="4" t="s">
        <v>13</v>
      </c>
    </row>
    <row r="674" spans="1:6" x14ac:dyDescent="0.3">
      <c r="A674" s="4">
        <v>5170</v>
      </c>
      <c r="B674" s="4">
        <v>54845</v>
      </c>
      <c r="C674" t="s">
        <v>93</v>
      </c>
      <c r="D674" t="s">
        <v>762</v>
      </c>
      <c r="E674" s="4" t="s">
        <v>13</v>
      </c>
      <c r="F674" s="4" t="s">
        <v>13</v>
      </c>
    </row>
    <row r="675" spans="1:6" x14ac:dyDescent="0.3">
      <c r="A675" s="4">
        <v>5189</v>
      </c>
      <c r="B675" s="4">
        <v>54846</v>
      </c>
      <c r="C675" t="s">
        <v>93</v>
      </c>
      <c r="D675" t="s">
        <v>763</v>
      </c>
      <c r="E675" s="4" t="s">
        <v>13</v>
      </c>
      <c r="F675" s="4" t="s">
        <v>13</v>
      </c>
    </row>
    <row r="676" spans="1:6" x14ac:dyDescent="0.3">
      <c r="A676" s="4">
        <v>5192</v>
      </c>
      <c r="B676" s="4">
        <v>54847</v>
      </c>
      <c r="C676" t="s">
        <v>93</v>
      </c>
      <c r="D676" t="s">
        <v>764</v>
      </c>
      <c r="E676" s="4" t="s">
        <v>13</v>
      </c>
      <c r="F676" s="4" t="s">
        <v>13</v>
      </c>
    </row>
    <row r="677" spans="1:6" x14ac:dyDescent="0.3">
      <c r="A677" s="4">
        <v>5194</v>
      </c>
      <c r="B677" s="4">
        <v>54848</v>
      </c>
      <c r="C677" t="s">
        <v>93</v>
      </c>
      <c r="D677" t="s">
        <v>765</v>
      </c>
      <c r="E677" s="4" t="s">
        <v>13</v>
      </c>
      <c r="F677" s="4" t="s">
        <v>13</v>
      </c>
    </row>
    <row r="678" spans="1:6" x14ac:dyDescent="0.3">
      <c r="A678" s="4">
        <v>5202</v>
      </c>
      <c r="B678" s="4">
        <v>54849</v>
      </c>
      <c r="C678" t="s">
        <v>93</v>
      </c>
      <c r="D678" t="s">
        <v>766</v>
      </c>
      <c r="E678" s="4" t="s">
        <v>13</v>
      </c>
      <c r="F678" s="4" t="s">
        <v>13</v>
      </c>
    </row>
    <row r="679" spans="1:6" x14ac:dyDescent="0.3">
      <c r="A679" s="4">
        <v>5204</v>
      </c>
      <c r="B679" s="4">
        <v>54850</v>
      </c>
      <c r="C679" t="s">
        <v>93</v>
      </c>
      <c r="D679" t="s">
        <v>767</v>
      </c>
      <c r="E679" s="4" t="s">
        <v>13</v>
      </c>
      <c r="F679" s="4" t="s">
        <v>13</v>
      </c>
    </row>
    <row r="680" spans="1:6" x14ac:dyDescent="0.3">
      <c r="A680" s="4">
        <v>5207</v>
      </c>
      <c r="B680" s="4">
        <v>54851</v>
      </c>
      <c r="C680" t="s">
        <v>93</v>
      </c>
      <c r="D680" t="s">
        <v>768</v>
      </c>
      <c r="E680" s="4" t="s">
        <v>13</v>
      </c>
      <c r="F680" s="4" t="s">
        <v>13</v>
      </c>
    </row>
    <row r="681" spans="1:6" x14ac:dyDescent="0.3">
      <c r="A681" s="4">
        <v>5213</v>
      </c>
      <c r="B681" s="4">
        <v>54852</v>
      </c>
      <c r="C681" t="s">
        <v>93</v>
      </c>
      <c r="D681" t="s">
        <v>769</v>
      </c>
      <c r="E681" s="4" t="s">
        <v>13</v>
      </c>
      <c r="F681" s="4" t="s">
        <v>13</v>
      </c>
    </row>
    <row r="682" spans="1:6" x14ac:dyDescent="0.3">
      <c r="A682" s="4">
        <v>5219</v>
      </c>
      <c r="B682" s="4">
        <v>54853</v>
      </c>
      <c r="C682" t="s">
        <v>93</v>
      </c>
      <c r="D682" t="s">
        <v>770</v>
      </c>
      <c r="E682" s="4" t="s">
        <v>13</v>
      </c>
      <c r="F682" s="4" t="s">
        <v>13</v>
      </c>
    </row>
    <row r="683" spans="1:6" x14ac:dyDescent="0.3">
      <c r="A683" s="4">
        <v>5226</v>
      </c>
      <c r="B683" s="4">
        <v>54854</v>
      </c>
      <c r="C683" t="s">
        <v>93</v>
      </c>
      <c r="D683" t="s">
        <v>771</v>
      </c>
      <c r="E683" s="4" t="s">
        <v>13</v>
      </c>
      <c r="F683" s="4" t="s">
        <v>13</v>
      </c>
    </row>
    <row r="684" spans="1:6" x14ac:dyDescent="0.3">
      <c r="A684" s="4">
        <v>5227</v>
      </c>
      <c r="B684" s="4">
        <v>54855</v>
      </c>
      <c r="C684" t="s">
        <v>93</v>
      </c>
      <c r="D684" t="s">
        <v>772</v>
      </c>
      <c r="E684" s="4" t="s">
        <v>13</v>
      </c>
      <c r="F684" s="4" t="s">
        <v>13</v>
      </c>
    </row>
    <row r="685" spans="1:6" x14ac:dyDescent="0.3">
      <c r="A685" s="4">
        <v>5228</v>
      </c>
      <c r="B685" s="4">
        <v>54856</v>
      </c>
      <c r="C685" t="s">
        <v>93</v>
      </c>
      <c r="D685" t="s">
        <v>773</v>
      </c>
      <c r="E685" s="4" t="s">
        <v>13</v>
      </c>
      <c r="F685" s="4" t="s">
        <v>13</v>
      </c>
    </row>
    <row r="686" spans="1:6" x14ac:dyDescent="0.3">
      <c r="A686" s="4">
        <v>5229</v>
      </c>
      <c r="B686" s="4">
        <v>54857</v>
      </c>
      <c r="C686" t="s">
        <v>93</v>
      </c>
      <c r="D686" t="s">
        <v>774</v>
      </c>
      <c r="E686" s="4" t="s">
        <v>13</v>
      </c>
      <c r="F686" s="4" t="s">
        <v>13</v>
      </c>
    </row>
    <row r="687" spans="1:6" x14ac:dyDescent="0.3">
      <c r="A687" s="4">
        <v>5230</v>
      </c>
      <c r="B687" s="4">
        <v>54858</v>
      </c>
      <c r="C687" t="s">
        <v>93</v>
      </c>
      <c r="D687" t="s">
        <v>775</v>
      </c>
      <c r="E687" s="4" t="s">
        <v>13</v>
      </c>
      <c r="F687" s="4" t="s">
        <v>13</v>
      </c>
    </row>
    <row r="688" spans="1:6" x14ac:dyDescent="0.3">
      <c r="A688" s="4">
        <v>5231</v>
      </c>
      <c r="B688" s="4">
        <v>54859</v>
      </c>
      <c r="C688" t="s">
        <v>93</v>
      </c>
      <c r="D688" t="s">
        <v>776</v>
      </c>
      <c r="E688" s="4" t="s">
        <v>13</v>
      </c>
      <c r="F688" s="4" t="s">
        <v>13</v>
      </c>
    </row>
    <row r="689" spans="1:6" x14ac:dyDescent="0.3">
      <c r="A689" s="4">
        <v>5233</v>
      </c>
      <c r="B689" s="4">
        <v>54860</v>
      </c>
      <c r="C689" t="s">
        <v>93</v>
      </c>
      <c r="D689" t="s">
        <v>777</v>
      </c>
      <c r="E689" s="4" t="s">
        <v>13</v>
      </c>
      <c r="F689" s="4" t="s">
        <v>13</v>
      </c>
    </row>
    <row r="690" spans="1:6" x14ac:dyDescent="0.3">
      <c r="A690" s="4">
        <v>6100</v>
      </c>
      <c r="B690" s="4">
        <v>54861</v>
      </c>
      <c r="C690" t="s">
        <v>94</v>
      </c>
      <c r="D690" t="s">
        <v>778</v>
      </c>
      <c r="E690" s="4" t="s">
        <v>13</v>
      </c>
      <c r="F690" s="4" t="s">
        <v>13</v>
      </c>
    </row>
    <row r="691" spans="1:6" x14ac:dyDescent="0.3">
      <c r="A691" s="4">
        <v>6101</v>
      </c>
      <c r="B691" s="4">
        <v>54862</v>
      </c>
      <c r="C691" t="s">
        <v>94</v>
      </c>
      <c r="D691" t="s">
        <v>779</v>
      </c>
      <c r="E691" s="4" t="s">
        <v>13</v>
      </c>
      <c r="F691" s="4" t="s">
        <v>13</v>
      </c>
    </row>
    <row r="692" spans="1:6" x14ac:dyDescent="0.3">
      <c r="A692" s="4">
        <v>6102</v>
      </c>
      <c r="B692" s="4">
        <v>54863</v>
      </c>
      <c r="C692" t="s">
        <v>94</v>
      </c>
      <c r="D692" t="s">
        <v>780</v>
      </c>
      <c r="E692" s="4" t="s">
        <v>13</v>
      </c>
      <c r="F692" s="4" t="s">
        <v>13</v>
      </c>
    </row>
    <row r="693" spans="1:6" x14ac:dyDescent="0.3">
      <c r="A693" s="4">
        <v>6105</v>
      </c>
      <c r="B693" s="4">
        <v>54864</v>
      </c>
      <c r="C693" t="s">
        <v>94</v>
      </c>
      <c r="D693" t="s">
        <v>781</v>
      </c>
      <c r="E693" s="4" t="s">
        <v>13</v>
      </c>
      <c r="F693" s="4" t="s">
        <v>13</v>
      </c>
    </row>
    <row r="694" spans="1:6" x14ac:dyDescent="0.3">
      <c r="A694" s="4">
        <v>6106</v>
      </c>
      <c r="B694" s="4">
        <v>54865</v>
      </c>
      <c r="C694" t="s">
        <v>94</v>
      </c>
      <c r="D694" t="s">
        <v>782</v>
      </c>
      <c r="E694" s="4" t="s">
        <v>13</v>
      </c>
      <c r="F694" s="4" t="s">
        <v>13</v>
      </c>
    </row>
    <row r="695" spans="1:6" x14ac:dyDescent="0.3">
      <c r="A695" s="4">
        <v>6107</v>
      </c>
      <c r="B695" s="4">
        <v>54866</v>
      </c>
      <c r="C695" t="s">
        <v>94</v>
      </c>
      <c r="D695" t="s">
        <v>783</v>
      </c>
      <c r="E695" s="4" t="s">
        <v>13</v>
      </c>
      <c r="F695" s="4" t="s">
        <v>13</v>
      </c>
    </row>
    <row r="696" spans="1:6" x14ac:dyDescent="0.3">
      <c r="A696" s="4">
        <v>6108</v>
      </c>
      <c r="B696" s="4">
        <v>54867</v>
      </c>
      <c r="C696" t="s">
        <v>94</v>
      </c>
      <c r="D696" t="s">
        <v>784</v>
      </c>
      <c r="E696" s="4" t="s">
        <v>13</v>
      </c>
      <c r="F696" s="4" t="s">
        <v>13</v>
      </c>
    </row>
    <row r="697" spans="1:6" x14ac:dyDescent="0.3">
      <c r="A697" s="4">
        <v>6109</v>
      </c>
      <c r="B697" s="4">
        <v>54868</v>
      </c>
      <c r="C697" t="s">
        <v>94</v>
      </c>
      <c r="D697" t="s">
        <v>785</v>
      </c>
      <c r="E697" s="4" t="s">
        <v>13</v>
      </c>
      <c r="F697" s="4" t="s">
        <v>13</v>
      </c>
    </row>
    <row r="698" spans="1:6" x14ac:dyDescent="0.3">
      <c r="A698" s="4">
        <v>6110</v>
      </c>
      <c r="B698" s="4">
        <v>54869</v>
      </c>
      <c r="C698" t="s">
        <v>94</v>
      </c>
      <c r="D698" t="s">
        <v>786</v>
      </c>
      <c r="E698" s="4" t="s">
        <v>13</v>
      </c>
      <c r="F698" s="4" t="s">
        <v>13</v>
      </c>
    </row>
    <row r="699" spans="1:6" x14ac:dyDescent="0.3">
      <c r="A699" s="4">
        <v>6149</v>
      </c>
      <c r="B699" s="4">
        <v>54870</v>
      </c>
      <c r="C699" t="s">
        <v>94</v>
      </c>
      <c r="D699" t="s">
        <v>787</v>
      </c>
      <c r="E699" s="4" t="s">
        <v>13</v>
      </c>
      <c r="F699" s="4" t="s">
        <v>13</v>
      </c>
    </row>
    <row r="700" spans="1:6" x14ac:dyDescent="0.3">
      <c r="A700" s="4">
        <v>6165</v>
      </c>
      <c r="B700" s="4">
        <v>54871</v>
      </c>
      <c r="C700" t="s">
        <v>94</v>
      </c>
      <c r="D700" t="s">
        <v>788</v>
      </c>
      <c r="E700" s="4" t="s">
        <v>13</v>
      </c>
      <c r="F700" s="4" t="s">
        <v>13</v>
      </c>
    </row>
    <row r="701" spans="1:6" x14ac:dyDescent="0.3">
      <c r="A701" s="4">
        <v>6166</v>
      </c>
      <c r="B701" s="4">
        <v>54872</v>
      </c>
      <c r="C701" t="s">
        <v>94</v>
      </c>
      <c r="D701" t="s">
        <v>789</v>
      </c>
      <c r="E701" s="4" t="s">
        <v>13</v>
      </c>
      <c r="F701" s="4" t="s">
        <v>13</v>
      </c>
    </row>
    <row r="702" spans="1:6" x14ac:dyDescent="0.3">
      <c r="A702" s="4">
        <v>6167</v>
      </c>
      <c r="B702" s="4">
        <v>54873</v>
      </c>
      <c r="C702" t="s">
        <v>94</v>
      </c>
      <c r="D702" t="s">
        <v>790</v>
      </c>
      <c r="E702" s="4" t="s">
        <v>13</v>
      </c>
      <c r="F702" s="4" t="s">
        <v>13</v>
      </c>
    </row>
    <row r="703" spans="1:6" x14ac:dyDescent="0.3">
      <c r="A703" s="4">
        <v>6180</v>
      </c>
      <c r="B703" s="4">
        <v>54874</v>
      </c>
      <c r="C703" t="s">
        <v>94</v>
      </c>
      <c r="D703" t="s">
        <v>791</v>
      </c>
      <c r="E703" s="4" t="s">
        <v>13</v>
      </c>
      <c r="F703" s="4" t="s">
        <v>13</v>
      </c>
    </row>
    <row r="704" spans="1:6" x14ac:dyDescent="0.3">
      <c r="A704" s="4">
        <v>6185</v>
      </c>
      <c r="B704" s="4">
        <v>54875</v>
      </c>
      <c r="C704" t="s">
        <v>94</v>
      </c>
      <c r="D704" t="s">
        <v>792</v>
      </c>
      <c r="E704" s="4" t="s">
        <v>13</v>
      </c>
      <c r="F704" s="4" t="s">
        <v>13</v>
      </c>
    </row>
    <row r="705" spans="1:6" x14ac:dyDescent="0.3">
      <c r="A705" s="4">
        <v>6187</v>
      </c>
      <c r="B705" s="4">
        <v>54876</v>
      </c>
      <c r="C705" t="s">
        <v>94</v>
      </c>
      <c r="D705" t="s">
        <v>793</v>
      </c>
      <c r="E705" s="4" t="s">
        <v>13</v>
      </c>
      <c r="F705" s="4" t="s">
        <v>13</v>
      </c>
    </row>
    <row r="706" spans="1:6" x14ac:dyDescent="0.3">
      <c r="A706" s="4">
        <v>6190</v>
      </c>
      <c r="B706" s="4">
        <v>54877</v>
      </c>
      <c r="C706" t="s">
        <v>94</v>
      </c>
      <c r="D706" t="s">
        <v>794</v>
      </c>
      <c r="E706" s="4" t="s">
        <v>13</v>
      </c>
      <c r="F706" s="4" t="s">
        <v>13</v>
      </c>
    </row>
    <row r="707" spans="1:6" x14ac:dyDescent="0.3">
      <c r="A707" s="4">
        <v>6191</v>
      </c>
      <c r="B707" s="4">
        <v>54878</v>
      </c>
      <c r="C707" t="s">
        <v>94</v>
      </c>
      <c r="D707" t="s">
        <v>795</v>
      </c>
      <c r="E707" s="4" t="s">
        <v>13</v>
      </c>
      <c r="F707" s="4" t="s">
        <v>13</v>
      </c>
    </row>
    <row r="708" spans="1:6" x14ac:dyDescent="0.3">
      <c r="A708" s="4">
        <v>6193</v>
      </c>
      <c r="B708" s="4">
        <v>54879</v>
      </c>
      <c r="C708" t="s">
        <v>94</v>
      </c>
      <c r="D708" t="s">
        <v>796</v>
      </c>
      <c r="E708" s="4" t="s">
        <v>13</v>
      </c>
      <c r="F708" s="4" t="s">
        <v>13</v>
      </c>
    </row>
    <row r="709" spans="1:6" x14ac:dyDescent="0.3">
      <c r="A709" s="4">
        <v>6209</v>
      </c>
      <c r="B709" s="4">
        <v>54880</v>
      </c>
      <c r="C709" t="s">
        <v>94</v>
      </c>
      <c r="D709" t="s">
        <v>797</v>
      </c>
      <c r="E709" s="4" t="s">
        <v>13</v>
      </c>
      <c r="F709" s="4" t="s">
        <v>13</v>
      </c>
    </row>
    <row r="710" spans="1:6" x14ac:dyDescent="0.3">
      <c r="A710" s="4">
        <v>6220</v>
      </c>
      <c r="B710" s="4">
        <v>54881</v>
      </c>
      <c r="C710" t="s">
        <v>94</v>
      </c>
      <c r="D710" t="s">
        <v>798</v>
      </c>
      <c r="E710" s="4" t="s">
        <v>13</v>
      </c>
      <c r="F710" s="4" t="s">
        <v>13</v>
      </c>
    </row>
    <row r="711" spans="1:6" x14ac:dyDescent="0.3">
      <c r="A711" s="4">
        <v>6226</v>
      </c>
      <c r="B711" s="4">
        <v>54882</v>
      </c>
      <c r="C711" t="s">
        <v>94</v>
      </c>
      <c r="D711" t="s">
        <v>799</v>
      </c>
      <c r="E711" s="4" t="s">
        <v>13</v>
      </c>
      <c r="F711" s="4" t="s">
        <v>13</v>
      </c>
    </row>
    <row r="712" spans="1:6" x14ac:dyDescent="0.3">
      <c r="A712" s="4">
        <v>6235</v>
      </c>
      <c r="B712" s="4">
        <v>54883</v>
      </c>
      <c r="C712" t="s">
        <v>94</v>
      </c>
      <c r="D712" t="s">
        <v>800</v>
      </c>
      <c r="E712" s="4" t="s">
        <v>13</v>
      </c>
      <c r="F712" s="4" t="s">
        <v>13</v>
      </c>
    </row>
    <row r="713" spans="1:6" x14ac:dyDescent="0.3">
      <c r="A713" s="4">
        <v>6240</v>
      </c>
      <c r="B713" s="4">
        <v>54884</v>
      </c>
      <c r="C713" t="s">
        <v>94</v>
      </c>
      <c r="D713" t="s">
        <v>801</v>
      </c>
      <c r="E713" s="4" t="s">
        <v>13</v>
      </c>
      <c r="F713" s="4" t="s">
        <v>13</v>
      </c>
    </row>
    <row r="714" spans="1:6" x14ac:dyDescent="0.3">
      <c r="A714" s="4">
        <v>6251</v>
      </c>
      <c r="B714" s="4">
        <v>54885</v>
      </c>
      <c r="C714" t="s">
        <v>94</v>
      </c>
      <c r="D714" t="s">
        <v>802</v>
      </c>
      <c r="E714" s="4" t="s">
        <v>13</v>
      </c>
      <c r="F714" s="4" t="s">
        <v>13</v>
      </c>
    </row>
    <row r="715" spans="1:6" x14ac:dyDescent="0.3">
      <c r="A715" s="4">
        <v>6257</v>
      </c>
      <c r="B715" s="4">
        <v>54886</v>
      </c>
      <c r="C715" t="s">
        <v>94</v>
      </c>
      <c r="D715" t="s">
        <v>803</v>
      </c>
      <c r="E715" s="4" t="s">
        <v>13</v>
      </c>
      <c r="F715" s="4" t="s">
        <v>13</v>
      </c>
    </row>
    <row r="716" spans="1:6" x14ac:dyDescent="0.3">
      <c r="A716" s="4">
        <v>6268</v>
      </c>
      <c r="B716" s="4">
        <v>54887</v>
      </c>
      <c r="C716" t="s">
        <v>94</v>
      </c>
      <c r="D716" t="s">
        <v>804</v>
      </c>
      <c r="E716" s="4" t="s">
        <v>13</v>
      </c>
      <c r="F716" s="4" t="s">
        <v>13</v>
      </c>
    </row>
    <row r="717" spans="1:6" x14ac:dyDescent="0.3">
      <c r="A717" s="4">
        <v>6272</v>
      </c>
      <c r="B717" s="4">
        <v>54888</v>
      </c>
      <c r="C717" t="s">
        <v>94</v>
      </c>
      <c r="D717" t="s">
        <v>805</v>
      </c>
      <c r="E717" s="4" t="s">
        <v>13</v>
      </c>
      <c r="F717" s="4" t="s">
        <v>13</v>
      </c>
    </row>
    <row r="718" spans="1:6" x14ac:dyDescent="0.3">
      <c r="A718" s="4">
        <v>6274</v>
      </c>
      <c r="B718" s="4">
        <v>54889</v>
      </c>
      <c r="C718" t="s">
        <v>94</v>
      </c>
      <c r="D718" t="s">
        <v>806</v>
      </c>
      <c r="E718" s="4" t="s">
        <v>13</v>
      </c>
      <c r="F718" s="4" t="s">
        <v>13</v>
      </c>
    </row>
    <row r="719" spans="1:6" x14ac:dyDescent="0.3">
      <c r="A719" s="4">
        <v>6286</v>
      </c>
      <c r="B719" s="4">
        <v>54890</v>
      </c>
      <c r="C719" t="s">
        <v>94</v>
      </c>
      <c r="D719" t="s">
        <v>807</v>
      </c>
      <c r="E719" s="4" t="s">
        <v>13</v>
      </c>
      <c r="F719" s="4" t="s">
        <v>13</v>
      </c>
    </row>
    <row r="720" spans="1:6" x14ac:dyDescent="0.3">
      <c r="A720" s="4">
        <v>6290</v>
      </c>
      <c r="B720" s="4">
        <v>54891</v>
      </c>
      <c r="C720" t="s">
        <v>94</v>
      </c>
      <c r="D720" t="s">
        <v>808</v>
      </c>
      <c r="E720" s="4" t="s">
        <v>13</v>
      </c>
      <c r="F720" s="4" t="s">
        <v>13</v>
      </c>
    </row>
    <row r="721" spans="1:6" x14ac:dyDescent="0.3">
      <c r="A721" s="4">
        <v>7001</v>
      </c>
      <c r="B721" s="4">
        <v>54892</v>
      </c>
      <c r="C721" t="s">
        <v>95</v>
      </c>
      <c r="D721" t="s">
        <v>809</v>
      </c>
      <c r="E721" s="4" t="s">
        <v>13</v>
      </c>
      <c r="F721" s="4" t="s">
        <v>13</v>
      </c>
    </row>
    <row r="722" spans="1:6" x14ac:dyDescent="0.3">
      <c r="A722" s="4">
        <v>7002</v>
      </c>
      <c r="B722" s="4">
        <v>54893</v>
      </c>
      <c r="C722" t="s">
        <v>95</v>
      </c>
      <c r="D722" t="s">
        <v>810</v>
      </c>
      <c r="E722" s="4" t="s">
        <v>13</v>
      </c>
      <c r="F722" s="4" t="s">
        <v>13</v>
      </c>
    </row>
    <row r="723" spans="1:6" x14ac:dyDescent="0.3">
      <c r="A723" s="4">
        <v>7003</v>
      </c>
      <c r="B723" s="4">
        <v>54894</v>
      </c>
      <c r="C723" t="s">
        <v>95</v>
      </c>
      <c r="D723" t="s">
        <v>811</v>
      </c>
      <c r="E723" s="4" t="s">
        <v>13</v>
      </c>
      <c r="F723" s="4" t="s">
        <v>13</v>
      </c>
    </row>
    <row r="724" spans="1:6" x14ac:dyDescent="0.3">
      <c r="A724" s="4">
        <v>7004</v>
      </c>
      <c r="B724" s="4">
        <v>54895</v>
      </c>
      <c r="C724" t="s">
        <v>95</v>
      </c>
      <c r="D724" t="s">
        <v>812</v>
      </c>
      <c r="E724" s="4" t="s">
        <v>13</v>
      </c>
      <c r="F724" s="4" t="s">
        <v>13</v>
      </c>
    </row>
    <row r="725" spans="1:6" x14ac:dyDescent="0.3">
      <c r="A725" s="4">
        <v>7005</v>
      </c>
      <c r="B725" s="4">
        <v>54896</v>
      </c>
      <c r="C725" t="s">
        <v>95</v>
      </c>
      <c r="D725" t="s">
        <v>813</v>
      </c>
      <c r="E725" s="4" t="s">
        <v>13</v>
      </c>
      <c r="F725" s="4" t="s">
        <v>13</v>
      </c>
    </row>
    <row r="726" spans="1:6" x14ac:dyDescent="0.3">
      <c r="A726" s="4">
        <v>7006</v>
      </c>
      <c r="B726" s="4">
        <v>54897</v>
      </c>
      <c r="C726" t="s">
        <v>95</v>
      </c>
      <c r="D726" t="s">
        <v>814</v>
      </c>
      <c r="E726" s="4" t="s">
        <v>13</v>
      </c>
      <c r="F726" s="4" t="s">
        <v>13</v>
      </c>
    </row>
    <row r="727" spans="1:6" x14ac:dyDescent="0.3">
      <c r="A727" s="4">
        <v>7007</v>
      </c>
      <c r="B727" s="4">
        <v>54898</v>
      </c>
      <c r="C727" t="s">
        <v>95</v>
      </c>
      <c r="D727" t="s">
        <v>815</v>
      </c>
      <c r="E727" s="4" t="s">
        <v>13</v>
      </c>
      <c r="F727" s="4" t="s">
        <v>13</v>
      </c>
    </row>
    <row r="728" spans="1:6" x14ac:dyDescent="0.3">
      <c r="A728" s="4">
        <v>7008</v>
      </c>
      <c r="B728" s="4">
        <v>54899</v>
      </c>
      <c r="C728" t="s">
        <v>95</v>
      </c>
      <c r="D728" t="s">
        <v>816</v>
      </c>
      <c r="E728" s="4" t="s">
        <v>13</v>
      </c>
      <c r="F728" s="4" t="s">
        <v>13</v>
      </c>
    </row>
    <row r="729" spans="1:6" x14ac:dyDescent="0.3">
      <c r="A729" s="4">
        <v>7009</v>
      </c>
      <c r="B729" s="4">
        <v>54900</v>
      </c>
      <c r="C729" t="s">
        <v>95</v>
      </c>
      <c r="D729" t="s">
        <v>817</v>
      </c>
      <c r="E729" s="4" t="s">
        <v>13</v>
      </c>
      <c r="F729" s="4" t="s">
        <v>13</v>
      </c>
    </row>
    <row r="730" spans="1:6" x14ac:dyDescent="0.3">
      <c r="A730" s="4">
        <v>7071</v>
      </c>
      <c r="B730" s="4">
        <v>54901</v>
      </c>
      <c r="C730" t="s">
        <v>95</v>
      </c>
      <c r="D730" t="s">
        <v>818</v>
      </c>
      <c r="E730" s="4" t="s">
        <v>13</v>
      </c>
      <c r="F730" s="4" t="s">
        <v>13</v>
      </c>
    </row>
    <row r="731" spans="1:6" x14ac:dyDescent="0.3">
      <c r="A731" s="4">
        <v>7072</v>
      </c>
      <c r="B731" s="4">
        <v>54902</v>
      </c>
      <c r="C731" t="s">
        <v>95</v>
      </c>
      <c r="D731" t="s">
        <v>819</v>
      </c>
      <c r="E731" s="4" t="s">
        <v>13</v>
      </c>
      <c r="F731" s="4" t="s">
        <v>13</v>
      </c>
    </row>
    <row r="732" spans="1:6" x14ac:dyDescent="0.3">
      <c r="A732" s="4">
        <v>7073</v>
      </c>
      <c r="B732" s="4">
        <v>54903</v>
      </c>
      <c r="C732" t="s">
        <v>95</v>
      </c>
      <c r="D732" t="s">
        <v>820</v>
      </c>
      <c r="E732" s="4" t="s">
        <v>13</v>
      </c>
      <c r="F732" s="4" t="s">
        <v>13</v>
      </c>
    </row>
    <row r="733" spans="1:6" x14ac:dyDescent="0.3">
      <c r="A733" s="4">
        <v>7075</v>
      </c>
      <c r="B733" s="4">
        <v>54904</v>
      </c>
      <c r="C733" t="s">
        <v>95</v>
      </c>
      <c r="D733" t="s">
        <v>821</v>
      </c>
      <c r="E733" s="4" t="s">
        <v>13</v>
      </c>
      <c r="F733" s="4" t="s">
        <v>13</v>
      </c>
    </row>
    <row r="734" spans="1:6" x14ac:dyDescent="0.3">
      <c r="A734" s="4">
        <v>7076</v>
      </c>
      <c r="B734" s="4">
        <v>54905</v>
      </c>
      <c r="C734" t="s">
        <v>95</v>
      </c>
      <c r="D734" t="s">
        <v>822</v>
      </c>
      <c r="E734" s="4" t="s">
        <v>13</v>
      </c>
      <c r="F734" s="4" t="s">
        <v>13</v>
      </c>
    </row>
    <row r="735" spans="1:6" x14ac:dyDescent="0.3">
      <c r="A735" s="4">
        <v>7077</v>
      </c>
      <c r="B735" s="4">
        <v>54906</v>
      </c>
      <c r="C735" t="s">
        <v>95</v>
      </c>
      <c r="D735" t="s">
        <v>823</v>
      </c>
      <c r="E735" s="4" t="s">
        <v>13</v>
      </c>
      <c r="F735" s="4" t="s">
        <v>13</v>
      </c>
    </row>
    <row r="736" spans="1:6" x14ac:dyDescent="0.3">
      <c r="A736" s="4">
        <v>7078</v>
      </c>
      <c r="B736" s="4">
        <v>54907</v>
      </c>
      <c r="C736" t="s">
        <v>95</v>
      </c>
      <c r="D736" t="s">
        <v>824</v>
      </c>
      <c r="E736" s="4" t="s">
        <v>13</v>
      </c>
      <c r="F736" s="4" t="s">
        <v>13</v>
      </c>
    </row>
    <row r="737" spans="1:6" x14ac:dyDescent="0.3">
      <c r="A737" s="4">
        <v>7080</v>
      </c>
      <c r="B737" s="4">
        <v>54908</v>
      </c>
      <c r="C737" t="s">
        <v>95</v>
      </c>
      <c r="D737" t="s">
        <v>825</v>
      </c>
      <c r="E737" s="4" t="s">
        <v>13</v>
      </c>
      <c r="F737" s="4" t="s">
        <v>13</v>
      </c>
    </row>
    <row r="738" spans="1:6" x14ac:dyDescent="0.3">
      <c r="A738" s="4">
        <v>7081</v>
      </c>
      <c r="B738" s="4">
        <v>54909</v>
      </c>
      <c r="C738" t="s">
        <v>95</v>
      </c>
      <c r="D738" t="s">
        <v>826</v>
      </c>
      <c r="E738" s="4" t="s">
        <v>13</v>
      </c>
      <c r="F738" s="4" t="s">
        <v>13</v>
      </c>
    </row>
    <row r="739" spans="1:6" x14ac:dyDescent="0.3">
      <c r="A739" s="4">
        <v>7082</v>
      </c>
      <c r="B739" s="4">
        <v>54910</v>
      </c>
      <c r="C739" t="s">
        <v>95</v>
      </c>
      <c r="D739" t="s">
        <v>827</v>
      </c>
      <c r="E739" s="4" t="s">
        <v>13</v>
      </c>
      <c r="F739" s="4" t="s">
        <v>13</v>
      </c>
    </row>
    <row r="740" spans="1:6" x14ac:dyDescent="0.3">
      <c r="A740" s="4">
        <v>7094</v>
      </c>
      <c r="B740" s="4">
        <v>54911</v>
      </c>
      <c r="C740" t="s">
        <v>95</v>
      </c>
      <c r="D740" t="s">
        <v>828</v>
      </c>
      <c r="E740" s="4" t="s">
        <v>13</v>
      </c>
      <c r="F740" s="4" t="s">
        <v>13</v>
      </c>
    </row>
    <row r="741" spans="1:6" x14ac:dyDescent="0.3">
      <c r="A741" s="4">
        <v>7100</v>
      </c>
      <c r="B741" s="4">
        <v>54912</v>
      </c>
      <c r="C741" t="s">
        <v>95</v>
      </c>
      <c r="D741" t="s">
        <v>829</v>
      </c>
      <c r="E741" s="4" t="s">
        <v>13</v>
      </c>
      <c r="F741" s="4" t="s">
        <v>13</v>
      </c>
    </row>
    <row r="742" spans="1:6" x14ac:dyDescent="0.3">
      <c r="A742" s="4">
        <v>7103</v>
      </c>
      <c r="B742" s="4">
        <v>54913</v>
      </c>
      <c r="C742" t="s">
        <v>95</v>
      </c>
      <c r="D742" t="s">
        <v>830</v>
      </c>
      <c r="E742" s="4" t="s">
        <v>13</v>
      </c>
      <c r="F742" s="4" t="s">
        <v>13</v>
      </c>
    </row>
    <row r="743" spans="1:6" x14ac:dyDescent="0.3">
      <c r="A743" s="4">
        <v>9000</v>
      </c>
      <c r="B743" s="4">
        <v>54914</v>
      </c>
      <c r="C743" t="s">
        <v>97</v>
      </c>
      <c r="D743" t="s">
        <v>831</v>
      </c>
      <c r="E743" s="4" t="s">
        <v>13</v>
      </c>
      <c r="F743" s="4" t="s">
        <v>13</v>
      </c>
    </row>
    <row r="744" spans="1:6" x14ac:dyDescent="0.3">
      <c r="A744" s="4">
        <v>9001</v>
      </c>
      <c r="B744" s="4">
        <v>54915</v>
      </c>
      <c r="C744" t="s">
        <v>97</v>
      </c>
      <c r="D744" t="s">
        <v>832</v>
      </c>
      <c r="E744" s="4" t="s">
        <v>13</v>
      </c>
      <c r="F744" s="4" t="s">
        <v>13</v>
      </c>
    </row>
    <row r="745" spans="1:6" x14ac:dyDescent="0.3">
      <c r="A745" s="4">
        <v>9006</v>
      </c>
      <c r="B745" s="4">
        <v>54916</v>
      </c>
      <c r="C745" t="s">
        <v>97</v>
      </c>
      <c r="D745" t="s">
        <v>833</v>
      </c>
      <c r="E745" s="4" t="s">
        <v>13</v>
      </c>
      <c r="F745" s="4" t="s">
        <v>13</v>
      </c>
    </row>
    <row r="746" spans="1:6" x14ac:dyDescent="0.3">
      <c r="A746" s="4">
        <v>9010</v>
      </c>
      <c r="B746" s="4">
        <v>54917</v>
      </c>
      <c r="C746" t="s">
        <v>97</v>
      </c>
      <c r="D746" t="s">
        <v>834</v>
      </c>
      <c r="E746" s="4" t="s">
        <v>13</v>
      </c>
      <c r="F746" s="4" t="s">
        <v>13</v>
      </c>
    </row>
    <row r="747" spans="1:6" x14ac:dyDescent="0.3">
      <c r="A747" s="4">
        <v>9012</v>
      </c>
      <c r="B747" s="4">
        <v>54918</v>
      </c>
      <c r="C747" t="s">
        <v>97</v>
      </c>
      <c r="D747" t="s">
        <v>835</v>
      </c>
      <c r="E747" s="4" t="s">
        <v>13</v>
      </c>
      <c r="F747" s="4" t="s">
        <v>13</v>
      </c>
    </row>
    <row r="748" spans="1:6" x14ac:dyDescent="0.3">
      <c r="A748" s="4">
        <v>9014</v>
      </c>
      <c r="B748" s="4">
        <v>54919</v>
      </c>
      <c r="C748" t="s">
        <v>97</v>
      </c>
      <c r="D748" t="s">
        <v>836</v>
      </c>
      <c r="E748" s="4" t="s">
        <v>13</v>
      </c>
      <c r="F748" s="4" t="s">
        <v>13</v>
      </c>
    </row>
    <row r="749" spans="1:6" x14ac:dyDescent="0.3">
      <c r="A749" s="4">
        <v>9023</v>
      </c>
      <c r="B749" s="4">
        <v>54920</v>
      </c>
      <c r="C749" t="s">
        <v>97</v>
      </c>
      <c r="D749" t="s">
        <v>837</v>
      </c>
      <c r="E749" s="4" t="s">
        <v>13</v>
      </c>
      <c r="F749" s="4" t="s">
        <v>13</v>
      </c>
    </row>
    <row r="750" spans="1:6" x14ac:dyDescent="0.3">
      <c r="A750" s="4">
        <v>9028</v>
      </c>
      <c r="B750" s="4">
        <v>54921</v>
      </c>
      <c r="C750" t="s">
        <v>97</v>
      </c>
      <c r="D750" t="s">
        <v>838</v>
      </c>
      <c r="E750" s="4" t="s">
        <v>13</v>
      </c>
      <c r="F750" s="4" t="s">
        <v>13</v>
      </c>
    </row>
    <row r="751" spans="1:6" x14ac:dyDescent="0.3">
      <c r="A751" s="4">
        <v>9040</v>
      </c>
      <c r="B751" s="4">
        <v>54922</v>
      </c>
      <c r="C751" t="s">
        <v>97</v>
      </c>
      <c r="D751" t="s">
        <v>839</v>
      </c>
      <c r="E751" s="4" t="s">
        <v>13</v>
      </c>
      <c r="F751" s="4" t="s">
        <v>13</v>
      </c>
    </row>
    <row r="752" spans="1:6" x14ac:dyDescent="0.3">
      <c r="A752" s="4">
        <v>9078</v>
      </c>
      <c r="B752" s="4">
        <v>54923</v>
      </c>
      <c r="C752" t="s">
        <v>97</v>
      </c>
      <c r="D752" t="s">
        <v>840</v>
      </c>
      <c r="E752" s="4" t="s">
        <v>13</v>
      </c>
      <c r="F752" s="4" t="s">
        <v>13</v>
      </c>
    </row>
    <row r="753" spans="1:6" x14ac:dyDescent="0.3">
      <c r="A753" s="4">
        <v>9100</v>
      </c>
      <c r="B753" s="4">
        <v>54924</v>
      </c>
      <c r="C753" t="s">
        <v>97</v>
      </c>
      <c r="D753" t="s">
        <v>841</v>
      </c>
      <c r="E753" s="4" t="s">
        <v>13</v>
      </c>
      <c r="F753" s="4" t="s">
        <v>13</v>
      </c>
    </row>
    <row r="754" spans="1:6" x14ac:dyDescent="0.3">
      <c r="A754" s="4">
        <v>9101</v>
      </c>
      <c r="B754" s="4">
        <v>54925</v>
      </c>
      <c r="C754" t="s">
        <v>97</v>
      </c>
      <c r="D754" t="s">
        <v>842</v>
      </c>
      <c r="E754" s="4" t="s">
        <v>13</v>
      </c>
      <c r="F754" s="4" t="s">
        <v>13</v>
      </c>
    </row>
    <row r="755" spans="1:6" x14ac:dyDescent="0.3">
      <c r="A755" s="4">
        <v>9102</v>
      </c>
      <c r="B755" s="4">
        <v>54926</v>
      </c>
      <c r="C755" t="s">
        <v>97</v>
      </c>
      <c r="D755" t="s">
        <v>843</v>
      </c>
      <c r="E755" s="4" t="s">
        <v>13</v>
      </c>
      <c r="F755" s="4" t="s">
        <v>13</v>
      </c>
    </row>
    <row r="756" spans="1:6" x14ac:dyDescent="0.3">
      <c r="A756" s="4">
        <v>9103</v>
      </c>
      <c r="B756" s="4">
        <v>54927</v>
      </c>
      <c r="C756" t="s">
        <v>97</v>
      </c>
      <c r="D756" t="s">
        <v>844</v>
      </c>
      <c r="E756" s="4" t="s">
        <v>13</v>
      </c>
      <c r="F756" s="4" t="s">
        <v>13</v>
      </c>
    </row>
    <row r="757" spans="1:6" x14ac:dyDescent="0.3">
      <c r="A757" s="4">
        <v>9104</v>
      </c>
      <c r="B757" s="4">
        <v>54928</v>
      </c>
      <c r="C757" t="s">
        <v>97</v>
      </c>
      <c r="D757" t="s">
        <v>845</v>
      </c>
      <c r="E757" s="4" t="s">
        <v>13</v>
      </c>
      <c r="F757" s="4" t="s">
        <v>13</v>
      </c>
    </row>
    <row r="758" spans="1:6" x14ac:dyDescent="0.3">
      <c r="A758" s="4">
        <v>9105</v>
      </c>
      <c r="B758" s="4">
        <v>54929</v>
      </c>
      <c r="C758" t="s">
        <v>97</v>
      </c>
      <c r="D758" t="s">
        <v>846</v>
      </c>
      <c r="E758" s="4" t="s">
        <v>13</v>
      </c>
      <c r="F758" s="4" t="s">
        <v>13</v>
      </c>
    </row>
    <row r="759" spans="1:6" x14ac:dyDescent="0.3">
      <c r="A759" s="4">
        <v>9113</v>
      </c>
      <c r="B759" s="4">
        <v>54930</v>
      </c>
      <c r="C759" t="s">
        <v>97</v>
      </c>
      <c r="D759" t="s">
        <v>847</v>
      </c>
      <c r="E759" s="4" t="s">
        <v>13</v>
      </c>
      <c r="F759" s="4" t="s">
        <v>13</v>
      </c>
    </row>
    <row r="760" spans="1:6" x14ac:dyDescent="0.3">
      <c r="A760" s="4">
        <v>9114</v>
      </c>
      <c r="B760" s="4">
        <v>54931</v>
      </c>
      <c r="C760" t="s">
        <v>97</v>
      </c>
      <c r="D760" t="s">
        <v>848</v>
      </c>
      <c r="E760" s="4" t="s">
        <v>13</v>
      </c>
      <c r="F760" s="4" t="s">
        <v>13</v>
      </c>
    </row>
    <row r="761" spans="1:6" x14ac:dyDescent="0.3">
      <c r="A761" s="4">
        <v>9120</v>
      </c>
      <c r="B761" s="4">
        <v>54932</v>
      </c>
      <c r="C761" t="s">
        <v>97</v>
      </c>
      <c r="D761" t="s">
        <v>849</v>
      </c>
      <c r="E761" s="4" t="s">
        <v>13</v>
      </c>
      <c r="F761" s="4" t="s">
        <v>13</v>
      </c>
    </row>
    <row r="762" spans="1:6" x14ac:dyDescent="0.3">
      <c r="A762" s="4">
        <v>9246</v>
      </c>
      <c r="B762" s="4">
        <v>54933</v>
      </c>
      <c r="C762" t="s">
        <v>97</v>
      </c>
      <c r="D762" t="s">
        <v>850</v>
      </c>
      <c r="E762" s="4" t="s">
        <v>13</v>
      </c>
      <c r="F762" s="4" t="s">
        <v>13</v>
      </c>
    </row>
    <row r="763" spans="1:6" x14ac:dyDescent="0.3">
      <c r="A763" s="4">
        <v>9298</v>
      </c>
      <c r="B763" s="4">
        <v>54934</v>
      </c>
      <c r="C763" t="s">
        <v>97</v>
      </c>
      <c r="D763" t="s">
        <v>851</v>
      </c>
      <c r="E763" s="4" t="s">
        <v>13</v>
      </c>
      <c r="F763" s="4" t="s">
        <v>13</v>
      </c>
    </row>
    <row r="764" spans="1:6" x14ac:dyDescent="0.3">
      <c r="A764" s="4">
        <v>9303</v>
      </c>
      <c r="B764" s="4">
        <v>54935</v>
      </c>
      <c r="C764" t="s">
        <v>97</v>
      </c>
      <c r="D764" t="s">
        <v>852</v>
      </c>
      <c r="E764" s="4" t="s">
        <v>13</v>
      </c>
      <c r="F764" s="4" t="s">
        <v>13</v>
      </c>
    </row>
    <row r="765" spans="1:6" x14ac:dyDescent="0.3">
      <c r="A765" s="4">
        <v>9322</v>
      </c>
      <c r="B765" s="4">
        <v>54936</v>
      </c>
      <c r="C765" t="s">
        <v>97</v>
      </c>
      <c r="D765" t="s">
        <v>853</v>
      </c>
      <c r="E765" s="4" t="s">
        <v>13</v>
      </c>
      <c r="F765" s="4" t="s">
        <v>13</v>
      </c>
    </row>
    <row r="766" spans="1:6" x14ac:dyDescent="0.3">
      <c r="A766" s="4">
        <v>9331</v>
      </c>
      <c r="B766" s="4">
        <v>54937</v>
      </c>
      <c r="C766" t="s">
        <v>97</v>
      </c>
      <c r="D766" t="s">
        <v>854</v>
      </c>
      <c r="E766" s="4" t="s">
        <v>13</v>
      </c>
      <c r="F766" s="4" t="s">
        <v>13</v>
      </c>
    </row>
    <row r="767" spans="1:6" x14ac:dyDescent="0.3">
      <c r="A767" s="4">
        <v>9353</v>
      </c>
      <c r="B767" s="4">
        <v>54938</v>
      </c>
      <c r="C767" t="s">
        <v>97</v>
      </c>
      <c r="D767" t="s">
        <v>855</v>
      </c>
      <c r="E767" s="4" t="s">
        <v>13</v>
      </c>
      <c r="F767" s="4" t="s">
        <v>13</v>
      </c>
    </row>
    <row r="768" spans="1:6" x14ac:dyDescent="0.3">
      <c r="A768" s="4">
        <v>9358</v>
      </c>
      <c r="B768" s="4">
        <v>54939</v>
      </c>
      <c r="C768" t="s">
        <v>97</v>
      </c>
      <c r="D768" t="s">
        <v>856</v>
      </c>
      <c r="E768" s="4" t="s">
        <v>13</v>
      </c>
      <c r="F768" s="4" t="s">
        <v>13</v>
      </c>
    </row>
    <row r="769" spans="1:6" x14ac:dyDescent="0.3">
      <c r="A769" s="5">
        <v>9359</v>
      </c>
      <c r="B769" s="4">
        <v>25556</v>
      </c>
      <c r="C769" s="5" t="s">
        <v>92</v>
      </c>
      <c r="D769" s="4"/>
      <c r="E769" s="4"/>
      <c r="F769" s="4"/>
    </row>
    <row r="770" spans="1:6" x14ac:dyDescent="0.3">
      <c r="A770" s="5"/>
      <c r="B770" s="4"/>
      <c r="C770" s="5"/>
      <c r="D770" s="4"/>
      <c r="E770" s="4"/>
      <c r="F770" s="4"/>
    </row>
    <row r="771" spans="1:6" x14ac:dyDescent="0.3">
      <c r="A771" s="5"/>
      <c r="B771" s="4"/>
      <c r="C771" s="5"/>
      <c r="D771" s="4"/>
      <c r="E771" s="4"/>
      <c r="F771" s="4"/>
    </row>
    <row r="772" spans="1:6" x14ac:dyDescent="0.3">
      <c r="A772" s="5"/>
      <c r="B772" s="4"/>
      <c r="C772" s="5"/>
      <c r="D772" s="4"/>
      <c r="E772" s="4"/>
      <c r="F772" s="4"/>
    </row>
    <row r="773" spans="1:6" x14ac:dyDescent="0.3">
      <c r="A773" s="5"/>
      <c r="B773" s="4"/>
      <c r="C773" s="5"/>
      <c r="D773" s="4"/>
      <c r="E773" s="4"/>
      <c r="F773" s="4"/>
    </row>
    <row r="774" spans="1:6" x14ac:dyDescent="0.3">
      <c r="A774" s="5"/>
      <c r="B774" s="4"/>
      <c r="C774" s="5"/>
      <c r="D774" s="5"/>
      <c r="E774" s="4"/>
      <c r="F774" s="4"/>
    </row>
    <row r="775" spans="1:6" x14ac:dyDescent="0.3">
      <c r="A775" s="5"/>
      <c r="B775" s="4"/>
      <c r="C775" s="5"/>
      <c r="D775" s="5"/>
      <c r="E775" s="4"/>
      <c r="F775" s="4"/>
    </row>
    <row r="776" spans="1:6" x14ac:dyDescent="0.3">
      <c r="A776" s="5"/>
      <c r="B776" s="4"/>
      <c r="C776" s="5"/>
      <c r="D776" s="5"/>
      <c r="E776" s="4"/>
      <c r="F776" s="4"/>
    </row>
    <row r="777" spans="1:6" x14ac:dyDescent="0.3">
      <c r="A777" s="5"/>
      <c r="B777" s="4"/>
      <c r="C777" s="5"/>
      <c r="D777" s="4"/>
      <c r="E777" s="4"/>
      <c r="F777" s="4"/>
    </row>
    <row r="778" spans="1:6" x14ac:dyDescent="0.3">
      <c r="A778" s="5"/>
      <c r="B778" s="4"/>
      <c r="C778" s="5"/>
      <c r="D778" s="4"/>
      <c r="E778" s="4"/>
      <c r="F778" s="4"/>
    </row>
    <row r="779" spans="1:6" x14ac:dyDescent="0.3">
      <c r="A779" s="5"/>
      <c r="B779" s="4"/>
      <c r="C779" s="5"/>
      <c r="D779" s="4"/>
      <c r="E779" s="4"/>
      <c r="F779" s="4"/>
    </row>
    <row r="780" spans="1:6" x14ac:dyDescent="0.3">
      <c r="A780" s="5"/>
      <c r="B780" s="4"/>
      <c r="C780" s="5"/>
      <c r="D780" s="4"/>
      <c r="E780" s="4"/>
      <c r="F780" s="4"/>
    </row>
    <row r="781" spans="1:6" x14ac:dyDescent="0.3">
      <c r="A781" s="5"/>
      <c r="B781" s="4"/>
      <c r="C781" s="5"/>
      <c r="D781" s="4"/>
      <c r="E781" s="4"/>
      <c r="F781" s="4"/>
    </row>
    <row r="782" spans="1:6" x14ac:dyDescent="0.3">
      <c r="A782" s="5"/>
      <c r="B782" s="4"/>
      <c r="C782" s="5"/>
      <c r="D782" s="4"/>
      <c r="E782" s="4"/>
      <c r="F782" s="4"/>
    </row>
    <row r="783" spans="1:6" x14ac:dyDescent="0.3">
      <c r="A783" s="5"/>
      <c r="B783" s="4"/>
      <c r="C783" s="5"/>
      <c r="D783" s="4"/>
      <c r="E783" s="4"/>
      <c r="F783" s="4"/>
    </row>
    <row r="784" spans="1:6" x14ac:dyDescent="0.3">
      <c r="A784" s="5"/>
      <c r="B784" s="4"/>
      <c r="C784" s="5"/>
      <c r="D784" s="4"/>
      <c r="E784" s="4"/>
      <c r="F784" s="4"/>
    </row>
    <row r="785" spans="1:6" x14ac:dyDescent="0.3">
      <c r="A785" s="5"/>
      <c r="B785" s="4"/>
      <c r="C785" s="5"/>
      <c r="D785" s="4"/>
      <c r="E785" s="4"/>
      <c r="F785" s="4"/>
    </row>
    <row r="786" spans="1:6" x14ac:dyDescent="0.3">
      <c r="B786" s="4"/>
      <c r="C786" s="4"/>
      <c r="D786" s="4"/>
      <c r="E786" s="4"/>
      <c r="F786" s="4"/>
    </row>
    <row r="787" spans="1:6" x14ac:dyDescent="0.3">
      <c r="B787" s="4"/>
      <c r="C787" s="4"/>
      <c r="D787" s="4"/>
      <c r="E787" s="4"/>
      <c r="F787" s="4"/>
    </row>
    <row r="788" spans="1:6" x14ac:dyDescent="0.3">
      <c r="B788" s="4"/>
      <c r="C788" s="4"/>
      <c r="D788" s="4"/>
      <c r="E788" s="4"/>
      <c r="F788" s="4"/>
    </row>
    <row r="789" spans="1:6" x14ac:dyDescent="0.3">
      <c r="B789" s="4"/>
      <c r="C789" s="4"/>
      <c r="D789" s="4"/>
      <c r="E789" s="4"/>
      <c r="F789" s="4"/>
    </row>
    <row r="790" spans="1:6" x14ac:dyDescent="0.3">
      <c r="B790" s="4"/>
      <c r="C790" s="4"/>
      <c r="D790" s="4"/>
      <c r="E790" s="4"/>
      <c r="F790" s="4"/>
    </row>
    <row r="791" spans="1:6" x14ac:dyDescent="0.3">
      <c r="B791" s="4"/>
      <c r="C791" s="4"/>
      <c r="D791" s="4"/>
      <c r="E791" s="4"/>
      <c r="F791" s="4"/>
    </row>
    <row r="792" spans="1:6" x14ac:dyDescent="0.3">
      <c r="B792" s="4"/>
      <c r="C792" s="4"/>
      <c r="D792" s="4"/>
      <c r="E792" s="4"/>
      <c r="F792" s="4"/>
    </row>
    <row r="793" spans="1:6" x14ac:dyDescent="0.3">
      <c r="B793" s="4"/>
      <c r="C793" s="4"/>
      <c r="D793" s="4"/>
      <c r="E793" s="4"/>
      <c r="F793" s="4"/>
    </row>
    <row r="794" spans="1:6" x14ac:dyDescent="0.3">
      <c r="B794" s="4"/>
      <c r="C794" s="4"/>
      <c r="D794" s="4"/>
      <c r="E794" s="4"/>
      <c r="F794" s="4"/>
    </row>
    <row r="795" spans="1:6" x14ac:dyDescent="0.3">
      <c r="B795" s="4"/>
      <c r="C795" s="4"/>
      <c r="D795" s="4"/>
      <c r="E795" s="4"/>
      <c r="F795" s="4"/>
    </row>
    <row r="796" spans="1:6" x14ac:dyDescent="0.3">
      <c r="B796" s="4"/>
      <c r="C796" s="4"/>
      <c r="D796" s="4"/>
      <c r="E796" s="4"/>
      <c r="F796" s="4"/>
    </row>
    <row r="797" spans="1:6" x14ac:dyDescent="0.3">
      <c r="B797" s="4"/>
      <c r="C797" s="4"/>
      <c r="D797" s="4"/>
      <c r="E797" s="4"/>
      <c r="F797" s="4"/>
    </row>
    <row r="798" spans="1:6" x14ac:dyDescent="0.3">
      <c r="B798" s="4"/>
      <c r="C798" s="4"/>
      <c r="D798" s="4"/>
      <c r="E798" s="4"/>
      <c r="F798" s="4"/>
    </row>
    <row r="799" spans="1:6" x14ac:dyDescent="0.3">
      <c r="B799" s="4"/>
      <c r="C799" s="4"/>
      <c r="D799" s="4"/>
      <c r="E799" s="4"/>
      <c r="F799" s="4"/>
    </row>
    <row r="800" spans="1:6" x14ac:dyDescent="0.3">
      <c r="B800" s="4"/>
      <c r="C800" s="4"/>
      <c r="D800" s="4"/>
      <c r="E800" s="4"/>
      <c r="F800" s="4"/>
    </row>
    <row r="801" spans="2:6" x14ac:dyDescent="0.3">
      <c r="B801" s="4"/>
      <c r="C801" s="4"/>
      <c r="D801" s="4"/>
      <c r="E801" s="4"/>
      <c r="F801" s="4"/>
    </row>
    <row r="802" spans="2:6" x14ac:dyDescent="0.3">
      <c r="B802" s="4"/>
      <c r="C802" s="4"/>
      <c r="D802" s="4"/>
      <c r="E802" s="4"/>
      <c r="F802" s="4"/>
    </row>
    <row r="803" spans="2:6" x14ac:dyDescent="0.3">
      <c r="B803" s="4"/>
      <c r="C803" s="4"/>
      <c r="D803" s="4"/>
      <c r="E803" s="4"/>
      <c r="F803" s="4"/>
    </row>
    <row r="804" spans="2:6" x14ac:dyDescent="0.3">
      <c r="B804" s="4"/>
      <c r="C804" s="4"/>
      <c r="D804" s="4"/>
      <c r="E804" s="4"/>
      <c r="F804" s="4"/>
    </row>
    <row r="805" spans="2:6" x14ac:dyDescent="0.3">
      <c r="B805" s="4"/>
      <c r="C805" s="4"/>
      <c r="D805" s="4"/>
      <c r="E805" s="4"/>
      <c r="F805" s="4"/>
    </row>
    <row r="806" spans="2:6" x14ac:dyDescent="0.3">
      <c r="B806" s="4"/>
      <c r="C806" s="4"/>
      <c r="D806" s="4"/>
      <c r="E806" s="4"/>
      <c r="F806" s="4"/>
    </row>
    <row r="807" spans="2:6" x14ac:dyDescent="0.3">
      <c r="B807" s="4"/>
      <c r="C807" s="4"/>
      <c r="D807" s="4"/>
      <c r="E807" s="4"/>
      <c r="F807" s="4"/>
    </row>
    <row r="808" spans="2:6" x14ac:dyDescent="0.3">
      <c r="B808" s="4"/>
      <c r="C808" s="4"/>
      <c r="D808" s="4"/>
      <c r="E808" s="4"/>
      <c r="F808" s="4"/>
    </row>
    <row r="809" spans="2:6" x14ac:dyDescent="0.3">
      <c r="B809" s="4"/>
      <c r="C809" s="4"/>
      <c r="D809" s="4"/>
      <c r="E809" s="4"/>
      <c r="F809" s="4"/>
    </row>
    <row r="810" spans="2:6" x14ac:dyDescent="0.3">
      <c r="B810" s="4"/>
      <c r="C810" s="4"/>
      <c r="D810" s="4"/>
      <c r="E810" s="4"/>
      <c r="F810" s="4"/>
    </row>
    <row r="811" spans="2:6" x14ac:dyDescent="0.3">
      <c r="B811" s="4"/>
      <c r="C811" s="4"/>
      <c r="D811" s="4"/>
      <c r="E811" s="4"/>
      <c r="F811" s="4"/>
    </row>
    <row r="812" spans="2:6" x14ac:dyDescent="0.3">
      <c r="B812" s="4"/>
      <c r="C812" s="4"/>
      <c r="D812" s="4"/>
      <c r="E812" s="4"/>
      <c r="F812" s="4"/>
    </row>
    <row r="813" spans="2:6" x14ac:dyDescent="0.3">
      <c r="B813" s="4"/>
      <c r="C813" s="4"/>
      <c r="D813" s="4"/>
      <c r="E813" s="4"/>
      <c r="F813" s="4"/>
    </row>
    <row r="814" spans="2:6" x14ac:dyDescent="0.3">
      <c r="B814" s="4"/>
      <c r="C814" s="4"/>
      <c r="D814" s="4"/>
      <c r="E814" s="4"/>
      <c r="F814" s="4"/>
    </row>
    <row r="815" spans="2:6" x14ac:dyDescent="0.3">
      <c r="B815" s="4"/>
      <c r="C815" s="4"/>
      <c r="D815" s="4"/>
      <c r="E815" s="4"/>
      <c r="F815" s="4"/>
    </row>
    <row r="816" spans="2:6" x14ac:dyDescent="0.3">
      <c r="B816" s="4"/>
      <c r="C816" s="4"/>
      <c r="D816" s="4"/>
      <c r="E816" s="4"/>
      <c r="F816" s="4"/>
    </row>
    <row r="817" spans="2:6" x14ac:dyDescent="0.3">
      <c r="B817" s="4"/>
      <c r="C817" s="4"/>
      <c r="D817" s="4"/>
      <c r="E817" s="4"/>
      <c r="F817" s="4"/>
    </row>
    <row r="818" spans="2:6" x14ac:dyDescent="0.3">
      <c r="B818" s="4"/>
      <c r="C818" s="4"/>
      <c r="D818" s="4"/>
      <c r="E818" s="4"/>
      <c r="F818" s="4"/>
    </row>
    <row r="819" spans="2:6" x14ac:dyDescent="0.3">
      <c r="B819" s="4"/>
      <c r="C819" s="4"/>
      <c r="D819" s="4"/>
      <c r="E819" s="4"/>
      <c r="F819" s="4"/>
    </row>
    <row r="820" spans="2:6" x14ac:dyDescent="0.3">
      <c r="B820" s="4"/>
      <c r="C820" s="4"/>
      <c r="D820" s="4"/>
      <c r="E820" s="4"/>
      <c r="F820" s="4"/>
    </row>
    <row r="821" spans="2:6" x14ac:dyDescent="0.3">
      <c r="B821" s="4"/>
      <c r="C821" s="4"/>
      <c r="D821" s="4"/>
      <c r="E821" s="4"/>
      <c r="F821" s="4"/>
    </row>
    <row r="822" spans="2:6" x14ac:dyDescent="0.3">
      <c r="B822" s="4"/>
      <c r="C822" s="4"/>
      <c r="D822" s="4"/>
      <c r="E822" s="4"/>
      <c r="F822" s="4"/>
    </row>
    <row r="823" spans="2:6" x14ac:dyDescent="0.3">
      <c r="B823" s="4"/>
      <c r="C823" s="4"/>
      <c r="D823" s="4"/>
      <c r="E823" s="4"/>
      <c r="F823" s="4"/>
    </row>
    <row r="824" spans="2:6" x14ac:dyDescent="0.3">
      <c r="B824" s="4"/>
      <c r="C824" s="4"/>
      <c r="D824" s="4"/>
      <c r="E824" s="4"/>
      <c r="F824" s="4"/>
    </row>
    <row r="825" spans="2:6" x14ac:dyDescent="0.3">
      <c r="B825" s="4"/>
      <c r="C825" s="4"/>
      <c r="D825" s="4"/>
      <c r="E825" s="4"/>
      <c r="F825" s="4"/>
    </row>
    <row r="826" spans="2:6" x14ac:dyDescent="0.3">
      <c r="B826" s="4"/>
      <c r="C826" s="4"/>
      <c r="D826" s="4"/>
      <c r="E826" s="4"/>
      <c r="F826" s="4"/>
    </row>
    <row r="827" spans="2:6" x14ac:dyDescent="0.3">
      <c r="B827" s="4"/>
      <c r="C827" s="4"/>
      <c r="D827" s="4"/>
      <c r="E827" s="4"/>
      <c r="F827" s="4"/>
    </row>
    <row r="828" spans="2:6" x14ac:dyDescent="0.3">
      <c r="B828" s="4"/>
      <c r="C828" s="4"/>
      <c r="D828" s="4"/>
      <c r="E828" s="4"/>
      <c r="F828" s="4"/>
    </row>
    <row r="829" spans="2:6" x14ac:dyDescent="0.3">
      <c r="B829" s="4"/>
      <c r="C829" s="4"/>
      <c r="D829" s="4"/>
      <c r="E829" s="4"/>
      <c r="F829" s="4"/>
    </row>
    <row r="830" spans="2:6" x14ac:dyDescent="0.3">
      <c r="B830" s="4"/>
      <c r="C830" s="4"/>
      <c r="D830" s="4"/>
      <c r="E830" s="4"/>
      <c r="F830" s="4"/>
    </row>
    <row r="831" spans="2:6" x14ac:dyDescent="0.3">
      <c r="B831" s="4"/>
      <c r="C831" s="4"/>
      <c r="D831" s="4"/>
      <c r="E831" s="4"/>
      <c r="F831" s="4"/>
    </row>
    <row r="832" spans="2:6" x14ac:dyDescent="0.3">
      <c r="B832" s="4"/>
      <c r="C832" s="4"/>
      <c r="D832" s="4"/>
      <c r="E832" s="4"/>
      <c r="F832" s="4"/>
    </row>
    <row r="833" spans="2:6" x14ac:dyDescent="0.3">
      <c r="B833" s="4"/>
      <c r="C833" s="4"/>
      <c r="D833" s="4"/>
      <c r="E833" s="4"/>
      <c r="F833" s="4"/>
    </row>
    <row r="834" spans="2:6" x14ac:dyDescent="0.3">
      <c r="B834" s="4"/>
      <c r="C834" s="4"/>
      <c r="D834" s="4"/>
      <c r="E834" s="4"/>
      <c r="F834" s="4"/>
    </row>
    <row r="835" spans="2:6" x14ac:dyDescent="0.3">
      <c r="B835" s="4"/>
      <c r="C835" s="4"/>
      <c r="D835" s="4"/>
      <c r="E835" s="4"/>
      <c r="F835" s="4"/>
    </row>
    <row r="836" spans="2:6" x14ac:dyDescent="0.3">
      <c r="B836" s="4"/>
      <c r="C836" s="4"/>
      <c r="D836" s="4"/>
      <c r="E836" s="4"/>
      <c r="F836" s="4"/>
    </row>
    <row r="837" spans="2:6" x14ac:dyDescent="0.3">
      <c r="B837" s="4"/>
      <c r="C837" s="4"/>
      <c r="D837" s="4"/>
      <c r="E837" s="4"/>
      <c r="F837" s="4"/>
    </row>
    <row r="838" spans="2:6" x14ac:dyDescent="0.3">
      <c r="B838" s="4"/>
      <c r="C838" s="4"/>
      <c r="D838" s="4"/>
      <c r="E838" s="4"/>
      <c r="F838" s="4"/>
    </row>
    <row r="839" spans="2:6" x14ac:dyDescent="0.3">
      <c r="B839" s="4"/>
      <c r="C839" s="4"/>
      <c r="D839" s="4"/>
      <c r="E839" s="4"/>
      <c r="F839" s="4"/>
    </row>
    <row r="840" spans="2:6" x14ac:dyDescent="0.3">
      <c r="B840" s="4"/>
      <c r="C840" s="4"/>
      <c r="D840" s="4"/>
      <c r="E840" s="4"/>
      <c r="F840" s="4"/>
    </row>
    <row r="841" spans="2:6" x14ac:dyDescent="0.3">
      <c r="B841" s="4"/>
      <c r="C841" s="4"/>
      <c r="D841" s="4"/>
      <c r="E841" s="4"/>
      <c r="F841" s="4"/>
    </row>
    <row r="842" spans="2:6" x14ac:dyDescent="0.3">
      <c r="B842" s="4"/>
      <c r="C842" s="4"/>
      <c r="D842" s="4"/>
      <c r="E842" s="4"/>
      <c r="F842" s="4"/>
    </row>
    <row r="843" spans="2:6" x14ac:dyDescent="0.3">
      <c r="B843" s="4"/>
      <c r="C843" s="4"/>
      <c r="D843" s="4"/>
      <c r="E843" s="4"/>
      <c r="F843" s="4"/>
    </row>
    <row r="844" spans="2:6" x14ac:dyDescent="0.3">
      <c r="B844" s="4"/>
      <c r="C844" s="4"/>
      <c r="D844" s="4"/>
      <c r="E844" s="4"/>
      <c r="F844" s="4"/>
    </row>
    <row r="845" spans="2:6" x14ac:dyDescent="0.3">
      <c r="B845" s="4"/>
      <c r="C845" s="4"/>
      <c r="D845" s="4"/>
      <c r="E845" s="4"/>
      <c r="F845" s="4"/>
    </row>
    <row r="846" spans="2:6" x14ac:dyDescent="0.3">
      <c r="B846" s="4"/>
      <c r="C846" s="4"/>
      <c r="D846" s="4"/>
      <c r="E846" s="4"/>
      <c r="F846" s="4"/>
    </row>
    <row r="847" spans="2:6" x14ac:dyDescent="0.3">
      <c r="B847" s="4"/>
      <c r="C847" s="4"/>
      <c r="D847" s="4"/>
      <c r="E847" s="4"/>
      <c r="F847" s="4"/>
    </row>
    <row r="848" spans="2:6" x14ac:dyDescent="0.3">
      <c r="B848" s="4"/>
      <c r="C848" s="4"/>
      <c r="D848" s="4"/>
      <c r="E848" s="4"/>
      <c r="F848" s="4"/>
    </row>
    <row r="849" spans="2:6" x14ac:dyDescent="0.3">
      <c r="B849" s="4"/>
      <c r="C849" s="4"/>
      <c r="D849" s="4"/>
      <c r="E849" s="4"/>
      <c r="F849" s="4"/>
    </row>
    <row r="850" spans="2:6" x14ac:dyDescent="0.3">
      <c r="B850" s="4"/>
      <c r="C850" s="4"/>
      <c r="D850" s="4"/>
      <c r="E850" s="4"/>
      <c r="F850" s="4"/>
    </row>
    <row r="851" spans="2:6" x14ac:dyDescent="0.3">
      <c r="B851" s="4"/>
      <c r="C851" s="4"/>
      <c r="D851" s="4"/>
      <c r="E851" s="4"/>
      <c r="F851" s="4"/>
    </row>
    <row r="852" spans="2:6" x14ac:dyDescent="0.3">
      <c r="B852" s="4"/>
      <c r="C852" s="4"/>
      <c r="D852" s="4"/>
      <c r="E852" s="4"/>
      <c r="F852" s="4"/>
    </row>
    <row r="853" spans="2:6" x14ac:dyDescent="0.3">
      <c r="B853" s="4"/>
      <c r="C853" s="4"/>
      <c r="D853" s="4"/>
      <c r="E853" s="4"/>
      <c r="F853" s="4"/>
    </row>
    <row r="854" spans="2:6" x14ac:dyDescent="0.3">
      <c r="B854" s="4"/>
      <c r="C854" s="4"/>
      <c r="D854" s="4"/>
      <c r="E854" s="4"/>
      <c r="F854" s="4"/>
    </row>
    <row r="855" spans="2:6" x14ac:dyDescent="0.3">
      <c r="B855" s="4"/>
      <c r="C855" s="4"/>
      <c r="D855" s="4"/>
      <c r="E855" s="4"/>
      <c r="F855" s="4"/>
    </row>
    <row r="856" spans="2:6" x14ac:dyDescent="0.3">
      <c r="B856" s="4"/>
      <c r="C856" s="4"/>
      <c r="D856" s="4"/>
      <c r="E856" s="4"/>
      <c r="F856" s="4"/>
    </row>
    <row r="857" spans="2:6" x14ac:dyDescent="0.3">
      <c r="B857" s="4"/>
      <c r="C857" s="4"/>
      <c r="D857" s="4"/>
      <c r="E857" s="4"/>
      <c r="F857" s="4"/>
    </row>
    <row r="858" spans="2:6" x14ac:dyDescent="0.3">
      <c r="B858" s="4"/>
      <c r="C858" s="4"/>
      <c r="D858" s="4"/>
      <c r="E858" s="4"/>
      <c r="F858" s="4"/>
    </row>
    <row r="859" spans="2:6" x14ac:dyDescent="0.3">
      <c r="B859" s="4"/>
      <c r="C859" s="4"/>
      <c r="D859" s="4"/>
      <c r="E859" s="4"/>
      <c r="F859" s="4"/>
    </row>
    <row r="860" spans="2:6" x14ac:dyDescent="0.3">
      <c r="B860" s="4"/>
      <c r="C860" s="4"/>
      <c r="D860" s="4"/>
      <c r="E860" s="4"/>
      <c r="F860" s="4"/>
    </row>
    <row r="861" spans="2:6" x14ac:dyDescent="0.3">
      <c r="B861" s="4"/>
      <c r="C861" s="4"/>
      <c r="D861" s="4"/>
      <c r="E861" s="4"/>
      <c r="F861" s="4"/>
    </row>
    <row r="862" spans="2:6" x14ac:dyDescent="0.3">
      <c r="B862" s="4"/>
      <c r="C862" s="4"/>
      <c r="D862" s="4"/>
      <c r="E862" s="4"/>
      <c r="F862" s="4"/>
    </row>
    <row r="863" spans="2:6" x14ac:dyDescent="0.3">
      <c r="B863" s="4"/>
      <c r="C863" s="4"/>
      <c r="D863" s="4"/>
      <c r="E863" s="4"/>
      <c r="F863" s="4"/>
    </row>
    <row r="864" spans="2:6" x14ac:dyDescent="0.3">
      <c r="B864" s="4"/>
      <c r="C864" s="4"/>
      <c r="D864" s="4"/>
      <c r="E864" s="4"/>
      <c r="F864" s="4"/>
    </row>
    <row r="865" spans="2:6" x14ac:dyDescent="0.3">
      <c r="B865" s="4"/>
      <c r="C865" s="4"/>
      <c r="D865" s="4"/>
      <c r="E865" s="4"/>
      <c r="F865" s="4"/>
    </row>
    <row r="866" spans="2:6" x14ac:dyDescent="0.3">
      <c r="B866" s="4"/>
      <c r="C866" s="4"/>
      <c r="D866" s="4"/>
      <c r="E866" s="4"/>
      <c r="F866" s="4"/>
    </row>
    <row r="867" spans="2:6" x14ac:dyDescent="0.3">
      <c r="B867" s="4"/>
      <c r="C867" s="4"/>
      <c r="D867" s="4"/>
      <c r="E867" s="4"/>
      <c r="F867" s="4"/>
    </row>
    <row r="868" spans="2:6" x14ac:dyDescent="0.3">
      <c r="B868" s="4"/>
      <c r="C868" s="4"/>
      <c r="D868" s="4"/>
      <c r="E868" s="4"/>
      <c r="F868" s="4"/>
    </row>
    <row r="869" spans="2:6" x14ac:dyDescent="0.3">
      <c r="B869" s="4"/>
      <c r="C869" s="4"/>
      <c r="D869" s="4"/>
      <c r="E869" s="4"/>
      <c r="F869" s="4"/>
    </row>
    <row r="870" spans="2:6" x14ac:dyDescent="0.3">
      <c r="B870" s="4"/>
      <c r="C870" s="4"/>
      <c r="D870" s="4"/>
      <c r="E870" s="4"/>
      <c r="F870" s="4"/>
    </row>
    <row r="871" spans="2:6" x14ac:dyDescent="0.3">
      <c r="B871" s="4"/>
      <c r="C871" s="4"/>
      <c r="D871" s="4"/>
      <c r="E871" s="4"/>
      <c r="F871" s="4"/>
    </row>
    <row r="872" spans="2:6" x14ac:dyDescent="0.3">
      <c r="B872" s="4"/>
      <c r="C872" s="4"/>
      <c r="D872" s="4"/>
      <c r="E872" s="4"/>
      <c r="F872" s="4"/>
    </row>
    <row r="873" spans="2:6" x14ac:dyDescent="0.3">
      <c r="B873" s="4"/>
      <c r="C873" s="4"/>
      <c r="D873" s="4"/>
      <c r="E873" s="4"/>
      <c r="F873" s="4"/>
    </row>
    <row r="874" spans="2:6" x14ac:dyDescent="0.3">
      <c r="B874" s="4"/>
      <c r="C874" s="4"/>
      <c r="D874" s="4"/>
      <c r="E874" s="4"/>
      <c r="F874" s="4"/>
    </row>
    <row r="875" spans="2:6" x14ac:dyDescent="0.3">
      <c r="B875" s="4"/>
      <c r="C875" s="4"/>
      <c r="D875" s="4"/>
      <c r="E875" s="4"/>
      <c r="F875" s="4"/>
    </row>
    <row r="876" spans="2:6" x14ac:dyDescent="0.3">
      <c r="B876" s="4"/>
      <c r="C876" s="4"/>
      <c r="D876" s="4"/>
      <c r="E876" s="4"/>
      <c r="F876" s="4"/>
    </row>
    <row r="877" spans="2:6" x14ac:dyDescent="0.3">
      <c r="B877" s="4"/>
      <c r="C877" s="4"/>
      <c r="D877" s="4"/>
      <c r="E877" s="4"/>
      <c r="F877" s="4"/>
    </row>
    <row r="878" spans="2:6" x14ac:dyDescent="0.3">
      <c r="B878" s="4"/>
      <c r="C878" s="4"/>
      <c r="D878" s="4"/>
      <c r="E878" s="4"/>
      <c r="F878" s="4"/>
    </row>
    <row r="879" spans="2:6" x14ac:dyDescent="0.3">
      <c r="B879" s="4"/>
      <c r="C879" s="4"/>
      <c r="D879" s="4"/>
      <c r="E879" s="4"/>
      <c r="F879" s="4"/>
    </row>
    <row r="880" spans="2:6" x14ac:dyDescent="0.3">
      <c r="B880" s="4"/>
      <c r="C880" s="4"/>
      <c r="D880" s="4"/>
      <c r="E880" s="4"/>
      <c r="F880" s="4"/>
    </row>
    <row r="881" spans="2:6" x14ac:dyDescent="0.3">
      <c r="B881" s="4"/>
      <c r="C881" s="4"/>
      <c r="D881" s="4"/>
      <c r="E881" s="4"/>
      <c r="F881" s="4"/>
    </row>
    <row r="882" spans="2:6" x14ac:dyDescent="0.3">
      <c r="B882" s="4"/>
      <c r="C882" s="4"/>
      <c r="D882" s="4"/>
      <c r="E882" s="4"/>
      <c r="F882" s="4"/>
    </row>
    <row r="883" spans="2:6" x14ac:dyDescent="0.3">
      <c r="B883" s="4"/>
      <c r="C883" s="4"/>
      <c r="D883" s="4"/>
      <c r="E883" s="4"/>
      <c r="F883" s="4"/>
    </row>
    <row r="884" spans="2:6" x14ac:dyDescent="0.3">
      <c r="B884" s="4"/>
      <c r="C884" s="4"/>
      <c r="D884" s="4"/>
      <c r="E884" s="4"/>
      <c r="F884" s="4"/>
    </row>
    <row r="885" spans="2:6" x14ac:dyDescent="0.3">
      <c r="B885" s="4"/>
      <c r="C885" s="4"/>
      <c r="D885" s="4"/>
      <c r="E885" s="4"/>
      <c r="F885" s="4"/>
    </row>
    <row r="886" spans="2:6" x14ac:dyDescent="0.3">
      <c r="B886" s="4"/>
      <c r="C886" s="4"/>
      <c r="D886" s="4"/>
      <c r="E886" s="4"/>
      <c r="F886" s="4"/>
    </row>
    <row r="887" spans="2:6" x14ac:dyDescent="0.3">
      <c r="B887" s="4"/>
      <c r="C887" s="4"/>
      <c r="D887" s="4"/>
      <c r="E887" s="4"/>
      <c r="F887" s="4"/>
    </row>
    <row r="888" spans="2:6" x14ac:dyDescent="0.3">
      <c r="B888" s="4"/>
      <c r="C888" s="4"/>
      <c r="D888" s="4"/>
      <c r="E888" s="4"/>
      <c r="F888" s="4"/>
    </row>
    <row r="889" spans="2:6" x14ac:dyDescent="0.3">
      <c r="B889" s="4"/>
      <c r="C889" s="4"/>
      <c r="D889" s="4"/>
      <c r="E889" s="4"/>
      <c r="F889" s="4"/>
    </row>
    <row r="890" spans="2:6" x14ac:dyDescent="0.3">
      <c r="B890" s="4"/>
      <c r="C890" s="4"/>
      <c r="D890" s="4"/>
      <c r="E890" s="4"/>
      <c r="F890" s="4"/>
    </row>
    <row r="891" spans="2:6" x14ac:dyDescent="0.3">
      <c r="B891" s="4"/>
      <c r="C891" s="4"/>
      <c r="D891" s="4"/>
      <c r="E891" s="4"/>
      <c r="F891" s="4"/>
    </row>
    <row r="892" spans="2:6" x14ac:dyDescent="0.3">
      <c r="B892" s="4"/>
      <c r="C892" s="4"/>
      <c r="D892" s="4"/>
      <c r="E892" s="4"/>
      <c r="F892" s="4"/>
    </row>
    <row r="893" spans="2:6" x14ac:dyDescent="0.3">
      <c r="B893" s="4"/>
      <c r="C893" s="4"/>
      <c r="D893" s="4"/>
      <c r="E893" s="4"/>
      <c r="F893" s="4"/>
    </row>
    <row r="894" spans="2:6" x14ac:dyDescent="0.3">
      <c r="B894" s="4"/>
      <c r="C894" s="4"/>
      <c r="D894" s="4"/>
      <c r="E894" s="4"/>
      <c r="F894" s="4"/>
    </row>
    <row r="895" spans="2:6" x14ac:dyDescent="0.3">
      <c r="B895" s="4"/>
      <c r="C895" s="4"/>
      <c r="D895" s="4"/>
      <c r="E895" s="4"/>
      <c r="F895" s="4"/>
    </row>
    <row r="896" spans="2:6" x14ac:dyDescent="0.3">
      <c r="B896" s="4"/>
      <c r="C896" s="4"/>
      <c r="D896" s="4"/>
      <c r="E896" s="4"/>
      <c r="F896" s="4"/>
    </row>
    <row r="897" spans="2:6" x14ac:dyDescent="0.3">
      <c r="B897" s="4"/>
      <c r="C897" s="4"/>
      <c r="D897" s="4"/>
      <c r="E897" s="4"/>
      <c r="F897" s="4"/>
    </row>
    <row r="898" spans="2:6" x14ac:dyDescent="0.3">
      <c r="B898" s="4"/>
      <c r="C898" s="4"/>
      <c r="D898" s="4"/>
      <c r="E898" s="4"/>
      <c r="F898" s="4"/>
    </row>
    <row r="899" spans="2:6" x14ac:dyDescent="0.3">
      <c r="B899" s="4"/>
      <c r="C899" s="4"/>
      <c r="D899" s="4"/>
      <c r="E899" s="4"/>
      <c r="F899" s="4"/>
    </row>
    <row r="900" spans="2:6" x14ac:dyDescent="0.3">
      <c r="B900" s="4"/>
      <c r="C900" s="4"/>
      <c r="D900" s="4"/>
      <c r="E900" s="4"/>
      <c r="F900" s="4"/>
    </row>
    <row r="901" spans="2:6" x14ac:dyDescent="0.3">
      <c r="B901" s="4"/>
      <c r="C901" s="4"/>
      <c r="D901" s="4"/>
      <c r="E901" s="4"/>
      <c r="F901" s="4"/>
    </row>
    <row r="902" spans="2:6" x14ac:dyDescent="0.3">
      <c r="B902" s="4"/>
      <c r="C902" s="4"/>
      <c r="D902" s="4"/>
      <c r="E902" s="4"/>
      <c r="F902" s="4"/>
    </row>
    <row r="903" spans="2:6" x14ac:dyDescent="0.3">
      <c r="B903" s="4"/>
      <c r="C903" s="4"/>
      <c r="D903" s="4"/>
      <c r="E903" s="4"/>
      <c r="F903" s="4"/>
    </row>
    <row r="904" spans="2:6" x14ac:dyDescent="0.3">
      <c r="B904" s="4"/>
      <c r="C904" s="4"/>
      <c r="D904" s="4"/>
      <c r="E904" s="4"/>
      <c r="F904" s="4"/>
    </row>
    <row r="905" spans="2:6" x14ac:dyDescent="0.3">
      <c r="B905" s="4"/>
      <c r="C905" s="4"/>
      <c r="D905" s="4"/>
      <c r="E905" s="4"/>
      <c r="F905" s="4"/>
    </row>
    <row r="906" spans="2:6" x14ac:dyDescent="0.3">
      <c r="B906" s="4"/>
      <c r="C906" s="4"/>
      <c r="D906" s="4"/>
      <c r="E906" s="4"/>
      <c r="F906" s="4"/>
    </row>
    <row r="907" spans="2:6" x14ac:dyDescent="0.3">
      <c r="B907" s="4"/>
      <c r="C907" s="4"/>
      <c r="D907" s="4"/>
      <c r="E907" s="4"/>
      <c r="F907" s="4"/>
    </row>
    <row r="908" spans="2:6" x14ac:dyDescent="0.3">
      <c r="B908" s="4"/>
      <c r="C908" s="4"/>
      <c r="D908" s="4"/>
      <c r="E908" s="4"/>
      <c r="F908" s="4"/>
    </row>
    <row r="909" spans="2:6" x14ac:dyDescent="0.3">
      <c r="B909" s="4"/>
      <c r="C909" s="4"/>
      <c r="D909" s="4"/>
      <c r="E909" s="4"/>
      <c r="F909" s="4"/>
    </row>
    <row r="910" spans="2:6" x14ac:dyDescent="0.3">
      <c r="B910" s="4"/>
      <c r="C910" s="4"/>
      <c r="D910" s="4"/>
      <c r="E910" s="4"/>
      <c r="F910" s="4"/>
    </row>
    <row r="911" spans="2:6" x14ac:dyDescent="0.3">
      <c r="B911" s="4"/>
      <c r="C911" s="4"/>
      <c r="D911" s="4"/>
      <c r="E911" s="4"/>
      <c r="F911" s="4"/>
    </row>
    <row r="912" spans="2:6" x14ac:dyDescent="0.3">
      <c r="B912" s="4"/>
      <c r="C912" s="4"/>
      <c r="D912" s="4"/>
      <c r="E912" s="4"/>
      <c r="F912" s="4"/>
    </row>
    <row r="913" spans="2:6" x14ac:dyDescent="0.3">
      <c r="B913" s="4"/>
      <c r="C913" s="4"/>
      <c r="D913" s="4"/>
      <c r="E913" s="4"/>
      <c r="F913" s="4"/>
    </row>
    <row r="914" spans="2:6" x14ac:dyDescent="0.3">
      <c r="B914" s="4"/>
      <c r="C914" s="4"/>
      <c r="D914" s="4"/>
      <c r="E914" s="4"/>
      <c r="F914" s="4"/>
    </row>
    <row r="915" spans="2:6" x14ac:dyDescent="0.3">
      <c r="B915" s="4"/>
      <c r="C915" s="4"/>
      <c r="D915" s="4"/>
      <c r="E915" s="4"/>
      <c r="F915" s="4"/>
    </row>
    <row r="916" spans="2:6" x14ac:dyDescent="0.3">
      <c r="B916" s="4"/>
      <c r="C916" s="4"/>
      <c r="D916" s="4"/>
      <c r="E916" s="4"/>
      <c r="F916" s="4"/>
    </row>
    <row r="917" spans="2:6" x14ac:dyDescent="0.3">
      <c r="B917" s="4"/>
      <c r="C917" s="4"/>
      <c r="D917" s="4"/>
      <c r="E917" s="4"/>
      <c r="F917" s="4"/>
    </row>
    <row r="918" spans="2:6" x14ac:dyDescent="0.3">
      <c r="B918" s="4"/>
      <c r="C918" s="4"/>
      <c r="D918" s="4"/>
      <c r="E918" s="4"/>
      <c r="F918" s="4"/>
    </row>
    <row r="919" spans="2:6" x14ac:dyDescent="0.3">
      <c r="B919" s="4"/>
      <c r="C919" s="4"/>
      <c r="D919" s="4"/>
      <c r="E919" s="4"/>
      <c r="F919" s="4"/>
    </row>
    <row r="920" spans="2:6" x14ac:dyDescent="0.3">
      <c r="B920" s="4"/>
      <c r="C920" s="4"/>
      <c r="D920" s="4"/>
      <c r="E920" s="4"/>
      <c r="F920" s="4"/>
    </row>
    <row r="921" spans="2:6" x14ac:dyDescent="0.3">
      <c r="B921" s="4"/>
      <c r="C921" s="4"/>
      <c r="D921" s="4"/>
      <c r="E921" s="4"/>
      <c r="F921" s="4"/>
    </row>
    <row r="922" spans="2:6" x14ac:dyDescent="0.3">
      <c r="B922" s="4"/>
      <c r="C922" s="4"/>
      <c r="D922" s="4"/>
      <c r="E922" s="4"/>
      <c r="F922" s="4"/>
    </row>
    <row r="923" spans="2:6" x14ac:dyDescent="0.3">
      <c r="B923" s="4"/>
      <c r="C923" s="4"/>
      <c r="D923" s="4"/>
      <c r="E923" s="4"/>
      <c r="F923" s="4"/>
    </row>
    <row r="924" spans="2:6" x14ac:dyDescent="0.3">
      <c r="B924" s="4"/>
      <c r="C924" s="4"/>
      <c r="D924" s="4"/>
      <c r="E924" s="4"/>
      <c r="F924" s="4"/>
    </row>
    <row r="925" spans="2:6" x14ac:dyDescent="0.3">
      <c r="B925" s="4"/>
      <c r="C925" s="4"/>
      <c r="D925" s="4"/>
      <c r="E925" s="4"/>
      <c r="F925" s="4"/>
    </row>
    <row r="926" spans="2:6" x14ac:dyDescent="0.3">
      <c r="B926" s="4"/>
      <c r="C926" s="4"/>
      <c r="D926" s="4"/>
      <c r="E926" s="4"/>
      <c r="F926" s="4"/>
    </row>
    <row r="927" spans="2:6" x14ac:dyDescent="0.3">
      <c r="B927" s="4"/>
      <c r="C927" s="4"/>
      <c r="D927" s="4"/>
      <c r="E927" s="4"/>
      <c r="F927" s="4"/>
    </row>
    <row r="928" spans="2:6" x14ac:dyDescent="0.3">
      <c r="B928" s="4"/>
      <c r="C928" s="4"/>
      <c r="D928" s="4"/>
      <c r="E928" s="4"/>
      <c r="F928" s="4"/>
    </row>
    <row r="929" spans="2:6" x14ac:dyDescent="0.3">
      <c r="B929" s="4"/>
      <c r="C929" s="4"/>
      <c r="D929" s="4"/>
      <c r="E929" s="4"/>
      <c r="F929" s="4"/>
    </row>
    <row r="930" spans="2:6" x14ac:dyDescent="0.3">
      <c r="B930" s="4"/>
      <c r="C930" s="4"/>
      <c r="D930" s="4"/>
      <c r="E930" s="4"/>
      <c r="F930" s="4"/>
    </row>
    <row r="931" spans="2:6" x14ac:dyDescent="0.3">
      <c r="B931" s="4"/>
      <c r="C931" s="4"/>
      <c r="D931" s="4"/>
      <c r="E931" s="4"/>
      <c r="F931" s="4"/>
    </row>
    <row r="932" spans="2:6" x14ac:dyDescent="0.3">
      <c r="B932" s="4"/>
      <c r="C932" s="4"/>
      <c r="D932" s="4"/>
      <c r="E932" s="4"/>
      <c r="F932" s="4"/>
    </row>
    <row r="933" spans="2:6" x14ac:dyDescent="0.3">
      <c r="B933" s="4"/>
      <c r="C933" s="4"/>
      <c r="D933" s="4"/>
      <c r="E933" s="4"/>
      <c r="F933" s="4"/>
    </row>
    <row r="934" spans="2:6" x14ac:dyDescent="0.3">
      <c r="B934" s="4"/>
      <c r="C934" s="4"/>
      <c r="D934" s="4"/>
      <c r="E934" s="4"/>
      <c r="F934" s="4"/>
    </row>
    <row r="935" spans="2:6" x14ac:dyDescent="0.3">
      <c r="B935" s="4"/>
      <c r="C935" s="4"/>
      <c r="D935" s="4"/>
      <c r="E935" s="4"/>
      <c r="F935" s="4"/>
    </row>
    <row r="936" spans="2:6" x14ac:dyDescent="0.3">
      <c r="B936" s="4"/>
      <c r="C936" s="4"/>
      <c r="D936" s="4"/>
      <c r="E936" s="4"/>
      <c r="F936" s="4"/>
    </row>
    <row r="937" spans="2:6" x14ac:dyDescent="0.3">
      <c r="B937" s="4"/>
      <c r="C937" s="4"/>
      <c r="D937" s="4"/>
      <c r="E937" s="4"/>
      <c r="F937" s="4"/>
    </row>
    <row r="938" spans="2:6" x14ac:dyDescent="0.3">
      <c r="B938" s="4"/>
      <c r="C938" s="4"/>
      <c r="D938" s="4"/>
      <c r="E938" s="4"/>
      <c r="F938" s="4"/>
    </row>
    <row r="939" spans="2:6" x14ac:dyDescent="0.3">
      <c r="B939" s="4"/>
      <c r="C939" s="4"/>
      <c r="D939" s="4"/>
      <c r="E939" s="4"/>
      <c r="F939" s="4"/>
    </row>
    <row r="940" spans="2:6" x14ac:dyDescent="0.3">
      <c r="B940" s="4"/>
      <c r="C940" s="4"/>
      <c r="D940" s="4"/>
      <c r="E940" s="4"/>
      <c r="F940" s="4"/>
    </row>
    <row r="941" spans="2:6" x14ac:dyDescent="0.3">
      <c r="B941" s="4"/>
      <c r="C941" s="4"/>
      <c r="D941" s="4"/>
      <c r="E941" s="4"/>
      <c r="F941" s="4"/>
    </row>
    <row r="942" spans="2:6" x14ac:dyDescent="0.3">
      <c r="B942" s="4"/>
      <c r="C942" s="4"/>
      <c r="D942" s="4"/>
      <c r="E942" s="4"/>
      <c r="F942" s="4"/>
    </row>
    <row r="943" spans="2:6" x14ac:dyDescent="0.3">
      <c r="B943" s="4"/>
      <c r="C943" s="4"/>
      <c r="D943" s="4"/>
      <c r="E943" s="4"/>
      <c r="F943" s="4"/>
    </row>
    <row r="944" spans="2:6" x14ac:dyDescent="0.3">
      <c r="B944" s="4"/>
      <c r="C944" s="4"/>
      <c r="D944" s="4"/>
      <c r="E944" s="4"/>
      <c r="F944" s="4"/>
    </row>
    <row r="945" spans="2:6" x14ac:dyDescent="0.3">
      <c r="B945" s="4"/>
      <c r="C945" s="4"/>
      <c r="D945" s="4"/>
      <c r="E945" s="4"/>
      <c r="F945" s="4"/>
    </row>
    <row r="946" spans="2:6" x14ac:dyDescent="0.3">
      <c r="B946" s="4"/>
      <c r="C946" s="4"/>
      <c r="D946" s="4"/>
      <c r="E946" s="4"/>
      <c r="F946" s="4"/>
    </row>
    <row r="947" spans="2:6" x14ac:dyDescent="0.3">
      <c r="B947" s="4"/>
      <c r="C947" s="4"/>
      <c r="D947" s="4"/>
      <c r="E947" s="4"/>
      <c r="F947" s="4"/>
    </row>
    <row r="948" spans="2:6" x14ac:dyDescent="0.3">
      <c r="B948" s="4"/>
      <c r="C948" s="4"/>
      <c r="D948" s="4"/>
      <c r="E948" s="4"/>
      <c r="F948" s="4"/>
    </row>
    <row r="949" spans="2:6" x14ac:dyDescent="0.3">
      <c r="B949" s="4"/>
      <c r="C949" s="4"/>
      <c r="D949" s="4"/>
      <c r="E949" s="4"/>
      <c r="F949" s="4"/>
    </row>
    <row r="950" spans="2:6" x14ac:dyDescent="0.3">
      <c r="B950" s="4"/>
      <c r="C950" s="4"/>
      <c r="D950" s="4"/>
      <c r="E950" s="4"/>
      <c r="F950" s="4"/>
    </row>
    <row r="951" spans="2:6" x14ac:dyDescent="0.3">
      <c r="B951" s="4"/>
      <c r="C951" s="4"/>
      <c r="D951" s="4"/>
      <c r="E951" s="4"/>
      <c r="F951" s="4"/>
    </row>
    <row r="952" spans="2:6" x14ac:dyDescent="0.3">
      <c r="B952" s="4"/>
      <c r="C952" s="4"/>
      <c r="D952" s="4"/>
      <c r="E952" s="4"/>
      <c r="F952" s="4"/>
    </row>
    <row r="953" spans="2:6" x14ac:dyDescent="0.3">
      <c r="B953" s="4"/>
      <c r="C953" s="4"/>
      <c r="D953" s="4"/>
      <c r="E953" s="4"/>
      <c r="F953" s="4"/>
    </row>
    <row r="954" spans="2:6" x14ac:dyDescent="0.3">
      <c r="B954" s="4"/>
      <c r="C954" s="4"/>
      <c r="D954" s="4"/>
      <c r="E954" s="4"/>
      <c r="F954" s="4"/>
    </row>
    <row r="955" spans="2:6" x14ac:dyDescent="0.3">
      <c r="B955" s="4"/>
      <c r="C955" s="4"/>
      <c r="D955" s="4"/>
      <c r="E955" s="4"/>
      <c r="F955" s="4"/>
    </row>
    <row r="956" spans="2:6" x14ac:dyDescent="0.3">
      <c r="B956" s="4"/>
      <c r="C956" s="4"/>
      <c r="D956" s="4"/>
      <c r="E956" s="4"/>
      <c r="F956" s="4"/>
    </row>
    <row r="957" spans="2:6" x14ac:dyDescent="0.3">
      <c r="B957" s="4"/>
      <c r="C957" s="4"/>
      <c r="D957" s="4"/>
      <c r="E957" s="4"/>
      <c r="F957" s="4"/>
    </row>
    <row r="958" spans="2:6" x14ac:dyDescent="0.3">
      <c r="B958" s="4"/>
      <c r="C958" s="4"/>
      <c r="D958" s="4"/>
      <c r="E958" s="4"/>
      <c r="F958" s="4"/>
    </row>
    <row r="959" spans="2:6" x14ac:dyDescent="0.3">
      <c r="B959" s="4"/>
      <c r="C959" s="4"/>
      <c r="D959" s="4"/>
      <c r="E959" s="4"/>
      <c r="F959" s="4"/>
    </row>
    <row r="960" spans="2:6" x14ac:dyDescent="0.3">
      <c r="B960" s="4"/>
      <c r="C960" s="4"/>
      <c r="D960" s="4"/>
      <c r="E960" s="4"/>
      <c r="F960" s="4"/>
    </row>
    <row r="961" spans="2:6" x14ac:dyDescent="0.3">
      <c r="B961" s="4"/>
      <c r="C961" s="4"/>
      <c r="D961" s="4"/>
      <c r="E961" s="4"/>
      <c r="F961" s="4"/>
    </row>
    <row r="962" spans="2:6" x14ac:dyDescent="0.3">
      <c r="B962" s="4"/>
      <c r="C962" s="4"/>
      <c r="D962" s="4"/>
      <c r="E962" s="4"/>
      <c r="F962" s="4"/>
    </row>
    <row r="963" spans="2:6" x14ac:dyDescent="0.3">
      <c r="B963" s="4"/>
      <c r="C963" s="4"/>
      <c r="D963" s="4"/>
      <c r="E963" s="4"/>
      <c r="F963" s="4"/>
    </row>
    <row r="964" spans="2:6" x14ac:dyDescent="0.3">
      <c r="B964" s="4"/>
      <c r="C964" s="4"/>
      <c r="D964" s="4"/>
      <c r="E964" s="4"/>
      <c r="F964" s="4"/>
    </row>
    <row r="965" spans="2:6" x14ac:dyDescent="0.3">
      <c r="B965" s="4"/>
      <c r="C965" s="4"/>
      <c r="D965" s="4"/>
      <c r="E965" s="4"/>
      <c r="F965" s="4"/>
    </row>
    <row r="966" spans="2:6" x14ac:dyDescent="0.3">
      <c r="B966" s="4"/>
      <c r="C966" s="4"/>
      <c r="D966" s="4"/>
      <c r="E966" s="4"/>
      <c r="F966" s="4"/>
    </row>
    <row r="967" spans="2:6" x14ac:dyDescent="0.3">
      <c r="B967" s="4"/>
      <c r="C967" s="4"/>
      <c r="D967" s="4"/>
      <c r="E967" s="4"/>
      <c r="F967" s="4"/>
    </row>
    <row r="968" spans="2:6" x14ac:dyDescent="0.3">
      <c r="B968" s="4"/>
      <c r="C968" s="4"/>
      <c r="D968" s="4"/>
      <c r="E968" s="4"/>
      <c r="F968" s="4"/>
    </row>
    <row r="969" spans="2:6" x14ac:dyDescent="0.3">
      <c r="B969" s="4"/>
      <c r="C969" s="4"/>
      <c r="D969" s="4"/>
      <c r="E969" s="4"/>
      <c r="F969" s="4"/>
    </row>
    <row r="970" spans="2:6" x14ac:dyDescent="0.3">
      <c r="B970" s="4"/>
      <c r="C970" s="4"/>
      <c r="D970" s="4"/>
      <c r="E970" s="4"/>
      <c r="F970" s="4"/>
    </row>
    <row r="971" spans="2:6" x14ac:dyDescent="0.3">
      <c r="B971" s="4"/>
      <c r="C971" s="4"/>
      <c r="D971" s="4"/>
      <c r="E971" s="4"/>
      <c r="F971" s="4"/>
    </row>
    <row r="972" spans="2:6" x14ac:dyDescent="0.3">
      <c r="B972" s="4"/>
      <c r="C972" s="4"/>
      <c r="D972" s="4"/>
      <c r="E972" s="4"/>
      <c r="F972" s="4"/>
    </row>
    <row r="973" spans="2:6" x14ac:dyDescent="0.3">
      <c r="B973" s="4"/>
      <c r="C973" s="4"/>
      <c r="D973" s="4"/>
      <c r="E973" s="4"/>
      <c r="F973" s="4"/>
    </row>
    <row r="974" spans="2:6" x14ac:dyDescent="0.3">
      <c r="B974" s="4"/>
      <c r="C974" s="4"/>
      <c r="D974" s="4"/>
      <c r="E974" s="4"/>
      <c r="F974" s="4"/>
    </row>
    <row r="975" spans="2:6" x14ac:dyDescent="0.3">
      <c r="B975" s="4"/>
      <c r="C975" s="4"/>
      <c r="D975" s="4"/>
      <c r="E975" s="4"/>
      <c r="F975" s="4"/>
    </row>
    <row r="976" spans="2:6" x14ac:dyDescent="0.3">
      <c r="B976" s="4"/>
      <c r="C976" s="4"/>
      <c r="D976" s="4"/>
      <c r="E976" s="4"/>
      <c r="F976" s="4"/>
    </row>
    <row r="977" spans="2:6" x14ac:dyDescent="0.3">
      <c r="B977" s="4"/>
      <c r="C977" s="4"/>
      <c r="D977" s="4"/>
      <c r="E977" s="4"/>
      <c r="F977" s="4"/>
    </row>
    <row r="978" spans="2:6" x14ac:dyDescent="0.3">
      <c r="B978" s="4"/>
      <c r="C978" s="4"/>
      <c r="D978" s="4"/>
      <c r="E978" s="4"/>
      <c r="F978" s="4"/>
    </row>
    <row r="979" spans="2:6" x14ac:dyDescent="0.3">
      <c r="B979" s="4"/>
      <c r="C979" s="4"/>
      <c r="D979" s="4"/>
      <c r="E979" s="4"/>
      <c r="F979" s="4"/>
    </row>
    <row r="980" spans="2:6" x14ac:dyDescent="0.3">
      <c r="B980" s="4"/>
      <c r="C980" s="4"/>
      <c r="D980" s="4"/>
      <c r="E980" s="4"/>
      <c r="F980" s="4"/>
    </row>
    <row r="981" spans="2:6" x14ac:dyDescent="0.3">
      <c r="B981" s="4"/>
      <c r="C981" s="4"/>
      <c r="D981" s="4"/>
      <c r="E981" s="4"/>
      <c r="F981" s="4"/>
    </row>
    <row r="982" spans="2:6" x14ac:dyDescent="0.3">
      <c r="B982" s="4"/>
      <c r="C982" s="4"/>
      <c r="D982" s="4"/>
      <c r="E982" s="4"/>
      <c r="F982" s="4"/>
    </row>
    <row r="983" spans="2:6" x14ac:dyDescent="0.3">
      <c r="B983" s="4"/>
      <c r="C983" s="4"/>
      <c r="D983" s="4"/>
      <c r="E983" s="4"/>
      <c r="F983" s="4"/>
    </row>
    <row r="984" spans="2:6" x14ac:dyDescent="0.3">
      <c r="B984" s="4"/>
      <c r="C984" s="4"/>
      <c r="D984" s="4"/>
      <c r="E984" s="4"/>
      <c r="F984" s="4"/>
    </row>
    <row r="985" spans="2:6" x14ac:dyDescent="0.3">
      <c r="B985" s="4"/>
      <c r="C985" s="4"/>
      <c r="D985" s="4"/>
      <c r="E985" s="4"/>
      <c r="F985" s="4"/>
    </row>
    <row r="986" spans="2:6" x14ac:dyDescent="0.3">
      <c r="B986" s="4"/>
      <c r="C986" s="4"/>
      <c r="D986" s="4"/>
      <c r="E986" s="4"/>
      <c r="F986" s="4"/>
    </row>
    <row r="987" spans="2:6" x14ac:dyDescent="0.3">
      <c r="B987" s="4"/>
      <c r="C987" s="4"/>
      <c r="D987" s="4"/>
      <c r="E987" s="4"/>
      <c r="F987" s="4"/>
    </row>
    <row r="988" spans="2:6" x14ac:dyDescent="0.3">
      <c r="B988" s="4"/>
      <c r="C988" s="4"/>
      <c r="D988" s="4"/>
      <c r="E988" s="4"/>
      <c r="F988" s="4"/>
    </row>
    <row r="989" spans="2:6" x14ac:dyDescent="0.3">
      <c r="B989" s="4"/>
      <c r="C989" s="4"/>
      <c r="D989" s="4"/>
      <c r="E989" s="4"/>
      <c r="F989" s="4"/>
    </row>
    <row r="990" spans="2:6" x14ac:dyDescent="0.3">
      <c r="B990" s="4"/>
      <c r="C990" s="4"/>
      <c r="D990" s="4"/>
      <c r="E990" s="4"/>
      <c r="F990" s="4"/>
    </row>
    <row r="991" spans="2:6" x14ac:dyDescent="0.3">
      <c r="B991" s="4"/>
      <c r="C991" s="4"/>
      <c r="D991" s="4"/>
      <c r="E991" s="4"/>
      <c r="F991" s="4"/>
    </row>
    <row r="992" spans="2:6" x14ac:dyDescent="0.3">
      <c r="B992" s="4"/>
      <c r="C992" s="4"/>
      <c r="D992" s="4"/>
      <c r="E992" s="4"/>
      <c r="F992" s="4"/>
    </row>
    <row r="993" spans="2:6" x14ac:dyDescent="0.3">
      <c r="B993" s="4"/>
      <c r="C993" s="4"/>
      <c r="D993" s="4"/>
      <c r="E993" s="4"/>
      <c r="F993" s="4"/>
    </row>
    <row r="994" spans="2:6" x14ac:dyDescent="0.3">
      <c r="B994" s="4"/>
      <c r="C994" s="4"/>
      <c r="D994" s="4"/>
      <c r="E994" s="4"/>
      <c r="F994" s="4"/>
    </row>
    <row r="995" spans="2:6" x14ac:dyDescent="0.3">
      <c r="B995" s="4"/>
      <c r="C995" s="4"/>
      <c r="D995" s="4"/>
      <c r="E995" s="4"/>
      <c r="F995" s="4"/>
    </row>
    <row r="996" spans="2:6" x14ac:dyDescent="0.3">
      <c r="B996" s="4"/>
      <c r="C996" s="4"/>
      <c r="D996" s="4"/>
      <c r="E996" s="4"/>
      <c r="F996" s="4"/>
    </row>
    <row r="997" spans="2:6" x14ac:dyDescent="0.3">
      <c r="B997" s="4"/>
      <c r="C997" s="4"/>
      <c r="D997" s="4"/>
      <c r="E997" s="4"/>
      <c r="F997" s="4"/>
    </row>
    <row r="998" spans="2:6" x14ac:dyDescent="0.3">
      <c r="B998" s="4"/>
      <c r="C998" s="4"/>
      <c r="D998" s="4"/>
      <c r="E998" s="4"/>
      <c r="F998" s="4"/>
    </row>
    <row r="999" spans="2:6" x14ac:dyDescent="0.3">
      <c r="B999" s="4"/>
      <c r="C999" s="4"/>
      <c r="D999" s="4"/>
      <c r="E999" s="4"/>
      <c r="F999" s="4"/>
    </row>
    <row r="1000" spans="2:6" x14ac:dyDescent="0.3">
      <c r="B1000" s="4"/>
      <c r="C1000" s="4"/>
      <c r="D1000" s="4"/>
      <c r="E1000" s="4"/>
      <c r="F1000" s="4"/>
    </row>
    <row r="1001" spans="2:6" x14ac:dyDescent="0.3">
      <c r="B1001" s="4"/>
      <c r="C1001" s="4"/>
      <c r="D1001" s="4"/>
      <c r="E1001" s="4"/>
      <c r="F1001" s="4"/>
    </row>
    <row r="1002" spans="2:6" x14ac:dyDescent="0.3">
      <c r="B1002" s="4"/>
      <c r="C1002" s="4"/>
      <c r="D1002" s="4"/>
      <c r="E1002" s="4"/>
      <c r="F1002" s="4"/>
    </row>
    <row r="1003" spans="2:6" x14ac:dyDescent="0.3">
      <c r="B1003" s="4"/>
      <c r="C1003" s="4"/>
      <c r="D1003" s="4"/>
      <c r="E1003" s="4"/>
      <c r="F1003" s="4"/>
    </row>
    <row r="1004" spans="2:6" x14ac:dyDescent="0.3">
      <c r="B1004" s="4"/>
      <c r="C1004" s="4"/>
      <c r="D1004" s="4"/>
      <c r="E1004" s="4"/>
      <c r="F1004" s="4"/>
    </row>
    <row r="1005" spans="2:6" x14ac:dyDescent="0.3">
      <c r="B1005" s="4"/>
      <c r="C1005" s="4"/>
      <c r="D1005" s="4"/>
      <c r="E1005" s="4"/>
      <c r="F1005" s="4"/>
    </row>
    <row r="1006" spans="2:6" x14ac:dyDescent="0.3">
      <c r="B1006" s="4"/>
      <c r="C1006" s="4"/>
      <c r="D1006" s="4"/>
      <c r="E1006" s="4"/>
      <c r="F1006" s="4"/>
    </row>
    <row r="1007" spans="2:6" x14ac:dyDescent="0.3">
      <c r="B1007" s="4"/>
      <c r="C1007" s="4"/>
      <c r="D1007" s="4"/>
      <c r="E1007" s="4"/>
      <c r="F1007" s="4"/>
    </row>
    <row r="1008" spans="2:6" x14ac:dyDescent="0.3">
      <c r="B1008" s="4"/>
      <c r="C1008" s="4"/>
      <c r="D1008" s="4"/>
      <c r="E1008" s="4"/>
      <c r="F1008" s="4"/>
    </row>
    <row r="1009" spans="2:6" x14ac:dyDescent="0.3">
      <c r="B1009" s="4"/>
      <c r="C1009" s="4"/>
      <c r="D1009" s="4"/>
      <c r="E1009" s="4"/>
      <c r="F1009" s="4"/>
    </row>
    <row r="1010" spans="2:6" x14ac:dyDescent="0.3">
      <c r="B1010" s="4"/>
      <c r="C1010" s="4"/>
      <c r="D1010" s="4"/>
      <c r="E1010" s="4"/>
      <c r="F1010" s="4"/>
    </row>
    <row r="1011" spans="2:6" x14ac:dyDescent="0.3">
      <c r="B1011" s="4"/>
      <c r="C1011" s="4"/>
      <c r="D1011" s="4"/>
      <c r="E1011" s="4"/>
      <c r="F1011" s="4"/>
    </row>
    <row r="1012" spans="2:6" x14ac:dyDescent="0.3">
      <c r="B1012" s="4"/>
      <c r="C1012" s="4"/>
      <c r="D1012" s="4"/>
      <c r="E1012" s="4"/>
      <c r="F1012" s="4"/>
    </row>
    <row r="1013" spans="2:6" x14ac:dyDescent="0.3">
      <c r="B1013" s="4"/>
      <c r="C1013" s="4"/>
      <c r="D1013" s="4"/>
      <c r="E1013" s="4"/>
      <c r="F1013" s="4"/>
    </row>
    <row r="1014" spans="2:6" x14ac:dyDescent="0.3">
      <c r="B1014" s="4"/>
      <c r="C1014" s="4"/>
      <c r="D1014" s="4"/>
      <c r="E1014" s="4"/>
      <c r="F1014" s="4"/>
    </row>
    <row r="1015" spans="2:6" x14ac:dyDescent="0.3">
      <c r="B1015" s="4"/>
      <c r="C1015" s="4"/>
      <c r="D1015" s="4"/>
      <c r="E1015" s="4"/>
      <c r="F1015" s="4"/>
    </row>
    <row r="1016" spans="2:6" x14ac:dyDescent="0.3">
      <c r="B1016" s="4"/>
      <c r="C1016" s="4"/>
      <c r="D1016" s="4"/>
      <c r="E1016" s="4"/>
      <c r="F1016" s="4"/>
    </row>
    <row r="1017" spans="2:6" x14ac:dyDescent="0.3">
      <c r="B1017" s="4"/>
      <c r="C1017" s="4"/>
      <c r="D1017" s="4"/>
      <c r="E1017" s="4"/>
      <c r="F1017" s="4"/>
    </row>
    <row r="1018" spans="2:6" x14ac:dyDescent="0.3">
      <c r="B1018" s="4"/>
      <c r="C1018" s="4"/>
      <c r="D1018" s="4"/>
      <c r="E1018" s="4"/>
      <c r="F1018" s="4"/>
    </row>
    <row r="1019" spans="2:6" x14ac:dyDescent="0.3">
      <c r="B1019" s="4"/>
      <c r="C1019" s="4"/>
      <c r="D1019" s="4"/>
      <c r="E1019" s="4"/>
      <c r="F1019" s="4"/>
    </row>
    <row r="1020" spans="2:6" x14ac:dyDescent="0.3">
      <c r="B1020" s="4"/>
      <c r="C1020" s="4"/>
      <c r="D1020" s="4"/>
      <c r="E1020" s="4"/>
      <c r="F1020" s="4"/>
    </row>
    <row r="1021" spans="2:6" x14ac:dyDescent="0.3">
      <c r="B1021" s="4"/>
      <c r="C1021" s="4"/>
      <c r="D1021" s="4"/>
      <c r="E1021" s="4"/>
      <c r="F1021" s="4"/>
    </row>
    <row r="1022" spans="2:6" x14ac:dyDescent="0.3">
      <c r="B1022" s="4"/>
      <c r="C1022" s="4"/>
      <c r="D1022" s="4"/>
      <c r="E1022" s="4"/>
      <c r="F1022" s="4"/>
    </row>
    <row r="1023" spans="2:6" x14ac:dyDescent="0.3">
      <c r="B1023" s="4"/>
      <c r="C1023" s="4"/>
      <c r="D1023" s="4"/>
      <c r="E1023" s="4"/>
      <c r="F1023" s="4"/>
    </row>
    <row r="1024" spans="2:6" x14ac:dyDescent="0.3">
      <c r="B1024" s="4"/>
      <c r="C1024" s="4"/>
      <c r="D1024" s="4"/>
      <c r="E1024" s="4"/>
      <c r="F1024" s="4"/>
    </row>
    <row r="1025" spans="2:6" x14ac:dyDescent="0.3">
      <c r="B1025" s="4"/>
      <c r="C1025" s="4"/>
      <c r="D1025" s="4"/>
      <c r="E1025" s="4"/>
      <c r="F1025" s="4"/>
    </row>
    <row r="1026" spans="2:6" x14ac:dyDescent="0.3">
      <c r="B1026" s="4"/>
      <c r="C1026" s="4"/>
      <c r="D1026" s="4"/>
      <c r="E1026" s="4"/>
      <c r="F1026" s="4"/>
    </row>
    <row r="1027" spans="2:6" x14ac:dyDescent="0.3">
      <c r="B1027" s="4"/>
      <c r="C1027" s="4"/>
      <c r="D1027" s="4"/>
      <c r="E1027" s="4"/>
      <c r="F1027" s="4"/>
    </row>
    <row r="1028" spans="2:6" x14ac:dyDescent="0.3">
      <c r="B1028" s="4"/>
      <c r="C1028" s="4"/>
      <c r="D1028" s="4"/>
      <c r="E1028" s="4"/>
      <c r="F1028" s="4"/>
    </row>
    <row r="1029" spans="2:6" x14ac:dyDescent="0.3">
      <c r="B1029" s="4"/>
      <c r="C1029" s="4"/>
      <c r="D1029" s="4"/>
      <c r="E1029" s="4"/>
      <c r="F1029" s="4"/>
    </row>
    <row r="1030" spans="2:6" x14ac:dyDescent="0.3">
      <c r="B1030" s="4"/>
      <c r="C1030" s="4"/>
      <c r="D1030" s="4"/>
      <c r="E1030" s="4"/>
      <c r="F1030" s="4"/>
    </row>
    <row r="1031" spans="2:6" x14ac:dyDescent="0.3">
      <c r="B1031" s="4"/>
      <c r="C1031" s="4"/>
      <c r="D1031" s="4"/>
      <c r="E1031" s="4"/>
      <c r="F1031" s="4"/>
    </row>
    <row r="1032" spans="2:6" x14ac:dyDescent="0.3">
      <c r="B1032" s="4"/>
      <c r="C1032" s="4"/>
      <c r="D1032" s="4"/>
      <c r="E1032" s="4"/>
      <c r="F1032" s="4"/>
    </row>
    <row r="1033" spans="2:6" x14ac:dyDescent="0.3">
      <c r="B1033" s="4"/>
      <c r="C1033" s="4"/>
      <c r="D1033" s="4"/>
      <c r="E1033" s="4"/>
      <c r="F1033" s="4"/>
    </row>
    <row r="1034" spans="2:6" x14ac:dyDescent="0.3">
      <c r="B1034" s="4"/>
      <c r="C1034" s="4"/>
      <c r="D1034" s="4"/>
      <c r="E1034" s="4"/>
      <c r="F1034" s="4"/>
    </row>
    <row r="1035" spans="2:6" x14ac:dyDescent="0.3">
      <c r="B1035" s="4"/>
      <c r="C1035" s="4"/>
      <c r="D1035" s="4"/>
      <c r="E1035" s="4"/>
      <c r="F1035" s="4"/>
    </row>
    <row r="1036" spans="2:6" x14ac:dyDescent="0.3">
      <c r="B1036" s="4"/>
      <c r="C1036" s="4"/>
      <c r="D1036" s="4"/>
      <c r="E1036" s="4"/>
      <c r="F1036" s="4"/>
    </row>
    <row r="1037" spans="2:6" x14ac:dyDescent="0.3">
      <c r="B1037" s="4"/>
      <c r="C1037" s="4"/>
      <c r="D1037" s="4"/>
      <c r="E1037" s="4"/>
      <c r="F1037" s="4"/>
    </row>
    <row r="1038" spans="2:6" x14ac:dyDescent="0.3">
      <c r="B1038" s="4"/>
      <c r="C1038" s="4"/>
      <c r="D1038" s="4"/>
      <c r="E1038" s="4"/>
      <c r="F1038" s="4"/>
    </row>
    <row r="1039" spans="2:6" x14ac:dyDescent="0.3">
      <c r="B1039" s="4"/>
      <c r="C1039" s="4"/>
      <c r="D1039" s="4"/>
      <c r="E1039" s="4"/>
      <c r="F1039" s="4"/>
    </row>
    <row r="1040" spans="2:6" x14ac:dyDescent="0.3">
      <c r="B1040" s="4"/>
      <c r="C1040" s="4"/>
      <c r="D1040" s="4"/>
      <c r="E1040" s="4"/>
      <c r="F1040" s="4"/>
    </row>
    <row r="1041" spans="2:6" x14ac:dyDescent="0.3">
      <c r="B1041" s="4"/>
      <c r="C1041" s="4"/>
      <c r="D1041" s="4"/>
      <c r="E1041" s="4"/>
      <c r="F1041" s="4"/>
    </row>
    <row r="1042" spans="2:6" x14ac:dyDescent="0.3">
      <c r="B1042" s="4"/>
      <c r="C1042" s="4"/>
      <c r="D1042" s="4"/>
      <c r="E1042" s="4"/>
      <c r="F1042" s="4"/>
    </row>
    <row r="1043" spans="2:6" x14ac:dyDescent="0.3">
      <c r="B1043" s="4"/>
      <c r="C1043" s="4"/>
      <c r="D1043" s="4"/>
      <c r="E1043" s="4"/>
      <c r="F1043" s="4"/>
    </row>
    <row r="1044" spans="2:6" x14ac:dyDescent="0.3">
      <c r="B1044" s="4"/>
      <c r="C1044" s="4"/>
      <c r="D1044" s="4"/>
      <c r="E1044" s="4"/>
      <c r="F1044" s="4"/>
    </row>
    <row r="1045" spans="2:6" x14ac:dyDescent="0.3">
      <c r="B1045" s="4"/>
      <c r="C1045" s="4"/>
      <c r="D1045" s="4"/>
      <c r="E1045" s="4"/>
      <c r="F1045" s="4"/>
    </row>
    <row r="1046" spans="2:6" x14ac:dyDescent="0.3">
      <c r="B1046" s="4"/>
      <c r="C1046" s="4"/>
      <c r="D1046" s="4"/>
      <c r="E1046" s="4"/>
      <c r="F1046" s="4"/>
    </row>
    <row r="1047" spans="2:6" x14ac:dyDescent="0.3">
      <c r="B1047" s="4"/>
      <c r="C1047" s="4"/>
      <c r="D1047" s="4"/>
      <c r="E1047" s="4"/>
      <c r="F1047" s="4"/>
    </row>
    <row r="1048" spans="2:6" x14ac:dyDescent="0.3">
      <c r="B1048" s="4"/>
      <c r="C1048" s="4"/>
      <c r="D1048" s="4"/>
      <c r="E1048" s="4"/>
      <c r="F1048" s="4"/>
    </row>
    <row r="1049" spans="2:6" x14ac:dyDescent="0.3">
      <c r="B1049" s="4"/>
      <c r="C1049" s="4"/>
      <c r="D1049" s="4"/>
      <c r="E1049" s="4"/>
      <c r="F1049" s="4"/>
    </row>
    <row r="1050" spans="2:6" x14ac:dyDescent="0.3">
      <c r="B1050" s="4"/>
      <c r="C1050" s="4"/>
      <c r="D1050" s="4"/>
      <c r="E1050" s="4"/>
      <c r="F1050" s="4"/>
    </row>
    <row r="1051" spans="2:6" x14ac:dyDescent="0.3">
      <c r="B1051" s="4"/>
      <c r="C1051" s="4"/>
      <c r="D1051" s="4"/>
      <c r="E1051" s="4"/>
      <c r="F1051" s="4"/>
    </row>
    <row r="1052" spans="2:6" x14ac:dyDescent="0.3">
      <c r="B1052" s="4"/>
      <c r="C1052" s="4"/>
      <c r="D1052" s="4"/>
      <c r="E1052" s="4"/>
      <c r="F1052" s="4"/>
    </row>
    <row r="1053" spans="2:6" x14ac:dyDescent="0.3">
      <c r="B1053" s="4"/>
      <c r="C1053" s="4"/>
      <c r="D1053" s="4"/>
      <c r="E1053" s="4"/>
      <c r="F1053" s="4"/>
    </row>
    <row r="1054" spans="2:6" x14ac:dyDescent="0.3">
      <c r="B1054" s="4"/>
      <c r="C1054" s="4"/>
      <c r="D1054" s="4"/>
      <c r="E1054" s="4"/>
      <c r="F1054" s="4"/>
    </row>
    <row r="1055" spans="2:6" x14ac:dyDescent="0.3">
      <c r="B1055" s="4"/>
      <c r="C1055" s="4"/>
      <c r="D1055" s="4"/>
      <c r="E1055" s="4"/>
      <c r="F1055" s="4"/>
    </row>
    <row r="1056" spans="2:6" x14ac:dyDescent="0.3">
      <c r="B1056" s="4"/>
      <c r="C1056" s="4"/>
      <c r="D1056" s="4"/>
      <c r="E1056" s="4"/>
      <c r="F1056" s="4"/>
    </row>
    <row r="1057" spans="1:6" x14ac:dyDescent="0.3">
      <c r="B1057" s="4"/>
      <c r="C1057" s="4"/>
      <c r="D1057" s="4"/>
      <c r="E1057" s="4"/>
      <c r="F1057" s="4"/>
    </row>
    <row r="1058" spans="1:6" x14ac:dyDescent="0.3">
      <c r="B1058" s="4"/>
      <c r="C1058" s="4"/>
      <c r="D1058" s="4"/>
      <c r="E1058" s="4"/>
      <c r="F1058" s="4"/>
    </row>
    <row r="1059" spans="1:6" x14ac:dyDescent="0.3">
      <c r="B1059" s="4"/>
      <c r="C1059" s="4"/>
      <c r="D1059" s="4"/>
      <c r="E1059" s="4"/>
      <c r="F1059" s="4"/>
    </row>
    <row r="1060" spans="1:6" x14ac:dyDescent="0.3">
      <c r="B1060" s="4"/>
      <c r="C1060" s="4"/>
      <c r="D1060" s="4"/>
      <c r="E1060" s="4"/>
      <c r="F1060" s="4"/>
    </row>
    <row r="1061" spans="1:6" x14ac:dyDescent="0.3">
      <c r="B1061" s="4"/>
      <c r="C1061" s="4"/>
      <c r="D1061" s="4"/>
      <c r="E1061" s="4"/>
      <c r="F1061" s="4"/>
    </row>
    <row r="1062" spans="1:6" x14ac:dyDescent="0.3">
      <c r="B1062" s="4"/>
      <c r="C1062" s="4"/>
      <c r="D1062" s="4"/>
      <c r="E1062" s="4"/>
      <c r="F1062" s="4"/>
    </row>
    <row r="1063" spans="1:6" x14ac:dyDescent="0.3">
      <c r="B1063" s="4"/>
      <c r="C1063" s="4"/>
      <c r="D1063" s="4"/>
      <c r="E1063" s="4"/>
      <c r="F1063" s="4"/>
    </row>
    <row r="1064" spans="1:6" x14ac:dyDescent="0.3">
      <c r="B1064" s="4"/>
      <c r="C1064" s="4"/>
      <c r="D1064" s="4"/>
      <c r="E1064" s="4"/>
      <c r="F1064" s="4"/>
    </row>
    <row r="1065" spans="1:6" x14ac:dyDescent="0.3">
      <c r="B1065" s="4"/>
      <c r="C1065" s="4"/>
      <c r="D1065" s="4"/>
      <c r="E1065" s="4"/>
      <c r="F1065" s="4"/>
    </row>
    <row r="1066" spans="1:6" x14ac:dyDescent="0.3">
      <c r="A1066" s="5"/>
      <c r="B1066" s="4"/>
      <c r="C1066" s="5"/>
      <c r="D1066" s="4"/>
      <c r="E1066" s="4"/>
      <c r="F1066" s="4"/>
    </row>
    <row r="1067" spans="1:6" x14ac:dyDescent="0.3">
      <c r="B1067" s="4"/>
      <c r="C1067" s="4"/>
      <c r="D1067" s="4"/>
      <c r="E1067" s="4"/>
      <c r="F1067" s="4"/>
    </row>
    <row r="1068" spans="1:6" x14ac:dyDescent="0.3">
      <c r="B1068" s="4"/>
      <c r="C1068" s="4"/>
      <c r="D1068" s="4"/>
      <c r="E1068" s="4"/>
      <c r="F1068" s="4"/>
    </row>
    <row r="1069" spans="1:6" x14ac:dyDescent="0.3">
      <c r="B1069" s="4"/>
      <c r="C1069" s="4"/>
      <c r="D1069" s="4"/>
      <c r="E1069" s="4"/>
      <c r="F1069" s="4"/>
    </row>
    <row r="1070" spans="1:6" x14ac:dyDescent="0.3">
      <c r="B1070" s="4"/>
      <c r="C1070" s="4"/>
      <c r="D1070" s="4"/>
      <c r="E1070" s="4"/>
      <c r="F1070" s="4"/>
    </row>
    <row r="1071" spans="1:6" x14ac:dyDescent="0.3">
      <c r="B1071" s="4"/>
      <c r="C1071" s="4"/>
      <c r="D1071" s="4"/>
      <c r="E1071" s="4"/>
      <c r="F1071" s="4"/>
    </row>
    <row r="1072" spans="1:6" x14ac:dyDescent="0.3">
      <c r="B1072" s="4"/>
      <c r="C1072" s="4"/>
      <c r="D1072" s="4"/>
      <c r="E1072" s="4"/>
      <c r="F1072" s="4"/>
    </row>
    <row r="1073" spans="2:6" x14ac:dyDescent="0.3">
      <c r="B1073" s="4"/>
      <c r="C1073" s="4"/>
      <c r="D1073" s="4"/>
      <c r="E1073" s="4"/>
      <c r="F1073" s="4"/>
    </row>
    <row r="1074" spans="2:6" x14ac:dyDescent="0.3">
      <c r="B1074" s="4"/>
      <c r="C1074" s="4"/>
      <c r="D1074" s="4"/>
      <c r="E1074" s="4"/>
      <c r="F1074" s="4"/>
    </row>
    <row r="1075" spans="2:6" x14ac:dyDescent="0.3">
      <c r="B1075" s="4"/>
      <c r="C1075" s="4"/>
      <c r="D1075" s="4"/>
      <c r="E1075" s="4"/>
      <c r="F1075" s="4"/>
    </row>
    <row r="1076" spans="2:6" x14ac:dyDescent="0.3">
      <c r="B1076" s="4"/>
      <c r="C1076" s="4"/>
      <c r="D1076" s="4"/>
      <c r="E1076" s="4"/>
      <c r="F1076" s="4"/>
    </row>
    <row r="1077" spans="2:6" x14ac:dyDescent="0.3">
      <c r="B1077" s="4"/>
      <c r="C1077" s="4"/>
      <c r="D1077" s="4"/>
      <c r="E1077" s="4"/>
      <c r="F1077" s="4"/>
    </row>
    <row r="1078" spans="2:6" x14ac:dyDescent="0.3">
      <c r="B1078" s="4"/>
      <c r="C1078" s="4"/>
      <c r="D1078" s="4"/>
      <c r="E1078" s="4"/>
      <c r="F1078" s="4"/>
    </row>
    <row r="1079" spans="2:6" x14ac:dyDescent="0.3">
      <c r="B1079" s="4"/>
      <c r="C1079" s="4"/>
      <c r="D1079" s="4"/>
      <c r="E1079" s="4"/>
      <c r="F1079" s="4"/>
    </row>
    <row r="1080" spans="2:6" x14ac:dyDescent="0.3">
      <c r="B1080" s="4"/>
      <c r="C1080" s="4"/>
      <c r="D1080" s="4"/>
      <c r="E1080" s="4"/>
      <c r="F1080" s="4"/>
    </row>
    <row r="1081" spans="2:6" x14ac:dyDescent="0.3">
      <c r="B1081" s="4"/>
      <c r="C1081" s="4"/>
      <c r="D1081" s="4"/>
      <c r="E1081" s="4"/>
      <c r="F1081" s="4"/>
    </row>
    <row r="1082" spans="2:6" x14ac:dyDescent="0.3">
      <c r="B1082" s="4"/>
      <c r="C1082" s="4"/>
      <c r="D1082" s="4"/>
      <c r="E1082" s="4"/>
      <c r="F1082" s="4"/>
    </row>
    <row r="1083" spans="2:6" x14ac:dyDescent="0.3">
      <c r="B1083" s="4"/>
      <c r="C1083" s="4"/>
      <c r="D1083" s="4"/>
      <c r="E1083" s="4"/>
      <c r="F1083" s="4"/>
    </row>
    <row r="1084" spans="2:6" x14ac:dyDescent="0.3">
      <c r="B1084" s="4"/>
      <c r="C1084" s="4"/>
      <c r="D1084" s="4"/>
      <c r="E1084" s="4"/>
      <c r="F1084" s="4"/>
    </row>
    <row r="1085" spans="2:6" x14ac:dyDescent="0.3">
      <c r="B1085" s="4"/>
      <c r="C1085" s="4"/>
      <c r="D1085" s="4"/>
      <c r="E1085" s="4"/>
      <c r="F1085" s="4"/>
    </row>
    <row r="1086" spans="2:6" x14ac:dyDescent="0.3">
      <c r="B1086" s="4"/>
      <c r="C1086" s="4"/>
      <c r="D1086" s="4"/>
      <c r="E1086" s="4"/>
      <c r="F1086" s="4"/>
    </row>
    <row r="1087" spans="2:6" x14ac:dyDescent="0.3">
      <c r="B1087" s="4"/>
      <c r="C1087" s="4"/>
      <c r="D1087" s="4"/>
      <c r="E1087" s="4"/>
      <c r="F1087" s="4"/>
    </row>
    <row r="1088" spans="2:6" x14ac:dyDescent="0.3">
      <c r="B1088" s="4"/>
      <c r="C1088" s="4"/>
      <c r="D1088" s="4"/>
      <c r="E1088" s="4"/>
      <c r="F1088" s="4"/>
    </row>
    <row r="1089" spans="2:6" x14ac:dyDescent="0.3">
      <c r="B1089" s="4"/>
      <c r="C1089" s="4"/>
      <c r="D1089" s="4"/>
      <c r="E1089" s="4"/>
      <c r="F1089" s="4"/>
    </row>
    <row r="1090" spans="2:6" x14ac:dyDescent="0.3">
      <c r="B1090" s="4"/>
      <c r="C1090" s="4"/>
      <c r="D1090" s="4"/>
      <c r="E1090" s="4"/>
      <c r="F1090" s="4"/>
    </row>
    <row r="1091" spans="2:6" x14ac:dyDescent="0.3">
      <c r="B1091" s="4"/>
      <c r="C1091" s="4"/>
      <c r="D1091" s="4"/>
      <c r="E1091" s="4"/>
      <c r="F1091" s="4"/>
    </row>
    <row r="1092" spans="2:6" x14ac:dyDescent="0.3">
      <c r="B1092" s="4"/>
      <c r="C1092" s="4"/>
      <c r="D1092" s="4"/>
      <c r="E1092" s="4"/>
      <c r="F1092" s="4"/>
    </row>
    <row r="1093" spans="2:6" x14ac:dyDescent="0.3">
      <c r="B1093" s="4"/>
      <c r="C1093" s="4"/>
      <c r="D1093" s="4"/>
      <c r="E1093" s="4"/>
      <c r="F1093" s="4"/>
    </row>
    <row r="1094" spans="2:6" x14ac:dyDescent="0.3">
      <c r="B1094" s="4"/>
      <c r="C1094" s="4"/>
      <c r="D1094" s="4"/>
      <c r="E1094" s="4"/>
      <c r="F1094" s="4"/>
    </row>
    <row r="1095" spans="2:6" x14ac:dyDescent="0.3">
      <c r="B1095" s="4"/>
      <c r="C1095" s="4"/>
      <c r="D1095" s="4"/>
      <c r="E1095" s="4"/>
      <c r="F1095" s="4"/>
    </row>
    <row r="1096" spans="2:6" x14ac:dyDescent="0.3">
      <c r="B1096" s="4"/>
      <c r="C1096" s="4"/>
      <c r="D1096" s="4"/>
      <c r="E1096" s="4"/>
      <c r="F1096" s="4"/>
    </row>
    <row r="1097" spans="2:6" x14ac:dyDescent="0.3">
      <c r="B1097" s="4"/>
      <c r="C1097" s="4"/>
      <c r="D1097" s="4"/>
      <c r="E1097" s="4"/>
      <c r="F1097" s="4"/>
    </row>
    <row r="1098" spans="2:6" x14ac:dyDescent="0.3">
      <c r="B1098" s="4"/>
      <c r="C1098" s="4"/>
      <c r="D1098" s="4"/>
      <c r="E1098" s="4"/>
      <c r="F1098" s="4"/>
    </row>
    <row r="1099" spans="2:6" x14ac:dyDescent="0.3">
      <c r="B1099" s="4"/>
      <c r="C1099" s="4"/>
      <c r="D1099" s="4"/>
      <c r="E1099" s="4"/>
      <c r="F1099" s="4"/>
    </row>
    <row r="1100" spans="2:6" x14ac:dyDescent="0.3">
      <c r="B1100" s="4"/>
      <c r="C1100" s="4"/>
      <c r="D1100" s="4"/>
      <c r="E1100" s="4"/>
      <c r="F1100" s="4"/>
    </row>
    <row r="1101" spans="2:6" x14ac:dyDescent="0.3">
      <c r="B1101" s="4"/>
      <c r="C1101" s="4"/>
      <c r="D1101" s="4"/>
      <c r="E1101" s="4"/>
      <c r="F1101" s="4"/>
    </row>
    <row r="1102" spans="2:6" x14ac:dyDescent="0.3">
      <c r="B1102" s="4"/>
      <c r="C1102" s="4"/>
      <c r="D1102" s="4"/>
      <c r="E1102" s="4"/>
      <c r="F1102" s="4"/>
    </row>
    <row r="1103" spans="2:6" x14ac:dyDescent="0.3">
      <c r="B1103" s="4"/>
      <c r="C1103" s="4"/>
      <c r="D1103" s="4"/>
      <c r="E1103" s="4"/>
      <c r="F1103" s="4"/>
    </row>
    <row r="1104" spans="2:6" x14ac:dyDescent="0.3">
      <c r="B1104" s="4"/>
      <c r="C1104" s="4"/>
      <c r="D1104" s="4"/>
      <c r="E1104" s="4"/>
      <c r="F1104" s="4"/>
    </row>
    <row r="1105" spans="2:6" x14ac:dyDescent="0.3">
      <c r="B1105" s="4"/>
      <c r="C1105" s="4"/>
      <c r="D1105" s="4"/>
      <c r="E1105" s="4"/>
      <c r="F1105" s="4"/>
    </row>
    <row r="1106" spans="2:6" x14ac:dyDescent="0.3">
      <c r="B1106" s="4"/>
      <c r="C1106" s="4"/>
      <c r="D1106" s="4"/>
      <c r="E1106" s="4"/>
      <c r="F1106" s="4"/>
    </row>
    <row r="1107" spans="2:6" x14ac:dyDescent="0.3">
      <c r="B1107" s="4"/>
      <c r="C1107" s="4"/>
      <c r="D1107" s="4"/>
      <c r="E1107" s="4"/>
      <c r="F1107" s="4"/>
    </row>
    <row r="1108" spans="2:6" x14ac:dyDescent="0.3">
      <c r="B1108" s="4"/>
      <c r="C1108" s="4"/>
      <c r="D1108" s="4"/>
      <c r="E1108" s="4"/>
      <c r="F1108" s="4"/>
    </row>
    <row r="1109" spans="2:6" x14ac:dyDescent="0.3">
      <c r="B1109" s="4"/>
      <c r="C1109" s="4"/>
      <c r="D1109" s="4"/>
      <c r="E1109" s="4"/>
      <c r="F1109" s="4"/>
    </row>
    <row r="1110" spans="2:6" x14ac:dyDescent="0.3">
      <c r="B1110" s="4"/>
      <c r="C1110" s="4"/>
      <c r="D1110" s="4"/>
      <c r="E1110" s="4"/>
      <c r="F1110" s="4"/>
    </row>
    <row r="1111" spans="2:6" x14ac:dyDescent="0.3">
      <c r="B1111" s="4"/>
      <c r="C1111" s="4"/>
      <c r="D1111" s="4"/>
      <c r="E1111" s="4"/>
      <c r="F1111" s="4"/>
    </row>
    <row r="1112" spans="2:6" x14ac:dyDescent="0.3">
      <c r="B1112" s="4"/>
      <c r="C1112" s="4"/>
      <c r="D1112" s="4"/>
      <c r="E1112" s="4"/>
      <c r="F1112" s="4"/>
    </row>
    <row r="1113" spans="2:6" x14ac:dyDescent="0.3">
      <c r="B1113" s="4"/>
      <c r="C1113" s="4"/>
      <c r="D1113" s="4"/>
      <c r="E1113" s="4"/>
      <c r="F1113" s="4"/>
    </row>
    <row r="1114" spans="2:6" x14ac:dyDescent="0.3">
      <c r="B1114" s="4"/>
      <c r="C1114" s="4"/>
      <c r="D1114" s="4"/>
      <c r="E1114" s="4"/>
      <c r="F1114" s="4"/>
    </row>
    <row r="1115" spans="2:6" x14ac:dyDescent="0.3">
      <c r="B1115" s="4"/>
      <c r="C1115" s="4"/>
      <c r="D1115" s="4"/>
      <c r="E1115" s="4"/>
      <c r="F1115" s="4"/>
    </row>
    <row r="1116" spans="2:6" x14ac:dyDescent="0.3">
      <c r="B1116" s="4"/>
      <c r="C1116" s="4"/>
      <c r="D1116" s="4"/>
      <c r="E1116" s="4"/>
      <c r="F1116" s="4"/>
    </row>
    <row r="1117" spans="2:6" x14ac:dyDescent="0.3">
      <c r="B1117" s="4"/>
      <c r="C1117" s="4"/>
      <c r="D1117" s="4"/>
      <c r="E1117" s="4"/>
      <c r="F1117" s="4"/>
    </row>
    <row r="1118" spans="2:6" x14ac:dyDescent="0.3">
      <c r="B1118" s="4"/>
      <c r="C1118" s="4"/>
      <c r="D1118" s="4"/>
      <c r="E1118" s="4"/>
      <c r="F1118" s="4"/>
    </row>
    <row r="1119" spans="2:6" x14ac:dyDescent="0.3">
      <c r="B1119" s="4"/>
      <c r="C1119" s="4"/>
      <c r="D1119" s="4"/>
      <c r="E1119" s="4"/>
      <c r="F1119" s="4"/>
    </row>
    <row r="1120" spans="2:6" x14ac:dyDescent="0.3">
      <c r="B1120" s="4"/>
      <c r="C1120" s="4"/>
      <c r="D1120" s="4"/>
      <c r="E1120" s="4"/>
      <c r="F1120" s="4"/>
    </row>
    <row r="1121" spans="2:6" x14ac:dyDescent="0.3">
      <c r="B1121" s="4"/>
      <c r="C1121" s="4"/>
      <c r="D1121" s="4"/>
      <c r="E1121" s="4"/>
      <c r="F1121" s="4"/>
    </row>
    <row r="1122" spans="2:6" x14ac:dyDescent="0.3">
      <c r="B1122" s="4"/>
      <c r="C1122" s="4"/>
      <c r="D1122" s="4"/>
      <c r="E1122" s="4"/>
      <c r="F1122" s="4"/>
    </row>
    <row r="1123" spans="2:6" x14ac:dyDescent="0.3">
      <c r="B1123" s="4"/>
      <c r="C1123" s="4"/>
      <c r="D1123" s="4"/>
      <c r="E1123" s="4"/>
      <c r="F1123" s="4"/>
    </row>
    <row r="1124" spans="2:6" x14ac:dyDescent="0.3">
      <c r="B1124" s="4"/>
      <c r="C1124" s="4"/>
      <c r="D1124" s="4"/>
      <c r="E1124" s="4"/>
      <c r="F1124" s="4"/>
    </row>
    <row r="1125" spans="2:6" x14ac:dyDescent="0.3">
      <c r="B1125" s="4"/>
      <c r="C1125" s="4"/>
      <c r="D1125" s="4"/>
      <c r="E1125" s="4"/>
      <c r="F1125" s="4"/>
    </row>
    <row r="1126" spans="2:6" x14ac:dyDescent="0.3">
      <c r="B1126" s="4"/>
      <c r="C1126" s="4"/>
      <c r="D1126" s="4"/>
      <c r="E1126" s="4"/>
      <c r="F1126" s="4"/>
    </row>
    <row r="1127" spans="2:6" x14ac:dyDescent="0.3">
      <c r="B1127" s="4"/>
      <c r="C1127" s="4"/>
      <c r="D1127" s="4"/>
      <c r="E1127" s="4"/>
      <c r="F1127" s="4"/>
    </row>
    <row r="1128" spans="2:6" x14ac:dyDescent="0.3">
      <c r="B1128" s="4"/>
      <c r="C1128" s="4"/>
      <c r="D1128" s="4"/>
      <c r="E1128" s="4"/>
      <c r="F1128" s="4"/>
    </row>
    <row r="1129" spans="2:6" x14ac:dyDescent="0.3">
      <c r="B1129" s="4"/>
      <c r="C1129" s="4"/>
      <c r="D1129" s="4"/>
      <c r="E1129" s="4"/>
      <c r="F1129" s="4"/>
    </row>
    <row r="1130" spans="2:6" x14ac:dyDescent="0.3">
      <c r="B1130" s="4"/>
      <c r="C1130" s="4"/>
      <c r="D1130" s="4"/>
      <c r="E1130" s="4"/>
      <c r="F1130" s="4"/>
    </row>
    <row r="1131" spans="2:6" x14ac:dyDescent="0.3">
      <c r="B1131" s="4"/>
      <c r="C1131" s="4"/>
      <c r="D1131" s="4"/>
      <c r="E1131" s="4"/>
      <c r="F1131" s="4"/>
    </row>
    <row r="1132" spans="2:6" x14ac:dyDescent="0.3">
      <c r="B1132" s="4"/>
      <c r="C1132" s="4"/>
      <c r="D1132" s="4"/>
      <c r="E1132" s="4"/>
      <c r="F1132" s="4"/>
    </row>
    <row r="1133" spans="2:6" x14ac:dyDescent="0.3">
      <c r="B1133" s="4"/>
      <c r="C1133" s="4"/>
      <c r="D1133" s="4"/>
      <c r="E1133" s="4"/>
      <c r="F1133" s="4"/>
    </row>
    <row r="1134" spans="2:6" x14ac:dyDescent="0.3">
      <c r="B1134" s="4"/>
      <c r="C1134" s="4"/>
      <c r="D1134" s="4"/>
      <c r="E1134" s="4"/>
      <c r="F1134" s="4"/>
    </row>
    <row r="1135" spans="2:6" x14ac:dyDescent="0.3">
      <c r="B1135" s="4"/>
      <c r="C1135" s="4"/>
      <c r="D1135" s="4"/>
      <c r="E1135" s="4"/>
      <c r="F1135" s="4"/>
    </row>
    <row r="1136" spans="2:6" x14ac:dyDescent="0.3">
      <c r="B1136" s="4"/>
      <c r="C1136" s="4"/>
      <c r="D1136" s="4"/>
      <c r="E1136" s="4"/>
      <c r="F1136" s="4"/>
    </row>
    <row r="1137" spans="2:6" x14ac:dyDescent="0.3">
      <c r="B1137" s="4"/>
      <c r="C1137" s="4"/>
      <c r="D1137" s="4"/>
      <c r="E1137" s="4"/>
      <c r="F1137" s="4"/>
    </row>
    <row r="1138" spans="2:6" x14ac:dyDescent="0.3">
      <c r="B1138" s="4"/>
      <c r="C1138" s="4"/>
      <c r="D1138" s="4"/>
      <c r="E1138" s="4"/>
      <c r="F1138" s="4"/>
    </row>
    <row r="1139" spans="2:6" x14ac:dyDescent="0.3">
      <c r="B1139" s="4"/>
      <c r="C1139" s="4"/>
      <c r="D1139" s="4"/>
      <c r="E1139" s="4"/>
      <c r="F1139" s="4"/>
    </row>
    <row r="1140" spans="2:6" x14ac:dyDescent="0.3">
      <c r="B1140" s="4"/>
      <c r="C1140" s="4"/>
      <c r="D1140" s="4"/>
      <c r="E1140" s="4"/>
      <c r="F1140" s="4"/>
    </row>
    <row r="1141" spans="2:6" x14ac:dyDescent="0.3">
      <c r="B1141" s="4"/>
      <c r="C1141" s="4"/>
      <c r="D1141" s="4"/>
      <c r="E1141" s="4"/>
      <c r="F1141" s="4"/>
    </row>
    <row r="1142" spans="2:6" x14ac:dyDescent="0.3">
      <c r="B1142" s="4"/>
      <c r="C1142" s="4"/>
      <c r="D1142" s="4"/>
      <c r="E1142" s="4"/>
      <c r="F1142" s="4"/>
    </row>
    <row r="1143" spans="2:6" x14ac:dyDescent="0.3">
      <c r="B1143" s="4"/>
      <c r="C1143" s="4"/>
      <c r="D1143" s="4"/>
      <c r="E1143" s="4"/>
      <c r="F1143" s="4"/>
    </row>
    <row r="1144" spans="2:6" x14ac:dyDescent="0.3">
      <c r="B1144" s="4"/>
      <c r="C1144" s="4"/>
      <c r="D1144" s="4"/>
      <c r="E1144" s="4"/>
      <c r="F1144" s="4"/>
    </row>
    <row r="1145" spans="2:6" x14ac:dyDescent="0.3">
      <c r="B1145" s="4"/>
      <c r="C1145" s="4"/>
      <c r="D1145" s="4"/>
      <c r="E1145" s="4"/>
      <c r="F1145" s="4"/>
    </row>
    <row r="1146" spans="2:6" x14ac:dyDescent="0.3">
      <c r="B1146" s="4"/>
      <c r="C1146" s="4"/>
      <c r="D1146" s="4"/>
      <c r="E1146" s="4"/>
      <c r="F1146" s="4"/>
    </row>
    <row r="1147" spans="2:6" x14ac:dyDescent="0.3">
      <c r="B1147" s="4"/>
      <c r="C1147" s="4"/>
      <c r="D1147" s="4"/>
      <c r="E1147" s="4"/>
      <c r="F1147" s="4"/>
    </row>
    <row r="1148" spans="2:6" x14ac:dyDescent="0.3">
      <c r="B1148" s="4"/>
      <c r="C1148" s="4"/>
      <c r="D1148" s="4"/>
      <c r="E1148" s="4"/>
      <c r="F1148" s="4"/>
    </row>
    <row r="1149" spans="2:6" x14ac:dyDescent="0.3">
      <c r="B1149" s="4"/>
      <c r="C1149" s="4"/>
      <c r="D1149" s="4"/>
      <c r="E1149" s="4"/>
      <c r="F1149" s="4"/>
    </row>
    <row r="1150" spans="2:6" x14ac:dyDescent="0.3">
      <c r="B1150" s="4"/>
      <c r="C1150" s="4"/>
      <c r="D1150" s="4"/>
      <c r="E1150" s="4"/>
      <c r="F1150" s="4"/>
    </row>
    <row r="1151" spans="2:6" x14ac:dyDescent="0.3">
      <c r="B1151" s="4"/>
      <c r="C1151" s="4"/>
      <c r="D1151" s="4"/>
      <c r="E1151" s="4"/>
      <c r="F1151" s="4"/>
    </row>
    <row r="1152" spans="2:6" x14ac:dyDescent="0.3">
      <c r="B1152" s="4"/>
      <c r="C1152" s="4"/>
      <c r="D1152" s="4"/>
      <c r="E1152" s="4"/>
      <c r="F1152" s="4"/>
    </row>
    <row r="1153" spans="2:6" x14ac:dyDescent="0.3">
      <c r="B1153" s="4"/>
      <c r="C1153" s="4"/>
      <c r="D1153" s="4"/>
      <c r="E1153" s="4"/>
      <c r="F1153" s="4"/>
    </row>
    <row r="1154" spans="2:6" x14ac:dyDescent="0.3">
      <c r="B1154" s="4"/>
      <c r="C1154" s="4"/>
      <c r="D1154" s="4"/>
      <c r="E1154" s="4"/>
      <c r="F1154" s="4"/>
    </row>
    <row r="1155" spans="2:6" x14ac:dyDescent="0.3">
      <c r="B1155" s="4"/>
      <c r="C1155" s="4"/>
      <c r="D1155" s="4"/>
      <c r="E1155" s="4"/>
      <c r="F1155" s="4"/>
    </row>
    <row r="1156" spans="2:6" x14ac:dyDescent="0.3">
      <c r="B1156" s="4"/>
      <c r="C1156" s="4"/>
      <c r="D1156" s="4"/>
      <c r="E1156" s="4"/>
      <c r="F1156" s="4"/>
    </row>
    <row r="1157" spans="2:6" x14ac:dyDescent="0.3">
      <c r="B1157" s="4"/>
      <c r="C1157" s="4"/>
      <c r="D1157" s="4"/>
      <c r="E1157" s="4"/>
      <c r="F1157" s="4"/>
    </row>
    <row r="1158" spans="2:6" x14ac:dyDescent="0.3">
      <c r="B1158" s="4"/>
      <c r="C1158" s="4"/>
      <c r="D1158" s="4"/>
      <c r="E1158" s="4"/>
      <c r="F1158" s="4"/>
    </row>
    <row r="1159" spans="2:6" x14ac:dyDescent="0.3">
      <c r="B1159" s="4"/>
      <c r="C1159" s="4"/>
      <c r="D1159" s="4"/>
      <c r="E1159" s="4"/>
      <c r="F1159" s="4"/>
    </row>
    <row r="1160" spans="2:6" x14ac:dyDescent="0.3">
      <c r="B1160" s="4"/>
      <c r="C1160" s="4"/>
      <c r="D1160" s="4"/>
      <c r="E1160" s="4"/>
      <c r="F1160" s="4"/>
    </row>
    <row r="1161" spans="2:6" x14ac:dyDescent="0.3">
      <c r="B1161" s="4"/>
      <c r="C1161" s="4"/>
      <c r="D1161" s="4"/>
      <c r="E1161" s="4"/>
      <c r="F1161" s="4"/>
    </row>
    <row r="1162" spans="2:6" x14ac:dyDescent="0.3">
      <c r="B1162" s="4"/>
      <c r="C1162" s="4"/>
      <c r="D1162" s="4"/>
      <c r="E1162" s="4"/>
      <c r="F1162" s="4"/>
    </row>
    <row r="1163" spans="2:6" x14ac:dyDescent="0.3">
      <c r="B1163" s="4"/>
      <c r="C1163" s="4"/>
      <c r="D1163" s="4"/>
      <c r="E1163" s="4"/>
      <c r="F1163" s="4"/>
    </row>
    <row r="1164" spans="2:6" x14ac:dyDescent="0.3">
      <c r="B1164" s="4"/>
      <c r="C1164" s="4"/>
      <c r="D1164" s="4"/>
      <c r="E1164" s="4"/>
      <c r="F1164" s="4"/>
    </row>
    <row r="1165" spans="2:6" x14ac:dyDescent="0.3">
      <c r="B1165" s="4"/>
      <c r="C1165" s="4"/>
      <c r="D1165" s="4"/>
      <c r="E1165" s="4"/>
      <c r="F1165" s="4"/>
    </row>
    <row r="1166" spans="2:6" x14ac:dyDescent="0.3">
      <c r="B1166" s="4"/>
      <c r="C1166" s="4"/>
      <c r="D1166" s="4"/>
      <c r="E1166" s="4"/>
      <c r="F1166" s="4"/>
    </row>
    <row r="1167" spans="2:6" x14ac:dyDescent="0.3">
      <c r="B1167" s="4"/>
      <c r="C1167" s="4"/>
      <c r="D1167" s="4"/>
      <c r="E1167" s="4"/>
      <c r="F1167" s="4"/>
    </row>
    <row r="1168" spans="2:6" x14ac:dyDescent="0.3">
      <c r="B1168" s="4"/>
      <c r="C1168" s="4"/>
      <c r="D1168" s="4"/>
      <c r="E1168" s="4"/>
      <c r="F1168" s="4"/>
    </row>
    <row r="1169" spans="2:6" x14ac:dyDescent="0.3">
      <c r="B1169" s="4"/>
      <c r="C1169" s="4"/>
      <c r="D1169" s="4"/>
      <c r="E1169" s="4"/>
      <c r="F1169" s="4"/>
    </row>
    <row r="1170" spans="2:6" x14ac:dyDescent="0.3">
      <c r="B1170" s="4"/>
      <c r="C1170" s="4"/>
      <c r="D1170" s="4"/>
      <c r="E1170" s="4"/>
      <c r="F1170" s="4"/>
    </row>
    <row r="1171" spans="2:6" x14ac:dyDescent="0.3">
      <c r="B1171" s="4"/>
      <c r="C1171" s="4"/>
      <c r="D1171" s="4"/>
      <c r="E1171" s="4"/>
      <c r="F1171" s="4"/>
    </row>
    <row r="1172" spans="2:6" x14ac:dyDescent="0.3">
      <c r="B1172" s="4"/>
      <c r="C1172" s="4"/>
      <c r="D1172" s="4"/>
      <c r="E1172" s="4"/>
      <c r="F1172" s="4"/>
    </row>
    <row r="1173" spans="2:6" x14ac:dyDescent="0.3">
      <c r="B1173" s="4"/>
      <c r="C1173" s="4"/>
      <c r="D1173" s="4"/>
      <c r="E1173" s="4"/>
      <c r="F1173" s="4"/>
    </row>
    <row r="1174" spans="2:6" x14ac:dyDescent="0.3">
      <c r="B1174" s="4"/>
      <c r="C1174" s="4"/>
      <c r="D1174" s="4"/>
      <c r="E1174" s="4"/>
      <c r="F1174" s="4"/>
    </row>
    <row r="1175" spans="2:6" x14ac:dyDescent="0.3">
      <c r="B1175" s="4"/>
      <c r="C1175" s="4"/>
      <c r="D1175" s="4"/>
      <c r="E1175" s="4"/>
      <c r="F1175" s="4"/>
    </row>
    <row r="1176" spans="2:6" x14ac:dyDescent="0.3">
      <c r="B1176" s="4"/>
      <c r="C1176" s="4"/>
      <c r="D1176" s="4"/>
      <c r="E1176" s="4"/>
      <c r="F1176" s="4"/>
    </row>
    <row r="1177" spans="2:6" x14ac:dyDescent="0.3">
      <c r="B1177" s="4"/>
      <c r="C1177" s="4"/>
      <c r="D1177" s="4"/>
      <c r="E1177" s="4"/>
      <c r="F1177" s="4"/>
    </row>
    <row r="1178" spans="2:6" x14ac:dyDescent="0.3">
      <c r="B1178" s="4"/>
      <c r="C1178" s="4"/>
      <c r="D1178" s="4"/>
      <c r="E1178" s="4"/>
      <c r="F1178" s="4"/>
    </row>
    <row r="1179" spans="2:6" x14ac:dyDescent="0.3">
      <c r="B1179" s="4"/>
      <c r="C1179" s="4"/>
      <c r="D1179" s="4"/>
      <c r="E1179" s="4"/>
      <c r="F1179" s="4"/>
    </row>
    <row r="1180" spans="2:6" x14ac:dyDescent="0.3">
      <c r="B1180" s="4"/>
      <c r="C1180" s="4"/>
      <c r="D1180" s="4"/>
      <c r="E1180" s="4"/>
      <c r="F1180" s="4"/>
    </row>
    <row r="1181" spans="2:6" x14ac:dyDescent="0.3">
      <c r="B1181" s="4"/>
      <c r="C1181" s="4"/>
      <c r="D1181" s="4"/>
      <c r="E1181" s="4"/>
      <c r="F1181" s="4"/>
    </row>
    <row r="1182" spans="2:6" x14ac:dyDescent="0.3">
      <c r="B1182" s="4"/>
      <c r="C1182" s="4"/>
      <c r="D1182" s="4"/>
      <c r="E1182" s="4"/>
      <c r="F1182" s="4"/>
    </row>
    <row r="1183" spans="2:6" x14ac:dyDescent="0.3">
      <c r="B1183" s="4"/>
      <c r="C1183" s="4"/>
      <c r="D1183" s="4"/>
      <c r="E1183" s="4"/>
      <c r="F1183" s="4"/>
    </row>
    <row r="1184" spans="2:6" x14ac:dyDescent="0.3">
      <c r="B1184" s="4"/>
      <c r="C1184" s="4"/>
      <c r="D1184" s="4"/>
      <c r="E1184" s="4"/>
      <c r="F1184" s="4"/>
    </row>
    <row r="1185" spans="2:6" x14ac:dyDescent="0.3">
      <c r="B1185" s="4"/>
      <c r="C1185" s="4"/>
      <c r="D1185" s="4"/>
      <c r="E1185" s="4"/>
      <c r="F1185" s="4"/>
    </row>
    <row r="1186" spans="2:6" x14ac:dyDescent="0.3">
      <c r="B1186" s="4"/>
      <c r="C1186" s="4"/>
      <c r="D1186" s="4"/>
      <c r="E1186" s="4"/>
      <c r="F1186" s="4"/>
    </row>
    <row r="1187" spans="2:6" x14ac:dyDescent="0.3">
      <c r="B1187" s="4"/>
      <c r="C1187" s="4"/>
      <c r="D1187" s="4"/>
      <c r="E1187" s="4"/>
      <c r="F1187" s="4"/>
    </row>
    <row r="1188" spans="2:6" x14ac:dyDescent="0.3">
      <c r="B1188" s="4"/>
      <c r="C1188" s="4"/>
      <c r="D1188" s="4"/>
      <c r="E1188" s="4"/>
      <c r="F1188" s="4"/>
    </row>
    <row r="1189" spans="2:6" x14ac:dyDescent="0.3">
      <c r="B1189" s="4"/>
      <c r="C1189" s="4"/>
      <c r="D1189" s="4"/>
      <c r="E1189" s="4"/>
      <c r="F1189" s="4"/>
    </row>
    <row r="1190" spans="2:6" x14ac:dyDescent="0.3">
      <c r="B1190" s="4"/>
      <c r="C1190" s="4"/>
      <c r="D1190" s="4"/>
      <c r="E1190" s="4"/>
      <c r="F1190" s="4"/>
    </row>
    <row r="1191" spans="2:6" x14ac:dyDescent="0.3">
      <c r="B1191" s="4"/>
      <c r="C1191" s="4"/>
      <c r="D1191" s="4"/>
      <c r="E1191" s="4"/>
      <c r="F1191" s="4"/>
    </row>
    <row r="1192" spans="2:6" x14ac:dyDescent="0.3">
      <c r="B1192" s="4"/>
      <c r="C1192" s="4"/>
      <c r="D1192" s="4"/>
      <c r="E1192" s="4"/>
      <c r="F1192" s="4"/>
    </row>
    <row r="1193" spans="2:6" x14ac:dyDescent="0.3">
      <c r="B1193" s="4"/>
      <c r="C1193" s="4"/>
      <c r="D1193" s="4"/>
      <c r="E1193" s="4"/>
      <c r="F1193" s="4"/>
    </row>
    <row r="1194" spans="2:6" x14ac:dyDescent="0.3">
      <c r="B1194" s="4"/>
      <c r="C1194" s="4"/>
      <c r="D1194" s="4"/>
      <c r="E1194" s="4"/>
      <c r="F1194" s="4"/>
    </row>
    <row r="1195" spans="2:6" x14ac:dyDescent="0.3">
      <c r="B1195" s="4"/>
      <c r="C1195" s="4"/>
      <c r="D1195" s="4"/>
      <c r="E1195" s="4"/>
      <c r="F1195" s="4"/>
    </row>
    <row r="1196" spans="2:6" x14ac:dyDescent="0.3">
      <c r="B1196" s="4"/>
      <c r="C1196" s="4"/>
      <c r="D1196" s="4"/>
      <c r="E1196" s="4"/>
      <c r="F1196" s="4"/>
    </row>
    <row r="1197" spans="2:6" x14ac:dyDescent="0.3">
      <c r="B1197" s="4"/>
      <c r="C1197" s="4"/>
      <c r="D1197" s="4"/>
      <c r="E1197" s="4"/>
      <c r="F1197" s="4"/>
    </row>
    <row r="1198" spans="2:6" x14ac:dyDescent="0.3">
      <c r="B1198" s="4"/>
      <c r="C1198" s="4"/>
      <c r="D1198" s="4"/>
      <c r="E1198" s="4"/>
      <c r="F1198" s="4"/>
    </row>
    <row r="1199" spans="2:6" x14ac:dyDescent="0.3">
      <c r="B1199" s="4"/>
      <c r="C1199" s="4"/>
      <c r="D1199" s="4"/>
      <c r="E1199" s="4"/>
      <c r="F1199" s="4"/>
    </row>
    <row r="1200" spans="2:6" x14ac:dyDescent="0.3">
      <c r="B1200" s="4"/>
      <c r="C1200" s="4"/>
      <c r="D1200" s="4"/>
      <c r="E1200" s="4"/>
      <c r="F1200" s="4"/>
    </row>
    <row r="1201" spans="2:6" x14ac:dyDescent="0.3">
      <c r="B1201" s="4"/>
      <c r="C1201" s="4"/>
      <c r="D1201" s="4"/>
      <c r="E1201" s="4"/>
      <c r="F1201" s="4"/>
    </row>
    <row r="1202" spans="2:6" x14ac:dyDescent="0.3">
      <c r="B1202" s="4"/>
      <c r="C1202" s="4"/>
      <c r="D1202" s="4"/>
      <c r="E1202" s="4"/>
      <c r="F1202" s="4"/>
    </row>
    <row r="1203" spans="2:6" x14ac:dyDescent="0.3">
      <c r="B1203" s="4"/>
      <c r="C1203" s="4"/>
      <c r="D1203" s="4"/>
      <c r="E1203" s="4"/>
      <c r="F1203" s="4"/>
    </row>
    <row r="1204" spans="2:6" x14ac:dyDescent="0.3">
      <c r="B1204" s="4"/>
      <c r="C1204" s="4"/>
      <c r="D1204" s="4"/>
      <c r="E1204" s="4"/>
      <c r="F1204" s="4"/>
    </row>
    <row r="1205" spans="2:6" x14ac:dyDescent="0.3">
      <c r="B1205" s="4"/>
      <c r="C1205" s="4"/>
      <c r="D1205" s="4"/>
      <c r="E1205" s="4"/>
      <c r="F1205" s="4"/>
    </row>
    <row r="1206" spans="2:6" x14ac:dyDescent="0.3">
      <c r="B1206" s="4"/>
      <c r="C1206" s="4"/>
      <c r="D1206" s="4"/>
      <c r="E1206" s="4"/>
      <c r="F1206" s="4"/>
    </row>
    <row r="1207" spans="2:6" x14ac:dyDescent="0.3">
      <c r="B1207" s="4"/>
      <c r="C1207" s="4"/>
      <c r="D1207" s="4"/>
      <c r="E1207" s="4"/>
      <c r="F1207" s="4"/>
    </row>
    <row r="1208" spans="2:6" x14ac:dyDescent="0.3">
      <c r="B1208" s="4"/>
      <c r="C1208" s="4"/>
      <c r="D1208" s="4"/>
      <c r="E1208" s="4"/>
      <c r="F1208" s="4"/>
    </row>
    <row r="1209" spans="2:6" x14ac:dyDescent="0.3">
      <c r="B1209" s="4"/>
      <c r="C1209" s="4"/>
      <c r="D1209" s="4"/>
      <c r="E1209" s="4"/>
      <c r="F1209" s="4"/>
    </row>
    <row r="1210" spans="2:6" x14ac:dyDescent="0.3">
      <c r="B1210" s="4"/>
      <c r="C1210" s="4"/>
      <c r="D1210" s="4"/>
      <c r="E1210" s="4"/>
      <c r="F1210" s="4"/>
    </row>
    <row r="1211" spans="2:6" x14ac:dyDescent="0.3">
      <c r="B1211" s="4"/>
      <c r="C1211" s="4"/>
      <c r="D1211" s="4"/>
      <c r="E1211" s="4"/>
      <c r="F1211" s="4"/>
    </row>
    <row r="1212" spans="2:6" x14ac:dyDescent="0.3">
      <c r="B1212" s="4"/>
      <c r="C1212" s="4"/>
      <c r="D1212" s="4"/>
      <c r="E1212" s="4"/>
      <c r="F1212" s="4"/>
    </row>
    <row r="1213" spans="2:6" x14ac:dyDescent="0.3">
      <c r="B1213" s="4"/>
      <c r="C1213" s="4"/>
      <c r="D1213" s="4"/>
      <c r="E1213" s="4"/>
      <c r="F1213" s="4"/>
    </row>
    <row r="1214" spans="2:6" x14ac:dyDescent="0.3">
      <c r="B1214" s="4"/>
      <c r="C1214" s="4"/>
      <c r="D1214" s="4"/>
      <c r="E1214" s="4"/>
      <c r="F1214" s="4"/>
    </row>
    <row r="1215" spans="2:6" x14ac:dyDescent="0.3">
      <c r="B1215" s="4"/>
      <c r="C1215" s="4"/>
      <c r="D1215" s="4"/>
      <c r="E1215" s="4"/>
      <c r="F1215" s="4"/>
    </row>
    <row r="1216" spans="2:6" x14ac:dyDescent="0.3">
      <c r="B1216" s="4"/>
      <c r="C1216" s="4"/>
      <c r="D1216" s="4"/>
      <c r="E1216" s="4"/>
      <c r="F1216" s="4"/>
    </row>
    <row r="1217" spans="2:6" x14ac:dyDescent="0.3">
      <c r="B1217" s="4"/>
      <c r="C1217" s="4"/>
      <c r="D1217" s="4"/>
      <c r="E1217" s="4"/>
      <c r="F1217" s="4"/>
    </row>
    <row r="1218" spans="2:6" x14ac:dyDescent="0.3">
      <c r="B1218" s="4"/>
      <c r="C1218" s="4"/>
      <c r="D1218" s="4"/>
      <c r="E1218" s="4"/>
      <c r="F1218" s="4"/>
    </row>
    <row r="1219" spans="2:6" x14ac:dyDescent="0.3">
      <c r="B1219" s="4"/>
      <c r="C1219" s="4"/>
      <c r="D1219" s="4"/>
      <c r="E1219" s="4"/>
      <c r="F1219" s="4"/>
    </row>
    <row r="1220" spans="2:6" x14ac:dyDescent="0.3">
      <c r="B1220" s="4"/>
      <c r="C1220" s="4"/>
      <c r="D1220" s="4"/>
      <c r="E1220" s="4"/>
      <c r="F1220" s="4"/>
    </row>
    <row r="1221" spans="2:6" x14ac:dyDescent="0.3">
      <c r="B1221" s="4"/>
      <c r="C1221" s="4"/>
      <c r="D1221" s="4"/>
      <c r="E1221" s="4"/>
      <c r="F1221" s="4"/>
    </row>
    <row r="1222" spans="2:6" x14ac:dyDescent="0.3">
      <c r="B1222" s="4"/>
      <c r="C1222" s="4"/>
      <c r="D1222" s="4"/>
      <c r="E1222" s="4"/>
      <c r="F1222" s="4"/>
    </row>
    <row r="1223" spans="2:6" x14ac:dyDescent="0.3">
      <c r="B1223" s="4"/>
      <c r="C1223" s="4"/>
      <c r="D1223" s="4"/>
      <c r="E1223" s="4"/>
      <c r="F1223" s="4"/>
    </row>
    <row r="1224" spans="2:6" x14ac:dyDescent="0.3">
      <c r="B1224" s="4"/>
      <c r="C1224" s="4"/>
      <c r="D1224" s="4"/>
      <c r="E1224" s="4"/>
      <c r="F1224" s="4"/>
    </row>
    <row r="1225" spans="2:6" x14ac:dyDescent="0.3">
      <c r="B1225" s="4"/>
      <c r="C1225" s="4"/>
      <c r="D1225" s="4"/>
      <c r="E1225" s="4"/>
      <c r="F1225" s="4"/>
    </row>
    <row r="1226" spans="2:6" x14ac:dyDescent="0.3">
      <c r="B1226" s="4"/>
      <c r="C1226" s="4"/>
      <c r="D1226" s="4"/>
      <c r="E1226" s="4"/>
      <c r="F1226" s="4"/>
    </row>
    <row r="1227" spans="2:6" x14ac:dyDescent="0.3">
      <c r="B1227" s="4"/>
      <c r="C1227" s="4"/>
      <c r="D1227" s="4"/>
      <c r="E1227" s="4"/>
      <c r="F1227" s="4"/>
    </row>
    <row r="1228" spans="2:6" x14ac:dyDescent="0.3">
      <c r="B1228" s="4"/>
      <c r="C1228" s="4"/>
      <c r="D1228" s="4"/>
      <c r="E1228" s="4"/>
      <c r="F1228" s="4"/>
    </row>
    <row r="1229" spans="2:6" x14ac:dyDescent="0.3">
      <c r="B1229" s="4"/>
      <c r="C1229" s="4"/>
      <c r="D1229" s="4"/>
      <c r="E1229" s="4"/>
      <c r="F1229" s="4"/>
    </row>
    <row r="1230" spans="2:6" x14ac:dyDescent="0.3">
      <c r="B1230" s="4"/>
      <c r="C1230" s="4"/>
      <c r="D1230" s="4"/>
      <c r="E1230" s="4"/>
      <c r="F1230" s="4"/>
    </row>
    <row r="1231" spans="2:6" x14ac:dyDescent="0.3">
      <c r="B1231" s="4"/>
      <c r="C1231" s="4"/>
      <c r="D1231" s="4"/>
      <c r="E1231" s="4"/>
      <c r="F1231" s="4"/>
    </row>
    <row r="1232" spans="2:6" x14ac:dyDescent="0.3">
      <c r="B1232" s="4"/>
      <c r="C1232" s="4"/>
      <c r="D1232" s="4"/>
      <c r="E1232" s="4"/>
      <c r="F1232" s="4"/>
    </row>
    <row r="1233" spans="2:6" x14ac:dyDescent="0.3">
      <c r="B1233" s="4"/>
      <c r="C1233" s="4"/>
      <c r="D1233" s="4"/>
      <c r="E1233" s="4"/>
      <c r="F1233" s="4"/>
    </row>
    <row r="1234" spans="2:6" x14ac:dyDescent="0.3">
      <c r="B1234" s="4"/>
      <c r="C1234" s="4"/>
      <c r="D1234" s="4"/>
      <c r="E1234" s="4"/>
      <c r="F1234" s="4"/>
    </row>
    <row r="1235" spans="2:6" x14ac:dyDescent="0.3">
      <c r="B1235" s="4"/>
      <c r="C1235" s="4"/>
      <c r="D1235" s="4"/>
      <c r="E1235" s="4"/>
      <c r="F1235" s="4"/>
    </row>
    <row r="1236" spans="2:6" x14ac:dyDescent="0.3">
      <c r="B1236" s="4"/>
      <c r="C1236" s="4"/>
      <c r="D1236" s="4"/>
      <c r="E1236" s="4"/>
      <c r="F1236" s="4"/>
    </row>
    <row r="1237" spans="2:6" x14ac:dyDescent="0.3">
      <c r="B1237" s="4"/>
      <c r="C1237" s="4"/>
      <c r="D1237" s="4"/>
      <c r="E1237" s="4"/>
      <c r="F1237" s="4"/>
    </row>
    <row r="1238" spans="2:6" x14ac:dyDescent="0.3">
      <c r="B1238" s="4"/>
      <c r="C1238" s="4"/>
      <c r="D1238" s="4"/>
      <c r="E1238" s="4"/>
      <c r="F1238" s="4"/>
    </row>
    <row r="1239" spans="2:6" x14ac:dyDescent="0.3">
      <c r="B1239" s="4"/>
      <c r="C1239" s="4"/>
      <c r="D1239" s="4"/>
      <c r="E1239" s="4"/>
      <c r="F1239" s="4"/>
    </row>
    <row r="1240" spans="2:6" x14ac:dyDescent="0.3">
      <c r="B1240" s="4"/>
      <c r="C1240" s="4"/>
      <c r="D1240" s="4"/>
      <c r="E1240" s="4"/>
      <c r="F1240" s="4"/>
    </row>
    <row r="1241" spans="2:6" x14ac:dyDescent="0.3">
      <c r="B1241" s="4"/>
      <c r="C1241" s="4"/>
      <c r="D1241" s="4"/>
      <c r="E1241" s="4"/>
      <c r="F1241" s="4"/>
    </row>
    <row r="1242" spans="2:6" x14ac:dyDescent="0.3">
      <c r="B1242" s="4"/>
      <c r="C1242" s="4"/>
      <c r="D1242" s="4"/>
      <c r="E1242" s="4"/>
      <c r="F1242" s="4"/>
    </row>
    <row r="1243" spans="2:6" x14ac:dyDescent="0.3">
      <c r="B1243" s="4"/>
      <c r="C1243" s="4"/>
      <c r="D1243" s="4"/>
      <c r="E1243" s="4"/>
      <c r="F1243" s="4"/>
    </row>
    <row r="1244" spans="2:6" x14ac:dyDescent="0.3">
      <c r="B1244" s="4"/>
      <c r="C1244" s="4"/>
      <c r="D1244" s="4"/>
      <c r="E1244" s="4"/>
      <c r="F1244" s="4"/>
    </row>
    <row r="1245" spans="2:6" x14ac:dyDescent="0.3">
      <c r="B1245" s="4"/>
      <c r="C1245" s="4"/>
      <c r="D1245" s="4"/>
      <c r="E1245" s="4"/>
      <c r="F1245" s="4"/>
    </row>
    <row r="1246" spans="2:6" x14ac:dyDescent="0.3">
      <c r="B1246" s="4"/>
      <c r="C1246" s="4"/>
      <c r="D1246" s="4"/>
      <c r="E1246" s="4"/>
      <c r="F1246" s="4"/>
    </row>
    <row r="1247" spans="2:6" x14ac:dyDescent="0.3">
      <c r="B1247" s="4"/>
      <c r="C1247" s="4"/>
      <c r="D1247" s="4"/>
      <c r="E1247" s="4"/>
      <c r="F1247" s="4"/>
    </row>
    <row r="1248" spans="2:6" x14ac:dyDescent="0.3">
      <c r="B1248" s="4"/>
      <c r="C1248" s="4"/>
      <c r="D1248" s="4"/>
      <c r="E1248" s="4"/>
      <c r="F1248" s="4"/>
    </row>
    <row r="1249" spans="2:6" x14ac:dyDescent="0.3">
      <c r="B1249" s="4"/>
      <c r="C1249" s="4"/>
      <c r="D1249" s="4"/>
      <c r="E1249" s="4"/>
      <c r="F1249" s="4"/>
    </row>
    <row r="1250" spans="2:6" x14ac:dyDescent="0.3">
      <c r="B1250" s="4"/>
      <c r="C1250" s="4"/>
      <c r="D1250" s="4"/>
      <c r="E1250" s="4"/>
      <c r="F1250" s="4"/>
    </row>
    <row r="1251" spans="2:6" x14ac:dyDescent="0.3">
      <c r="B1251" s="4"/>
      <c r="C1251" s="4"/>
      <c r="D1251" s="4"/>
      <c r="E1251" s="4"/>
      <c r="F1251" s="4"/>
    </row>
    <row r="1252" spans="2:6" x14ac:dyDescent="0.3">
      <c r="B1252" s="4"/>
      <c r="C1252" s="4"/>
      <c r="D1252" s="4"/>
      <c r="E1252" s="4"/>
      <c r="F1252" s="4"/>
    </row>
    <row r="1253" spans="2:6" x14ac:dyDescent="0.3">
      <c r="B1253" s="4"/>
      <c r="C1253" s="4"/>
      <c r="D1253" s="4"/>
      <c r="E1253" s="4"/>
      <c r="F1253" s="4"/>
    </row>
    <row r="1254" spans="2:6" x14ac:dyDescent="0.3">
      <c r="B1254" s="4"/>
      <c r="C1254" s="4"/>
      <c r="D1254" s="4"/>
      <c r="E1254" s="4"/>
      <c r="F1254" s="4"/>
    </row>
    <row r="1255" spans="2:6" x14ac:dyDescent="0.3">
      <c r="B1255" s="4"/>
      <c r="C1255" s="4"/>
      <c r="D1255" s="4"/>
      <c r="E1255" s="4"/>
      <c r="F1255" s="4"/>
    </row>
    <row r="1256" spans="2:6" x14ac:dyDescent="0.3">
      <c r="B1256" s="4"/>
      <c r="C1256" s="4"/>
      <c r="D1256" s="4"/>
      <c r="E1256" s="4"/>
      <c r="F1256" s="4"/>
    </row>
    <row r="1257" spans="2:6" x14ac:dyDescent="0.3">
      <c r="B1257" s="4"/>
      <c r="C1257" s="4"/>
      <c r="D1257" s="4"/>
      <c r="E1257" s="4"/>
      <c r="F1257" s="4"/>
    </row>
    <row r="1258" spans="2:6" x14ac:dyDescent="0.3">
      <c r="B1258" s="4"/>
      <c r="C1258" s="4"/>
      <c r="D1258" s="4"/>
      <c r="E1258" s="4"/>
      <c r="F1258" s="4"/>
    </row>
    <row r="1259" spans="2:6" x14ac:dyDescent="0.3">
      <c r="B1259" s="4"/>
      <c r="C1259" s="4"/>
      <c r="D1259" s="4"/>
      <c r="E1259" s="4"/>
      <c r="F1259" s="4"/>
    </row>
    <row r="1260" spans="2:6" x14ac:dyDescent="0.3">
      <c r="B1260" s="4"/>
      <c r="C1260" s="4"/>
      <c r="D1260" s="4"/>
      <c r="E1260" s="4"/>
      <c r="F1260" s="4"/>
    </row>
    <row r="1261" spans="2:6" x14ac:dyDescent="0.3">
      <c r="B1261" s="4"/>
      <c r="C1261" s="4"/>
      <c r="D1261" s="4"/>
      <c r="E1261" s="4"/>
      <c r="F1261" s="4"/>
    </row>
    <row r="1262" spans="2:6" x14ac:dyDescent="0.3">
      <c r="B1262" s="4"/>
      <c r="C1262" s="4"/>
      <c r="D1262" s="4"/>
      <c r="E1262" s="4"/>
      <c r="F1262" s="4"/>
    </row>
    <row r="1263" spans="2:6" x14ac:dyDescent="0.3">
      <c r="B1263" s="4"/>
      <c r="C1263" s="4"/>
      <c r="D1263" s="4"/>
      <c r="E1263" s="4"/>
      <c r="F1263" s="4"/>
    </row>
    <row r="1264" spans="2:6" x14ac:dyDescent="0.3">
      <c r="B1264" s="4"/>
      <c r="C1264" s="4"/>
      <c r="D1264" s="4"/>
      <c r="E1264" s="4"/>
      <c r="F1264" s="4"/>
    </row>
    <row r="1265" spans="2:6" x14ac:dyDescent="0.3">
      <c r="B1265" s="4"/>
      <c r="C1265" s="4"/>
      <c r="D1265" s="4"/>
      <c r="E1265" s="4"/>
      <c r="F1265" s="4"/>
    </row>
    <row r="1266" spans="2:6" x14ac:dyDescent="0.3">
      <c r="B1266" s="4"/>
      <c r="C1266" s="4"/>
      <c r="D1266" s="4"/>
      <c r="E1266" s="4"/>
      <c r="F1266" s="4"/>
    </row>
    <row r="1267" spans="2:6" x14ac:dyDescent="0.3">
      <c r="B1267" s="4"/>
      <c r="C1267" s="4"/>
      <c r="D1267" s="4"/>
      <c r="E1267" s="4"/>
      <c r="F1267" s="4"/>
    </row>
    <row r="1268" spans="2:6" x14ac:dyDescent="0.3">
      <c r="B1268" s="4"/>
      <c r="C1268" s="4"/>
      <c r="D1268" s="4"/>
      <c r="E1268" s="4"/>
      <c r="F1268" s="4"/>
    </row>
    <row r="1269" spans="2:6" x14ac:dyDescent="0.3">
      <c r="B1269" s="4"/>
      <c r="C1269" s="4"/>
      <c r="D1269" s="4"/>
      <c r="E1269" s="4"/>
      <c r="F1269" s="4"/>
    </row>
    <row r="1270" spans="2:6" x14ac:dyDescent="0.3">
      <c r="B1270" s="4"/>
      <c r="C1270" s="4"/>
      <c r="D1270" s="4"/>
      <c r="E1270" s="4"/>
      <c r="F1270" s="4"/>
    </row>
    <row r="1271" spans="2:6" x14ac:dyDescent="0.3">
      <c r="B1271" s="4"/>
      <c r="C1271" s="4"/>
      <c r="D1271" s="4"/>
      <c r="E1271" s="4"/>
      <c r="F1271" s="4"/>
    </row>
    <row r="1272" spans="2:6" x14ac:dyDescent="0.3">
      <c r="B1272" s="4"/>
      <c r="C1272" s="4"/>
      <c r="D1272" s="4"/>
      <c r="E1272" s="4"/>
      <c r="F1272" s="4"/>
    </row>
    <row r="1273" spans="2:6" x14ac:dyDescent="0.3">
      <c r="B1273" s="4"/>
      <c r="C1273" s="4"/>
      <c r="D1273" s="4"/>
      <c r="E1273" s="4"/>
      <c r="F1273" s="4"/>
    </row>
    <row r="1274" spans="2:6" x14ac:dyDescent="0.3">
      <c r="B1274" s="4"/>
      <c r="C1274" s="4"/>
      <c r="D1274" s="4"/>
      <c r="E1274" s="4"/>
      <c r="F1274" s="4"/>
    </row>
    <row r="1275" spans="2:6" x14ac:dyDescent="0.3">
      <c r="B1275" s="4"/>
      <c r="C1275" s="4"/>
      <c r="D1275" s="4"/>
      <c r="E1275" s="4"/>
      <c r="F1275" s="4"/>
    </row>
    <row r="1276" spans="2:6" x14ac:dyDescent="0.3">
      <c r="B1276" s="4"/>
      <c r="C1276" s="4"/>
      <c r="D1276" s="4"/>
      <c r="E1276" s="4"/>
      <c r="F1276" s="4"/>
    </row>
    <row r="1277" spans="2:6" x14ac:dyDescent="0.3">
      <c r="B1277" s="4"/>
      <c r="C1277" s="4"/>
      <c r="D1277" s="4"/>
      <c r="E1277" s="4"/>
      <c r="F1277" s="4"/>
    </row>
    <row r="1278" spans="2:6" x14ac:dyDescent="0.3">
      <c r="B1278" s="4"/>
      <c r="C1278" s="4"/>
      <c r="D1278" s="4"/>
      <c r="E1278" s="4"/>
      <c r="F1278" s="4"/>
    </row>
    <row r="1279" spans="2:6" x14ac:dyDescent="0.3">
      <c r="B1279" s="4"/>
      <c r="C1279" s="4"/>
      <c r="D1279" s="4"/>
      <c r="E1279" s="4"/>
      <c r="F1279" s="4"/>
    </row>
    <row r="1280" spans="2:6" x14ac:dyDescent="0.3">
      <c r="B1280" s="4"/>
      <c r="C1280" s="4"/>
      <c r="D1280" s="4"/>
      <c r="E1280" s="4"/>
      <c r="F1280" s="4"/>
    </row>
    <row r="1281" spans="2:6" x14ac:dyDescent="0.3">
      <c r="B1281" s="4"/>
      <c r="C1281" s="4"/>
      <c r="D1281" s="4"/>
      <c r="E1281" s="4"/>
      <c r="F1281" s="4"/>
    </row>
    <row r="1282" spans="2:6" x14ac:dyDescent="0.3">
      <c r="B1282" s="4"/>
      <c r="C1282" s="4"/>
      <c r="D1282" s="4"/>
      <c r="E1282" s="4"/>
      <c r="F1282" s="4"/>
    </row>
    <row r="1283" spans="2:6" x14ac:dyDescent="0.3">
      <c r="B1283" s="4"/>
      <c r="C1283" s="4"/>
      <c r="D1283" s="4"/>
      <c r="E1283" s="4"/>
      <c r="F1283" s="4"/>
    </row>
    <row r="1284" spans="2:6" x14ac:dyDescent="0.3">
      <c r="B1284" s="4"/>
      <c r="C1284" s="4"/>
      <c r="D1284" s="4"/>
      <c r="E1284" s="4"/>
      <c r="F1284" s="4"/>
    </row>
    <row r="1285" spans="2:6" x14ac:dyDescent="0.3">
      <c r="B1285" s="4"/>
      <c r="C1285" s="4"/>
      <c r="D1285" s="4"/>
      <c r="E1285" s="4"/>
      <c r="F1285" s="4"/>
    </row>
    <row r="1286" spans="2:6" x14ac:dyDescent="0.3">
      <c r="B1286" s="4"/>
      <c r="C1286" s="4"/>
      <c r="D1286" s="4"/>
      <c r="E1286" s="4"/>
      <c r="F1286" s="4"/>
    </row>
    <row r="1287" spans="2:6" x14ac:dyDescent="0.3">
      <c r="B1287" s="4"/>
      <c r="C1287" s="4"/>
      <c r="D1287" s="4"/>
      <c r="E1287" s="4"/>
      <c r="F1287" s="4"/>
    </row>
    <row r="1288" spans="2:6" x14ac:dyDescent="0.3">
      <c r="B1288" s="4"/>
      <c r="C1288" s="4"/>
      <c r="D1288" s="4"/>
      <c r="E1288" s="4"/>
      <c r="F1288" s="4"/>
    </row>
    <row r="1289" spans="2:6" x14ac:dyDescent="0.3">
      <c r="B1289" s="4"/>
      <c r="C1289" s="4"/>
      <c r="D1289" s="4"/>
      <c r="E1289" s="4"/>
      <c r="F1289" s="4"/>
    </row>
    <row r="1290" spans="2:6" x14ac:dyDescent="0.3">
      <c r="B1290" s="4"/>
      <c r="C1290" s="4"/>
      <c r="D1290" s="4"/>
      <c r="E1290" s="4"/>
      <c r="F1290" s="4"/>
    </row>
    <row r="1291" spans="2:6" x14ac:dyDescent="0.3">
      <c r="B1291" s="4"/>
      <c r="C1291" s="4"/>
      <c r="D1291" s="4"/>
      <c r="E1291" s="4"/>
      <c r="F1291" s="4"/>
    </row>
    <row r="1292" spans="2:6" x14ac:dyDescent="0.3">
      <c r="B1292" s="4"/>
      <c r="C1292" s="4"/>
      <c r="D1292" s="4"/>
      <c r="E1292" s="4"/>
      <c r="F1292" s="4"/>
    </row>
    <row r="1293" spans="2:6" x14ac:dyDescent="0.3">
      <c r="B1293" s="4"/>
      <c r="C1293" s="4"/>
      <c r="D1293" s="4"/>
      <c r="E1293" s="4"/>
      <c r="F1293" s="4"/>
    </row>
    <row r="1294" spans="2:6" x14ac:dyDescent="0.3">
      <c r="B1294" s="4"/>
      <c r="C1294" s="4"/>
      <c r="D1294" s="4"/>
      <c r="E1294" s="4"/>
      <c r="F1294" s="4"/>
    </row>
    <row r="1295" spans="2:6" x14ac:dyDescent="0.3">
      <c r="B1295" s="4"/>
      <c r="C1295" s="4"/>
      <c r="D1295" s="4"/>
      <c r="E1295" s="4"/>
      <c r="F1295" s="4"/>
    </row>
    <row r="1296" spans="2:6" x14ac:dyDescent="0.3">
      <c r="B1296" s="4"/>
      <c r="C1296" s="4"/>
      <c r="D1296" s="4"/>
      <c r="E1296" s="4"/>
      <c r="F1296" s="4"/>
    </row>
    <row r="1297" spans="2:6" x14ac:dyDescent="0.3">
      <c r="B1297" s="4"/>
      <c r="C1297" s="4"/>
      <c r="D1297" s="4"/>
      <c r="E1297" s="4"/>
      <c r="F1297" s="4"/>
    </row>
    <row r="1298" spans="2:6" x14ac:dyDescent="0.3">
      <c r="B1298" s="4"/>
      <c r="C1298" s="4"/>
      <c r="D1298" s="4"/>
      <c r="E1298" s="4"/>
      <c r="F1298" s="4"/>
    </row>
    <row r="1299" spans="2:6" x14ac:dyDescent="0.3">
      <c r="B1299" s="4"/>
      <c r="C1299" s="4"/>
      <c r="D1299" s="4"/>
      <c r="E1299" s="4"/>
      <c r="F1299" s="4"/>
    </row>
    <row r="1300" spans="2:6" x14ac:dyDescent="0.3">
      <c r="B1300" s="4"/>
      <c r="C1300" s="4"/>
      <c r="D1300" s="4"/>
      <c r="E1300" s="4"/>
      <c r="F1300" s="4"/>
    </row>
    <row r="1301" spans="2:6" x14ac:dyDescent="0.3">
      <c r="B1301" s="4"/>
      <c r="C1301" s="4"/>
      <c r="D1301" s="4"/>
      <c r="E1301" s="4"/>
      <c r="F1301" s="4"/>
    </row>
    <row r="1302" spans="2:6" x14ac:dyDescent="0.3">
      <c r="B1302" s="4"/>
      <c r="C1302" s="4"/>
      <c r="D1302" s="4"/>
      <c r="E1302" s="4"/>
      <c r="F1302" s="4"/>
    </row>
    <row r="1303" spans="2:6" x14ac:dyDescent="0.3">
      <c r="B1303" s="4"/>
      <c r="C1303" s="4"/>
      <c r="D1303" s="4"/>
      <c r="E1303" s="4"/>
      <c r="F1303" s="4"/>
    </row>
    <row r="1304" spans="2:6" x14ac:dyDescent="0.3">
      <c r="B1304" s="4"/>
      <c r="C1304" s="4"/>
      <c r="D1304" s="4"/>
      <c r="E1304" s="4"/>
      <c r="F1304" s="4"/>
    </row>
    <row r="1305" spans="2:6" x14ac:dyDescent="0.3">
      <c r="B1305" s="4"/>
      <c r="C1305" s="4"/>
      <c r="D1305" s="4"/>
      <c r="E1305" s="4"/>
      <c r="F1305" s="4"/>
    </row>
    <row r="1306" spans="2:6" x14ac:dyDescent="0.3">
      <c r="B1306" s="4"/>
      <c r="C1306" s="4"/>
      <c r="D1306" s="4"/>
      <c r="E1306" s="4"/>
      <c r="F1306" s="4"/>
    </row>
    <row r="1307" spans="2:6" x14ac:dyDescent="0.3">
      <c r="B1307" s="4"/>
      <c r="C1307" s="4"/>
      <c r="D1307" s="4"/>
      <c r="E1307" s="4"/>
      <c r="F1307" s="4"/>
    </row>
    <row r="1308" spans="2:6" x14ac:dyDescent="0.3">
      <c r="B1308" s="4"/>
      <c r="C1308" s="4"/>
      <c r="D1308" s="4"/>
      <c r="E1308" s="4"/>
      <c r="F1308" s="4"/>
    </row>
    <row r="1309" spans="2:6" x14ac:dyDescent="0.3">
      <c r="B1309" s="4"/>
      <c r="C1309" s="4"/>
      <c r="D1309" s="4"/>
      <c r="E1309" s="4"/>
      <c r="F1309" s="4"/>
    </row>
    <row r="1310" spans="2:6" x14ac:dyDescent="0.3">
      <c r="B1310" s="4"/>
      <c r="C1310" s="4"/>
      <c r="D1310" s="4"/>
      <c r="E1310" s="4"/>
      <c r="F1310" s="4"/>
    </row>
    <row r="1311" spans="2:6" x14ac:dyDescent="0.3">
      <c r="B1311" s="4"/>
      <c r="C1311" s="4"/>
      <c r="D1311" s="4"/>
      <c r="E1311" s="4"/>
      <c r="F1311" s="4"/>
    </row>
    <row r="1312" spans="2:6" x14ac:dyDescent="0.3">
      <c r="B1312" s="4"/>
      <c r="C1312" s="4"/>
      <c r="D1312" s="4"/>
      <c r="E1312" s="4"/>
      <c r="F1312" s="4"/>
    </row>
    <row r="1313" spans="2:6" x14ac:dyDescent="0.3">
      <c r="B1313" s="4"/>
      <c r="C1313" s="4"/>
      <c r="D1313" s="4"/>
      <c r="E1313" s="4"/>
      <c r="F1313" s="4"/>
    </row>
    <row r="1314" spans="2:6" x14ac:dyDescent="0.3">
      <c r="B1314" s="4"/>
      <c r="C1314" s="4"/>
      <c r="D1314" s="4"/>
      <c r="E1314" s="4"/>
      <c r="F1314" s="4"/>
    </row>
    <row r="1315" spans="2:6" x14ac:dyDescent="0.3">
      <c r="B1315" s="4"/>
      <c r="C1315" s="4"/>
      <c r="D1315" s="4"/>
      <c r="E1315" s="4"/>
      <c r="F1315" s="4"/>
    </row>
    <row r="1316" spans="2:6" x14ac:dyDescent="0.3">
      <c r="B1316" s="4"/>
      <c r="C1316" s="4"/>
      <c r="D1316" s="4"/>
      <c r="E1316" s="4"/>
      <c r="F1316" s="4"/>
    </row>
    <row r="1317" spans="2:6" x14ac:dyDescent="0.3">
      <c r="B1317" s="4"/>
      <c r="C1317" s="4"/>
      <c r="D1317" s="4"/>
      <c r="E1317" s="4"/>
      <c r="F1317" s="4"/>
    </row>
    <row r="1318" spans="2:6" x14ac:dyDescent="0.3">
      <c r="B1318" s="4"/>
      <c r="C1318" s="4"/>
      <c r="D1318" s="4"/>
      <c r="E1318" s="4"/>
      <c r="F1318" s="4"/>
    </row>
    <row r="1319" spans="2:6" x14ac:dyDescent="0.3">
      <c r="B1319" s="4"/>
      <c r="C1319" s="4"/>
      <c r="D1319" s="4"/>
      <c r="E1319" s="4"/>
      <c r="F1319" s="4"/>
    </row>
    <row r="1320" spans="2:6" x14ac:dyDescent="0.3">
      <c r="B1320" s="4"/>
      <c r="C1320" s="4"/>
      <c r="D1320" s="4"/>
      <c r="E1320" s="4"/>
      <c r="F1320" s="4"/>
    </row>
    <row r="1321" spans="2:6" x14ac:dyDescent="0.3">
      <c r="B1321" s="4"/>
      <c r="C1321" s="4"/>
      <c r="D1321" s="4"/>
      <c r="E1321" s="4"/>
      <c r="F1321" s="4"/>
    </row>
    <row r="1322" spans="2:6" x14ac:dyDescent="0.3">
      <c r="B1322" s="4"/>
      <c r="C1322" s="4"/>
      <c r="D1322" s="4"/>
      <c r="E1322" s="4"/>
      <c r="F1322" s="4"/>
    </row>
    <row r="1323" spans="2:6" x14ac:dyDescent="0.3">
      <c r="B1323" s="4"/>
      <c r="C1323" s="4"/>
      <c r="D1323" s="4"/>
      <c r="E1323" s="4"/>
      <c r="F1323" s="4"/>
    </row>
    <row r="1324" spans="2:6" x14ac:dyDescent="0.3">
      <c r="B1324" s="4"/>
      <c r="C1324" s="4"/>
      <c r="D1324" s="4"/>
      <c r="E1324" s="4"/>
      <c r="F1324" s="4"/>
    </row>
    <row r="1325" spans="2:6" x14ac:dyDescent="0.3">
      <c r="B1325" s="4"/>
      <c r="C1325" s="4"/>
      <c r="D1325" s="4"/>
      <c r="E1325" s="4"/>
      <c r="F1325" s="4"/>
    </row>
    <row r="1326" spans="2:6" x14ac:dyDescent="0.3">
      <c r="B1326" s="4"/>
      <c r="C1326" s="4"/>
      <c r="D1326" s="4"/>
      <c r="E1326" s="4"/>
      <c r="F1326" s="4"/>
    </row>
    <row r="1327" spans="2:6" x14ac:dyDescent="0.3">
      <c r="B1327" s="4"/>
      <c r="C1327" s="4"/>
      <c r="D1327" s="4"/>
      <c r="E1327" s="4"/>
      <c r="F1327" s="4"/>
    </row>
    <row r="1328" spans="2:6" x14ac:dyDescent="0.3">
      <c r="B1328" s="4"/>
      <c r="C1328" s="4"/>
      <c r="D1328" s="4"/>
      <c r="E1328" s="4"/>
      <c r="F1328" s="4"/>
    </row>
    <row r="1329" spans="2:6" x14ac:dyDescent="0.3">
      <c r="B1329" s="4"/>
      <c r="C1329" s="4"/>
      <c r="D1329" s="4"/>
      <c r="E1329" s="4"/>
      <c r="F1329" s="4"/>
    </row>
    <row r="1330" spans="2:6" x14ac:dyDescent="0.3">
      <c r="B1330" s="4"/>
      <c r="C1330" s="4"/>
      <c r="D1330" s="4"/>
      <c r="E1330" s="4"/>
      <c r="F1330" s="4"/>
    </row>
    <row r="1331" spans="2:6" x14ac:dyDescent="0.3">
      <c r="B1331" s="4"/>
      <c r="C1331" s="4"/>
      <c r="D1331" s="4"/>
      <c r="E1331" s="4"/>
      <c r="F1331" s="4"/>
    </row>
    <row r="1332" spans="2:6" x14ac:dyDescent="0.3">
      <c r="B1332" s="4"/>
      <c r="C1332" s="4"/>
      <c r="D1332" s="4"/>
      <c r="E1332" s="4"/>
      <c r="F1332" s="4"/>
    </row>
    <row r="1333" spans="2:6" x14ac:dyDescent="0.3">
      <c r="B1333" s="4"/>
      <c r="C1333" s="4"/>
      <c r="D1333" s="4"/>
      <c r="E1333" s="4"/>
      <c r="F1333" s="4"/>
    </row>
    <row r="1334" spans="2:6" x14ac:dyDescent="0.3">
      <c r="B1334" s="4"/>
      <c r="C1334" s="4"/>
      <c r="D1334" s="4"/>
      <c r="E1334" s="4"/>
      <c r="F1334" s="4"/>
    </row>
    <row r="1335" spans="2:6" x14ac:dyDescent="0.3">
      <c r="B1335" s="4"/>
      <c r="C1335" s="4"/>
      <c r="D1335" s="4"/>
      <c r="E1335" s="4"/>
      <c r="F1335" s="4"/>
    </row>
    <row r="1336" spans="2:6" x14ac:dyDescent="0.3">
      <c r="B1336" s="4"/>
      <c r="C1336" s="4"/>
      <c r="D1336" s="4"/>
      <c r="E1336" s="4"/>
      <c r="F1336" s="4"/>
    </row>
    <row r="1337" spans="2:6" x14ac:dyDescent="0.3">
      <c r="B1337" s="4"/>
      <c r="C1337" s="4"/>
      <c r="D1337" s="4"/>
      <c r="E1337" s="4"/>
      <c r="F1337" s="4"/>
    </row>
    <row r="1338" spans="2:6" x14ac:dyDescent="0.3">
      <c r="B1338" s="4"/>
      <c r="C1338" s="4"/>
      <c r="D1338" s="4"/>
      <c r="E1338" s="4"/>
      <c r="F1338" s="4"/>
    </row>
    <row r="1339" spans="2:6" x14ac:dyDescent="0.3">
      <c r="B1339" s="4"/>
      <c r="C1339" s="4"/>
      <c r="D1339" s="4"/>
      <c r="E1339" s="4"/>
      <c r="F1339" s="4"/>
    </row>
    <row r="1340" spans="2:6" x14ac:dyDescent="0.3">
      <c r="B1340" s="4"/>
      <c r="C1340" s="4"/>
      <c r="D1340" s="4"/>
      <c r="E1340" s="4"/>
      <c r="F1340" s="4"/>
    </row>
    <row r="1341" spans="2:6" x14ac:dyDescent="0.3">
      <c r="B1341" s="4"/>
      <c r="C1341" s="4"/>
      <c r="D1341" s="4"/>
      <c r="E1341" s="4"/>
      <c r="F1341" s="4"/>
    </row>
    <row r="1342" spans="2:6" x14ac:dyDescent="0.3">
      <c r="B1342" s="4"/>
      <c r="C1342" s="4"/>
      <c r="D1342" s="4"/>
      <c r="E1342" s="4"/>
      <c r="F1342" s="4"/>
    </row>
    <row r="1343" spans="2:6" x14ac:dyDescent="0.3">
      <c r="B1343" s="4"/>
      <c r="C1343" s="4"/>
      <c r="D1343" s="4"/>
      <c r="E1343" s="4"/>
      <c r="F1343" s="4"/>
    </row>
    <row r="1344" spans="2:6" x14ac:dyDescent="0.3">
      <c r="B1344" s="4"/>
      <c r="C1344" s="4"/>
      <c r="D1344" s="4"/>
      <c r="E1344" s="4"/>
      <c r="F1344" s="4"/>
    </row>
    <row r="1345" spans="2:6" x14ac:dyDescent="0.3">
      <c r="B1345" s="4"/>
      <c r="C1345" s="4"/>
      <c r="D1345" s="4"/>
      <c r="E1345" s="4"/>
      <c r="F1345" s="4"/>
    </row>
    <row r="1346" spans="2:6" x14ac:dyDescent="0.3">
      <c r="B1346" s="4"/>
      <c r="C1346" s="4"/>
      <c r="D1346" s="4"/>
      <c r="E1346" s="4"/>
      <c r="F1346" s="4"/>
    </row>
    <row r="1347" spans="2:6" x14ac:dyDescent="0.3">
      <c r="B1347" s="4"/>
      <c r="C1347" s="4"/>
      <c r="D1347" s="4"/>
      <c r="E1347" s="4"/>
      <c r="F1347" s="4"/>
    </row>
    <row r="1348" spans="2:6" x14ac:dyDescent="0.3">
      <c r="B1348" s="4"/>
      <c r="C1348" s="4"/>
      <c r="D1348" s="4"/>
      <c r="E1348" s="4"/>
      <c r="F1348" s="4"/>
    </row>
    <row r="1349" spans="2:6" x14ac:dyDescent="0.3">
      <c r="B1349" s="4"/>
      <c r="C1349" s="4"/>
      <c r="D1349" s="4"/>
      <c r="E1349" s="4"/>
      <c r="F1349" s="4"/>
    </row>
    <row r="1350" spans="2:6" x14ac:dyDescent="0.3">
      <c r="B1350" s="4"/>
      <c r="C1350" s="4"/>
      <c r="D1350" s="4"/>
      <c r="E1350" s="4"/>
      <c r="F1350" s="4"/>
    </row>
    <row r="1351" spans="2:6" x14ac:dyDescent="0.3">
      <c r="B1351" s="4"/>
      <c r="C1351" s="4"/>
      <c r="D1351" s="4"/>
      <c r="E1351" s="4"/>
      <c r="F1351" s="4"/>
    </row>
    <row r="1352" spans="2:6" x14ac:dyDescent="0.3">
      <c r="B1352" s="4"/>
      <c r="C1352" s="4"/>
      <c r="D1352" s="4"/>
      <c r="E1352" s="4"/>
      <c r="F1352" s="4"/>
    </row>
    <row r="1353" spans="2:6" x14ac:dyDescent="0.3">
      <c r="B1353" s="4"/>
      <c r="C1353" s="4"/>
      <c r="D1353" s="4"/>
      <c r="E1353" s="4"/>
      <c r="F1353" s="4"/>
    </row>
    <row r="1354" spans="2:6" x14ac:dyDescent="0.3">
      <c r="B1354" s="4"/>
      <c r="C1354" s="4"/>
      <c r="D1354" s="4"/>
      <c r="E1354" s="4"/>
      <c r="F1354" s="4"/>
    </row>
    <row r="1355" spans="2:6" x14ac:dyDescent="0.3">
      <c r="B1355" s="4"/>
      <c r="C1355" s="4"/>
      <c r="D1355" s="4"/>
      <c r="E1355" s="4"/>
      <c r="F1355" s="4"/>
    </row>
    <row r="1356" spans="2:6" x14ac:dyDescent="0.3">
      <c r="B1356" s="4"/>
      <c r="C1356" s="4"/>
      <c r="D1356" s="4"/>
      <c r="E1356" s="4"/>
      <c r="F1356" s="4"/>
    </row>
    <row r="1357" spans="2:6" x14ac:dyDescent="0.3">
      <c r="B1357" s="4"/>
      <c r="C1357" s="4"/>
      <c r="D1357" s="4"/>
      <c r="E1357" s="4"/>
      <c r="F1357" s="4"/>
    </row>
    <row r="1358" spans="2:6" x14ac:dyDescent="0.3">
      <c r="B1358" s="4"/>
      <c r="C1358" s="4"/>
      <c r="D1358" s="4"/>
      <c r="E1358" s="4"/>
      <c r="F1358" s="4"/>
    </row>
    <row r="1359" spans="2:6" x14ac:dyDescent="0.3">
      <c r="B1359" s="4"/>
      <c r="C1359" s="4"/>
      <c r="D1359" s="4"/>
      <c r="E1359" s="4"/>
      <c r="F1359" s="4"/>
    </row>
    <row r="1360" spans="2:6" x14ac:dyDescent="0.3">
      <c r="B1360" s="4"/>
      <c r="C1360" s="4"/>
      <c r="D1360" s="4"/>
      <c r="E1360" s="4"/>
      <c r="F1360" s="4"/>
    </row>
    <row r="1361" spans="2:6" x14ac:dyDescent="0.3">
      <c r="B1361" s="4"/>
      <c r="C1361" s="4"/>
      <c r="D1361" s="4"/>
      <c r="E1361" s="4"/>
      <c r="F1361" s="4"/>
    </row>
    <row r="1362" spans="2:6" x14ac:dyDescent="0.3">
      <c r="B1362" s="4"/>
      <c r="C1362" s="4"/>
      <c r="D1362" s="4"/>
      <c r="E1362" s="4"/>
      <c r="F1362" s="4"/>
    </row>
    <row r="1363" spans="2:6" x14ac:dyDescent="0.3">
      <c r="B1363" s="4"/>
      <c r="C1363" s="4"/>
      <c r="D1363" s="4"/>
      <c r="E1363" s="4"/>
      <c r="F1363" s="4"/>
    </row>
    <row r="1364" spans="2:6" x14ac:dyDescent="0.3">
      <c r="B1364" s="4"/>
      <c r="C1364" s="4"/>
      <c r="D1364" s="4"/>
      <c r="E1364" s="4"/>
      <c r="F1364" s="4"/>
    </row>
    <row r="1365" spans="2:6" x14ac:dyDescent="0.3">
      <c r="B1365" s="4"/>
      <c r="C1365" s="4"/>
      <c r="D1365" s="4"/>
      <c r="E1365" s="4"/>
      <c r="F1365" s="4"/>
    </row>
    <row r="1366" spans="2:6" x14ac:dyDescent="0.3">
      <c r="B1366" s="4"/>
      <c r="C1366" s="4"/>
      <c r="D1366" s="4"/>
      <c r="E1366" s="4"/>
      <c r="F1366" s="4"/>
    </row>
    <row r="1367" spans="2:6" x14ac:dyDescent="0.3">
      <c r="B1367" s="4"/>
      <c r="C1367" s="4"/>
      <c r="D1367" s="4"/>
      <c r="E1367" s="4"/>
      <c r="F1367" s="4"/>
    </row>
    <row r="1368" spans="2:6" x14ac:dyDescent="0.3">
      <c r="B1368" s="4"/>
      <c r="C1368" s="4"/>
      <c r="D1368" s="4"/>
      <c r="E1368" s="4"/>
      <c r="F1368" s="4"/>
    </row>
    <row r="1369" spans="2:6" x14ac:dyDescent="0.3">
      <c r="B1369" s="4"/>
      <c r="C1369" s="4"/>
      <c r="D1369" s="4"/>
      <c r="E1369" s="4"/>
      <c r="F1369" s="4"/>
    </row>
    <row r="1370" spans="2:6" x14ac:dyDescent="0.3">
      <c r="B1370" s="4"/>
      <c r="C1370" s="4"/>
      <c r="D1370" s="4"/>
      <c r="E1370" s="4"/>
      <c r="F1370" s="4"/>
    </row>
    <row r="1371" spans="2:6" x14ac:dyDescent="0.3">
      <c r="B1371" s="4"/>
      <c r="C1371" s="4"/>
      <c r="D1371" s="4"/>
      <c r="E1371" s="4"/>
      <c r="F1371" s="4"/>
    </row>
    <row r="1372" spans="2:6" x14ac:dyDescent="0.3">
      <c r="B1372" s="4"/>
      <c r="C1372" s="4"/>
      <c r="D1372" s="4"/>
      <c r="E1372" s="4"/>
      <c r="F1372" s="4"/>
    </row>
    <row r="1373" spans="2:6" x14ac:dyDescent="0.3">
      <c r="B1373" s="4"/>
      <c r="C1373" s="4"/>
      <c r="D1373" s="4"/>
      <c r="E1373" s="4"/>
      <c r="F1373" s="4"/>
    </row>
    <row r="1374" spans="2:6" x14ac:dyDescent="0.3">
      <c r="B1374" s="4"/>
      <c r="C1374" s="4"/>
      <c r="D1374" s="4"/>
      <c r="E1374" s="4"/>
      <c r="F1374" s="4"/>
    </row>
    <row r="1375" spans="2:6" x14ac:dyDescent="0.3">
      <c r="B1375" s="4"/>
      <c r="C1375" s="4"/>
      <c r="D1375" s="4"/>
      <c r="E1375" s="4"/>
      <c r="F1375" s="4"/>
    </row>
    <row r="1376" spans="2:6" x14ac:dyDescent="0.3">
      <c r="B1376" s="4"/>
      <c r="C1376" s="4"/>
      <c r="D1376" s="4"/>
      <c r="E1376" s="4"/>
      <c r="F1376" s="4"/>
    </row>
    <row r="1377" spans="2:6" x14ac:dyDescent="0.3">
      <c r="B1377" s="4"/>
      <c r="C1377" s="4"/>
      <c r="D1377" s="4"/>
      <c r="E1377" s="4"/>
      <c r="F1377" s="4"/>
    </row>
    <row r="1378" spans="2:6" x14ac:dyDescent="0.3">
      <c r="B1378" s="4"/>
      <c r="C1378" s="4"/>
      <c r="D1378" s="4"/>
      <c r="E1378" s="4"/>
      <c r="F1378" s="4"/>
    </row>
    <row r="1379" spans="2:6" x14ac:dyDescent="0.3">
      <c r="B1379" s="4"/>
      <c r="C1379" s="4"/>
      <c r="D1379" s="4"/>
      <c r="E1379" s="4"/>
      <c r="F1379" s="4"/>
    </row>
    <row r="1380" spans="2:6" x14ac:dyDescent="0.3">
      <c r="B1380" s="4"/>
      <c r="C1380" s="4"/>
      <c r="D1380" s="4"/>
      <c r="E1380" s="4"/>
      <c r="F1380" s="4"/>
    </row>
    <row r="1381" spans="2:6" x14ac:dyDescent="0.3">
      <c r="B1381" s="4"/>
      <c r="C1381" s="4"/>
      <c r="D1381" s="4"/>
      <c r="E1381" s="4"/>
      <c r="F1381" s="4"/>
    </row>
    <row r="1382" spans="2:6" x14ac:dyDescent="0.3">
      <c r="B1382" s="4"/>
      <c r="C1382" s="4"/>
      <c r="D1382" s="4"/>
      <c r="E1382" s="4"/>
      <c r="F1382" s="4"/>
    </row>
    <row r="1383" spans="2:6" x14ac:dyDescent="0.3">
      <c r="B1383" s="4"/>
      <c r="C1383" s="4"/>
      <c r="D1383" s="4"/>
      <c r="E1383" s="4"/>
      <c r="F1383" s="4"/>
    </row>
    <row r="1384" spans="2:6" x14ac:dyDescent="0.3">
      <c r="B1384" s="4"/>
      <c r="C1384" s="4"/>
      <c r="D1384" s="4"/>
      <c r="E1384" s="4"/>
      <c r="F1384" s="4"/>
    </row>
    <row r="1385" spans="2:6" x14ac:dyDescent="0.3">
      <c r="B1385" s="4"/>
      <c r="C1385" s="4"/>
      <c r="D1385" s="4"/>
      <c r="E1385" s="4"/>
      <c r="F1385" s="4"/>
    </row>
    <row r="1386" spans="2:6" x14ac:dyDescent="0.3">
      <c r="B1386" s="4"/>
      <c r="C1386" s="4"/>
      <c r="D1386" s="4"/>
      <c r="E1386" s="4"/>
      <c r="F1386" s="4"/>
    </row>
    <row r="1387" spans="2:6" x14ac:dyDescent="0.3">
      <c r="B1387" s="4"/>
      <c r="C1387" s="4"/>
      <c r="D1387" s="4"/>
      <c r="E1387" s="4"/>
      <c r="F1387" s="4"/>
    </row>
    <row r="1388" spans="2:6" x14ac:dyDescent="0.3">
      <c r="B1388" s="4"/>
      <c r="C1388" s="4"/>
      <c r="D1388" s="4"/>
      <c r="E1388" s="4"/>
      <c r="F1388" s="4"/>
    </row>
    <row r="1389" spans="2:6" x14ac:dyDescent="0.3">
      <c r="B1389" s="4"/>
      <c r="C1389" s="4"/>
      <c r="D1389" s="4"/>
      <c r="E1389" s="4"/>
      <c r="F1389" s="4"/>
    </row>
    <row r="1390" spans="2:6" x14ac:dyDescent="0.3">
      <c r="B1390" s="4"/>
      <c r="C1390" s="4"/>
      <c r="D1390" s="4"/>
      <c r="E1390" s="4"/>
      <c r="F1390" s="4"/>
    </row>
    <row r="1391" spans="2:6" x14ac:dyDescent="0.3">
      <c r="B1391" s="4"/>
      <c r="C1391" s="4"/>
      <c r="D1391" s="4"/>
      <c r="E1391" s="4"/>
      <c r="F1391" s="4"/>
    </row>
    <row r="1392" spans="2:6" x14ac:dyDescent="0.3">
      <c r="B1392" s="4"/>
      <c r="C1392" s="4"/>
      <c r="D1392" s="4"/>
      <c r="E1392" s="4"/>
      <c r="F1392" s="4"/>
    </row>
    <row r="1393" spans="2:6" x14ac:dyDescent="0.3">
      <c r="B1393" s="4"/>
      <c r="C1393" s="4"/>
      <c r="D1393" s="4"/>
      <c r="E1393" s="4"/>
      <c r="F1393" s="4"/>
    </row>
    <row r="1394" spans="2:6" x14ac:dyDescent="0.3">
      <c r="B1394" s="4"/>
      <c r="C1394" s="4"/>
      <c r="D1394" s="4"/>
      <c r="E1394" s="4"/>
      <c r="F1394" s="4"/>
    </row>
    <row r="1395" spans="2:6" x14ac:dyDescent="0.3">
      <c r="B1395" s="4"/>
      <c r="C1395" s="4"/>
      <c r="D1395" s="4"/>
      <c r="E1395" s="4"/>
      <c r="F1395" s="4"/>
    </row>
    <row r="1396" spans="2:6" x14ac:dyDescent="0.3">
      <c r="B1396" s="4"/>
      <c r="C1396" s="4"/>
      <c r="D1396" s="4"/>
      <c r="E1396" s="4"/>
      <c r="F1396" s="4"/>
    </row>
    <row r="1397" spans="2:6" x14ac:dyDescent="0.3">
      <c r="B1397" s="4"/>
      <c r="C1397" s="4"/>
      <c r="D1397" s="4"/>
      <c r="E1397" s="4"/>
      <c r="F1397" s="4"/>
    </row>
    <row r="1398" spans="2:6" x14ac:dyDescent="0.3">
      <c r="B1398" s="4"/>
      <c r="C1398" s="4"/>
      <c r="D1398" s="4"/>
      <c r="E1398" s="4"/>
      <c r="F1398" s="4"/>
    </row>
    <row r="1399" spans="2:6" x14ac:dyDescent="0.3">
      <c r="B1399" s="4"/>
      <c r="C1399" s="4"/>
      <c r="D1399" s="4"/>
      <c r="E1399" s="4"/>
      <c r="F1399" s="4"/>
    </row>
    <row r="1400" spans="2:6" x14ac:dyDescent="0.3">
      <c r="B1400" s="4"/>
      <c r="C1400" s="4"/>
      <c r="D1400" s="4"/>
      <c r="E1400" s="4"/>
      <c r="F1400" s="4"/>
    </row>
    <row r="1401" spans="2:6" x14ac:dyDescent="0.3">
      <c r="B1401" s="4"/>
      <c r="C1401" s="4"/>
      <c r="D1401" s="4"/>
      <c r="E1401" s="4"/>
      <c r="F1401" s="4"/>
    </row>
    <row r="1402" spans="2:6" x14ac:dyDescent="0.3">
      <c r="B1402" s="4"/>
      <c r="C1402" s="4"/>
      <c r="D1402" s="4"/>
      <c r="E1402" s="4"/>
      <c r="F1402" s="4"/>
    </row>
    <row r="1403" spans="2:6" x14ac:dyDescent="0.3">
      <c r="B1403" s="4"/>
      <c r="C1403" s="4"/>
      <c r="D1403" s="4"/>
      <c r="E1403" s="4"/>
      <c r="F1403" s="4"/>
    </row>
    <row r="1404" spans="2:6" x14ac:dyDescent="0.3">
      <c r="B1404" s="4"/>
      <c r="C1404" s="4"/>
      <c r="D1404" s="4"/>
      <c r="E1404" s="4"/>
      <c r="F1404" s="4"/>
    </row>
    <row r="1405" spans="2:6" x14ac:dyDescent="0.3">
      <c r="B1405" s="4"/>
      <c r="C1405" s="4"/>
      <c r="D1405" s="4"/>
      <c r="E1405" s="4"/>
      <c r="F1405" s="4"/>
    </row>
    <row r="1406" spans="2:6" x14ac:dyDescent="0.3">
      <c r="B1406" s="4"/>
      <c r="C1406" s="4"/>
      <c r="D1406" s="4"/>
      <c r="E1406" s="4"/>
      <c r="F1406" s="4"/>
    </row>
    <row r="1407" spans="2:6" x14ac:dyDescent="0.3">
      <c r="B1407" s="4"/>
      <c r="C1407" s="4"/>
      <c r="D1407" s="4"/>
      <c r="E1407" s="4"/>
      <c r="F1407" s="4"/>
    </row>
    <row r="1408" spans="2:6" x14ac:dyDescent="0.3">
      <c r="B1408" s="4"/>
      <c r="C1408" s="4"/>
      <c r="D1408" s="4"/>
      <c r="E1408" s="4"/>
      <c r="F1408" s="4"/>
    </row>
    <row r="1409" spans="2:6" x14ac:dyDescent="0.3">
      <c r="B1409" s="4"/>
      <c r="C1409" s="4"/>
      <c r="D1409" s="4"/>
      <c r="E1409" s="4"/>
      <c r="F1409" s="4"/>
    </row>
    <row r="1410" spans="2:6" x14ac:dyDescent="0.3">
      <c r="B1410" s="4"/>
      <c r="C1410" s="4"/>
      <c r="D1410" s="4"/>
      <c r="E1410" s="4"/>
      <c r="F1410" s="4"/>
    </row>
    <row r="1411" spans="2:6" x14ac:dyDescent="0.3">
      <c r="B1411" s="4"/>
      <c r="C1411" s="4"/>
      <c r="D1411" s="4"/>
      <c r="E1411" s="4"/>
      <c r="F1411" s="4"/>
    </row>
    <row r="1412" spans="2:6" x14ac:dyDescent="0.3">
      <c r="B1412" s="4"/>
      <c r="C1412" s="4"/>
      <c r="D1412" s="4"/>
      <c r="E1412" s="4"/>
      <c r="F1412" s="4"/>
    </row>
    <row r="1413" spans="2:6" x14ac:dyDescent="0.3">
      <c r="B1413" s="4"/>
      <c r="C1413" s="4"/>
      <c r="D1413" s="4"/>
      <c r="E1413" s="4"/>
      <c r="F1413" s="4"/>
    </row>
    <row r="1414" spans="2:6" x14ac:dyDescent="0.3">
      <c r="B1414" s="4"/>
      <c r="C1414" s="4"/>
      <c r="D1414" s="4"/>
      <c r="E1414" s="4"/>
      <c r="F1414" s="4"/>
    </row>
    <row r="1415" spans="2:6" x14ac:dyDescent="0.3">
      <c r="B1415" s="4"/>
      <c r="C1415" s="4"/>
      <c r="D1415" s="4"/>
      <c r="E1415" s="4"/>
      <c r="F1415" s="4"/>
    </row>
    <row r="1416" spans="2:6" x14ac:dyDescent="0.3">
      <c r="B1416" s="4"/>
      <c r="C1416" s="4"/>
      <c r="D1416" s="4"/>
      <c r="E1416" s="4"/>
      <c r="F1416" s="4"/>
    </row>
    <row r="1417" spans="2:6" x14ac:dyDescent="0.3">
      <c r="B1417" s="4"/>
      <c r="C1417" s="4"/>
      <c r="D1417" s="4"/>
      <c r="E1417" s="4"/>
      <c r="F1417" s="4"/>
    </row>
    <row r="1418" spans="2:6" x14ac:dyDescent="0.3">
      <c r="B1418" s="4"/>
      <c r="C1418" s="4"/>
      <c r="D1418" s="4"/>
      <c r="E1418" s="4"/>
      <c r="F1418" s="4"/>
    </row>
    <row r="1419" spans="2:6" x14ac:dyDescent="0.3">
      <c r="B1419" s="4"/>
      <c r="C1419" s="4"/>
      <c r="D1419" s="4"/>
      <c r="E1419" s="4"/>
      <c r="F1419" s="4"/>
    </row>
    <row r="1420" spans="2:6" x14ac:dyDescent="0.3">
      <c r="B1420" s="4"/>
      <c r="C1420" s="4"/>
      <c r="D1420" s="4"/>
      <c r="E1420" s="4"/>
      <c r="F1420" s="4"/>
    </row>
    <row r="1421" spans="2:6" x14ac:dyDescent="0.3">
      <c r="B1421" s="4"/>
      <c r="C1421" s="4"/>
      <c r="D1421" s="4"/>
      <c r="E1421" s="4"/>
      <c r="F1421" s="4"/>
    </row>
    <row r="1422" spans="2:6" x14ac:dyDescent="0.3">
      <c r="B1422" s="4"/>
      <c r="C1422" s="4"/>
      <c r="D1422" s="4"/>
      <c r="E1422" s="4"/>
      <c r="F1422" s="4"/>
    </row>
    <row r="1423" spans="2:6" x14ac:dyDescent="0.3">
      <c r="B1423" s="4"/>
      <c r="C1423" s="4"/>
      <c r="D1423" s="4"/>
      <c r="E1423" s="4"/>
      <c r="F1423" s="4"/>
    </row>
    <row r="1424" spans="2:6" x14ac:dyDescent="0.3">
      <c r="B1424" s="4"/>
      <c r="C1424" s="4"/>
      <c r="D1424" s="4"/>
      <c r="E1424" s="4"/>
      <c r="F1424" s="4"/>
    </row>
    <row r="1425" spans="2:6" x14ac:dyDescent="0.3">
      <c r="B1425" s="4"/>
      <c r="C1425" s="4"/>
      <c r="D1425" s="4"/>
      <c r="E1425" s="4"/>
      <c r="F1425" s="4"/>
    </row>
    <row r="1426" spans="2:6" x14ac:dyDescent="0.3">
      <c r="B1426" s="4"/>
      <c r="C1426" s="4"/>
      <c r="D1426" s="4"/>
      <c r="E1426" s="4"/>
      <c r="F1426" s="4"/>
    </row>
    <row r="1427" spans="2:6" x14ac:dyDescent="0.3">
      <c r="B1427" s="4"/>
      <c r="C1427" s="4"/>
      <c r="D1427" s="4"/>
      <c r="E1427" s="4"/>
      <c r="F1427" s="4"/>
    </row>
    <row r="1428" spans="2:6" x14ac:dyDescent="0.3">
      <c r="B1428" s="4"/>
      <c r="C1428" s="4"/>
      <c r="D1428" s="4"/>
      <c r="E1428" s="4"/>
      <c r="F1428" s="4"/>
    </row>
    <row r="1429" spans="2:6" x14ac:dyDescent="0.3">
      <c r="B1429" s="4"/>
      <c r="C1429" s="4"/>
      <c r="D1429" s="4"/>
      <c r="E1429" s="4"/>
      <c r="F1429" s="4"/>
    </row>
    <row r="1430" spans="2:6" x14ac:dyDescent="0.3">
      <c r="B1430" s="4"/>
      <c r="C1430" s="4"/>
      <c r="D1430" s="4"/>
      <c r="E1430" s="4"/>
      <c r="F1430" s="4"/>
    </row>
    <row r="1431" spans="2:6" x14ac:dyDescent="0.3">
      <c r="B1431" s="4"/>
      <c r="C1431" s="4"/>
      <c r="D1431" s="4"/>
      <c r="E1431" s="4"/>
      <c r="F1431" s="4"/>
    </row>
    <row r="1432" spans="2:6" x14ac:dyDescent="0.3">
      <c r="B1432" s="4"/>
      <c r="C1432" s="4"/>
      <c r="D1432" s="4"/>
      <c r="E1432" s="4"/>
      <c r="F1432" s="4"/>
    </row>
    <row r="1433" spans="2:6" x14ac:dyDescent="0.3">
      <c r="B1433" s="4"/>
      <c r="C1433" s="4"/>
      <c r="D1433" s="4"/>
      <c r="E1433" s="4"/>
      <c r="F1433" s="4"/>
    </row>
    <row r="1434" spans="2:6" x14ac:dyDescent="0.3">
      <c r="B1434" s="4"/>
      <c r="C1434" s="4"/>
      <c r="D1434" s="4"/>
      <c r="E1434" s="4"/>
      <c r="F1434" s="4"/>
    </row>
    <row r="1435" spans="2:6" x14ac:dyDescent="0.3">
      <c r="B1435" s="4"/>
      <c r="C1435" s="4"/>
      <c r="D1435" s="4"/>
      <c r="E1435" s="4"/>
      <c r="F1435" s="4"/>
    </row>
    <row r="1436" spans="2:6" x14ac:dyDescent="0.3">
      <c r="B1436" s="4"/>
      <c r="C1436" s="4"/>
      <c r="D1436" s="4"/>
      <c r="E1436" s="4"/>
      <c r="F1436" s="4"/>
    </row>
    <row r="1437" spans="2:6" x14ac:dyDescent="0.3">
      <c r="B1437" s="4"/>
      <c r="C1437" s="4"/>
      <c r="D1437" s="4"/>
      <c r="E1437" s="4"/>
      <c r="F1437" s="4"/>
    </row>
    <row r="1438" spans="2:6" x14ac:dyDescent="0.3">
      <c r="B1438" s="4"/>
      <c r="C1438" s="4"/>
      <c r="D1438" s="4"/>
      <c r="E1438" s="4"/>
      <c r="F1438" s="4"/>
    </row>
    <row r="1439" spans="2:6" x14ac:dyDescent="0.3">
      <c r="B1439" s="4"/>
      <c r="C1439" s="4"/>
      <c r="D1439" s="4"/>
      <c r="E1439" s="4"/>
      <c r="F1439" s="4"/>
    </row>
    <row r="1440" spans="2:6" x14ac:dyDescent="0.3">
      <c r="B1440" s="4"/>
      <c r="C1440" s="4"/>
      <c r="D1440" s="4"/>
      <c r="E1440" s="4"/>
      <c r="F1440" s="4"/>
    </row>
    <row r="1441" spans="2:6" x14ac:dyDescent="0.3">
      <c r="B1441" s="4"/>
      <c r="C1441" s="4"/>
      <c r="D1441" s="4"/>
      <c r="E1441" s="4"/>
      <c r="F1441" s="4"/>
    </row>
    <row r="1442" spans="2:6" x14ac:dyDescent="0.3">
      <c r="B1442" s="4"/>
      <c r="C1442" s="4"/>
      <c r="D1442" s="4"/>
      <c r="E1442" s="4"/>
      <c r="F1442" s="4"/>
    </row>
    <row r="1443" spans="2:6" x14ac:dyDescent="0.3">
      <c r="B1443" s="4"/>
      <c r="C1443" s="4"/>
      <c r="D1443" s="4"/>
      <c r="E1443" s="4"/>
      <c r="F1443" s="4"/>
    </row>
    <row r="1444" spans="2:6" x14ac:dyDescent="0.3">
      <c r="B1444" s="4"/>
      <c r="C1444" s="4"/>
      <c r="D1444" s="4"/>
      <c r="E1444" s="4"/>
      <c r="F1444" s="4"/>
    </row>
    <row r="1445" spans="2:6" x14ac:dyDescent="0.3">
      <c r="B1445" s="4"/>
      <c r="C1445" s="4"/>
      <c r="D1445" s="4"/>
      <c r="E1445" s="4"/>
      <c r="F1445" s="4"/>
    </row>
    <row r="1446" spans="2:6" x14ac:dyDescent="0.3">
      <c r="B1446" s="4"/>
      <c r="C1446" s="4"/>
      <c r="D1446" s="4"/>
      <c r="E1446" s="4"/>
      <c r="F1446" s="4"/>
    </row>
    <row r="1447" spans="2:6" x14ac:dyDescent="0.3">
      <c r="B1447" s="4"/>
      <c r="C1447" s="4"/>
      <c r="D1447" s="4"/>
      <c r="E1447" s="4"/>
      <c r="F1447" s="4"/>
    </row>
    <row r="1448" spans="2:6" x14ac:dyDescent="0.3">
      <c r="B1448" s="4"/>
      <c r="C1448" s="4"/>
      <c r="D1448" s="4"/>
      <c r="E1448" s="4"/>
      <c r="F1448" s="4"/>
    </row>
    <row r="1449" spans="2:6" x14ac:dyDescent="0.3">
      <c r="B1449" s="4"/>
      <c r="C1449" s="4"/>
      <c r="D1449" s="4"/>
      <c r="E1449" s="4"/>
      <c r="F1449" s="4"/>
    </row>
    <row r="1450" spans="2:6" x14ac:dyDescent="0.3">
      <c r="B1450" s="4"/>
      <c r="C1450" s="4"/>
      <c r="D1450" s="4"/>
      <c r="E1450" s="4"/>
      <c r="F1450" s="4"/>
    </row>
    <row r="1451" spans="2:6" x14ac:dyDescent="0.3">
      <c r="B1451" s="4"/>
      <c r="C1451" s="4"/>
      <c r="D1451" s="4"/>
      <c r="E1451" s="4"/>
      <c r="F1451" s="4"/>
    </row>
    <row r="1452" spans="2:6" x14ac:dyDescent="0.3">
      <c r="B1452" s="4"/>
      <c r="C1452" s="4"/>
      <c r="D1452" s="4"/>
      <c r="E1452" s="4"/>
      <c r="F1452" s="4"/>
    </row>
    <row r="1453" spans="2:6" x14ac:dyDescent="0.3">
      <c r="B1453" s="4"/>
      <c r="C1453" s="4"/>
      <c r="D1453" s="4"/>
      <c r="E1453" s="4"/>
      <c r="F1453" s="4"/>
    </row>
    <row r="1454" spans="2:6" x14ac:dyDescent="0.3">
      <c r="B1454" s="4"/>
      <c r="C1454" s="4"/>
      <c r="D1454" s="4"/>
      <c r="E1454" s="4"/>
      <c r="F1454" s="4"/>
    </row>
    <row r="1455" spans="2:6" x14ac:dyDescent="0.3">
      <c r="B1455" s="4"/>
      <c r="C1455" s="4"/>
      <c r="D1455" s="4"/>
      <c r="E1455" s="4"/>
      <c r="F1455" s="4"/>
    </row>
    <row r="1456" spans="2:6" x14ac:dyDescent="0.3">
      <c r="B1456" s="4"/>
      <c r="C1456" s="4"/>
      <c r="D1456" s="4"/>
      <c r="E1456" s="4"/>
      <c r="F1456" s="4"/>
    </row>
    <row r="1457" spans="2:6" x14ac:dyDescent="0.3">
      <c r="B1457" s="4"/>
      <c r="C1457" s="4"/>
      <c r="D1457" s="4"/>
      <c r="E1457" s="4"/>
      <c r="F1457" s="4"/>
    </row>
    <row r="1458" spans="2:6" x14ac:dyDescent="0.3">
      <c r="B1458" s="4"/>
      <c r="C1458" s="4"/>
      <c r="D1458" s="4"/>
      <c r="E1458" s="4"/>
      <c r="F1458" s="4"/>
    </row>
    <row r="1459" spans="2:6" x14ac:dyDescent="0.3">
      <c r="B1459" s="4"/>
      <c r="C1459" s="4"/>
      <c r="D1459" s="4"/>
      <c r="E1459" s="4"/>
      <c r="F1459" s="4"/>
    </row>
    <row r="1460" spans="2:6" x14ac:dyDescent="0.3">
      <c r="B1460" s="4"/>
      <c r="C1460" s="4"/>
      <c r="D1460" s="4"/>
      <c r="E1460" s="4"/>
      <c r="F1460" s="4"/>
    </row>
    <row r="1461" spans="2:6" x14ac:dyDescent="0.3">
      <c r="B1461" s="4"/>
      <c r="C1461" s="4"/>
      <c r="D1461" s="4"/>
      <c r="E1461" s="4"/>
      <c r="F1461" s="4"/>
    </row>
    <row r="1462" spans="2:6" x14ac:dyDescent="0.3">
      <c r="B1462" s="4"/>
      <c r="C1462" s="4"/>
      <c r="D1462" s="4"/>
      <c r="E1462" s="4"/>
      <c r="F1462" s="4"/>
    </row>
    <row r="1463" spans="2:6" x14ac:dyDescent="0.3">
      <c r="B1463" s="4"/>
      <c r="C1463" s="4"/>
      <c r="D1463" s="4"/>
      <c r="E1463" s="4"/>
      <c r="F1463" s="4"/>
    </row>
    <row r="1464" spans="2:6" x14ac:dyDescent="0.3">
      <c r="B1464" s="4"/>
      <c r="C1464" s="4"/>
      <c r="D1464" s="4"/>
      <c r="E1464" s="4"/>
      <c r="F1464" s="4"/>
    </row>
    <row r="1465" spans="2:6" x14ac:dyDescent="0.3">
      <c r="B1465" s="4"/>
      <c r="C1465" s="4"/>
      <c r="D1465" s="4"/>
      <c r="E1465" s="4"/>
      <c r="F1465" s="4"/>
    </row>
    <row r="1466" spans="2:6" x14ac:dyDescent="0.3">
      <c r="B1466" s="4"/>
      <c r="C1466" s="4"/>
      <c r="D1466" s="4"/>
      <c r="E1466" s="4"/>
      <c r="F1466" s="4"/>
    </row>
    <row r="1467" spans="2:6" x14ac:dyDescent="0.3">
      <c r="B1467" s="4"/>
      <c r="C1467" s="4"/>
      <c r="D1467" s="4"/>
      <c r="E1467" s="4"/>
      <c r="F1467" s="4"/>
    </row>
    <row r="1468" spans="2:6" x14ac:dyDescent="0.3">
      <c r="B1468" s="4"/>
      <c r="C1468" s="4"/>
      <c r="D1468" s="4"/>
      <c r="E1468" s="4"/>
      <c r="F1468" s="4"/>
    </row>
    <row r="1469" spans="2:6" x14ac:dyDescent="0.3">
      <c r="B1469" s="4"/>
      <c r="C1469" s="4"/>
      <c r="D1469" s="4"/>
      <c r="E1469" s="4"/>
      <c r="F1469" s="4"/>
    </row>
    <row r="1470" spans="2:6" x14ac:dyDescent="0.3">
      <c r="B1470" s="4"/>
      <c r="C1470" s="4"/>
      <c r="D1470" s="4"/>
      <c r="E1470" s="4"/>
      <c r="F1470" s="4"/>
    </row>
    <row r="1471" spans="2:6" x14ac:dyDescent="0.3">
      <c r="B1471" s="4"/>
      <c r="C1471" s="4"/>
      <c r="D1471" s="4"/>
      <c r="E1471" s="4"/>
      <c r="F1471" s="4"/>
    </row>
    <row r="1472" spans="2:6" x14ac:dyDescent="0.3">
      <c r="B1472" s="4"/>
      <c r="C1472" s="4"/>
      <c r="D1472" s="4"/>
      <c r="E1472" s="4"/>
      <c r="F1472" s="4"/>
    </row>
    <row r="1473" spans="2:6" x14ac:dyDescent="0.3">
      <c r="B1473" s="4"/>
      <c r="C1473" s="4"/>
      <c r="D1473" s="4"/>
      <c r="E1473" s="4"/>
      <c r="F1473" s="4"/>
    </row>
    <row r="1474" spans="2:6" x14ac:dyDescent="0.3">
      <c r="B1474" s="4"/>
      <c r="C1474" s="4"/>
      <c r="D1474" s="4"/>
      <c r="E1474" s="4"/>
      <c r="F1474" s="4"/>
    </row>
    <row r="1475" spans="2:6" x14ac:dyDescent="0.3">
      <c r="B1475" s="4"/>
      <c r="C1475" s="4"/>
      <c r="D1475" s="4"/>
      <c r="E1475" s="4"/>
      <c r="F1475" s="4"/>
    </row>
    <row r="1476" spans="2:6" x14ac:dyDescent="0.3">
      <c r="B1476" s="4"/>
      <c r="C1476" s="4"/>
      <c r="D1476" s="4"/>
      <c r="E1476" s="4"/>
      <c r="F1476" s="4"/>
    </row>
    <row r="1477" spans="2:6" x14ac:dyDescent="0.3">
      <c r="B1477" s="4"/>
      <c r="C1477" s="4"/>
      <c r="D1477" s="4"/>
      <c r="E1477" s="4"/>
      <c r="F1477" s="4"/>
    </row>
    <row r="1478" spans="2:6" x14ac:dyDescent="0.3">
      <c r="B1478" s="4"/>
      <c r="C1478" s="4"/>
      <c r="D1478" s="4"/>
      <c r="E1478" s="4"/>
      <c r="F1478" s="4"/>
    </row>
    <row r="1479" spans="2:6" x14ac:dyDescent="0.3">
      <c r="B1479" s="4"/>
      <c r="C1479" s="4"/>
      <c r="D1479" s="4"/>
      <c r="E1479" s="4"/>
      <c r="F1479" s="4"/>
    </row>
    <row r="1480" spans="2:6" x14ac:dyDescent="0.3">
      <c r="B1480" s="4"/>
      <c r="C1480" s="4"/>
      <c r="D1480" s="4"/>
      <c r="E1480" s="4"/>
      <c r="F1480" s="4"/>
    </row>
    <row r="1481" spans="2:6" x14ac:dyDescent="0.3">
      <c r="B1481" s="4"/>
      <c r="C1481" s="4"/>
      <c r="D1481" s="4"/>
      <c r="E1481" s="4"/>
      <c r="F1481" s="4"/>
    </row>
    <row r="1482" spans="2:6" x14ac:dyDescent="0.3">
      <c r="B1482" s="4"/>
      <c r="C1482" s="4"/>
      <c r="D1482" s="4"/>
      <c r="E1482" s="4"/>
      <c r="F1482" s="4"/>
    </row>
    <row r="1483" spans="2:6" x14ac:dyDescent="0.3">
      <c r="B1483" s="4"/>
      <c r="C1483" s="4"/>
      <c r="D1483" s="4"/>
      <c r="E1483" s="4"/>
      <c r="F1483" s="4"/>
    </row>
    <row r="1484" spans="2:6" x14ac:dyDescent="0.3">
      <c r="B1484" s="4"/>
      <c r="C1484" s="4"/>
      <c r="D1484" s="4"/>
      <c r="E1484" s="4"/>
      <c r="F1484" s="4"/>
    </row>
    <row r="1485" spans="2:6" x14ac:dyDescent="0.3">
      <c r="B1485" s="4"/>
      <c r="C1485" s="4"/>
      <c r="D1485" s="4"/>
      <c r="E1485" s="4"/>
      <c r="F1485" s="4"/>
    </row>
    <row r="1486" spans="2:6" x14ac:dyDescent="0.3">
      <c r="B1486" s="4"/>
      <c r="C1486" s="4"/>
      <c r="D1486" s="4"/>
      <c r="E1486" s="4"/>
      <c r="F1486" s="4"/>
    </row>
    <row r="1487" spans="2:6" x14ac:dyDescent="0.3">
      <c r="B1487" s="4"/>
      <c r="C1487" s="4"/>
      <c r="D1487" s="4"/>
      <c r="E1487" s="4"/>
      <c r="F1487" s="4"/>
    </row>
    <row r="1488" spans="2:6" x14ac:dyDescent="0.3">
      <c r="B1488" s="4"/>
      <c r="C1488" s="4"/>
      <c r="D1488" s="4"/>
      <c r="E1488" s="4"/>
      <c r="F1488" s="4"/>
    </row>
    <row r="1489" spans="2:6" x14ac:dyDescent="0.3">
      <c r="B1489" s="4"/>
      <c r="C1489" s="4"/>
      <c r="D1489" s="4"/>
      <c r="E1489" s="4"/>
      <c r="F1489" s="4"/>
    </row>
    <row r="1490" spans="2:6" x14ac:dyDescent="0.3">
      <c r="B1490" s="4"/>
      <c r="C1490" s="4"/>
      <c r="D1490" s="4"/>
      <c r="E1490" s="4"/>
      <c r="F1490" s="4"/>
    </row>
    <row r="1491" spans="2:6" x14ac:dyDescent="0.3">
      <c r="B1491" s="4"/>
      <c r="C1491" s="4"/>
      <c r="D1491" s="4"/>
      <c r="E1491" s="4"/>
      <c r="F1491" s="4"/>
    </row>
    <row r="1492" spans="2:6" x14ac:dyDescent="0.3">
      <c r="B1492" s="4"/>
      <c r="C1492" s="4"/>
      <c r="D1492" s="4"/>
      <c r="E1492" s="4"/>
      <c r="F1492" s="4"/>
    </row>
    <row r="1493" spans="2:6" x14ac:dyDescent="0.3">
      <c r="B1493" s="4"/>
      <c r="C1493" s="4"/>
      <c r="D1493" s="4"/>
      <c r="E1493" s="4"/>
      <c r="F1493" s="4"/>
    </row>
    <row r="1494" spans="2:6" x14ac:dyDescent="0.3">
      <c r="B1494" s="4"/>
      <c r="C1494" s="4"/>
      <c r="D1494" s="4"/>
      <c r="E1494" s="4"/>
      <c r="F1494" s="4"/>
    </row>
    <row r="1495" spans="2:6" x14ac:dyDescent="0.3">
      <c r="B1495" s="4"/>
      <c r="C1495" s="4"/>
      <c r="D1495" s="4"/>
      <c r="E1495" s="4"/>
      <c r="F1495" s="4"/>
    </row>
    <row r="1496" spans="2:6" x14ac:dyDescent="0.3">
      <c r="B1496" s="4"/>
      <c r="C1496" s="4"/>
      <c r="D1496" s="4"/>
      <c r="E1496" s="4"/>
      <c r="F1496" s="4"/>
    </row>
    <row r="1497" spans="2:6" x14ac:dyDescent="0.3">
      <c r="B1497" s="4"/>
      <c r="C1497" s="4"/>
      <c r="D1497" s="4"/>
      <c r="E1497" s="4"/>
      <c r="F1497" s="4"/>
    </row>
    <row r="1498" spans="2:6" x14ac:dyDescent="0.3">
      <c r="B1498" s="4"/>
      <c r="C1498" s="4"/>
      <c r="D1498" s="4"/>
      <c r="E1498" s="4"/>
      <c r="F1498" s="4"/>
    </row>
    <row r="1499" spans="2:6" x14ac:dyDescent="0.3">
      <c r="B1499" s="4"/>
      <c r="C1499" s="4"/>
      <c r="D1499" s="4"/>
      <c r="E1499" s="4"/>
      <c r="F1499" s="4"/>
    </row>
    <row r="1500" spans="2:6" x14ac:dyDescent="0.3">
      <c r="B1500" s="4"/>
      <c r="C1500" s="4"/>
      <c r="D1500" s="4"/>
      <c r="E1500" s="4"/>
      <c r="F1500" s="4"/>
    </row>
    <row r="1501" spans="2:6" x14ac:dyDescent="0.3">
      <c r="B1501" s="4"/>
      <c r="C1501" s="4"/>
      <c r="D1501" s="4"/>
      <c r="E1501" s="4"/>
      <c r="F1501" s="4"/>
    </row>
    <row r="1502" spans="2:6" x14ac:dyDescent="0.3">
      <c r="B1502" s="4"/>
      <c r="C1502" s="4"/>
      <c r="D1502" s="4"/>
      <c r="E1502" s="4"/>
      <c r="F1502" s="4"/>
    </row>
    <row r="1503" spans="2:6" x14ac:dyDescent="0.3">
      <c r="B1503" s="4"/>
      <c r="C1503" s="4"/>
      <c r="D1503" s="4"/>
      <c r="E1503" s="4"/>
      <c r="F1503" s="4"/>
    </row>
    <row r="1504" spans="2:6" x14ac:dyDescent="0.3">
      <c r="B1504" s="4"/>
      <c r="C1504" s="4"/>
      <c r="D1504" s="4"/>
      <c r="E1504" s="4"/>
      <c r="F1504" s="4"/>
    </row>
    <row r="1505" spans="2:6" x14ac:dyDescent="0.3">
      <c r="B1505" s="4"/>
      <c r="C1505" s="4"/>
      <c r="D1505" s="4"/>
      <c r="E1505" s="4"/>
      <c r="F1505" s="4"/>
    </row>
    <row r="1506" spans="2:6" x14ac:dyDescent="0.3">
      <c r="B1506" s="4"/>
      <c r="C1506" s="4"/>
      <c r="D1506" s="4"/>
      <c r="E1506" s="4"/>
      <c r="F1506" s="4"/>
    </row>
    <row r="1507" spans="2:6" x14ac:dyDescent="0.3">
      <c r="B1507" s="4"/>
      <c r="C1507" s="4"/>
      <c r="D1507" s="4"/>
      <c r="E1507" s="4"/>
      <c r="F1507" s="4"/>
    </row>
    <row r="1508" spans="2:6" x14ac:dyDescent="0.3">
      <c r="B1508" s="4"/>
      <c r="C1508" s="4"/>
      <c r="D1508" s="4"/>
      <c r="E1508" s="4"/>
      <c r="F1508" s="4"/>
    </row>
    <row r="1509" spans="2:6" x14ac:dyDescent="0.3">
      <c r="B1509" s="4"/>
      <c r="C1509" s="4"/>
      <c r="D1509" s="4"/>
      <c r="E1509" s="4"/>
      <c r="F1509" s="4"/>
    </row>
    <row r="1510" spans="2:6" x14ac:dyDescent="0.3">
      <c r="B1510" s="4"/>
      <c r="C1510" s="4"/>
      <c r="D1510" s="4"/>
      <c r="E1510" s="4"/>
      <c r="F1510" s="4"/>
    </row>
    <row r="1511" spans="2:6" x14ac:dyDescent="0.3">
      <c r="B1511" s="4"/>
      <c r="C1511" s="4"/>
      <c r="D1511" s="4"/>
      <c r="E1511" s="4"/>
      <c r="F1511" s="4"/>
    </row>
    <row r="1512" spans="2:6" x14ac:dyDescent="0.3">
      <c r="B1512" s="4"/>
      <c r="C1512" s="4"/>
      <c r="D1512" s="4"/>
      <c r="E1512" s="4"/>
      <c r="F1512" s="4"/>
    </row>
    <row r="1513" spans="2:6" x14ac:dyDescent="0.3">
      <c r="B1513" s="4"/>
      <c r="C1513" s="4"/>
      <c r="D1513" s="4"/>
      <c r="E1513" s="4"/>
      <c r="F1513" s="4"/>
    </row>
    <row r="1514" spans="2:6" x14ac:dyDescent="0.3">
      <c r="B1514" s="4"/>
      <c r="C1514" s="4"/>
      <c r="D1514" s="4"/>
      <c r="E1514" s="4"/>
      <c r="F1514" s="4"/>
    </row>
    <row r="1515" spans="2:6" x14ac:dyDescent="0.3">
      <c r="B1515" s="4"/>
      <c r="C1515" s="4"/>
      <c r="D1515" s="4"/>
      <c r="E1515" s="4"/>
      <c r="F1515" s="4"/>
    </row>
    <row r="1516" spans="2:6" x14ac:dyDescent="0.3">
      <c r="B1516" s="4"/>
      <c r="C1516" s="4"/>
      <c r="D1516" s="4"/>
      <c r="E1516" s="4"/>
      <c r="F1516" s="4"/>
    </row>
    <row r="1517" spans="2:6" x14ac:dyDescent="0.3">
      <c r="B1517" s="4"/>
      <c r="C1517" s="4"/>
      <c r="D1517" s="4"/>
      <c r="E1517" s="4"/>
      <c r="F1517" s="4"/>
    </row>
    <row r="1518" spans="2:6" x14ac:dyDescent="0.3">
      <c r="B1518" s="4"/>
      <c r="C1518" s="4"/>
      <c r="D1518" s="4"/>
      <c r="E1518" s="4"/>
      <c r="F1518" s="4"/>
    </row>
    <row r="1519" spans="2:6" x14ac:dyDescent="0.3">
      <c r="B1519" s="4"/>
      <c r="C1519" s="4"/>
      <c r="D1519" s="4"/>
      <c r="E1519" s="4"/>
      <c r="F1519" s="4"/>
    </row>
    <row r="1520" spans="2:6" x14ac:dyDescent="0.3">
      <c r="B1520" s="4"/>
      <c r="C1520" s="4"/>
      <c r="D1520" s="4"/>
      <c r="E1520" s="4"/>
      <c r="F1520" s="4"/>
    </row>
    <row r="1521" spans="2:6" x14ac:dyDescent="0.3">
      <c r="B1521" s="4"/>
      <c r="C1521" s="4"/>
      <c r="D1521" s="4"/>
      <c r="E1521" s="4"/>
      <c r="F1521" s="4"/>
    </row>
    <row r="1522" spans="2:6" x14ac:dyDescent="0.3">
      <c r="B1522" s="4"/>
      <c r="C1522" s="4"/>
      <c r="D1522" s="4"/>
      <c r="E1522" s="4"/>
      <c r="F1522" s="4"/>
    </row>
    <row r="1523" spans="2:6" x14ac:dyDescent="0.3">
      <c r="B1523" s="4"/>
      <c r="C1523" s="4"/>
      <c r="D1523" s="4"/>
      <c r="E1523" s="4"/>
      <c r="F1523" s="4"/>
    </row>
    <row r="1524" spans="2:6" x14ac:dyDescent="0.3">
      <c r="B1524" s="4"/>
      <c r="C1524" s="4"/>
      <c r="D1524" s="4"/>
      <c r="E1524" s="4"/>
      <c r="F1524" s="4"/>
    </row>
    <row r="1525" spans="2:6" x14ac:dyDescent="0.3">
      <c r="B1525" s="4"/>
      <c r="C1525" s="4"/>
      <c r="D1525" s="4"/>
      <c r="E1525" s="4"/>
      <c r="F1525" s="4"/>
    </row>
    <row r="1526" spans="2:6" x14ac:dyDescent="0.3">
      <c r="B1526" s="4"/>
      <c r="C1526" s="4"/>
      <c r="D1526" s="4"/>
      <c r="E1526" s="4"/>
      <c r="F1526" s="4"/>
    </row>
    <row r="1527" spans="2:6" x14ac:dyDescent="0.3">
      <c r="B1527" s="4"/>
      <c r="C1527" s="4"/>
      <c r="D1527" s="4"/>
      <c r="E1527" s="4"/>
      <c r="F1527" s="4"/>
    </row>
    <row r="1528" spans="2:6" x14ac:dyDescent="0.3">
      <c r="B1528" s="4"/>
      <c r="C1528" s="4"/>
      <c r="D1528" s="4"/>
      <c r="E1528" s="4"/>
      <c r="F1528" s="4"/>
    </row>
    <row r="1529" spans="2:6" x14ac:dyDescent="0.3">
      <c r="B1529" s="4"/>
      <c r="C1529" s="4"/>
      <c r="D1529" s="4"/>
      <c r="E1529" s="4"/>
      <c r="F1529" s="4"/>
    </row>
    <row r="1530" spans="2:6" x14ac:dyDescent="0.3">
      <c r="B1530" s="4"/>
      <c r="C1530" s="4"/>
      <c r="D1530" s="4"/>
      <c r="E1530" s="4"/>
      <c r="F1530" s="4"/>
    </row>
    <row r="1531" spans="2:6" x14ac:dyDescent="0.3">
      <c r="B1531" s="4"/>
      <c r="C1531" s="4"/>
      <c r="D1531" s="4"/>
      <c r="E1531" s="4"/>
      <c r="F1531" s="4"/>
    </row>
    <row r="1532" spans="2:6" x14ac:dyDescent="0.3">
      <c r="B1532" s="4"/>
      <c r="C1532" s="4"/>
      <c r="D1532" s="4"/>
      <c r="E1532" s="4"/>
      <c r="F1532" s="4"/>
    </row>
    <row r="1533" spans="2:6" x14ac:dyDescent="0.3">
      <c r="B1533" s="4"/>
      <c r="C1533" s="4"/>
      <c r="D1533" s="4"/>
      <c r="E1533" s="4"/>
      <c r="F1533" s="4"/>
    </row>
    <row r="1534" spans="2:6" x14ac:dyDescent="0.3">
      <c r="B1534" s="4"/>
      <c r="C1534" s="4"/>
      <c r="D1534" s="4"/>
      <c r="E1534" s="4"/>
      <c r="F1534" s="4"/>
    </row>
    <row r="1535" spans="2:6" x14ac:dyDescent="0.3">
      <c r="B1535" s="4"/>
      <c r="C1535" s="4"/>
      <c r="D1535" s="4"/>
      <c r="E1535" s="4"/>
      <c r="F1535" s="4"/>
    </row>
    <row r="1536" spans="2:6" x14ac:dyDescent="0.3">
      <c r="B1536" s="4"/>
      <c r="C1536" s="4"/>
      <c r="D1536" s="4"/>
      <c r="E1536" s="4"/>
      <c r="F1536" s="4"/>
    </row>
    <row r="1537" spans="2:6" x14ac:dyDescent="0.3">
      <c r="B1537" s="4"/>
      <c r="C1537" s="4"/>
      <c r="D1537" s="4"/>
      <c r="E1537" s="4"/>
      <c r="F1537" s="4"/>
    </row>
    <row r="1538" spans="2:6" x14ac:dyDescent="0.3">
      <c r="B1538" s="4"/>
      <c r="C1538" s="4"/>
      <c r="D1538" s="4"/>
      <c r="E1538" s="4"/>
      <c r="F1538" s="4"/>
    </row>
    <row r="1539" spans="2:6" x14ac:dyDescent="0.3">
      <c r="B1539" s="4"/>
      <c r="C1539" s="4"/>
      <c r="D1539" s="4"/>
      <c r="E1539" s="4"/>
      <c r="F1539" s="4"/>
    </row>
    <row r="1540" spans="2:6" x14ac:dyDescent="0.3">
      <c r="B1540" s="4"/>
      <c r="C1540" s="4"/>
      <c r="D1540" s="4"/>
      <c r="E1540" s="4"/>
      <c r="F1540" s="4"/>
    </row>
    <row r="1541" spans="2:6" x14ac:dyDescent="0.3">
      <c r="B1541" s="4"/>
      <c r="C1541" s="4"/>
      <c r="D1541" s="4"/>
      <c r="E1541" s="4"/>
      <c r="F1541" s="4"/>
    </row>
    <row r="1542" spans="2:6" x14ac:dyDescent="0.3">
      <c r="B1542" s="4"/>
      <c r="C1542" s="4"/>
      <c r="D1542" s="4"/>
      <c r="E1542" s="4"/>
      <c r="F1542" s="4"/>
    </row>
    <row r="1543" spans="2:6" x14ac:dyDescent="0.3">
      <c r="B1543" s="4"/>
      <c r="C1543" s="4"/>
      <c r="D1543" s="4"/>
      <c r="E1543" s="4"/>
      <c r="F1543" s="4"/>
    </row>
    <row r="1544" spans="2:6" x14ac:dyDescent="0.3">
      <c r="B1544" s="4"/>
      <c r="C1544" s="4"/>
      <c r="D1544" s="4"/>
      <c r="E1544" s="4"/>
      <c r="F1544" s="4"/>
    </row>
    <row r="1545" spans="2:6" x14ac:dyDescent="0.3">
      <c r="B1545" s="4"/>
      <c r="C1545" s="4"/>
      <c r="D1545" s="4"/>
      <c r="E1545" s="4"/>
      <c r="F1545" s="4"/>
    </row>
    <row r="1546" spans="2:6" x14ac:dyDescent="0.3">
      <c r="B1546" s="4"/>
      <c r="C1546" s="4"/>
      <c r="D1546" s="4"/>
      <c r="E1546" s="4"/>
      <c r="F1546" s="4"/>
    </row>
    <row r="1547" spans="2:6" x14ac:dyDescent="0.3">
      <c r="B1547" s="4"/>
      <c r="C1547" s="4"/>
      <c r="D1547" s="4"/>
      <c r="E1547" s="4"/>
      <c r="F1547" s="4"/>
    </row>
    <row r="1548" spans="2:6" x14ac:dyDescent="0.3">
      <c r="B1548" s="4"/>
      <c r="C1548" s="4"/>
      <c r="D1548" s="4"/>
      <c r="E1548" s="4"/>
      <c r="F1548" s="4"/>
    </row>
    <row r="1549" spans="2:6" x14ac:dyDescent="0.3">
      <c r="B1549" s="4"/>
      <c r="C1549" s="4"/>
      <c r="D1549" s="4"/>
      <c r="E1549" s="4"/>
      <c r="F1549" s="4"/>
    </row>
    <row r="1550" spans="2:6" x14ac:dyDescent="0.3">
      <c r="B1550" s="4"/>
      <c r="C1550" s="4"/>
      <c r="D1550" s="4"/>
      <c r="E1550" s="4"/>
      <c r="F1550" s="4"/>
    </row>
    <row r="1551" spans="2:6" x14ac:dyDescent="0.3">
      <c r="B1551" s="4"/>
      <c r="C1551" s="4"/>
      <c r="D1551" s="4"/>
      <c r="E1551" s="4"/>
      <c r="F1551" s="4"/>
    </row>
    <row r="1552" spans="2:6" x14ac:dyDescent="0.3">
      <c r="B1552" s="4"/>
      <c r="C1552" s="4"/>
      <c r="D1552" s="4"/>
      <c r="E1552" s="4"/>
      <c r="F1552" s="4"/>
    </row>
    <row r="1553" spans="2:6" x14ac:dyDescent="0.3">
      <c r="B1553" s="4"/>
      <c r="C1553" s="4"/>
      <c r="D1553" s="4"/>
      <c r="E1553" s="4"/>
      <c r="F1553" s="4"/>
    </row>
    <row r="1554" spans="2:6" x14ac:dyDescent="0.3">
      <c r="B1554" s="4"/>
      <c r="C1554" s="4"/>
      <c r="D1554" s="4"/>
      <c r="E1554" s="4"/>
      <c r="F1554" s="4"/>
    </row>
    <row r="1555" spans="2:6" x14ac:dyDescent="0.3">
      <c r="B1555" s="4"/>
      <c r="C1555" s="4"/>
      <c r="D1555" s="4"/>
      <c r="E1555" s="4"/>
      <c r="F1555" s="4"/>
    </row>
    <row r="1556" spans="2:6" x14ac:dyDescent="0.3">
      <c r="B1556" s="4"/>
      <c r="C1556" s="4"/>
      <c r="D1556" s="4"/>
      <c r="E1556" s="4"/>
      <c r="F1556" s="4"/>
    </row>
    <row r="1557" spans="2:6" x14ac:dyDescent="0.3">
      <c r="B1557" s="4"/>
      <c r="C1557" s="4"/>
      <c r="D1557" s="4"/>
      <c r="E1557" s="4"/>
      <c r="F1557" s="4"/>
    </row>
    <row r="1558" spans="2:6" x14ac:dyDescent="0.3">
      <c r="B1558" s="4"/>
      <c r="C1558" s="4"/>
      <c r="D1558" s="4"/>
      <c r="E1558" s="4"/>
      <c r="F1558" s="4"/>
    </row>
    <row r="1559" spans="2:6" x14ac:dyDescent="0.3">
      <c r="B1559" s="4"/>
      <c r="C1559" s="4"/>
      <c r="D1559" s="4"/>
      <c r="E1559" s="4"/>
      <c r="F1559" s="4"/>
    </row>
    <row r="1560" spans="2:6" x14ac:dyDescent="0.3">
      <c r="B1560" s="4"/>
      <c r="C1560" s="4"/>
      <c r="D1560" s="4"/>
      <c r="E1560" s="4"/>
      <c r="F1560" s="4"/>
    </row>
    <row r="1561" spans="2:6" x14ac:dyDescent="0.3">
      <c r="B1561" s="4"/>
      <c r="C1561" s="4"/>
      <c r="D1561" s="4"/>
      <c r="E1561" s="4"/>
      <c r="F1561" s="4"/>
    </row>
    <row r="1562" spans="2:6" x14ac:dyDescent="0.3">
      <c r="B1562" s="4"/>
      <c r="C1562" s="4"/>
      <c r="D1562" s="4"/>
      <c r="E1562" s="4"/>
      <c r="F1562" s="4"/>
    </row>
    <row r="1563" spans="2:6" x14ac:dyDescent="0.3">
      <c r="B1563" s="4"/>
      <c r="C1563" s="4"/>
      <c r="D1563" s="4"/>
      <c r="E1563" s="4"/>
      <c r="F1563" s="4"/>
    </row>
    <row r="1564" spans="2:6" x14ac:dyDescent="0.3">
      <c r="B1564" s="4"/>
      <c r="C1564" s="4"/>
      <c r="D1564" s="4"/>
      <c r="E1564" s="4"/>
      <c r="F1564" s="4"/>
    </row>
    <row r="1565" spans="2:6" x14ac:dyDescent="0.3">
      <c r="B1565" s="4"/>
      <c r="C1565" s="4"/>
      <c r="D1565" s="4"/>
      <c r="E1565" s="4"/>
      <c r="F1565" s="4"/>
    </row>
    <row r="1566" spans="2:6" x14ac:dyDescent="0.3">
      <c r="B1566" s="4"/>
      <c r="C1566" s="4"/>
      <c r="D1566" s="4"/>
      <c r="E1566" s="4"/>
      <c r="F1566" s="4"/>
    </row>
    <row r="1567" spans="2:6" x14ac:dyDescent="0.3">
      <c r="B1567" s="4"/>
      <c r="C1567" s="4"/>
      <c r="D1567" s="4"/>
      <c r="E1567" s="4"/>
      <c r="F1567" s="4"/>
    </row>
    <row r="1568" spans="2:6" x14ac:dyDescent="0.3">
      <c r="B1568" s="4"/>
      <c r="C1568" s="4"/>
      <c r="D1568" s="4"/>
      <c r="E1568" s="4"/>
      <c r="F1568" s="4"/>
    </row>
    <row r="1569" spans="2:6" x14ac:dyDescent="0.3">
      <c r="B1569" s="4"/>
      <c r="C1569" s="4"/>
      <c r="D1569" s="4"/>
      <c r="E1569" s="4"/>
      <c r="F1569" s="4"/>
    </row>
    <row r="1570" spans="2:6" x14ac:dyDescent="0.3">
      <c r="B1570" s="4"/>
      <c r="C1570" s="4"/>
      <c r="D1570" s="4"/>
      <c r="E1570" s="4"/>
      <c r="F1570" s="4"/>
    </row>
    <row r="1571" spans="2:6" x14ac:dyDescent="0.3">
      <c r="B1571" s="4"/>
      <c r="C1571" s="4"/>
      <c r="D1571" s="4"/>
      <c r="E1571" s="4"/>
      <c r="F1571" s="4"/>
    </row>
    <row r="1572" spans="2:6" x14ac:dyDescent="0.3">
      <c r="B1572" s="4"/>
      <c r="C1572" s="4"/>
      <c r="D1572" s="4"/>
      <c r="E1572" s="4"/>
      <c r="F1572" s="4"/>
    </row>
    <row r="1573" spans="2:6" x14ac:dyDescent="0.3">
      <c r="B1573" s="4"/>
      <c r="C1573" s="4"/>
      <c r="D1573" s="4"/>
      <c r="E1573" s="4"/>
      <c r="F1573" s="4"/>
    </row>
    <row r="1574" spans="2:6" x14ac:dyDescent="0.3">
      <c r="B1574" s="4"/>
      <c r="C1574" s="4"/>
      <c r="D1574" s="4"/>
      <c r="E1574" s="4"/>
      <c r="F1574" s="4"/>
    </row>
    <row r="1575" spans="2:6" x14ac:dyDescent="0.3">
      <c r="B1575" s="4"/>
      <c r="C1575" s="4"/>
      <c r="D1575" s="4"/>
      <c r="E1575" s="4"/>
      <c r="F1575" s="4"/>
    </row>
    <row r="1576" spans="2:6" x14ac:dyDescent="0.3">
      <c r="B1576" s="4"/>
      <c r="C1576" s="4"/>
      <c r="D1576" s="4"/>
      <c r="E1576" s="4"/>
      <c r="F1576" s="4"/>
    </row>
    <row r="1577" spans="2:6" x14ac:dyDescent="0.3">
      <c r="B1577" s="4"/>
      <c r="C1577" s="4"/>
      <c r="D1577" s="4"/>
      <c r="E1577" s="4"/>
      <c r="F1577" s="4"/>
    </row>
    <row r="1578" spans="2:6" x14ac:dyDescent="0.3">
      <c r="B1578" s="4"/>
      <c r="C1578" s="4"/>
      <c r="D1578" s="4"/>
      <c r="E1578" s="4"/>
      <c r="F1578" s="4"/>
    </row>
    <row r="1579" spans="2:6" x14ac:dyDescent="0.3">
      <c r="B1579" s="4"/>
      <c r="C1579" s="4"/>
      <c r="D1579" s="4"/>
      <c r="E1579" s="4"/>
      <c r="F1579" s="4"/>
    </row>
    <row r="1580" spans="2:6" x14ac:dyDescent="0.3">
      <c r="B1580" s="4"/>
      <c r="C1580" s="4"/>
      <c r="D1580" s="4"/>
      <c r="E1580" s="4"/>
      <c r="F1580" s="4"/>
    </row>
    <row r="1581" spans="2:6" x14ac:dyDescent="0.3">
      <c r="B1581" s="4"/>
      <c r="C1581" s="4"/>
      <c r="D1581" s="4"/>
      <c r="E1581" s="4"/>
      <c r="F1581" s="4"/>
    </row>
    <row r="1582" spans="2:6" x14ac:dyDescent="0.3">
      <c r="B1582" s="4"/>
      <c r="C1582" s="4"/>
      <c r="D1582" s="4"/>
      <c r="E1582" s="4"/>
      <c r="F1582" s="4"/>
    </row>
    <row r="1583" spans="2:6" x14ac:dyDescent="0.3">
      <c r="B1583" s="4"/>
      <c r="C1583" s="4"/>
      <c r="D1583" s="4"/>
      <c r="E1583" s="4"/>
      <c r="F1583" s="4"/>
    </row>
    <row r="1584" spans="2:6" x14ac:dyDescent="0.3">
      <c r="B1584" s="4"/>
      <c r="C1584" s="4"/>
      <c r="D1584" s="4"/>
      <c r="E1584" s="4"/>
      <c r="F1584" s="4"/>
    </row>
    <row r="1585" spans="2:6" x14ac:dyDescent="0.3">
      <c r="B1585" s="4"/>
      <c r="C1585" s="4"/>
      <c r="D1585" s="4"/>
      <c r="E1585" s="4"/>
      <c r="F1585" s="4"/>
    </row>
    <row r="1586" spans="2:6" x14ac:dyDescent="0.3">
      <c r="B1586" s="4"/>
      <c r="C1586" s="4"/>
      <c r="D1586" s="4"/>
      <c r="E1586" s="4"/>
      <c r="F1586" s="4"/>
    </row>
    <row r="1587" spans="2:6" x14ac:dyDescent="0.3">
      <c r="B1587" s="4"/>
      <c r="C1587" s="4"/>
      <c r="D1587" s="4"/>
      <c r="E1587" s="4"/>
      <c r="F1587" s="4"/>
    </row>
    <row r="1588" spans="2:6" x14ac:dyDescent="0.3">
      <c r="B1588" s="4"/>
      <c r="C1588" s="4"/>
      <c r="D1588" s="4"/>
      <c r="E1588" s="4"/>
      <c r="F1588" s="4"/>
    </row>
    <row r="1589" spans="2:6" x14ac:dyDescent="0.3">
      <c r="B1589" s="4"/>
      <c r="C1589" s="4"/>
      <c r="D1589" s="4"/>
      <c r="E1589" s="4"/>
      <c r="F1589" s="4"/>
    </row>
    <row r="1590" spans="2:6" x14ac:dyDescent="0.3">
      <c r="B1590" s="4"/>
      <c r="C1590" s="4"/>
      <c r="D1590" s="4"/>
      <c r="E1590" s="4"/>
      <c r="F1590" s="4"/>
    </row>
    <row r="1591" spans="2:6" x14ac:dyDescent="0.3">
      <c r="B1591" s="4"/>
      <c r="C1591" s="4"/>
      <c r="D1591" s="4"/>
      <c r="E1591" s="4"/>
      <c r="F1591" s="4"/>
    </row>
    <row r="1592" spans="2:6" x14ac:dyDescent="0.3">
      <c r="B1592" s="4"/>
      <c r="C1592" s="4"/>
      <c r="D1592" s="4"/>
      <c r="E1592" s="4"/>
      <c r="F1592" s="4"/>
    </row>
    <row r="1593" spans="2:6" x14ac:dyDescent="0.3">
      <c r="B1593" s="4"/>
      <c r="C1593" s="4"/>
      <c r="D1593" s="4"/>
      <c r="E1593" s="4"/>
      <c r="F1593" s="4"/>
    </row>
    <row r="1594" spans="2:6" x14ac:dyDescent="0.3">
      <c r="B1594" s="4"/>
      <c r="C1594" s="4"/>
      <c r="D1594" s="4"/>
      <c r="E1594" s="4"/>
      <c r="F1594" s="4"/>
    </row>
    <row r="1595" spans="2:6" x14ac:dyDescent="0.3">
      <c r="B1595" s="4"/>
      <c r="C1595" s="4"/>
      <c r="D1595" s="4"/>
      <c r="E1595" s="4"/>
      <c r="F1595" s="4"/>
    </row>
    <row r="1596" spans="2:6" x14ac:dyDescent="0.3">
      <c r="B1596" s="4"/>
      <c r="C1596" s="4"/>
      <c r="D1596" s="4"/>
      <c r="E1596" s="4"/>
      <c r="F1596" s="4"/>
    </row>
    <row r="1597" spans="2:6" x14ac:dyDescent="0.3">
      <c r="B1597" s="4"/>
      <c r="C1597" s="4"/>
      <c r="D1597" s="4"/>
      <c r="E1597" s="4"/>
      <c r="F1597" s="4"/>
    </row>
    <row r="1598" spans="2:6" x14ac:dyDescent="0.3">
      <c r="B1598" s="4"/>
      <c r="C1598" s="4"/>
      <c r="D1598" s="4"/>
      <c r="E1598" s="4"/>
      <c r="F1598" s="4"/>
    </row>
    <row r="1599" spans="2:6" x14ac:dyDescent="0.3">
      <c r="B1599" s="4"/>
      <c r="C1599" s="4"/>
      <c r="D1599" s="4"/>
      <c r="E1599" s="4"/>
      <c r="F1599" s="4"/>
    </row>
    <row r="1600" spans="2:6" x14ac:dyDescent="0.3">
      <c r="B1600" s="4"/>
      <c r="C1600" s="4"/>
      <c r="D1600" s="4"/>
      <c r="E1600" s="4"/>
      <c r="F1600" s="4"/>
    </row>
    <row r="1601" spans="2:6" x14ac:dyDescent="0.3">
      <c r="B1601" s="4"/>
      <c r="C1601" s="4"/>
      <c r="D1601" s="4"/>
      <c r="E1601" s="4"/>
      <c r="F1601" s="4"/>
    </row>
    <row r="1602" spans="2:6" x14ac:dyDescent="0.3">
      <c r="B1602" s="4"/>
      <c r="C1602" s="4"/>
      <c r="D1602" s="4"/>
      <c r="E1602" s="4"/>
      <c r="F1602" s="4"/>
    </row>
    <row r="1603" spans="2:6" x14ac:dyDescent="0.3">
      <c r="B1603" s="4"/>
      <c r="C1603" s="4"/>
      <c r="D1603" s="4"/>
      <c r="E1603" s="4"/>
      <c r="F1603" s="4"/>
    </row>
    <row r="1604" spans="2:6" x14ac:dyDescent="0.3">
      <c r="B1604" s="4"/>
      <c r="C1604" s="4"/>
      <c r="D1604" s="4"/>
      <c r="E1604" s="4"/>
      <c r="F1604" s="4"/>
    </row>
    <row r="1605" spans="2:6" x14ac:dyDescent="0.3">
      <c r="B1605" s="4"/>
      <c r="C1605" s="4"/>
      <c r="D1605" s="4"/>
      <c r="E1605" s="4"/>
      <c r="F1605" s="4"/>
    </row>
    <row r="1606" spans="2:6" x14ac:dyDescent="0.3">
      <c r="B1606" s="4"/>
      <c r="C1606" s="4"/>
      <c r="D1606" s="4"/>
      <c r="E1606" s="4"/>
      <c r="F1606" s="4"/>
    </row>
    <row r="1607" spans="2:6" x14ac:dyDescent="0.3">
      <c r="B1607" s="4"/>
      <c r="C1607" s="4"/>
      <c r="D1607" s="4"/>
      <c r="E1607" s="4"/>
      <c r="F1607" s="4"/>
    </row>
    <row r="1608" spans="2:6" x14ac:dyDescent="0.3">
      <c r="B1608" s="4"/>
      <c r="C1608" s="4"/>
      <c r="D1608" s="4"/>
      <c r="E1608" s="4"/>
      <c r="F1608" s="4"/>
    </row>
    <row r="1609" spans="2:6" x14ac:dyDescent="0.3">
      <c r="B1609" s="4"/>
      <c r="C1609" s="4"/>
      <c r="D1609" s="4"/>
      <c r="E1609" s="4"/>
      <c r="F1609" s="4"/>
    </row>
    <row r="1610" spans="2:6" x14ac:dyDescent="0.3">
      <c r="B1610" s="4"/>
      <c r="C1610" s="4"/>
      <c r="D1610" s="4"/>
      <c r="E1610" s="4"/>
      <c r="F1610" s="4"/>
    </row>
    <row r="1611" spans="2:6" x14ac:dyDescent="0.3">
      <c r="B1611" s="4"/>
      <c r="C1611" s="4"/>
      <c r="D1611" s="4"/>
      <c r="E1611" s="4"/>
      <c r="F1611" s="4"/>
    </row>
    <row r="1612" spans="2:6" x14ac:dyDescent="0.3">
      <c r="B1612" s="4"/>
      <c r="C1612" s="4"/>
      <c r="D1612" s="4"/>
      <c r="E1612" s="4"/>
      <c r="F1612" s="4"/>
    </row>
    <row r="1613" spans="2:6" x14ac:dyDescent="0.3">
      <c r="B1613" s="4"/>
      <c r="C1613" s="4"/>
      <c r="D1613" s="4"/>
      <c r="E1613" s="4"/>
      <c r="F1613" s="4"/>
    </row>
    <row r="1614" spans="2:6" x14ac:dyDescent="0.3">
      <c r="B1614" s="4"/>
      <c r="C1614" s="4"/>
      <c r="D1614" s="4"/>
      <c r="E1614" s="4"/>
      <c r="F1614" s="4"/>
    </row>
    <row r="1615" spans="2:6" x14ac:dyDescent="0.3">
      <c r="B1615" s="4"/>
      <c r="C1615" s="4"/>
      <c r="D1615" s="4"/>
      <c r="E1615" s="4"/>
      <c r="F1615" s="4"/>
    </row>
    <row r="1616" spans="2:6" x14ac:dyDescent="0.3">
      <c r="B1616" s="4"/>
      <c r="C1616" s="4"/>
      <c r="D1616" s="4"/>
      <c r="E1616" s="4"/>
      <c r="F1616" s="4"/>
    </row>
    <row r="1617" spans="2:6" x14ac:dyDescent="0.3">
      <c r="B1617" s="4"/>
      <c r="C1617" s="4"/>
      <c r="D1617" s="4"/>
      <c r="E1617" s="4"/>
      <c r="F1617" s="4"/>
    </row>
    <row r="1618" spans="2:6" x14ac:dyDescent="0.3">
      <c r="B1618" s="4"/>
      <c r="C1618" s="4"/>
      <c r="D1618" s="4"/>
      <c r="E1618" s="4"/>
      <c r="F1618" s="4"/>
    </row>
    <row r="1619" spans="2:6" x14ac:dyDescent="0.3">
      <c r="B1619" s="4"/>
      <c r="C1619" s="4"/>
      <c r="D1619" s="4"/>
      <c r="E1619" s="4"/>
      <c r="F1619" s="4"/>
    </row>
    <row r="1620" spans="2:6" x14ac:dyDescent="0.3">
      <c r="B1620" s="4"/>
      <c r="C1620" s="4"/>
      <c r="D1620" s="4"/>
      <c r="E1620" s="4"/>
      <c r="F1620" s="4"/>
    </row>
    <row r="1621" spans="2:6" x14ac:dyDescent="0.3">
      <c r="B1621" s="4"/>
      <c r="C1621" s="4"/>
      <c r="D1621" s="4"/>
      <c r="E1621" s="4"/>
      <c r="F1621" s="4"/>
    </row>
    <row r="1622" spans="2:6" x14ac:dyDescent="0.3">
      <c r="B1622" s="4"/>
      <c r="C1622" s="4"/>
      <c r="D1622" s="4"/>
      <c r="E1622" s="4"/>
      <c r="F1622" s="4"/>
    </row>
    <row r="1623" spans="2:6" x14ac:dyDescent="0.3">
      <c r="B1623" s="4"/>
      <c r="C1623" s="4"/>
      <c r="D1623" s="4"/>
      <c r="E1623" s="4"/>
      <c r="F1623" s="4"/>
    </row>
    <row r="1624" spans="2:6" x14ac:dyDescent="0.3">
      <c r="B1624" s="4"/>
      <c r="C1624" s="4"/>
      <c r="D1624" s="4"/>
      <c r="E1624" s="4"/>
      <c r="F1624" s="4"/>
    </row>
    <row r="1625" spans="2:6" x14ac:dyDescent="0.3">
      <c r="B1625" s="4"/>
      <c r="C1625" s="4"/>
      <c r="D1625" s="4"/>
      <c r="E1625" s="4"/>
      <c r="F1625" s="4"/>
    </row>
    <row r="1626" spans="2:6" x14ac:dyDescent="0.3">
      <c r="B1626" s="4"/>
      <c r="C1626" s="4"/>
      <c r="D1626" s="4"/>
      <c r="E1626" s="4"/>
      <c r="F1626" s="4"/>
    </row>
    <row r="1627" spans="2:6" x14ac:dyDescent="0.3">
      <c r="B1627" s="4"/>
      <c r="C1627" s="4"/>
      <c r="D1627" s="4"/>
      <c r="E1627" s="4"/>
      <c r="F1627" s="4"/>
    </row>
    <row r="1628" spans="2:6" x14ac:dyDescent="0.3">
      <c r="B1628" s="4"/>
      <c r="C1628" s="4"/>
      <c r="D1628" s="4"/>
      <c r="E1628" s="4"/>
      <c r="F1628" s="4"/>
    </row>
    <row r="1629" spans="2:6" x14ac:dyDescent="0.3">
      <c r="B1629" s="4"/>
      <c r="C1629" s="4"/>
      <c r="D1629" s="4"/>
      <c r="E1629" s="4"/>
      <c r="F1629" s="4"/>
    </row>
    <row r="1630" spans="2:6" x14ac:dyDescent="0.3">
      <c r="B1630" s="4"/>
      <c r="C1630" s="4"/>
      <c r="D1630" s="4"/>
      <c r="E1630" s="4"/>
      <c r="F1630" s="4"/>
    </row>
    <row r="1631" spans="2:6" x14ac:dyDescent="0.3">
      <c r="B1631" s="4"/>
      <c r="C1631" s="4"/>
      <c r="D1631" s="4"/>
      <c r="E1631" s="4"/>
      <c r="F1631" s="4"/>
    </row>
    <row r="1632" spans="2:6" x14ac:dyDescent="0.3">
      <c r="B1632" s="4"/>
      <c r="C1632" s="4"/>
      <c r="D1632" s="4"/>
      <c r="E1632" s="4"/>
      <c r="F1632" s="4"/>
    </row>
    <row r="1633" spans="2:6" x14ac:dyDescent="0.3">
      <c r="B1633" s="4"/>
      <c r="C1633" s="4"/>
      <c r="D1633" s="4"/>
      <c r="E1633" s="4"/>
      <c r="F1633" s="4"/>
    </row>
    <row r="1634" spans="2:6" x14ac:dyDescent="0.3">
      <c r="B1634" s="4"/>
      <c r="C1634" s="4"/>
      <c r="D1634" s="4"/>
      <c r="E1634" s="4"/>
      <c r="F1634" s="4"/>
    </row>
    <row r="1635" spans="2:6" x14ac:dyDescent="0.3">
      <c r="B1635" s="4"/>
      <c r="C1635" s="4"/>
      <c r="D1635" s="4"/>
      <c r="E1635" s="4"/>
      <c r="F1635" s="4"/>
    </row>
    <row r="1636" spans="2:6" x14ac:dyDescent="0.3">
      <c r="B1636" s="4"/>
      <c r="C1636" s="4"/>
      <c r="D1636" s="4"/>
      <c r="E1636" s="4"/>
      <c r="F1636" s="4"/>
    </row>
    <row r="1637" spans="2:6" x14ac:dyDescent="0.3">
      <c r="B1637" s="4"/>
      <c r="C1637" s="4"/>
      <c r="D1637" s="4"/>
      <c r="E1637" s="4"/>
      <c r="F1637" s="4"/>
    </row>
    <row r="1638" spans="2:6" x14ac:dyDescent="0.3">
      <c r="B1638" s="4"/>
      <c r="C1638" s="4"/>
      <c r="D1638" s="4"/>
      <c r="E1638" s="4"/>
      <c r="F1638" s="4"/>
    </row>
    <row r="1639" spans="2:6" x14ac:dyDescent="0.3">
      <c r="B1639" s="4"/>
      <c r="C1639" s="4"/>
      <c r="D1639" s="4"/>
      <c r="E1639" s="4"/>
      <c r="F1639" s="4"/>
    </row>
    <row r="1640" spans="2:6" x14ac:dyDescent="0.3">
      <c r="B1640" s="4"/>
      <c r="C1640" s="4"/>
      <c r="D1640" s="4"/>
      <c r="E1640" s="4"/>
      <c r="F1640" s="4"/>
    </row>
    <row r="1641" spans="2:6" x14ac:dyDescent="0.3">
      <c r="B1641" s="4"/>
      <c r="C1641" s="4"/>
      <c r="D1641" s="4"/>
      <c r="E1641" s="4"/>
      <c r="F1641" s="4"/>
    </row>
    <row r="1642" spans="2:6" x14ac:dyDescent="0.3">
      <c r="B1642" s="4"/>
      <c r="C1642" s="4"/>
      <c r="D1642" s="4"/>
      <c r="E1642" s="4"/>
      <c r="F1642" s="4"/>
    </row>
    <row r="1643" spans="2:6" x14ac:dyDescent="0.3">
      <c r="B1643" s="4"/>
      <c r="C1643" s="4"/>
      <c r="D1643" s="4"/>
      <c r="E1643" s="4"/>
      <c r="F1643" s="4"/>
    </row>
    <row r="1644" spans="2:6" x14ac:dyDescent="0.3">
      <c r="B1644" s="4"/>
      <c r="C1644" s="4"/>
      <c r="D1644" s="4"/>
      <c r="E1644" s="4"/>
      <c r="F1644" s="4"/>
    </row>
    <row r="1645" spans="2:6" x14ac:dyDescent="0.3">
      <c r="B1645" s="4"/>
      <c r="C1645" s="4"/>
      <c r="D1645" s="4"/>
      <c r="E1645" s="4"/>
      <c r="F1645" s="4"/>
    </row>
    <row r="1646" spans="2:6" x14ac:dyDescent="0.3">
      <c r="B1646" s="4"/>
      <c r="C1646" s="4"/>
      <c r="D1646" s="4"/>
      <c r="E1646" s="4"/>
      <c r="F1646" s="4"/>
    </row>
    <row r="1647" spans="2:6" x14ac:dyDescent="0.3">
      <c r="B1647" s="4"/>
      <c r="C1647" s="4"/>
      <c r="D1647" s="4"/>
      <c r="E1647" s="4"/>
      <c r="F1647" s="4"/>
    </row>
    <row r="1648" spans="2:6" x14ac:dyDescent="0.3">
      <c r="B1648" s="4"/>
      <c r="C1648" s="4"/>
      <c r="D1648" s="4"/>
      <c r="E1648" s="4"/>
      <c r="F1648" s="4"/>
    </row>
    <row r="1649" spans="2:6" x14ac:dyDescent="0.3">
      <c r="B1649" s="4"/>
      <c r="C1649" s="4"/>
      <c r="D1649" s="4"/>
      <c r="E1649" s="4"/>
      <c r="F1649" s="4"/>
    </row>
    <row r="1650" spans="2:6" x14ac:dyDescent="0.3">
      <c r="B1650" s="4"/>
      <c r="C1650" s="4"/>
      <c r="D1650" s="4"/>
      <c r="E1650" s="4"/>
      <c r="F1650" s="4"/>
    </row>
    <row r="1651" spans="2:6" x14ac:dyDescent="0.3">
      <c r="B1651" s="4"/>
      <c r="C1651" s="4"/>
      <c r="D1651" s="4"/>
      <c r="E1651" s="4"/>
      <c r="F1651" s="4"/>
    </row>
    <row r="1652" spans="2:6" x14ac:dyDescent="0.3">
      <c r="B1652" s="4"/>
      <c r="C1652" s="4"/>
      <c r="D1652" s="4"/>
      <c r="E1652" s="4"/>
      <c r="F1652" s="4"/>
    </row>
    <row r="1653" spans="2:6" x14ac:dyDescent="0.3">
      <c r="B1653" s="4"/>
      <c r="C1653" s="4"/>
      <c r="D1653" s="4"/>
      <c r="E1653" s="4"/>
      <c r="F1653" s="4"/>
    </row>
    <row r="1654" spans="2:6" x14ac:dyDescent="0.3">
      <c r="B1654" s="4"/>
      <c r="C1654" s="4"/>
      <c r="D1654" s="4"/>
      <c r="E1654" s="4"/>
      <c r="F1654" s="4"/>
    </row>
    <row r="1655" spans="2:6" x14ac:dyDescent="0.3">
      <c r="B1655" s="4"/>
      <c r="C1655" s="4"/>
      <c r="D1655" s="4"/>
      <c r="E1655" s="4"/>
      <c r="F1655" s="4"/>
    </row>
    <row r="1656" spans="2:6" x14ac:dyDescent="0.3">
      <c r="B1656" s="4"/>
      <c r="C1656" s="4"/>
      <c r="D1656" s="4"/>
      <c r="E1656" s="4"/>
      <c r="F1656" s="4"/>
    </row>
    <row r="1657" spans="2:6" x14ac:dyDescent="0.3">
      <c r="B1657" s="4"/>
      <c r="C1657" s="4"/>
      <c r="D1657" s="4"/>
      <c r="E1657" s="4"/>
      <c r="F1657" s="4"/>
    </row>
    <row r="1658" spans="2:6" x14ac:dyDescent="0.3">
      <c r="B1658" s="4"/>
      <c r="C1658" s="4"/>
      <c r="D1658" s="4"/>
      <c r="E1658" s="4"/>
      <c r="F1658" s="4"/>
    </row>
    <row r="1659" spans="2:6" x14ac:dyDescent="0.3">
      <c r="B1659" s="4"/>
      <c r="C1659" s="4"/>
      <c r="D1659" s="4"/>
      <c r="E1659" s="4"/>
      <c r="F1659" s="4"/>
    </row>
    <row r="1660" spans="2:6" x14ac:dyDescent="0.3">
      <c r="B1660" s="4"/>
      <c r="C1660" s="4"/>
      <c r="D1660" s="4"/>
      <c r="E1660" s="4"/>
      <c r="F1660" s="4"/>
    </row>
    <row r="1661" spans="2:6" x14ac:dyDescent="0.3">
      <c r="B1661" s="4"/>
      <c r="C1661" s="4"/>
      <c r="D1661" s="4"/>
      <c r="E1661" s="4"/>
      <c r="F1661" s="4"/>
    </row>
    <row r="1662" spans="2:6" x14ac:dyDescent="0.3">
      <c r="B1662" s="4"/>
      <c r="C1662" s="4"/>
      <c r="D1662" s="4"/>
      <c r="E1662" s="4"/>
      <c r="F1662" s="4"/>
    </row>
    <row r="1663" spans="2:6" x14ac:dyDescent="0.3">
      <c r="B1663" s="4"/>
      <c r="C1663" s="4"/>
      <c r="D1663" s="4"/>
      <c r="E1663" s="4"/>
      <c r="F1663" s="4"/>
    </row>
    <row r="1664" spans="2:6" x14ac:dyDescent="0.3">
      <c r="B1664" s="4"/>
      <c r="C1664" s="4"/>
      <c r="D1664" s="4"/>
      <c r="E1664" s="4"/>
      <c r="F1664" s="4"/>
    </row>
    <row r="1665" spans="2:6" x14ac:dyDescent="0.3">
      <c r="B1665" s="4"/>
      <c r="C1665" s="4"/>
      <c r="D1665" s="4"/>
      <c r="E1665" s="4"/>
      <c r="F1665" s="4"/>
    </row>
    <row r="1666" spans="2:6" x14ac:dyDescent="0.3">
      <c r="B1666" s="4"/>
      <c r="C1666" s="4"/>
      <c r="D1666" s="4"/>
      <c r="E1666" s="4"/>
      <c r="F1666" s="4"/>
    </row>
    <row r="1667" spans="2:6" x14ac:dyDescent="0.3">
      <c r="B1667" s="4"/>
      <c r="C1667" s="4"/>
      <c r="D1667" s="4"/>
      <c r="E1667" s="4"/>
      <c r="F1667" s="4"/>
    </row>
    <row r="1668" spans="2:6" x14ac:dyDescent="0.3">
      <c r="B1668" s="4"/>
      <c r="C1668" s="4"/>
      <c r="D1668" s="4"/>
      <c r="E1668" s="4"/>
      <c r="F1668" s="4"/>
    </row>
    <row r="1669" spans="2:6" x14ac:dyDescent="0.3">
      <c r="B1669" s="4"/>
      <c r="C1669" s="4"/>
      <c r="D1669" s="4"/>
      <c r="E1669" s="4"/>
      <c r="F1669" s="4"/>
    </row>
    <row r="1670" spans="2:6" x14ac:dyDescent="0.3">
      <c r="B1670" s="4"/>
      <c r="C1670" s="4"/>
      <c r="D1670" s="4"/>
      <c r="E1670" s="4"/>
      <c r="F1670" s="4"/>
    </row>
    <row r="1671" spans="2:6" x14ac:dyDescent="0.3">
      <c r="B1671" s="4"/>
      <c r="C1671" s="4"/>
      <c r="D1671" s="4"/>
      <c r="E1671" s="4"/>
      <c r="F1671" s="4"/>
    </row>
    <row r="1672" spans="2:6" x14ac:dyDescent="0.3">
      <c r="B1672" s="4"/>
      <c r="C1672" s="4"/>
      <c r="D1672" s="4"/>
      <c r="E1672" s="4"/>
      <c r="F1672" s="4"/>
    </row>
    <row r="1673" spans="2:6" x14ac:dyDescent="0.3">
      <c r="B1673" s="4"/>
      <c r="C1673" s="4"/>
      <c r="D1673" s="4"/>
      <c r="E1673" s="4"/>
      <c r="F1673" s="4"/>
    </row>
    <row r="1674" spans="2:6" x14ac:dyDescent="0.3">
      <c r="B1674" s="4"/>
      <c r="C1674" s="4"/>
      <c r="D1674" s="4"/>
      <c r="E1674" s="4"/>
      <c r="F1674" s="4"/>
    </row>
    <row r="1675" spans="2:6" x14ac:dyDescent="0.3">
      <c r="B1675" s="4"/>
      <c r="C1675" s="4"/>
      <c r="D1675" s="4"/>
      <c r="E1675" s="4"/>
      <c r="F1675" s="4"/>
    </row>
    <row r="1676" spans="2:6" x14ac:dyDescent="0.3">
      <c r="B1676" s="4"/>
      <c r="C1676" s="4"/>
      <c r="D1676" s="4"/>
      <c r="E1676" s="4"/>
      <c r="F1676" s="4"/>
    </row>
    <row r="1677" spans="2:6" x14ac:dyDescent="0.3">
      <c r="B1677" s="4"/>
      <c r="C1677" s="4"/>
      <c r="D1677" s="4"/>
      <c r="E1677" s="4"/>
      <c r="F1677" s="4"/>
    </row>
    <row r="1678" spans="2:6" x14ac:dyDescent="0.3">
      <c r="B1678" s="4"/>
      <c r="C1678" s="4"/>
      <c r="D1678" s="4"/>
      <c r="E1678" s="4"/>
      <c r="F1678" s="4"/>
    </row>
    <row r="1679" spans="2:6" x14ac:dyDescent="0.3">
      <c r="B1679" s="4"/>
      <c r="C1679" s="4"/>
      <c r="D1679" s="4"/>
      <c r="E1679" s="4"/>
      <c r="F1679" s="4"/>
    </row>
    <row r="1680" spans="2:6" x14ac:dyDescent="0.3">
      <c r="B1680" s="4"/>
      <c r="C1680" s="4"/>
      <c r="D1680" s="4"/>
      <c r="E1680" s="4"/>
      <c r="F1680" s="4"/>
    </row>
    <row r="1681" spans="2:6" x14ac:dyDescent="0.3">
      <c r="B1681" s="4"/>
      <c r="C1681" s="4"/>
      <c r="D1681" s="4"/>
      <c r="E1681" s="4"/>
      <c r="F1681" s="4"/>
    </row>
    <row r="1682" spans="2:6" x14ac:dyDescent="0.3">
      <c r="B1682" s="4"/>
      <c r="C1682" s="4"/>
      <c r="D1682" s="4"/>
      <c r="E1682" s="4"/>
      <c r="F1682" s="4"/>
    </row>
    <row r="1683" spans="2:6" x14ac:dyDescent="0.3">
      <c r="B1683" s="4"/>
      <c r="C1683" s="4"/>
      <c r="D1683" s="4"/>
      <c r="E1683" s="4"/>
      <c r="F1683" s="4"/>
    </row>
    <row r="1684" spans="2:6" x14ac:dyDescent="0.3">
      <c r="B1684" s="4"/>
      <c r="C1684" s="4"/>
      <c r="D1684" s="4"/>
      <c r="E1684" s="4"/>
      <c r="F1684" s="4"/>
    </row>
    <row r="1685" spans="2:6" x14ac:dyDescent="0.3">
      <c r="B1685" s="4"/>
      <c r="C1685" s="4"/>
      <c r="D1685" s="4"/>
      <c r="E1685" s="4"/>
      <c r="F1685" s="4"/>
    </row>
    <row r="1686" spans="2:6" x14ac:dyDescent="0.3">
      <c r="B1686" s="4"/>
      <c r="C1686" s="4"/>
      <c r="D1686" s="4"/>
      <c r="E1686" s="4"/>
      <c r="F1686" s="4"/>
    </row>
    <row r="1687" spans="2:6" x14ac:dyDescent="0.3">
      <c r="B1687" s="4"/>
      <c r="C1687" s="4"/>
      <c r="D1687" s="4"/>
      <c r="E1687" s="4"/>
      <c r="F1687" s="4"/>
    </row>
    <row r="1688" spans="2:6" x14ac:dyDescent="0.3">
      <c r="B1688" s="4"/>
      <c r="C1688" s="4"/>
      <c r="D1688" s="4"/>
      <c r="E1688" s="4"/>
      <c r="F1688" s="4"/>
    </row>
    <row r="1689" spans="2:6" x14ac:dyDescent="0.3">
      <c r="B1689" s="4"/>
      <c r="C1689" s="4"/>
      <c r="D1689" s="4"/>
      <c r="E1689" s="4"/>
      <c r="F1689" s="4"/>
    </row>
    <row r="1690" spans="2:6" x14ac:dyDescent="0.3">
      <c r="B1690" s="4"/>
      <c r="C1690" s="4"/>
      <c r="D1690" s="4"/>
      <c r="E1690" s="4"/>
      <c r="F1690" s="4"/>
    </row>
    <row r="1691" spans="2:6" x14ac:dyDescent="0.3">
      <c r="B1691" s="4"/>
      <c r="C1691" s="4"/>
      <c r="D1691" s="4"/>
      <c r="E1691" s="4"/>
      <c r="F1691" s="4"/>
    </row>
    <row r="1692" spans="2:6" x14ac:dyDescent="0.3">
      <c r="B1692" s="4"/>
      <c r="C1692" s="4"/>
      <c r="D1692" s="4"/>
      <c r="E1692" s="4"/>
      <c r="F1692" s="4"/>
    </row>
    <row r="1693" spans="2:6" x14ac:dyDescent="0.3">
      <c r="B1693" s="4"/>
      <c r="C1693" s="4"/>
      <c r="D1693" s="4"/>
      <c r="E1693" s="4"/>
      <c r="F1693" s="4"/>
    </row>
    <row r="1694" spans="2:6" x14ac:dyDescent="0.3">
      <c r="B1694" s="4"/>
      <c r="C1694" s="4"/>
      <c r="D1694" s="4"/>
      <c r="E1694" s="4"/>
      <c r="F1694" s="4"/>
    </row>
    <row r="1695" spans="2:6" x14ac:dyDescent="0.3">
      <c r="B1695" s="4"/>
      <c r="C1695" s="4"/>
      <c r="D1695" s="4"/>
      <c r="E1695" s="4"/>
      <c r="F1695" s="4"/>
    </row>
    <row r="1696" spans="2:6" x14ac:dyDescent="0.3">
      <c r="B1696" s="4"/>
      <c r="C1696" s="4"/>
      <c r="D1696" s="4"/>
      <c r="E1696" s="4"/>
      <c r="F1696" s="4"/>
    </row>
    <row r="1697" spans="2:6" x14ac:dyDescent="0.3">
      <c r="B1697" s="4"/>
      <c r="C1697" s="4"/>
      <c r="D1697" s="4"/>
      <c r="E1697" s="4"/>
      <c r="F1697" s="4"/>
    </row>
    <row r="1698" spans="2:6" x14ac:dyDescent="0.3">
      <c r="B1698" s="4"/>
      <c r="C1698" s="4"/>
      <c r="D1698" s="4"/>
      <c r="E1698" s="4"/>
      <c r="F1698" s="4"/>
    </row>
    <row r="1699" spans="2:6" x14ac:dyDescent="0.3">
      <c r="B1699" s="4"/>
      <c r="C1699" s="4"/>
      <c r="D1699" s="4"/>
      <c r="E1699" s="4"/>
      <c r="F1699" s="4"/>
    </row>
    <row r="1700" spans="2:6" x14ac:dyDescent="0.3">
      <c r="B1700" s="4"/>
      <c r="C1700" s="4"/>
      <c r="D1700" s="4"/>
      <c r="E1700" s="4"/>
      <c r="F1700" s="4"/>
    </row>
    <row r="1701" spans="2:6" x14ac:dyDescent="0.3">
      <c r="B1701" s="4"/>
      <c r="C1701" s="4"/>
      <c r="D1701" s="4"/>
      <c r="E1701" s="4"/>
      <c r="F1701" s="4"/>
    </row>
    <row r="1702" spans="2:6" x14ac:dyDescent="0.3">
      <c r="B1702" s="4"/>
      <c r="C1702" s="4"/>
      <c r="D1702" s="4"/>
      <c r="E1702" s="4"/>
      <c r="F1702" s="4"/>
    </row>
    <row r="1703" spans="2:6" x14ac:dyDescent="0.3">
      <c r="B1703" s="4"/>
      <c r="C1703" s="4"/>
      <c r="D1703" s="4"/>
      <c r="E1703" s="4"/>
      <c r="F1703" s="4"/>
    </row>
    <row r="1704" spans="2:6" x14ac:dyDescent="0.3">
      <c r="B1704" s="4"/>
      <c r="C1704" s="4"/>
      <c r="D1704" s="4"/>
      <c r="E1704" s="4"/>
      <c r="F1704" s="4"/>
    </row>
    <row r="1705" spans="2:6" x14ac:dyDescent="0.3">
      <c r="B1705" s="4"/>
      <c r="C1705" s="4"/>
      <c r="D1705" s="4"/>
      <c r="E1705" s="4"/>
      <c r="F1705" s="4"/>
    </row>
    <row r="1706" spans="2:6" x14ac:dyDescent="0.3">
      <c r="B1706" s="4"/>
      <c r="C1706" s="4"/>
      <c r="D1706" s="4"/>
      <c r="E1706" s="4"/>
      <c r="F1706" s="4"/>
    </row>
    <row r="1707" spans="2:6" x14ac:dyDescent="0.3">
      <c r="B1707" s="4"/>
      <c r="C1707" s="4"/>
      <c r="D1707" s="4"/>
      <c r="E1707" s="4"/>
      <c r="F1707" s="4"/>
    </row>
    <row r="1708" spans="2:6" x14ac:dyDescent="0.3">
      <c r="B1708" s="4"/>
      <c r="C1708" s="4"/>
      <c r="D1708" s="4"/>
      <c r="E1708" s="4"/>
      <c r="F1708" s="4"/>
    </row>
    <row r="1709" spans="2:6" x14ac:dyDescent="0.3">
      <c r="B1709" s="4"/>
      <c r="C1709" s="4"/>
      <c r="D1709" s="4"/>
      <c r="E1709" s="4"/>
      <c r="F1709" s="4"/>
    </row>
    <row r="1710" spans="2:6" x14ac:dyDescent="0.3">
      <c r="B1710" s="4"/>
      <c r="C1710" s="4"/>
      <c r="D1710" s="4"/>
      <c r="E1710" s="4"/>
      <c r="F1710" s="4"/>
    </row>
    <row r="1711" spans="2:6" x14ac:dyDescent="0.3">
      <c r="B1711" s="4"/>
      <c r="C1711" s="4"/>
      <c r="D1711" s="4"/>
      <c r="E1711" s="4"/>
      <c r="F1711" s="4"/>
    </row>
    <row r="1712" spans="2:6" x14ac:dyDescent="0.3">
      <c r="B1712" s="4"/>
      <c r="C1712" s="4"/>
      <c r="D1712" s="4"/>
      <c r="E1712" s="4"/>
      <c r="F1712" s="4"/>
    </row>
    <row r="1713" spans="2:6" x14ac:dyDescent="0.3">
      <c r="B1713" s="4"/>
      <c r="C1713" s="4"/>
      <c r="D1713" s="4"/>
      <c r="E1713" s="4"/>
      <c r="F1713" s="4"/>
    </row>
    <row r="1714" spans="2:6" x14ac:dyDescent="0.3">
      <c r="B1714" s="4"/>
      <c r="C1714" s="4"/>
      <c r="D1714" s="4"/>
      <c r="E1714" s="4"/>
      <c r="F1714" s="4"/>
    </row>
    <row r="1715" spans="2:6" x14ac:dyDescent="0.3">
      <c r="B1715" s="4"/>
      <c r="C1715" s="4"/>
      <c r="D1715" s="4"/>
      <c r="E1715" s="4"/>
      <c r="F1715" s="4"/>
    </row>
    <row r="1716" spans="2:6" x14ac:dyDescent="0.3">
      <c r="B1716" s="4"/>
      <c r="C1716" s="4"/>
      <c r="D1716" s="4"/>
      <c r="E1716" s="4"/>
      <c r="F1716" s="4"/>
    </row>
    <row r="1717" spans="2:6" x14ac:dyDescent="0.3">
      <c r="B1717" s="4"/>
      <c r="C1717" s="4"/>
      <c r="D1717" s="4"/>
      <c r="E1717" s="4"/>
      <c r="F1717" s="4"/>
    </row>
    <row r="1718" spans="2:6" x14ac:dyDescent="0.3">
      <c r="B1718" s="4"/>
      <c r="C1718" s="4"/>
      <c r="D1718" s="4"/>
      <c r="E1718" s="4"/>
      <c r="F1718" s="4"/>
    </row>
    <row r="1719" spans="2:6" x14ac:dyDescent="0.3">
      <c r="B1719" s="4"/>
      <c r="C1719" s="4"/>
      <c r="D1719" s="4"/>
      <c r="E1719" s="4"/>
      <c r="F1719" s="4"/>
    </row>
    <row r="1720" spans="2:6" x14ac:dyDescent="0.3">
      <c r="B1720" s="4"/>
      <c r="C1720" s="4"/>
      <c r="D1720" s="4"/>
      <c r="E1720" s="4"/>
      <c r="F1720" s="4"/>
    </row>
    <row r="1721" spans="2:6" x14ac:dyDescent="0.3">
      <c r="B1721" s="4"/>
      <c r="C1721" s="4"/>
      <c r="D1721" s="4"/>
      <c r="E1721" s="4"/>
      <c r="F1721" s="4"/>
    </row>
    <row r="1722" spans="2:6" x14ac:dyDescent="0.3">
      <c r="B1722" s="4"/>
      <c r="C1722" s="4"/>
      <c r="D1722" s="4"/>
      <c r="E1722" s="4"/>
      <c r="F1722" s="4"/>
    </row>
    <row r="1723" spans="2:6" x14ac:dyDescent="0.3">
      <c r="B1723" s="4"/>
      <c r="C1723" s="4"/>
      <c r="D1723" s="4"/>
      <c r="E1723" s="4"/>
      <c r="F1723" s="4"/>
    </row>
    <row r="1724" spans="2:6" x14ac:dyDescent="0.3">
      <c r="B1724" s="4"/>
      <c r="C1724" s="4"/>
      <c r="D1724" s="4"/>
      <c r="E1724" s="4"/>
      <c r="F1724" s="4"/>
    </row>
    <row r="1725" spans="2:6" x14ac:dyDescent="0.3">
      <c r="B1725" s="4"/>
      <c r="C1725" s="4"/>
      <c r="D1725" s="4"/>
      <c r="E1725" s="4"/>
      <c r="F1725" s="4"/>
    </row>
    <row r="1726" spans="2:6" x14ac:dyDescent="0.3">
      <c r="B1726" s="4"/>
      <c r="C1726" s="4"/>
      <c r="D1726" s="4"/>
      <c r="E1726" s="4"/>
      <c r="F1726" s="4"/>
    </row>
    <row r="1727" spans="2:6" x14ac:dyDescent="0.3">
      <c r="B1727" s="4"/>
      <c r="C1727" s="4"/>
      <c r="D1727" s="4"/>
      <c r="E1727" s="4"/>
      <c r="F1727" s="4"/>
    </row>
    <row r="1728" spans="2:6" x14ac:dyDescent="0.3">
      <c r="B1728" s="4"/>
      <c r="C1728" s="4"/>
      <c r="D1728" s="4"/>
      <c r="E1728" s="4"/>
      <c r="F1728" s="4"/>
    </row>
    <row r="1729" spans="2:6" x14ac:dyDescent="0.3">
      <c r="B1729" s="4"/>
      <c r="C1729" s="4"/>
      <c r="D1729" s="4"/>
      <c r="E1729" s="4"/>
      <c r="F1729" s="4"/>
    </row>
    <row r="1730" spans="2:6" x14ac:dyDescent="0.3">
      <c r="B1730" s="4"/>
      <c r="C1730" s="4"/>
      <c r="D1730" s="4"/>
      <c r="E1730" s="4"/>
      <c r="F1730" s="4"/>
    </row>
    <row r="1731" spans="2:6" x14ac:dyDescent="0.3">
      <c r="B1731" s="4"/>
      <c r="C1731" s="4"/>
      <c r="D1731" s="4"/>
      <c r="E1731" s="4"/>
      <c r="F1731" s="4"/>
    </row>
    <row r="1732" spans="2:6" x14ac:dyDescent="0.3">
      <c r="B1732" s="4"/>
      <c r="C1732" s="4"/>
      <c r="D1732" s="4"/>
      <c r="E1732" s="4"/>
      <c r="F1732" s="4"/>
    </row>
    <row r="1733" spans="2:6" x14ac:dyDescent="0.3">
      <c r="B1733" s="4"/>
      <c r="C1733" s="4"/>
      <c r="D1733" s="4"/>
      <c r="E1733" s="4"/>
      <c r="F1733" s="4"/>
    </row>
    <row r="1734" spans="2:6" x14ac:dyDescent="0.3">
      <c r="B1734" s="4"/>
      <c r="C1734" s="4"/>
      <c r="D1734" s="4"/>
      <c r="E1734" s="4"/>
      <c r="F1734" s="4"/>
    </row>
    <row r="1735" spans="2:6" x14ac:dyDescent="0.3">
      <c r="B1735" s="4"/>
      <c r="C1735" s="4"/>
      <c r="D1735" s="4"/>
      <c r="E1735" s="4"/>
      <c r="F1735" s="4"/>
    </row>
    <row r="1736" spans="2:6" x14ac:dyDescent="0.3">
      <c r="B1736" s="4"/>
      <c r="C1736" s="4"/>
      <c r="D1736" s="4"/>
      <c r="E1736" s="4"/>
      <c r="F1736" s="4"/>
    </row>
    <row r="1737" spans="2:6" x14ac:dyDescent="0.3">
      <c r="B1737" s="4"/>
      <c r="C1737" s="4"/>
      <c r="D1737" s="4"/>
      <c r="E1737" s="4"/>
      <c r="F1737" s="4"/>
    </row>
    <row r="1738" spans="2:6" x14ac:dyDescent="0.3">
      <c r="B1738" s="4"/>
      <c r="C1738" s="4"/>
      <c r="D1738" s="4"/>
      <c r="E1738" s="4"/>
      <c r="F1738" s="4"/>
    </row>
    <row r="1739" spans="2:6" x14ac:dyDescent="0.3">
      <c r="B1739" s="4"/>
      <c r="C1739" s="4"/>
      <c r="D1739" s="4"/>
      <c r="E1739" s="4"/>
      <c r="F1739" s="4"/>
    </row>
    <row r="1740" spans="2:6" x14ac:dyDescent="0.3">
      <c r="B1740" s="4"/>
      <c r="C1740" s="4"/>
      <c r="D1740" s="4"/>
      <c r="E1740" s="4"/>
      <c r="F1740" s="4"/>
    </row>
    <row r="1741" spans="2:6" x14ac:dyDescent="0.3">
      <c r="B1741" s="4"/>
      <c r="C1741" s="4"/>
      <c r="D1741" s="4"/>
      <c r="E1741" s="4"/>
      <c r="F1741" s="4"/>
    </row>
    <row r="1742" spans="2:6" x14ac:dyDescent="0.3">
      <c r="B1742" s="4"/>
      <c r="C1742" s="4"/>
      <c r="D1742" s="4"/>
      <c r="E1742" s="4"/>
      <c r="F1742" s="4"/>
    </row>
    <row r="1743" spans="2:6" x14ac:dyDescent="0.3">
      <c r="B1743" s="4"/>
      <c r="C1743" s="4"/>
      <c r="D1743" s="4"/>
      <c r="E1743" s="4"/>
      <c r="F1743" s="4"/>
    </row>
    <row r="1744" spans="2:6" x14ac:dyDescent="0.3">
      <c r="B1744" s="4"/>
      <c r="C1744" s="4"/>
      <c r="D1744" s="4"/>
      <c r="E1744" s="4"/>
      <c r="F1744" s="4"/>
    </row>
    <row r="1745" spans="2:6" x14ac:dyDescent="0.3">
      <c r="B1745" s="4"/>
      <c r="C1745" s="4"/>
      <c r="D1745" s="4"/>
      <c r="E1745" s="4"/>
      <c r="F1745" s="4"/>
    </row>
    <row r="1746" spans="2:6" x14ac:dyDescent="0.3">
      <c r="B1746" s="4"/>
      <c r="C1746" s="4"/>
      <c r="D1746" s="4"/>
      <c r="E1746" s="4"/>
      <c r="F1746" s="4"/>
    </row>
    <row r="1747" spans="2:6" x14ac:dyDescent="0.3">
      <c r="B1747" s="4"/>
      <c r="C1747" s="4"/>
      <c r="D1747" s="4"/>
      <c r="E1747" s="4"/>
      <c r="F1747" s="4"/>
    </row>
    <row r="1748" spans="2:6" x14ac:dyDescent="0.3">
      <c r="B1748" s="4"/>
      <c r="C1748" s="4"/>
      <c r="D1748" s="4"/>
      <c r="E1748" s="4"/>
      <c r="F1748" s="4"/>
    </row>
    <row r="1749" spans="2:6" x14ac:dyDescent="0.3">
      <c r="B1749" s="4"/>
      <c r="C1749" s="4"/>
      <c r="D1749" s="4"/>
      <c r="E1749" s="4"/>
      <c r="F1749" s="4"/>
    </row>
    <row r="1750" spans="2:6" x14ac:dyDescent="0.3">
      <c r="B1750" s="4"/>
      <c r="C1750" s="4"/>
      <c r="D1750" s="4"/>
      <c r="E1750" s="4"/>
      <c r="F1750" s="4"/>
    </row>
    <row r="1751" spans="2:6" x14ac:dyDescent="0.3">
      <c r="B1751" s="4"/>
      <c r="C1751" s="4"/>
      <c r="D1751" s="4"/>
      <c r="E1751" s="4"/>
      <c r="F1751" s="4"/>
    </row>
    <row r="1752" spans="2:6" x14ac:dyDescent="0.3">
      <c r="B1752" s="4"/>
      <c r="C1752" s="4"/>
      <c r="D1752" s="4"/>
      <c r="E1752" s="4"/>
      <c r="F1752" s="4"/>
    </row>
    <row r="1753" spans="2:6" x14ac:dyDescent="0.3">
      <c r="B1753" s="4"/>
      <c r="C1753" s="4"/>
      <c r="D1753" s="4"/>
      <c r="E1753" s="4"/>
      <c r="F1753" s="4"/>
    </row>
    <row r="1754" spans="2:6" x14ac:dyDescent="0.3">
      <c r="B1754" s="4"/>
      <c r="C1754" s="4"/>
      <c r="D1754" s="4"/>
      <c r="E1754" s="4"/>
      <c r="F1754" s="4"/>
    </row>
    <row r="1755" spans="2:6" x14ac:dyDescent="0.3">
      <c r="B1755" s="4"/>
      <c r="C1755" s="4"/>
      <c r="D1755" s="4"/>
      <c r="E1755" s="4"/>
      <c r="F1755" s="4"/>
    </row>
    <row r="1756" spans="2:6" x14ac:dyDescent="0.3">
      <c r="B1756" s="4"/>
      <c r="C1756" s="4"/>
      <c r="D1756" s="4"/>
      <c r="E1756" s="4"/>
      <c r="F1756" s="4"/>
    </row>
    <row r="1757" spans="2:6" x14ac:dyDescent="0.3">
      <c r="B1757" s="4"/>
      <c r="C1757" s="4"/>
      <c r="D1757" s="4"/>
      <c r="E1757" s="4"/>
      <c r="F1757" s="4"/>
    </row>
    <row r="1758" spans="2:6" x14ac:dyDescent="0.3">
      <c r="B1758" s="4"/>
      <c r="C1758" s="4"/>
      <c r="D1758" s="4"/>
      <c r="E1758" s="4"/>
      <c r="F1758" s="4"/>
    </row>
    <row r="1759" spans="2:6" x14ac:dyDescent="0.3">
      <c r="B1759" s="4"/>
      <c r="C1759" s="4"/>
      <c r="D1759" s="4"/>
      <c r="E1759" s="4"/>
      <c r="F1759" s="4"/>
    </row>
    <row r="1760" spans="2:6" x14ac:dyDescent="0.3">
      <c r="B1760" s="4"/>
      <c r="C1760" s="4"/>
      <c r="D1760" s="4"/>
      <c r="E1760" s="4"/>
      <c r="F1760" s="4"/>
    </row>
    <row r="1761" spans="2:6" x14ac:dyDescent="0.3">
      <c r="B1761" s="4"/>
      <c r="C1761" s="4"/>
      <c r="D1761" s="4"/>
      <c r="E1761" s="4"/>
      <c r="F1761" s="4"/>
    </row>
    <row r="1762" spans="2:6" x14ac:dyDescent="0.3">
      <c r="B1762" s="4"/>
      <c r="C1762" s="4"/>
      <c r="D1762" s="4"/>
      <c r="E1762" s="4"/>
      <c r="F1762" s="4"/>
    </row>
    <row r="1763" spans="2:6" x14ac:dyDescent="0.3">
      <c r="B1763" s="4"/>
      <c r="C1763" s="4"/>
      <c r="D1763" s="4"/>
      <c r="E1763" s="4"/>
      <c r="F1763" s="4"/>
    </row>
    <row r="1764" spans="2:6" x14ac:dyDescent="0.3">
      <c r="B1764" s="4"/>
      <c r="C1764" s="4"/>
      <c r="D1764" s="4"/>
      <c r="E1764" s="4"/>
      <c r="F1764" s="4"/>
    </row>
    <row r="1765" spans="2:6" x14ac:dyDescent="0.3">
      <c r="B1765" s="4"/>
      <c r="C1765" s="4"/>
      <c r="D1765" s="4"/>
      <c r="E1765" s="4"/>
      <c r="F1765" s="4"/>
    </row>
    <row r="1766" spans="2:6" x14ac:dyDescent="0.3">
      <c r="B1766" s="4"/>
      <c r="C1766" s="4"/>
      <c r="D1766" s="4"/>
      <c r="E1766" s="4"/>
      <c r="F1766" s="4"/>
    </row>
    <row r="1767" spans="2:6" x14ac:dyDescent="0.3">
      <c r="B1767" s="4"/>
      <c r="C1767" s="4"/>
      <c r="D1767" s="4"/>
      <c r="E1767" s="4"/>
      <c r="F1767" s="4"/>
    </row>
    <row r="1768" spans="2:6" x14ac:dyDescent="0.3">
      <c r="B1768" s="4"/>
      <c r="C1768" s="4"/>
      <c r="D1768" s="4"/>
      <c r="E1768" s="4"/>
      <c r="F1768" s="4"/>
    </row>
    <row r="1769" spans="2:6" x14ac:dyDescent="0.3">
      <c r="B1769" s="4"/>
      <c r="C1769" s="4"/>
      <c r="D1769" s="4"/>
      <c r="E1769" s="4"/>
      <c r="F1769" s="4"/>
    </row>
    <row r="1770" spans="2:6" x14ac:dyDescent="0.3">
      <c r="B1770" s="4"/>
      <c r="C1770" s="4"/>
      <c r="D1770" s="4"/>
      <c r="E1770" s="4"/>
      <c r="F1770" s="4"/>
    </row>
    <row r="1771" spans="2:6" x14ac:dyDescent="0.3">
      <c r="B1771" s="4"/>
      <c r="C1771" s="4"/>
      <c r="D1771" s="4"/>
      <c r="E1771" s="4"/>
      <c r="F1771" s="4"/>
    </row>
    <row r="1772" spans="2:6" x14ac:dyDescent="0.3">
      <c r="B1772" s="4"/>
      <c r="C1772" s="4"/>
      <c r="D1772" s="4"/>
      <c r="E1772" s="4"/>
      <c r="F1772" s="4"/>
    </row>
    <row r="1773" spans="2:6" x14ac:dyDescent="0.3">
      <c r="B1773" s="4"/>
      <c r="C1773" s="4"/>
      <c r="D1773" s="4"/>
      <c r="E1773" s="4"/>
      <c r="F1773" s="4"/>
    </row>
    <row r="1774" spans="2:6" x14ac:dyDescent="0.3">
      <c r="B1774" s="4"/>
      <c r="C1774" s="4"/>
      <c r="D1774" s="4"/>
      <c r="E1774" s="4"/>
      <c r="F1774" s="4"/>
    </row>
    <row r="1775" spans="2:6" x14ac:dyDescent="0.3">
      <c r="B1775" s="4"/>
      <c r="C1775" s="4"/>
      <c r="D1775" s="4"/>
      <c r="E1775" s="4"/>
      <c r="F1775" s="4"/>
    </row>
    <row r="1776" spans="2:6" x14ac:dyDescent="0.3">
      <c r="B1776" s="4"/>
      <c r="C1776" s="4"/>
      <c r="D1776" s="4"/>
      <c r="E1776" s="4"/>
      <c r="F1776" s="4"/>
    </row>
    <row r="1777" spans="2:6" x14ac:dyDescent="0.3">
      <c r="B1777" s="4"/>
      <c r="C1777" s="4"/>
      <c r="D1777" s="4"/>
      <c r="E1777" s="4"/>
      <c r="F1777" s="4"/>
    </row>
    <row r="1778" spans="2:6" x14ac:dyDescent="0.3">
      <c r="B1778" s="4"/>
      <c r="C1778" s="4"/>
      <c r="D1778" s="4"/>
      <c r="E1778" s="4"/>
      <c r="F1778" s="4"/>
    </row>
    <row r="1779" spans="2:6" x14ac:dyDescent="0.3">
      <c r="B1779" s="4"/>
      <c r="C1779" s="4"/>
      <c r="D1779" s="4"/>
      <c r="E1779" s="4"/>
      <c r="F1779" s="4"/>
    </row>
    <row r="1780" spans="2:6" x14ac:dyDescent="0.3">
      <c r="B1780" s="4"/>
      <c r="C1780" s="4"/>
      <c r="D1780" s="4"/>
      <c r="E1780" s="4"/>
      <c r="F1780" s="4"/>
    </row>
    <row r="1781" spans="2:6" x14ac:dyDescent="0.3">
      <c r="B1781" s="4"/>
      <c r="C1781" s="4"/>
      <c r="D1781" s="4"/>
      <c r="E1781" s="4"/>
      <c r="F1781" s="4"/>
    </row>
    <row r="1782" spans="2:6" x14ac:dyDescent="0.3">
      <c r="B1782" s="4"/>
      <c r="C1782" s="4"/>
      <c r="D1782" s="4"/>
      <c r="E1782" s="4"/>
      <c r="F1782" s="4"/>
    </row>
    <row r="1783" spans="2:6" x14ac:dyDescent="0.3">
      <c r="B1783" s="4"/>
      <c r="C1783" s="4"/>
      <c r="D1783" s="4"/>
      <c r="E1783" s="4"/>
      <c r="F1783" s="4"/>
    </row>
    <row r="1784" spans="2:6" x14ac:dyDescent="0.3">
      <c r="B1784" s="4"/>
      <c r="C1784" s="4"/>
      <c r="D1784" s="4"/>
      <c r="E1784" s="4"/>
      <c r="F1784" s="4"/>
    </row>
    <row r="1785" spans="2:6" x14ac:dyDescent="0.3">
      <c r="B1785" s="4"/>
      <c r="C1785" s="4"/>
      <c r="D1785" s="4"/>
      <c r="E1785" s="4"/>
      <c r="F1785" s="4"/>
    </row>
    <row r="1786" spans="2:6" x14ac:dyDescent="0.3">
      <c r="B1786" s="4"/>
      <c r="C1786" s="4"/>
      <c r="D1786" s="4"/>
      <c r="E1786" s="4"/>
      <c r="F1786" s="4"/>
    </row>
    <row r="1787" spans="2:6" x14ac:dyDescent="0.3">
      <c r="B1787" s="4"/>
      <c r="C1787" s="4"/>
      <c r="D1787" s="4"/>
      <c r="E1787" s="4"/>
      <c r="F1787" s="4"/>
    </row>
    <row r="1788" spans="2:6" x14ac:dyDescent="0.3">
      <c r="B1788" s="4"/>
      <c r="C1788" s="4"/>
      <c r="D1788" s="4"/>
      <c r="E1788" s="4"/>
      <c r="F1788" s="4"/>
    </row>
    <row r="1789" spans="2:6" x14ac:dyDescent="0.3">
      <c r="B1789" s="4"/>
      <c r="C1789" s="4"/>
      <c r="D1789" s="4"/>
      <c r="E1789" s="4"/>
      <c r="F1789" s="4"/>
    </row>
    <row r="1790" spans="2:6" x14ac:dyDescent="0.3">
      <c r="B1790" s="4"/>
      <c r="C1790" s="4"/>
      <c r="D1790" s="4"/>
      <c r="E1790" s="4"/>
      <c r="F1790" s="4"/>
    </row>
    <row r="1791" spans="2:6" x14ac:dyDescent="0.3">
      <c r="B1791" s="4"/>
      <c r="C1791" s="4"/>
      <c r="D1791" s="4"/>
      <c r="E1791" s="4"/>
      <c r="F1791" s="4"/>
    </row>
    <row r="1792" spans="2:6" x14ac:dyDescent="0.3">
      <c r="B1792" s="4"/>
      <c r="C1792" s="4"/>
      <c r="D1792" s="4"/>
      <c r="E1792" s="4"/>
      <c r="F1792" s="4"/>
    </row>
    <row r="1793" spans="2:6" x14ac:dyDescent="0.3">
      <c r="B1793" s="4"/>
      <c r="C1793" s="4"/>
      <c r="D1793" s="4"/>
      <c r="E1793" s="4"/>
      <c r="F1793" s="4"/>
    </row>
    <row r="1794" spans="2:6" x14ac:dyDescent="0.3">
      <c r="B1794" s="4"/>
      <c r="C1794" s="4"/>
      <c r="D1794" s="4"/>
      <c r="E1794" s="4"/>
      <c r="F1794" s="4"/>
    </row>
    <row r="1795" spans="2:6" x14ac:dyDescent="0.3">
      <c r="B1795" s="4"/>
      <c r="C1795" s="4"/>
      <c r="D1795" s="4"/>
      <c r="E1795" s="4"/>
      <c r="F1795" s="4"/>
    </row>
    <row r="1796" spans="2:6" x14ac:dyDescent="0.3">
      <c r="B1796" s="4"/>
      <c r="C1796" s="4"/>
      <c r="D1796" s="4"/>
      <c r="E1796" s="4"/>
      <c r="F1796" s="4"/>
    </row>
    <row r="1797" spans="2:6" x14ac:dyDescent="0.3">
      <c r="B1797" s="4"/>
      <c r="C1797" s="4"/>
      <c r="D1797" s="4"/>
      <c r="E1797" s="4"/>
      <c r="F1797" s="4"/>
    </row>
    <row r="1798" spans="2:6" x14ac:dyDescent="0.3">
      <c r="B1798" s="4"/>
      <c r="C1798" s="4"/>
      <c r="D1798" s="4"/>
      <c r="E1798" s="4"/>
      <c r="F1798" s="4"/>
    </row>
    <row r="1799" spans="2:6" x14ac:dyDescent="0.3">
      <c r="B1799" s="4"/>
      <c r="C1799" s="4"/>
      <c r="D1799" s="4"/>
      <c r="E1799" s="4"/>
      <c r="F1799" s="4"/>
    </row>
    <row r="1800" spans="2:6" x14ac:dyDescent="0.3">
      <c r="B1800" s="4"/>
      <c r="C1800" s="4"/>
      <c r="D1800" s="4"/>
      <c r="E1800" s="4"/>
      <c r="F1800" s="4"/>
    </row>
    <row r="1801" spans="2:6" x14ac:dyDescent="0.3">
      <c r="B1801" s="4"/>
      <c r="C1801" s="4"/>
      <c r="D1801" s="4"/>
      <c r="E1801" s="4"/>
      <c r="F1801" s="4"/>
    </row>
    <row r="1802" spans="2:6" x14ac:dyDescent="0.3">
      <c r="B1802" s="4"/>
      <c r="C1802" s="4"/>
      <c r="D1802" s="4"/>
      <c r="E1802" s="4"/>
      <c r="F1802" s="4"/>
    </row>
    <row r="1803" spans="2:6" x14ac:dyDescent="0.3">
      <c r="B1803" s="4"/>
      <c r="C1803" s="4"/>
      <c r="D1803" s="4"/>
      <c r="E1803" s="4"/>
      <c r="F1803" s="4"/>
    </row>
    <row r="1804" spans="2:6" x14ac:dyDescent="0.3">
      <c r="B1804" s="4"/>
      <c r="C1804" s="4"/>
      <c r="D1804" s="4"/>
      <c r="E1804" s="4"/>
      <c r="F1804" s="4"/>
    </row>
    <row r="1805" spans="2:6" x14ac:dyDescent="0.3">
      <c r="B1805" s="4"/>
      <c r="C1805" s="4"/>
      <c r="D1805" s="4"/>
      <c r="E1805" s="4"/>
      <c r="F1805" s="4"/>
    </row>
    <row r="1806" spans="2:6" x14ac:dyDescent="0.3">
      <c r="B1806" s="4"/>
      <c r="C1806" s="4"/>
      <c r="D1806" s="4"/>
      <c r="E1806" s="4"/>
      <c r="F1806" s="4"/>
    </row>
    <row r="1807" spans="2:6" x14ac:dyDescent="0.3">
      <c r="B1807" s="4"/>
      <c r="C1807" s="4"/>
      <c r="D1807" s="4"/>
      <c r="E1807" s="4"/>
      <c r="F1807" s="4"/>
    </row>
    <row r="1808" spans="2:6" x14ac:dyDescent="0.3">
      <c r="B1808" s="4"/>
      <c r="C1808" s="4"/>
      <c r="D1808" s="4"/>
      <c r="E1808" s="4"/>
      <c r="F1808" s="4"/>
    </row>
    <row r="1809" spans="2:6" x14ac:dyDescent="0.3">
      <c r="B1809" s="4"/>
      <c r="C1809" s="4"/>
      <c r="D1809" s="4"/>
      <c r="E1809" s="4"/>
      <c r="F1809" s="4"/>
    </row>
    <row r="1810" spans="2:6" x14ac:dyDescent="0.3">
      <c r="B1810" s="4"/>
      <c r="C1810" s="4"/>
      <c r="D1810" s="4"/>
      <c r="E1810" s="4"/>
      <c r="F1810" s="4"/>
    </row>
    <row r="1811" spans="2:6" x14ac:dyDescent="0.3">
      <c r="B1811" s="4"/>
      <c r="C1811" s="4"/>
      <c r="D1811" s="4"/>
      <c r="E1811" s="4"/>
      <c r="F1811" s="4"/>
    </row>
    <row r="1812" spans="2:6" x14ac:dyDescent="0.3">
      <c r="B1812" s="4"/>
      <c r="C1812" s="4"/>
      <c r="D1812" s="4"/>
      <c r="E1812" s="4"/>
      <c r="F1812" s="4"/>
    </row>
    <row r="1813" spans="2:6" x14ac:dyDescent="0.3">
      <c r="B1813" s="4"/>
      <c r="C1813" s="4"/>
      <c r="D1813" s="4"/>
      <c r="E1813" s="4"/>
      <c r="F1813" s="4"/>
    </row>
    <row r="1814" spans="2:6" x14ac:dyDescent="0.3">
      <c r="B1814" s="4"/>
      <c r="C1814" s="4"/>
      <c r="D1814" s="4"/>
      <c r="E1814" s="4"/>
      <c r="F1814" s="4"/>
    </row>
    <row r="1815" spans="2:6" x14ac:dyDescent="0.3">
      <c r="B1815" s="4"/>
      <c r="C1815" s="4"/>
      <c r="D1815" s="4"/>
      <c r="E1815" s="4"/>
      <c r="F1815" s="4"/>
    </row>
    <row r="1816" spans="2:6" x14ac:dyDescent="0.3">
      <c r="B1816" s="4"/>
      <c r="C1816" s="4"/>
      <c r="D1816" s="4"/>
      <c r="E1816" s="4"/>
      <c r="F1816" s="4"/>
    </row>
    <row r="1817" spans="2:6" x14ac:dyDescent="0.3">
      <c r="B1817" s="4"/>
      <c r="C1817" s="4"/>
      <c r="D1817" s="4"/>
      <c r="E1817" s="4"/>
      <c r="F1817" s="4"/>
    </row>
    <row r="1818" spans="2:6" x14ac:dyDescent="0.3">
      <c r="B1818" s="4"/>
      <c r="C1818" s="4"/>
      <c r="D1818" s="4"/>
      <c r="E1818" s="4"/>
      <c r="F1818" s="4"/>
    </row>
    <row r="1819" spans="2:6" x14ac:dyDescent="0.3">
      <c r="B1819" s="4"/>
      <c r="C1819" s="4"/>
      <c r="D1819" s="4"/>
      <c r="E1819" s="4"/>
      <c r="F1819" s="4"/>
    </row>
    <row r="1820" spans="2:6" x14ac:dyDescent="0.3">
      <c r="B1820" s="4"/>
      <c r="C1820" s="4"/>
      <c r="D1820" s="4"/>
      <c r="E1820" s="4"/>
      <c r="F1820" s="4"/>
    </row>
    <row r="1821" spans="2:6" x14ac:dyDescent="0.3">
      <c r="B1821" s="4"/>
      <c r="C1821" s="4"/>
      <c r="D1821" s="4"/>
      <c r="E1821" s="4"/>
      <c r="F1821" s="4"/>
    </row>
    <row r="1822" spans="2:6" x14ac:dyDescent="0.3">
      <c r="B1822" s="4"/>
      <c r="C1822" s="4"/>
      <c r="D1822" s="4"/>
      <c r="E1822" s="4"/>
      <c r="F1822" s="4"/>
    </row>
    <row r="1823" spans="2:6" x14ac:dyDescent="0.3">
      <c r="B1823" s="4"/>
      <c r="C1823" s="4"/>
      <c r="D1823" s="4"/>
      <c r="E1823" s="4"/>
      <c r="F1823" s="4"/>
    </row>
    <row r="1824" spans="2:6" x14ac:dyDescent="0.3">
      <c r="B1824" s="4"/>
      <c r="C1824" s="4"/>
      <c r="D1824" s="4"/>
      <c r="E1824" s="4"/>
      <c r="F1824" s="4"/>
    </row>
    <row r="1825" spans="2:6" x14ac:dyDescent="0.3">
      <c r="B1825" s="4"/>
      <c r="C1825" s="4"/>
      <c r="D1825" s="4"/>
      <c r="E1825" s="4"/>
      <c r="F1825" s="4"/>
    </row>
    <row r="1826" spans="2:6" x14ac:dyDescent="0.3">
      <c r="B1826" s="4"/>
      <c r="C1826" s="4"/>
      <c r="D1826" s="4"/>
      <c r="E1826" s="4"/>
      <c r="F1826" s="4"/>
    </row>
    <row r="1827" spans="2:6" x14ac:dyDescent="0.3">
      <c r="B1827" s="4"/>
      <c r="C1827" s="4"/>
      <c r="D1827" s="4"/>
      <c r="E1827" s="4"/>
      <c r="F1827" s="4"/>
    </row>
    <row r="1828" spans="2:6" x14ac:dyDescent="0.3">
      <c r="B1828" s="4"/>
      <c r="C1828" s="4"/>
      <c r="D1828" s="4"/>
      <c r="E1828" s="4"/>
      <c r="F1828" s="4"/>
    </row>
    <row r="1829" spans="2:6" x14ac:dyDescent="0.3">
      <c r="B1829" s="4"/>
      <c r="C1829" s="4"/>
      <c r="D1829" s="4"/>
      <c r="E1829" s="4"/>
      <c r="F1829" s="4"/>
    </row>
    <row r="1830" spans="2:6" x14ac:dyDescent="0.3">
      <c r="B1830" s="4"/>
      <c r="C1830" s="4"/>
      <c r="D1830" s="4"/>
      <c r="E1830" s="4"/>
      <c r="F1830" s="4"/>
    </row>
    <row r="1831" spans="2:6" x14ac:dyDescent="0.3">
      <c r="B1831" s="4"/>
      <c r="C1831" s="4"/>
      <c r="D1831" s="4"/>
      <c r="E1831" s="4"/>
      <c r="F1831" s="4"/>
    </row>
    <row r="1832" spans="2:6" x14ac:dyDescent="0.3">
      <c r="B1832" s="4"/>
      <c r="C1832" s="4"/>
      <c r="D1832" s="4"/>
      <c r="E1832" s="4"/>
      <c r="F1832" s="4"/>
    </row>
    <row r="1833" spans="2:6" x14ac:dyDescent="0.3">
      <c r="B1833" s="4"/>
      <c r="C1833" s="4"/>
      <c r="D1833" s="4"/>
      <c r="E1833" s="4"/>
      <c r="F1833" s="4"/>
    </row>
    <row r="1834" spans="2:6" x14ac:dyDescent="0.3">
      <c r="B1834" s="4"/>
      <c r="C1834" s="4"/>
      <c r="D1834" s="4"/>
      <c r="E1834" s="4"/>
      <c r="F1834" s="4"/>
    </row>
    <row r="1835" spans="2:6" x14ac:dyDescent="0.3">
      <c r="B1835" s="4"/>
      <c r="C1835" s="4"/>
      <c r="D1835" s="4"/>
      <c r="E1835" s="4"/>
      <c r="F1835" s="4"/>
    </row>
    <row r="1836" spans="2:6" x14ac:dyDescent="0.3">
      <c r="B1836" s="4"/>
      <c r="C1836" s="4"/>
      <c r="D1836" s="4"/>
      <c r="E1836" s="4"/>
      <c r="F1836" s="4"/>
    </row>
    <row r="1837" spans="2:6" x14ac:dyDescent="0.3">
      <c r="B1837" s="4"/>
      <c r="C1837" s="4"/>
      <c r="D1837" s="4"/>
      <c r="E1837" s="4"/>
      <c r="F1837" s="4"/>
    </row>
    <row r="1838" spans="2:6" x14ac:dyDescent="0.3">
      <c r="B1838" s="4"/>
      <c r="C1838" s="4"/>
      <c r="D1838" s="4"/>
      <c r="E1838" s="4"/>
      <c r="F1838" s="4"/>
    </row>
    <row r="1839" spans="2:6" x14ac:dyDescent="0.3">
      <c r="B1839" s="4"/>
      <c r="C1839" s="4"/>
      <c r="D1839" s="4"/>
      <c r="E1839" s="4"/>
      <c r="F1839" s="4"/>
    </row>
    <row r="1840" spans="2:6" x14ac:dyDescent="0.3">
      <c r="B1840" s="4"/>
      <c r="C1840" s="4"/>
      <c r="D1840" s="4"/>
      <c r="E1840" s="4"/>
      <c r="F1840" s="4"/>
    </row>
    <row r="1841" spans="2:6" x14ac:dyDescent="0.3">
      <c r="B1841" s="4"/>
      <c r="C1841" s="4"/>
      <c r="D1841" s="4"/>
      <c r="E1841" s="4"/>
      <c r="F1841" s="4"/>
    </row>
    <row r="1842" spans="2:6" x14ac:dyDescent="0.3">
      <c r="B1842" s="4"/>
      <c r="C1842" s="4"/>
      <c r="D1842" s="4"/>
      <c r="E1842" s="4"/>
      <c r="F1842" s="4"/>
    </row>
    <row r="1843" spans="2:6" x14ac:dyDescent="0.3">
      <c r="B1843" s="4"/>
      <c r="C1843" s="4"/>
      <c r="D1843" s="4"/>
      <c r="E1843" s="4"/>
      <c r="F1843" s="4"/>
    </row>
    <row r="1844" spans="2:6" x14ac:dyDescent="0.3">
      <c r="B1844" s="4"/>
      <c r="C1844" s="4"/>
      <c r="D1844" s="4"/>
      <c r="E1844" s="4"/>
      <c r="F1844" s="4"/>
    </row>
    <row r="1845" spans="2:6" x14ac:dyDescent="0.3">
      <c r="B1845" s="4"/>
      <c r="C1845" s="4"/>
      <c r="D1845" s="4"/>
      <c r="E1845" s="4"/>
      <c r="F1845" s="4"/>
    </row>
    <row r="1846" spans="2:6" x14ac:dyDescent="0.3">
      <c r="B1846" s="4"/>
      <c r="C1846" s="4"/>
      <c r="D1846" s="4"/>
      <c r="E1846" s="4"/>
      <c r="F1846" s="4"/>
    </row>
    <row r="1847" spans="2:6" x14ac:dyDescent="0.3">
      <c r="B1847" s="4"/>
      <c r="C1847" s="4"/>
      <c r="D1847" s="4"/>
      <c r="E1847" s="4"/>
      <c r="F1847" s="4"/>
    </row>
    <row r="1848" spans="2:6" x14ac:dyDescent="0.3">
      <c r="B1848" s="4"/>
      <c r="C1848" s="4"/>
      <c r="D1848" s="4"/>
      <c r="E1848" s="4"/>
      <c r="F1848" s="4"/>
    </row>
    <row r="1849" spans="2:6" x14ac:dyDescent="0.3">
      <c r="B1849" s="4"/>
      <c r="C1849" s="4"/>
      <c r="D1849" s="4"/>
      <c r="E1849" s="4"/>
      <c r="F1849" s="4"/>
    </row>
    <row r="1850" spans="2:6" x14ac:dyDescent="0.3">
      <c r="B1850" s="4"/>
      <c r="C1850" s="4"/>
      <c r="D1850" s="4"/>
      <c r="E1850" s="4"/>
      <c r="F1850" s="4"/>
    </row>
    <row r="1851" spans="2:6" x14ac:dyDescent="0.3">
      <c r="B1851" s="4"/>
      <c r="C1851" s="4"/>
      <c r="D1851" s="4"/>
      <c r="E1851" s="4"/>
      <c r="F1851" s="4"/>
    </row>
    <row r="1852" spans="2:6" x14ac:dyDescent="0.3">
      <c r="B1852" s="4"/>
      <c r="C1852" s="4"/>
      <c r="D1852" s="4"/>
      <c r="E1852" s="4"/>
      <c r="F1852" s="4"/>
    </row>
    <row r="1853" spans="2:6" x14ac:dyDescent="0.3">
      <c r="B1853" s="4"/>
      <c r="C1853" s="4"/>
      <c r="D1853" s="4"/>
      <c r="E1853" s="4"/>
      <c r="F1853" s="4"/>
    </row>
    <row r="1854" spans="2:6" x14ac:dyDescent="0.3">
      <c r="B1854" s="4"/>
      <c r="C1854" s="4"/>
      <c r="D1854" s="4"/>
      <c r="E1854" s="4"/>
      <c r="F1854" s="4"/>
    </row>
    <row r="1855" spans="2:6" x14ac:dyDescent="0.3">
      <c r="B1855" s="4"/>
      <c r="C1855" s="4"/>
      <c r="D1855" s="4"/>
      <c r="E1855" s="4"/>
      <c r="F1855" s="4"/>
    </row>
    <row r="1856" spans="2:6" x14ac:dyDescent="0.3">
      <c r="B1856" s="4"/>
      <c r="C1856" s="4"/>
      <c r="D1856" s="4"/>
      <c r="E1856" s="4"/>
      <c r="F1856" s="4"/>
    </row>
    <row r="1857" spans="2:6" x14ac:dyDescent="0.3">
      <c r="B1857" s="4"/>
      <c r="C1857" s="4"/>
      <c r="D1857" s="4"/>
      <c r="E1857" s="4"/>
      <c r="F1857" s="4"/>
    </row>
    <row r="1858" spans="2:6" x14ac:dyDescent="0.3">
      <c r="B1858" s="4"/>
      <c r="C1858" s="4"/>
      <c r="D1858" s="4"/>
      <c r="E1858" s="4"/>
      <c r="F1858" s="4"/>
    </row>
    <row r="1859" spans="2:6" x14ac:dyDescent="0.3">
      <c r="B1859" s="4"/>
      <c r="C1859" s="4"/>
      <c r="D1859" s="4"/>
      <c r="E1859" s="4"/>
      <c r="F1859" s="4"/>
    </row>
    <row r="1860" spans="2:6" x14ac:dyDescent="0.3">
      <c r="B1860" s="4"/>
      <c r="C1860" s="4"/>
      <c r="D1860" s="4"/>
      <c r="E1860" s="4"/>
      <c r="F1860" s="4"/>
    </row>
    <row r="1861" spans="2:6" x14ac:dyDescent="0.3">
      <c r="B1861" s="4"/>
      <c r="C1861" s="4"/>
      <c r="D1861" s="4"/>
      <c r="E1861" s="4"/>
      <c r="F1861" s="4"/>
    </row>
    <row r="1862" spans="2:6" x14ac:dyDescent="0.3">
      <c r="B1862" s="4"/>
      <c r="C1862" s="4"/>
      <c r="D1862" s="4"/>
      <c r="E1862" s="4"/>
      <c r="F1862" s="4"/>
    </row>
    <row r="1863" spans="2:6" x14ac:dyDescent="0.3">
      <c r="B1863" s="4"/>
      <c r="C1863" s="4"/>
      <c r="D1863" s="4"/>
      <c r="E1863" s="4"/>
      <c r="F1863" s="4"/>
    </row>
    <row r="1864" spans="2:6" x14ac:dyDescent="0.3">
      <c r="B1864" s="4"/>
      <c r="C1864" s="4"/>
      <c r="D1864" s="4"/>
      <c r="E1864" s="4"/>
      <c r="F1864" s="4"/>
    </row>
    <row r="1865" spans="2:6" x14ac:dyDescent="0.3">
      <c r="B1865" s="4"/>
      <c r="C1865" s="4"/>
      <c r="D1865" s="4"/>
      <c r="E1865" s="4"/>
      <c r="F1865" s="4"/>
    </row>
    <row r="1866" spans="2:6" x14ac:dyDescent="0.3">
      <c r="B1866" s="4"/>
      <c r="C1866" s="4"/>
      <c r="D1866" s="4"/>
      <c r="E1866" s="4"/>
      <c r="F1866" s="4"/>
    </row>
    <row r="1867" spans="2:6" x14ac:dyDescent="0.3">
      <c r="B1867" s="4"/>
      <c r="C1867" s="4"/>
      <c r="D1867" s="4"/>
      <c r="E1867" s="4"/>
      <c r="F1867" s="4"/>
    </row>
    <row r="1868" spans="2:6" x14ac:dyDescent="0.3">
      <c r="B1868" s="4"/>
      <c r="C1868" s="4"/>
      <c r="D1868" s="4"/>
      <c r="E1868" s="4"/>
      <c r="F1868" s="4"/>
    </row>
    <row r="1869" spans="2:6" x14ac:dyDescent="0.3">
      <c r="B1869" s="4"/>
      <c r="C1869" s="4"/>
      <c r="D1869" s="4"/>
      <c r="E1869" s="4"/>
      <c r="F1869" s="4"/>
    </row>
    <row r="1870" spans="2:6" x14ac:dyDescent="0.3">
      <c r="B1870" s="4"/>
      <c r="C1870" s="4"/>
      <c r="D1870" s="4"/>
      <c r="E1870" s="4"/>
      <c r="F1870" s="4"/>
    </row>
    <row r="1871" spans="2:6" x14ac:dyDescent="0.3">
      <c r="B1871" s="4"/>
      <c r="C1871" s="4"/>
      <c r="D1871" s="4"/>
      <c r="E1871" s="4"/>
      <c r="F1871" s="4"/>
    </row>
    <row r="1872" spans="2:6" x14ac:dyDescent="0.3">
      <c r="B1872" s="4"/>
      <c r="C1872" s="4"/>
      <c r="D1872" s="4"/>
      <c r="E1872" s="4"/>
      <c r="F1872" s="4"/>
    </row>
    <row r="1873" spans="2:6" x14ac:dyDescent="0.3">
      <c r="B1873" s="4"/>
      <c r="C1873" s="4"/>
      <c r="D1873" s="4"/>
      <c r="E1873" s="4"/>
      <c r="F1873" s="4"/>
    </row>
    <row r="1874" spans="2:6" x14ac:dyDescent="0.3">
      <c r="B1874" s="4"/>
      <c r="C1874" s="4"/>
      <c r="D1874" s="4"/>
      <c r="E1874" s="4"/>
      <c r="F1874" s="4"/>
    </row>
    <row r="1875" spans="2:6" x14ac:dyDescent="0.3">
      <c r="B1875" s="4"/>
      <c r="C1875" s="4"/>
      <c r="D1875" s="4"/>
      <c r="E1875" s="4"/>
      <c r="F1875" s="4"/>
    </row>
    <row r="1876" spans="2:6" x14ac:dyDescent="0.3">
      <c r="B1876" s="4"/>
      <c r="C1876" s="4"/>
      <c r="D1876" s="4"/>
      <c r="E1876" s="4"/>
      <c r="F1876" s="4"/>
    </row>
    <row r="1877" spans="2:6" x14ac:dyDescent="0.3">
      <c r="B1877" s="4"/>
      <c r="C1877" s="4"/>
      <c r="D1877" s="4"/>
      <c r="E1877" s="4"/>
      <c r="F1877" s="4"/>
    </row>
    <row r="1878" spans="2:6" x14ac:dyDescent="0.3">
      <c r="B1878" s="4"/>
      <c r="C1878" s="4"/>
      <c r="D1878" s="4"/>
      <c r="E1878" s="4"/>
      <c r="F1878" s="4"/>
    </row>
    <row r="1879" spans="2:6" x14ac:dyDescent="0.3">
      <c r="B1879" s="4"/>
      <c r="C1879" s="4"/>
      <c r="D1879" s="4"/>
      <c r="E1879" s="4"/>
      <c r="F1879" s="4"/>
    </row>
    <row r="1880" spans="2:6" x14ac:dyDescent="0.3">
      <c r="B1880" s="4"/>
      <c r="C1880" s="4"/>
      <c r="D1880" s="4"/>
      <c r="E1880" s="4"/>
      <c r="F1880" s="4"/>
    </row>
    <row r="1881" spans="2:6" x14ac:dyDescent="0.3">
      <c r="B1881" s="4"/>
      <c r="C1881" s="4"/>
      <c r="D1881" s="4"/>
      <c r="E1881" s="4"/>
      <c r="F1881" s="4"/>
    </row>
    <row r="1882" spans="2:6" x14ac:dyDescent="0.3">
      <c r="B1882" s="4"/>
      <c r="C1882" s="4"/>
      <c r="D1882" s="4"/>
      <c r="E1882" s="4"/>
      <c r="F1882" s="4"/>
    </row>
    <row r="1883" spans="2:6" x14ac:dyDescent="0.3">
      <c r="B1883" s="4"/>
      <c r="C1883" s="4"/>
      <c r="D1883" s="4"/>
      <c r="E1883" s="4"/>
      <c r="F1883" s="4"/>
    </row>
    <row r="1884" spans="2:6" x14ac:dyDescent="0.3">
      <c r="B1884" s="4"/>
      <c r="C1884" s="4"/>
      <c r="D1884" s="4"/>
      <c r="E1884" s="4"/>
      <c r="F1884" s="4"/>
    </row>
    <row r="1885" spans="2:6" x14ac:dyDescent="0.3">
      <c r="B1885" s="4"/>
      <c r="C1885" s="4"/>
      <c r="D1885" s="4"/>
      <c r="E1885" s="4"/>
      <c r="F1885" s="4"/>
    </row>
    <row r="1886" spans="2:6" x14ac:dyDescent="0.3">
      <c r="B1886" s="4"/>
      <c r="C1886" s="4"/>
      <c r="D1886" s="4"/>
      <c r="E1886" s="4"/>
      <c r="F1886" s="4"/>
    </row>
    <row r="1887" spans="2:6" x14ac:dyDescent="0.3">
      <c r="B1887" s="4"/>
      <c r="C1887" s="4"/>
      <c r="D1887" s="4"/>
      <c r="E1887" s="4"/>
      <c r="F1887" s="4"/>
    </row>
    <row r="1888" spans="2:6" x14ac:dyDescent="0.3">
      <c r="B1888" s="4"/>
      <c r="C1888" s="4"/>
      <c r="D1888" s="4"/>
      <c r="E1888" s="4"/>
      <c r="F1888" s="4"/>
    </row>
    <row r="1889" spans="2:6" x14ac:dyDescent="0.3">
      <c r="B1889" s="4"/>
      <c r="C1889" s="4"/>
      <c r="D1889" s="4"/>
      <c r="E1889" s="4"/>
      <c r="F1889" s="4"/>
    </row>
    <row r="1890" spans="2:6" x14ac:dyDescent="0.3">
      <c r="B1890" s="4"/>
      <c r="C1890" s="4"/>
      <c r="D1890" s="4"/>
      <c r="E1890" s="4"/>
      <c r="F1890" s="4"/>
    </row>
    <row r="1891" spans="2:6" x14ac:dyDescent="0.3">
      <c r="B1891" s="4"/>
      <c r="C1891" s="4"/>
      <c r="D1891" s="4"/>
      <c r="E1891" s="4"/>
      <c r="F1891" s="4"/>
    </row>
    <row r="1892" spans="2:6" x14ac:dyDescent="0.3">
      <c r="B1892" s="4"/>
      <c r="C1892" s="4"/>
      <c r="D1892" s="4"/>
      <c r="E1892" s="4"/>
      <c r="F1892" s="4"/>
    </row>
    <row r="1893" spans="2:6" x14ac:dyDescent="0.3">
      <c r="B1893" s="4"/>
      <c r="C1893" s="4"/>
      <c r="D1893" s="4"/>
      <c r="E1893" s="4"/>
      <c r="F1893" s="4"/>
    </row>
    <row r="1894" spans="2:6" x14ac:dyDescent="0.3">
      <c r="B1894" s="4"/>
      <c r="C1894" s="4"/>
      <c r="D1894" s="4"/>
      <c r="E1894" s="4"/>
      <c r="F1894" s="4"/>
    </row>
    <row r="1895" spans="2:6" x14ac:dyDescent="0.3">
      <c r="B1895" s="4"/>
      <c r="C1895" s="4"/>
      <c r="D1895" s="4"/>
      <c r="E1895" s="4"/>
      <c r="F1895" s="4"/>
    </row>
    <row r="1896" spans="2:6" x14ac:dyDescent="0.3">
      <c r="B1896" s="4"/>
      <c r="C1896" s="4"/>
      <c r="D1896" s="4"/>
      <c r="E1896" s="4"/>
      <c r="F1896" s="4"/>
    </row>
    <row r="1897" spans="2:6" x14ac:dyDescent="0.3">
      <c r="B1897" s="4"/>
      <c r="C1897" s="4"/>
      <c r="D1897" s="4"/>
      <c r="E1897" s="4"/>
      <c r="F1897" s="4"/>
    </row>
    <row r="1898" spans="2:6" x14ac:dyDescent="0.3">
      <c r="B1898" s="4"/>
      <c r="C1898" s="4"/>
      <c r="D1898" s="4"/>
      <c r="E1898" s="4"/>
      <c r="F1898" s="4"/>
    </row>
    <row r="1899" spans="2:6" x14ac:dyDescent="0.3">
      <c r="B1899" s="4"/>
      <c r="C1899" s="4"/>
      <c r="D1899" s="4"/>
      <c r="E1899" s="4"/>
      <c r="F1899" s="4"/>
    </row>
    <row r="1900" spans="2:6" x14ac:dyDescent="0.3">
      <c r="B1900" s="4"/>
      <c r="C1900" s="4"/>
      <c r="D1900" s="4"/>
      <c r="E1900" s="4"/>
      <c r="F1900" s="4"/>
    </row>
    <row r="1901" spans="2:6" x14ac:dyDescent="0.3">
      <c r="B1901" s="4"/>
      <c r="C1901" s="4"/>
      <c r="D1901" s="4"/>
      <c r="E1901" s="4"/>
      <c r="F1901" s="4"/>
    </row>
    <row r="1902" spans="2:6" x14ac:dyDescent="0.3">
      <c r="B1902" s="4"/>
      <c r="C1902" s="4"/>
      <c r="D1902" s="4"/>
      <c r="E1902" s="4"/>
      <c r="F1902" s="4"/>
    </row>
    <row r="1903" spans="2:6" x14ac:dyDescent="0.3">
      <c r="B1903" s="4"/>
      <c r="C1903" s="4"/>
      <c r="D1903" s="4"/>
      <c r="E1903" s="4"/>
      <c r="F1903" s="4"/>
    </row>
    <row r="1904" spans="2:6" x14ac:dyDescent="0.3">
      <c r="B1904" s="4"/>
      <c r="C1904" s="4"/>
      <c r="D1904" s="4"/>
      <c r="E1904" s="4"/>
      <c r="F1904" s="4"/>
    </row>
    <row r="1905" spans="2:6" x14ac:dyDescent="0.3">
      <c r="B1905" s="4"/>
      <c r="C1905" s="4"/>
      <c r="D1905" s="4"/>
      <c r="E1905" s="4"/>
      <c r="F1905" s="4"/>
    </row>
    <row r="1906" spans="2:6" x14ac:dyDescent="0.3">
      <c r="B1906" s="4"/>
      <c r="C1906" s="4"/>
      <c r="D1906" s="4"/>
      <c r="E1906" s="4"/>
      <c r="F1906" s="4"/>
    </row>
    <row r="1907" spans="2:6" x14ac:dyDescent="0.3">
      <c r="B1907" s="4"/>
      <c r="C1907" s="4"/>
      <c r="D1907" s="4"/>
      <c r="E1907" s="4"/>
      <c r="F1907" s="4"/>
    </row>
    <row r="1908" spans="2:6" x14ac:dyDescent="0.3">
      <c r="B1908" s="4"/>
      <c r="C1908" s="4"/>
      <c r="D1908" s="4"/>
      <c r="E1908" s="4"/>
      <c r="F1908" s="4"/>
    </row>
    <row r="1909" spans="2:6" x14ac:dyDescent="0.3">
      <c r="B1909" s="4"/>
      <c r="C1909" s="4"/>
      <c r="D1909" s="4"/>
      <c r="E1909" s="4"/>
      <c r="F1909" s="4"/>
    </row>
    <row r="1910" spans="2:6" x14ac:dyDescent="0.3">
      <c r="B1910" s="4"/>
      <c r="C1910" s="4"/>
      <c r="D1910" s="4"/>
      <c r="E1910" s="4"/>
      <c r="F1910" s="4"/>
    </row>
    <row r="1911" spans="2:6" x14ac:dyDescent="0.3">
      <c r="B1911" s="4"/>
      <c r="C1911" s="4"/>
      <c r="D1911" s="4"/>
      <c r="E1911" s="4"/>
      <c r="F1911" s="4"/>
    </row>
    <row r="1912" spans="2:6" x14ac:dyDescent="0.3">
      <c r="B1912" s="4"/>
      <c r="C1912" s="4"/>
      <c r="D1912" s="4"/>
      <c r="E1912" s="4"/>
      <c r="F1912" s="4"/>
    </row>
    <row r="1913" spans="2:6" x14ac:dyDescent="0.3">
      <c r="B1913" s="4"/>
      <c r="C1913" s="4"/>
      <c r="D1913" s="4"/>
      <c r="E1913" s="4"/>
      <c r="F1913" s="4"/>
    </row>
    <row r="1914" spans="2:6" x14ac:dyDescent="0.3">
      <c r="B1914" s="4"/>
      <c r="C1914" s="4"/>
      <c r="D1914" s="4"/>
      <c r="E1914" s="4"/>
      <c r="F1914" s="4"/>
    </row>
    <row r="1915" spans="2:6" x14ac:dyDescent="0.3">
      <c r="B1915" s="4"/>
      <c r="C1915" s="4"/>
      <c r="D1915" s="4"/>
      <c r="E1915" s="4"/>
      <c r="F1915" s="4"/>
    </row>
    <row r="1916" spans="2:6" x14ac:dyDescent="0.3">
      <c r="B1916" s="4"/>
      <c r="C1916" s="4"/>
      <c r="D1916" s="4"/>
      <c r="E1916" s="4"/>
      <c r="F1916" s="4"/>
    </row>
    <row r="1917" spans="2:6" x14ac:dyDescent="0.3">
      <c r="B1917" s="4"/>
      <c r="C1917" s="4"/>
      <c r="D1917" s="4"/>
      <c r="E1917" s="4"/>
      <c r="F1917" s="4"/>
    </row>
    <row r="1918" spans="2:6" x14ac:dyDescent="0.3">
      <c r="B1918" s="4"/>
      <c r="C1918" s="4"/>
      <c r="D1918" s="4"/>
      <c r="E1918" s="4"/>
      <c r="F1918" s="4"/>
    </row>
    <row r="1919" spans="2:6" x14ac:dyDescent="0.3">
      <c r="B1919" s="4"/>
      <c r="C1919" s="4"/>
      <c r="D1919" s="4"/>
      <c r="E1919" s="4"/>
      <c r="F1919" s="4"/>
    </row>
    <row r="1920" spans="2:6" x14ac:dyDescent="0.3">
      <c r="B1920" s="4"/>
      <c r="C1920" s="4"/>
      <c r="D1920" s="4"/>
      <c r="E1920" s="4"/>
      <c r="F1920" s="4"/>
    </row>
    <row r="1921" spans="2:6" x14ac:dyDescent="0.3">
      <c r="B1921" s="4"/>
      <c r="C1921" s="4"/>
      <c r="D1921" s="4"/>
      <c r="E1921" s="4"/>
      <c r="F1921" s="4"/>
    </row>
    <row r="1922" spans="2:6" x14ac:dyDescent="0.3">
      <c r="B1922" s="4"/>
      <c r="C1922" s="4"/>
      <c r="D1922" s="4"/>
      <c r="E1922" s="4"/>
      <c r="F1922" s="4"/>
    </row>
    <row r="1923" spans="2:6" x14ac:dyDescent="0.3">
      <c r="B1923" s="4"/>
      <c r="C1923" s="4"/>
      <c r="D1923" s="4"/>
      <c r="E1923" s="4"/>
      <c r="F1923" s="4"/>
    </row>
    <row r="1924" spans="2:6" x14ac:dyDescent="0.3">
      <c r="B1924" s="4"/>
      <c r="C1924" s="4"/>
      <c r="D1924" s="4"/>
      <c r="E1924" s="4"/>
      <c r="F1924" s="4"/>
    </row>
    <row r="1925" spans="2:6" x14ac:dyDescent="0.3">
      <c r="B1925" s="4"/>
      <c r="C1925" s="4"/>
      <c r="D1925" s="4"/>
      <c r="E1925" s="4"/>
      <c r="F1925" s="4"/>
    </row>
    <row r="1926" spans="2:6" x14ac:dyDescent="0.3">
      <c r="B1926" s="4"/>
      <c r="C1926" s="4"/>
      <c r="D1926" s="4"/>
      <c r="E1926" s="4"/>
      <c r="F1926" s="4"/>
    </row>
    <row r="1927" spans="2:6" x14ac:dyDescent="0.3">
      <c r="B1927" s="4"/>
      <c r="C1927" s="4"/>
      <c r="D1927" s="4"/>
      <c r="E1927" s="4"/>
      <c r="F1927" s="4"/>
    </row>
    <row r="1928" spans="2:6" x14ac:dyDescent="0.3">
      <c r="B1928" s="4"/>
      <c r="C1928" s="4"/>
      <c r="D1928" s="4"/>
      <c r="E1928" s="4"/>
      <c r="F1928" s="4"/>
    </row>
    <row r="1929" spans="2:6" x14ac:dyDescent="0.3">
      <c r="B1929" s="4"/>
      <c r="C1929" s="4"/>
      <c r="D1929" s="4"/>
      <c r="E1929" s="4"/>
      <c r="F1929" s="4"/>
    </row>
    <row r="1930" spans="2:6" x14ac:dyDescent="0.3">
      <c r="B1930" s="4"/>
      <c r="C1930" s="4"/>
      <c r="D1930" s="4"/>
      <c r="E1930" s="4"/>
      <c r="F1930" s="4"/>
    </row>
    <row r="1931" spans="2:6" x14ac:dyDescent="0.3">
      <c r="B1931" s="4"/>
      <c r="C1931" s="4"/>
      <c r="D1931" s="4"/>
      <c r="E1931" s="4"/>
      <c r="F1931" s="4"/>
    </row>
    <row r="1932" spans="2:6" x14ac:dyDescent="0.3">
      <c r="B1932" s="4"/>
      <c r="C1932" s="4"/>
      <c r="D1932" s="4"/>
      <c r="E1932" s="4"/>
      <c r="F1932" s="4"/>
    </row>
    <row r="1933" spans="2:6" x14ac:dyDescent="0.3">
      <c r="B1933" s="4"/>
      <c r="C1933" s="4"/>
      <c r="D1933" s="4"/>
      <c r="E1933" s="4"/>
      <c r="F1933" s="4"/>
    </row>
    <row r="1934" spans="2:6" x14ac:dyDescent="0.3">
      <c r="B1934" s="4"/>
      <c r="C1934" s="4"/>
      <c r="D1934" s="4"/>
      <c r="E1934" s="4"/>
      <c r="F1934" s="4"/>
    </row>
    <row r="1935" spans="2:6" x14ac:dyDescent="0.3">
      <c r="B1935" s="4"/>
      <c r="C1935" s="4"/>
      <c r="D1935" s="4"/>
      <c r="E1935" s="4"/>
      <c r="F1935" s="4"/>
    </row>
    <row r="1936" spans="2:6" x14ac:dyDescent="0.3">
      <c r="B1936" s="4"/>
      <c r="C1936" s="4"/>
      <c r="D1936" s="4"/>
      <c r="E1936" s="4"/>
      <c r="F1936" s="4"/>
    </row>
    <row r="1937" spans="2:6" x14ac:dyDescent="0.3">
      <c r="B1937" s="4"/>
      <c r="C1937" s="4"/>
      <c r="D1937" s="4"/>
      <c r="E1937" s="4"/>
      <c r="F1937" s="4"/>
    </row>
    <row r="1938" spans="2:6" x14ac:dyDescent="0.3">
      <c r="B1938" s="4"/>
      <c r="C1938" s="4"/>
      <c r="D1938" s="4"/>
      <c r="E1938" s="4"/>
      <c r="F1938" s="4"/>
    </row>
    <row r="1939" spans="2:6" x14ac:dyDescent="0.3">
      <c r="B1939" s="4"/>
      <c r="C1939" s="4"/>
      <c r="D1939" s="4"/>
      <c r="E1939" s="4"/>
      <c r="F1939" s="4"/>
    </row>
    <row r="1940" spans="2:6" x14ac:dyDescent="0.3">
      <c r="B1940" s="4"/>
      <c r="C1940" s="4"/>
      <c r="D1940" s="4"/>
      <c r="E1940" s="4"/>
      <c r="F1940" s="4"/>
    </row>
    <row r="1941" spans="2:6" x14ac:dyDescent="0.3">
      <c r="B1941" s="4"/>
      <c r="C1941" s="4"/>
      <c r="D1941" s="4"/>
      <c r="E1941" s="4"/>
      <c r="F1941" s="4"/>
    </row>
    <row r="1942" spans="2:6" x14ac:dyDescent="0.3">
      <c r="B1942" s="4"/>
      <c r="C1942" s="4"/>
      <c r="D1942" s="4"/>
      <c r="E1942" s="4"/>
      <c r="F1942" s="4"/>
    </row>
    <row r="1943" spans="2:6" x14ac:dyDescent="0.3">
      <c r="B1943" s="4"/>
      <c r="C1943" s="4"/>
      <c r="D1943" s="4"/>
      <c r="E1943" s="4"/>
      <c r="F1943" s="4"/>
    </row>
    <row r="1944" spans="2:6" x14ac:dyDescent="0.3">
      <c r="B1944" s="4"/>
      <c r="C1944" s="4"/>
      <c r="D1944" s="4"/>
      <c r="E1944" s="4"/>
      <c r="F1944" s="4"/>
    </row>
    <row r="1945" spans="2:6" x14ac:dyDescent="0.3">
      <c r="B1945" s="4"/>
      <c r="C1945" s="4"/>
      <c r="D1945" s="4"/>
      <c r="E1945" s="4"/>
      <c r="F1945" s="4"/>
    </row>
    <row r="1946" spans="2:6" x14ac:dyDescent="0.3">
      <c r="B1946" s="4"/>
      <c r="C1946" s="4"/>
      <c r="D1946" s="4"/>
      <c r="E1946" s="4"/>
      <c r="F1946" s="4"/>
    </row>
    <row r="1947" spans="2:6" x14ac:dyDescent="0.3">
      <c r="B1947" s="4"/>
      <c r="C1947" s="4"/>
      <c r="D1947" s="4"/>
      <c r="E1947" s="4"/>
      <c r="F1947" s="4"/>
    </row>
    <row r="1948" spans="2:6" x14ac:dyDescent="0.3">
      <c r="B1948" s="4"/>
      <c r="C1948" s="4"/>
      <c r="D1948" s="4"/>
      <c r="E1948" s="4"/>
      <c r="F1948" s="4"/>
    </row>
    <row r="1949" spans="2:6" x14ac:dyDescent="0.3">
      <c r="B1949" s="4"/>
      <c r="C1949" s="4"/>
      <c r="D1949" s="4"/>
      <c r="E1949" s="4"/>
      <c r="F1949" s="4"/>
    </row>
    <row r="1950" spans="2:6" x14ac:dyDescent="0.3">
      <c r="B1950" s="4"/>
      <c r="C1950" s="4"/>
      <c r="D1950" s="4"/>
      <c r="E1950" s="4"/>
      <c r="F1950" s="4"/>
    </row>
    <row r="1951" spans="2:6" x14ac:dyDescent="0.3">
      <c r="B1951" s="4"/>
      <c r="C1951" s="4"/>
      <c r="D1951" s="4"/>
      <c r="E1951" s="4"/>
      <c r="F1951" s="4"/>
    </row>
    <row r="1952" spans="2:6" x14ac:dyDescent="0.3">
      <c r="B1952" s="4"/>
      <c r="C1952" s="4"/>
      <c r="D1952" s="4"/>
      <c r="E1952" s="4"/>
      <c r="F1952" s="4"/>
    </row>
    <row r="1953" spans="2:6" x14ac:dyDescent="0.3">
      <c r="B1953" s="4"/>
      <c r="C1953" s="4"/>
      <c r="D1953" s="4"/>
      <c r="E1953" s="4"/>
      <c r="F1953" s="4"/>
    </row>
    <row r="1954" spans="2:6" x14ac:dyDescent="0.3">
      <c r="B1954" s="4"/>
      <c r="C1954" s="4"/>
      <c r="D1954" s="4"/>
      <c r="E1954" s="4"/>
      <c r="F1954" s="4"/>
    </row>
    <row r="1955" spans="2:6" x14ac:dyDescent="0.3">
      <c r="B1955" s="4"/>
      <c r="C1955" s="4"/>
      <c r="D1955" s="4"/>
      <c r="E1955" s="4"/>
      <c r="F1955" s="4"/>
    </row>
    <row r="1956" spans="2:6" x14ac:dyDescent="0.3">
      <c r="B1956" s="4"/>
      <c r="C1956" s="4"/>
      <c r="D1956" s="4"/>
      <c r="E1956" s="4"/>
      <c r="F1956" s="4"/>
    </row>
    <row r="1957" spans="2:6" x14ac:dyDescent="0.3">
      <c r="B1957" s="4"/>
      <c r="C1957" s="4"/>
      <c r="D1957" s="4"/>
      <c r="E1957" s="4"/>
      <c r="F1957" s="4"/>
    </row>
    <row r="1958" spans="2:6" x14ac:dyDescent="0.3">
      <c r="B1958" s="4"/>
      <c r="C1958" s="4"/>
      <c r="D1958" s="4"/>
      <c r="E1958" s="4"/>
      <c r="F1958" s="4"/>
    </row>
    <row r="1959" spans="2:6" x14ac:dyDescent="0.3">
      <c r="B1959" s="4"/>
      <c r="C1959" s="4"/>
      <c r="D1959" s="4"/>
      <c r="E1959" s="4"/>
      <c r="F1959" s="4"/>
    </row>
    <row r="1960" spans="2:6" x14ac:dyDescent="0.3">
      <c r="B1960" s="4"/>
      <c r="C1960" s="4"/>
      <c r="D1960" s="4"/>
      <c r="E1960" s="4"/>
      <c r="F1960" s="4"/>
    </row>
    <row r="1961" spans="2:6" x14ac:dyDescent="0.3">
      <c r="B1961" s="4"/>
      <c r="C1961" s="4"/>
      <c r="D1961" s="4"/>
      <c r="E1961" s="4"/>
      <c r="F1961" s="4"/>
    </row>
    <row r="1962" spans="2:6" x14ac:dyDescent="0.3">
      <c r="B1962" s="4"/>
      <c r="C1962" s="4"/>
      <c r="D1962" s="4"/>
      <c r="E1962" s="4"/>
      <c r="F1962" s="4"/>
    </row>
    <row r="1963" spans="2:6" x14ac:dyDescent="0.3">
      <c r="B1963" s="4"/>
      <c r="C1963" s="4"/>
      <c r="D1963" s="4"/>
      <c r="E1963" s="4"/>
      <c r="F1963" s="4"/>
    </row>
    <row r="1964" spans="2:6" x14ac:dyDescent="0.3">
      <c r="B1964" s="4"/>
      <c r="C1964" s="4"/>
      <c r="D1964" s="4"/>
      <c r="E1964" s="4"/>
      <c r="F1964" s="4"/>
    </row>
    <row r="1965" spans="2:6" x14ac:dyDescent="0.3">
      <c r="B1965" s="4"/>
      <c r="C1965" s="4"/>
      <c r="D1965" s="4"/>
      <c r="E1965" s="4"/>
      <c r="F1965" s="4"/>
    </row>
    <row r="1966" spans="2:6" x14ac:dyDescent="0.3">
      <c r="B1966" s="4"/>
      <c r="C1966" s="4"/>
      <c r="D1966" s="4"/>
      <c r="E1966" s="4"/>
      <c r="F1966" s="4"/>
    </row>
    <row r="1967" spans="2:6" x14ac:dyDescent="0.3">
      <c r="B1967" s="4"/>
      <c r="C1967" s="4"/>
      <c r="D1967" s="4"/>
      <c r="E1967" s="4"/>
      <c r="F1967" s="4"/>
    </row>
    <row r="1968" spans="2:6" x14ac:dyDescent="0.3">
      <c r="B1968" s="4"/>
      <c r="C1968" s="4"/>
      <c r="D1968" s="4"/>
      <c r="E1968" s="4"/>
      <c r="F1968" s="4"/>
    </row>
    <row r="1969" spans="2:6" x14ac:dyDescent="0.3">
      <c r="B1969" s="4"/>
      <c r="C1969" s="4"/>
      <c r="D1969" s="4"/>
      <c r="E1969" s="4"/>
      <c r="F1969" s="4"/>
    </row>
    <row r="1970" spans="2:6" x14ac:dyDescent="0.3">
      <c r="B1970" s="4"/>
      <c r="C1970" s="4"/>
      <c r="D1970" s="4"/>
      <c r="E1970" s="4"/>
      <c r="F1970" s="4"/>
    </row>
    <row r="1971" spans="2:6" x14ac:dyDescent="0.3">
      <c r="B1971" s="4"/>
      <c r="C1971" s="4"/>
      <c r="D1971" s="4"/>
      <c r="E1971" s="4"/>
      <c r="F1971" s="4"/>
    </row>
    <row r="1972" spans="2:6" x14ac:dyDescent="0.3">
      <c r="B1972" s="4"/>
      <c r="C1972" s="4"/>
      <c r="D1972" s="4"/>
      <c r="E1972" s="4"/>
      <c r="F1972" s="4"/>
    </row>
    <row r="1973" spans="2:6" x14ac:dyDescent="0.3">
      <c r="B1973" s="4"/>
      <c r="C1973" s="4"/>
      <c r="D1973" s="4"/>
      <c r="E1973" s="4"/>
      <c r="F1973" s="4"/>
    </row>
    <row r="1974" spans="2:6" x14ac:dyDescent="0.3">
      <c r="B1974" s="4"/>
      <c r="C1974" s="4"/>
      <c r="D1974" s="4"/>
      <c r="E1974" s="4"/>
      <c r="F1974" s="4"/>
    </row>
    <row r="1975" spans="2:6" x14ac:dyDescent="0.3">
      <c r="B1975" s="4"/>
      <c r="C1975" s="4"/>
      <c r="D1975" s="4"/>
      <c r="E1975" s="4"/>
      <c r="F1975" s="4"/>
    </row>
    <row r="1976" spans="2:6" x14ac:dyDescent="0.3">
      <c r="B1976" s="4"/>
      <c r="C1976" s="4"/>
      <c r="D1976" s="4"/>
      <c r="E1976" s="4"/>
      <c r="F1976" s="4"/>
    </row>
    <row r="1977" spans="2:6" x14ac:dyDescent="0.3">
      <c r="B1977" s="4"/>
      <c r="C1977" s="4"/>
      <c r="D1977" s="4"/>
      <c r="E1977" s="4"/>
      <c r="F1977" s="4"/>
    </row>
    <row r="1978" spans="2:6" x14ac:dyDescent="0.3">
      <c r="B1978" s="4"/>
      <c r="C1978" s="4"/>
      <c r="D1978" s="4"/>
      <c r="E1978" s="4"/>
      <c r="F1978" s="4"/>
    </row>
    <row r="1979" spans="2:6" x14ac:dyDescent="0.3">
      <c r="B1979" s="4"/>
      <c r="C1979" s="4"/>
      <c r="D1979" s="4"/>
      <c r="E1979" s="4"/>
      <c r="F1979" s="4"/>
    </row>
    <row r="1980" spans="2:6" x14ac:dyDescent="0.3">
      <c r="B1980" s="4"/>
      <c r="C1980" s="4"/>
      <c r="D1980" s="4"/>
      <c r="E1980" s="4"/>
      <c r="F1980" s="4"/>
    </row>
    <row r="1981" spans="2:6" x14ac:dyDescent="0.3">
      <c r="B1981" s="4"/>
      <c r="C1981" s="4"/>
      <c r="D1981" s="4"/>
      <c r="E1981" s="4"/>
      <c r="F1981" s="4"/>
    </row>
    <row r="1982" spans="2:6" x14ac:dyDescent="0.3">
      <c r="B1982" s="4"/>
      <c r="C1982" s="4"/>
      <c r="D1982" s="4"/>
      <c r="E1982" s="4"/>
      <c r="F1982" s="4"/>
    </row>
    <row r="1983" spans="2:6" x14ac:dyDescent="0.3">
      <c r="B1983" s="4"/>
      <c r="C1983" s="4"/>
      <c r="D1983" s="4"/>
      <c r="E1983" s="4"/>
      <c r="F1983" s="4"/>
    </row>
    <row r="1984" spans="2:6" x14ac:dyDescent="0.3">
      <c r="B1984" s="4"/>
      <c r="C1984" s="4"/>
      <c r="D1984" s="4"/>
      <c r="E1984" s="4"/>
      <c r="F1984" s="4"/>
    </row>
    <row r="1985" spans="2:6" x14ac:dyDescent="0.3">
      <c r="B1985" s="4"/>
      <c r="C1985" s="4"/>
      <c r="D1985" s="4"/>
      <c r="E1985" s="4"/>
      <c r="F1985" s="4"/>
    </row>
    <row r="1986" spans="2:6" x14ac:dyDescent="0.3">
      <c r="B1986" s="4"/>
      <c r="C1986" s="4"/>
      <c r="D1986" s="4"/>
      <c r="E1986" s="4"/>
      <c r="F1986" s="4"/>
    </row>
    <row r="1987" spans="2:6" x14ac:dyDescent="0.3">
      <c r="B1987" s="4"/>
      <c r="C1987" s="4"/>
      <c r="D1987" s="4"/>
      <c r="E1987" s="4"/>
      <c r="F1987" s="4"/>
    </row>
    <row r="1988" spans="2:6" x14ac:dyDescent="0.3">
      <c r="B1988" s="4"/>
      <c r="C1988" s="4"/>
      <c r="D1988" s="4"/>
      <c r="E1988" s="4"/>
      <c r="F1988" s="4"/>
    </row>
    <row r="1989" spans="2:6" x14ac:dyDescent="0.3">
      <c r="B1989" s="4"/>
      <c r="C1989" s="4"/>
      <c r="D1989" s="4"/>
      <c r="E1989" s="4"/>
      <c r="F1989" s="4"/>
    </row>
    <row r="1990" spans="2:6" x14ac:dyDescent="0.3">
      <c r="B1990" s="4"/>
      <c r="C1990" s="4"/>
      <c r="D1990" s="4"/>
      <c r="E1990" s="4"/>
      <c r="F1990" s="4"/>
    </row>
    <row r="1991" spans="2:6" x14ac:dyDescent="0.3">
      <c r="B1991" s="4"/>
      <c r="C1991" s="4"/>
      <c r="D1991" s="4"/>
      <c r="E1991" s="4"/>
      <c r="F1991" s="4"/>
    </row>
    <row r="1992" spans="2:6" x14ac:dyDescent="0.3">
      <c r="B1992" s="4"/>
      <c r="C1992" s="4"/>
      <c r="D1992" s="4"/>
      <c r="E1992" s="4"/>
      <c r="F1992" s="4"/>
    </row>
    <row r="1993" spans="2:6" x14ac:dyDescent="0.3">
      <c r="B1993" s="4"/>
      <c r="C1993" s="4"/>
      <c r="D1993" s="4"/>
      <c r="E1993" s="4"/>
      <c r="F1993" s="4"/>
    </row>
    <row r="1994" spans="2:6" x14ac:dyDescent="0.3">
      <c r="B1994" s="4"/>
      <c r="C1994" s="4"/>
      <c r="D1994" s="4"/>
      <c r="E1994" s="4"/>
      <c r="F1994" s="4"/>
    </row>
    <row r="1995" spans="2:6" x14ac:dyDescent="0.3">
      <c r="B1995" s="4"/>
      <c r="C1995" s="4"/>
      <c r="D1995" s="4"/>
      <c r="E1995" s="4"/>
      <c r="F1995" s="4"/>
    </row>
    <row r="1996" spans="2:6" x14ac:dyDescent="0.3">
      <c r="B1996" s="4"/>
      <c r="C1996" s="4"/>
      <c r="D1996" s="4"/>
      <c r="E1996" s="4"/>
      <c r="F1996" s="4"/>
    </row>
    <row r="1997" spans="2:6" x14ac:dyDescent="0.3">
      <c r="B1997" s="4"/>
      <c r="C1997" s="4"/>
      <c r="D1997" s="4"/>
      <c r="E1997" s="4"/>
      <c r="F1997" s="4"/>
    </row>
    <row r="1998" spans="2:6" x14ac:dyDescent="0.3">
      <c r="B1998" s="4"/>
      <c r="C1998" s="4"/>
      <c r="D1998" s="4"/>
      <c r="E1998" s="4"/>
      <c r="F1998" s="4"/>
    </row>
    <row r="1999" spans="2:6" x14ac:dyDescent="0.3">
      <c r="B1999" s="4"/>
      <c r="C1999" s="4"/>
      <c r="D1999" s="4"/>
      <c r="E1999" s="4"/>
      <c r="F1999" s="4"/>
    </row>
    <row r="2000" spans="2:6" x14ac:dyDescent="0.3">
      <c r="B2000" s="4"/>
      <c r="C2000" s="4"/>
      <c r="D2000" s="4"/>
      <c r="E2000" s="4"/>
      <c r="F2000" s="4"/>
    </row>
    <row r="2001" spans="2:6" x14ac:dyDescent="0.3">
      <c r="B2001" s="4"/>
      <c r="C2001" s="4"/>
      <c r="D2001" s="4"/>
      <c r="E2001" s="4"/>
      <c r="F2001" s="4"/>
    </row>
    <row r="2002" spans="2:6" x14ac:dyDescent="0.3">
      <c r="B2002" s="4"/>
      <c r="C2002" s="4"/>
      <c r="D2002" s="4"/>
      <c r="E2002" s="4"/>
      <c r="F2002" s="4"/>
    </row>
    <row r="2003" spans="2:6" x14ac:dyDescent="0.3">
      <c r="B2003" s="4"/>
      <c r="C2003" s="4"/>
      <c r="D2003" s="4"/>
      <c r="E2003" s="4"/>
      <c r="F2003" s="4"/>
    </row>
    <row r="2004" spans="2:6" x14ac:dyDescent="0.3">
      <c r="B2004" s="4"/>
      <c r="C2004" s="4"/>
      <c r="D2004" s="4"/>
      <c r="E2004" s="4"/>
      <c r="F2004" s="4"/>
    </row>
    <row r="2005" spans="2:6" x14ac:dyDescent="0.3">
      <c r="B2005" s="4"/>
      <c r="C2005" s="4"/>
      <c r="D2005" s="4"/>
      <c r="E2005" s="4"/>
      <c r="F2005" s="4"/>
    </row>
    <row r="2006" spans="2:6" x14ac:dyDescent="0.3">
      <c r="B2006" s="4"/>
      <c r="C2006" s="4"/>
      <c r="D2006" s="4"/>
      <c r="E2006" s="4"/>
      <c r="F2006" s="4"/>
    </row>
    <row r="2007" spans="2:6" x14ac:dyDescent="0.3">
      <c r="B2007" s="4"/>
      <c r="C2007" s="4"/>
      <c r="D2007" s="4"/>
      <c r="E2007" s="4"/>
      <c r="F2007" s="4"/>
    </row>
    <row r="2008" spans="2:6" x14ac:dyDescent="0.3">
      <c r="B2008" s="4"/>
      <c r="C2008" s="4"/>
      <c r="D2008" s="4"/>
      <c r="E2008" s="4"/>
      <c r="F2008" s="4"/>
    </row>
    <row r="2009" spans="2:6" x14ac:dyDescent="0.3">
      <c r="B2009" s="4"/>
      <c r="C2009" s="4"/>
      <c r="D2009" s="4"/>
      <c r="E2009" s="4"/>
      <c r="F2009" s="4"/>
    </row>
    <row r="2010" spans="2:6" x14ac:dyDescent="0.3">
      <c r="B2010" s="4"/>
      <c r="C2010" s="4"/>
      <c r="D2010" s="4"/>
      <c r="E2010" s="4"/>
      <c r="F2010" s="4"/>
    </row>
    <row r="2011" spans="2:6" x14ac:dyDescent="0.3">
      <c r="B2011" s="4"/>
      <c r="C2011" s="4"/>
      <c r="D2011" s="4"/>
      <c r="E2011" s="4"/>
      <c r="F2011" s="4"/>
    </row>
    <row r="2012" spans="2:6" x14ac:dyDescent="0.3">
      <c r="B2012" s="4"/>
      <c r="C2012" s="4"/>
      <c r="D2012" s="4"/>
      <c r="E2012" s="4"/>
      <c r="F2012" s="4"/>
    </row>
    <row r="2013" spans="2:6" x14ac:dyDescent="0.3">
      <c r="B2013" s="4"/>
      <c r="C2013" s="4"/>
      <c r="D2013" s="4"/>
      <c r="E2013" s="4"/>
      <c r="F2013" s="4"/>
    </row>
    <row r="2014" spans="2:6" x14ac:dyDescent="0.3">
      <c r="B2014" s="4"/>
      <c r="C2014" s="4"/>
      <c r="D2014" s="4"/>
      <c r="E2014" s="4"/>
      <c r="F2014" s="4"/>
    </row>
    <row r="2015" spans="2:6" x14ac:dyDescent="0.3">
      <c r="B2015" s="4"/>
      <c r="C2015" s="4"/>
      <c r="D2015" s="4"/>
      <c r="E2015" s="4"/>
      <c r="F2015" s="4"/>
    </row>
    <row r="2016" spans="2:6" x14ac:dyDescent="0.3">
      <c r="B2016" s="4"/>
      <c r="C2016" s="4"/>
      <c r="D2016" s="4"/>
      <c r="E2016" s="4"/>
      <c r="F2016" s="4"/>
    </row>
    <row r="2017" spans="2:6" x14ac:dyDescent="0.3">
      <c r="B2017" s="4"/>
      <c r="C2017" s="4"/>
      <c r="D2017" s="4"/>
      <c r="E2017" s="4"/>
      <c r="F2017" s="4"/>
    </row>
    <row r="2018" spans="2:6" x14ac:dyDescent="0.3">
      <c r="B2018" s="4"/>
      <c r="C2018" s="4"/>
      <c r="D2018" s="4"/>
      <c r="E2018" s="4"/>
      <c r="F2018" s="4"/>
    </row>
    <row r="2019" spans="2:6" x14ac:dyDescent="0.3">
      <c r="B2019" s="4"/>
      <c r="C2019" s="4"/>
      <c r="D2019" s="4"/>
      <c r="E2019" s="4"/>
      <c r="F2019" s="4"/>
    </row>
    <row r="2020" spans="2:6" x14ac:dyDescent="0.3">
      <c r="B2020" s="4"/>
      <c r="C2020" s="4"/>
      <c r="D2020" s="4"/>
      <c r="E2020" s="4"/>
      <c r="F2020" s="4"/>
    </row>
    <row r="2021" spans="2:6" x14ac:dyDescent="0.3">
      <c r="B2021" s="4"/>
      <c r="C2021" s="4"/>
      <c r="D2021" s="4"/>
      <c r="E2021" s="4"/>
      <c r="F2021" s="4"/>
    </row>
    <row r="2022" spans="2:6" x14ac:dyDescent="0.3">
      <c r="B2022" s="4"/>
      <c r="C2022" s="4"/>
      <c r="D2022" s="4"/>
      <c r="E2022" s="4"/>
      <c r="F2022" s="4"/>
    </row>
    <row r="2023" spans="2:6" x14ac:dyDescent="0.3">
      <c r="B2023" s="4"/>
      <c r="C2023" s="4"/>
      <c r="D2023" s="4"/>
      <c r="E2023" s="4"/>
      <c r="F2023" s="4"/>
    </row>
    <row r="2024" spans="2:6" x14ac:dyDescent="0.3">
      <c r="B2024" s="4"/>
      <c r="C2024" s="4"/>
      <c r="D2024" s="4"/>
      <c r="E2024" s="4"/>
      <c r="F2024" s="4"/>
    </row>
    <row r="2025" spans="2:6" x14ac:dyDescent="0.3">
      <c r="B2025" s="4"/>
      <c r="C2025" s="4"/>
      <c r="D2025" s="4"/>
      <c r="E2025" s="4"/>
      <c r="F2025" s="4"/>
    </row>
    <row r="2026" spans="2:6" x14ac:dyDescent="0.3">
      <c r="B2026" s="4"/>
      <c r="C2026" s="4"/>
      <c r="D2026" s="4"/>
      <c r="E2026" s="4"/>
      <c r="F2026" s="4"/>
    </row>
    <row r="2027" spans="2:6" x14ac:dyDescent="0.3">
      <c r="B2027" s="4"/>
      <c r="C2027" s="4"/>
      <c r="D2027" s="4"/>
      <c r="E2027" s="4"/>
      <c r="F2027" s="4"/>
    </row>
    <row r="2028" spans="2:6" x14ac:dyDescent="0.3">
      <c r="B2028" s="4"/>
      <c r="C2028" s="4"/>
      <c r="D2028" s="4"/>
      <c r="E2028" s="4"/>
      <c r="F2028" s="4"/>
    </row>
    <row r="2029" spans="2:6" x14ac:dyDescent="0.3">
      <c r="B2029" s="4"/>
      <c r="C2029" s="4"/>
      <c r="D2029" s="4"/>
      <c r="E2029" s="4"/>
      <c r="F2029" s="4"/>
    </row>
    <row r="2030" spans="2:6" x14ac:dyDescent="0.3">
      <c r="B2030" s="4"/>
      <c r="C2030" s="4"/>
      <c r="D2030" s="4"/>
      <c r="E2030" s="4"/>
      <c r="F2030" s="4"/>
    </row>
    <row r="2031" spans="2:6" x14ac:dyDescent="0.3">
      <c r="B2031" s="4"/>
      <c r="C2031" s="4"/>
      <c r="D2031" s="4"/>
      <c r="E2031" s="4"/>
      <c r="F2031" s="4"/>
    </row>
    <row r="2032" spans="2:6" x14ac:dyDescent="0.3">
      <c r="B2032" s="4"/>
      <c r="C2032" s="4"/>
      <c r="D2032" s="4"/>
      <c r="E2032" s="4"/>
      <c r="F2032" s="4"/>
    </row>
    <row r="2033" spans="2:6" x14ac:dyDescent="0.3">
      <c r="B2033" s="4"/>
      <c r="C2033" s="4"/>
      <c r="D2033" s="4"/>
      <c r="E2033" s="4"/>
      <c r="F2033" s="4"/>
    </row>
    <row r="2034" spans="2:6" x14ac:dyDescent="0.3">
      <c r="B2034" s="4"/>
      <c r="C2034" s="4"/>
      <c r="D2034" s="4"/>
      <c r="E2034" s="4"/>
      <c r="F2034" s="4"/>
    </row>
    <row r="2035" spans="2:6" x14ac:dyDescent="0.3">
      <c r="B2035" s="4"/>
      <c r="C2035" s="4"/>
      <c r="D2035" s="4"/>
      <c r="E2035" s="4"/>
      <c r="F2035" s="4"/>
    </row>
    <row r="2036" spans="2:6" x14ac:dyDescent="0.3">
      <c r="B2036" s="4"/>
      <c r="C2036" s="4"/>
      <c r="D2036" s="4"/>
      <c r="E2036" s="4"/>
      <c r="F2036" s="4"/>
    </row>
    <row r="2037" spans="2:6" x14ac:dyDescent="0.3">
      <c r="B2037" s="4"/>
      <c r="C2037" s="4"/>
      <c r="D2037" s="4"/>
      <c r="E2037" s="4"/>
      <c r="F2037" s="4"/>
    </row>
    <row r="2038" spans="2:6" x14ac:dyDescent="0.3">
      <c r="B2038" s="4"/>
      <c r="C2038" s="4"/>
      <c r="D2038" s="4"/>
      <c r="E2038" s="4"/>
      <c r="F2038" s="4"/>
    </row>
    <row r="2039" spans="2:6" x14ac:dyDescent="0.3">
      <c r="B2039" s="4"/>
      <c r="C2039" s="4"/>
      <c r="D2039" s="4"/>
      <c r="E2039" s="4"/>
      <c r="F2039" s="4"/>
    </row>
    <row r="2040" spans="2:6" x14ac:dyDescent="0.3">
      <c r="B2040" s="4"/>
      <c r="C2040" s="4"/>
      <c r="D2040" s="4"/>
      <c r="E2040" s="4"/>
      <c r="F2040" s="4"/>
    </row>
    <row r="2041" spans="2:6" x14ac:dyDescent="0.3">
      <c r="B2041" s="4"/>
      <c r="C2041" s="4"/>
      <c r="D2041" s="4"/>
      <c r="E2041" s="4"/>
      <c r="F2041" s="4"/>
    </row>
    <row r="2042" spans="2:6" x14ac:dyDescent="0.3">
      <c r="B2042" s="4"/>
      <c r="C2042" s="4"/>
      <c r="D2042" s="4"/>
      <c r="E2042" s="4"/>
      <c r="F2042" s="4"/>
    </row>
    <row r="2043" spans="2:6" x14ac:dyDescent="0.3">
      <c r="B2043" s="4"/>
      <c r="C2043" s="4"/>
      <c r="D2043" s="4"/>
      <c r="E2043" s="4"/>
      <c r="F2043" s="4"/>
    </row>
    <row r="2044" spans="2:6" x14ac:dyDescent="0.3">
      <c r="B2044" s="4"/>
      <c r="C2044" s="4"/>
      <c r="D2044" s="4"/>
      <c r="E2044" s="4"/>
      <c r="F2044" s="4"/>
    </row>
    <row r="2045" spans="2:6" x14ac:dyDescent="0.3">
      <c r="B2045" s="4"/>
      <c r="C2045" s="4"/>
      <c r="D2045" s="4"/>
      <c r="E2045" s="4"/>
      <c r="F2045" s="4"/>
    </row>
    <row r="2046" spans="2:6" x14ac:dyDescent="0.3">
      <c r="B2046" s="4"/>
      <c r="C2046" s="4"/>
      <c r="D2046" s="4"/>
      <c r="E2046" s="4"/>
      <c r="F2046" s="4"/>
    </row>
    <row r="2047" spans="2:6" x14ac:dyDescent="0.3">
      <c r="B2047" s="4"/>
      <c r="C2047" s="4"/>
      <c r="D2047" s="4"/>
      <c r="E2047" s="4"/>
      <c r="F2047" s="4"/>
    </row>
    <row r="2048" spans="2:6" x14ac:dyDescent="0.3">
      <c r="B2048" s="4"/>
      <c r="C2048" s="4"/>
      <c r="D2048" s="4"/>
      <c r="E2048" s="4"/>
      <c r="F2048" s="4"/>
    </row>
    <row r="2049" spans="2:6" x14ac:dyDescent="0.3">
      <c r="B2049" s="4"/>
      <c r="C2049" s="4"/>
      <c r="D2049" s="4"/>
      <c r="E2049" s="4"/>
      <c r="F2049" s="4"/>
    </row>
    <row r="2050" spans="2:6" x14ac:dyDescent="0.3">
      <c r="B2050" s="4"/>
      <c r="C2050" s="4"/>
      <c r="D2050" s="4"/>
      <c r="E2050" s="4"/>
      <c r="F2050" s="4"/>
    </row>
    <row r="2051" spans="2:6" x14ac:dyDescent="0.3">
      <c r="B2051" s="4"/>
      <c r="C2051" s="4"/>
      <c r="D2051" s="4"/>
      <c r="E2051" s="4"/>
      <c r="F2051" s="4"/>
    </row>
    <row r="2052" spans="2:6" x14ac:dyDescent="0.3">
      <c r="B2052" s="4"/>
      <c r="C2052" s="4"/>
      <c r="D2052" s="4"/>
      <c r="E2052" s="4"/>
      <c r="F2052" s="4"/>
    </row>
    <row r="2053" spans="2:6" x14ac:dyDescent="0.3">
      <c r="B2053" s="4"/>
      <c r="C2053" s="4"/>
      <c r="D2053" s="4"/>
      <c r="E2053" s="4"/>
      <c r="F2053" s="4"/>
    </row>
    <row r="2054" spans="2:6" x14ac:dyDescent="0.3">
      <c r="B2054" s="4"/>
      <c r="C2054" s="4"/>
      <c r="D2054" s="4"/>
      <c r="E2054" s="4"/>
      <c r="F2054" s="4"/>
    </row>
    <row r="2055" spans="2:6" x14ac:dyDescent="0.3">
      <c r="B2055" s="4"/>
      <c r="C2055" s="4"/>
      <c r="D2055" s="4"/>
      <c r="E2055" s="4"/>
      <c r="F2055" s="4"/>
    </row>
    <row r="2056" spans="2:6" x14ac:dyDescent="0.3">
      <c r="B2056" s="4"/>
      <c r="C2056" s="4"/>
      <c r="D2056" s="4"/>
      <c r="E2056" s="4"/>
      <c r="F2056" s="4"/>
    </row>
    <row r="2057" spans="2:6" x14ac:dyDescent="0.3">
      <c r="B2057" s="4"/>
      <c r="C2057" s="4"/>
      <c r="D2057" s="4"/>
      <c r="E2057" s="4"/>
      <c r="F2057" s="4"/>
    </row>
    <row r="2058" spans="2:6" x14ac:dyDescent="0.3">
      <c r="B2058" s="4"/>
      <c r="C2058" s="4"/>
      <c r="D2058" s="4"/>
      <c r="E2058" s="4"/>
      <c r="F2058" s="4"/>
    </row>
    <row r="2059" spans="2:6" x14ac:dyDescent="0.3">
      <c r="B2059" s="4"/>
      <c r="C2059" s="4"/>
      <c r="D2059" s="4"/>
      <c r="E2059" s="4"/>
      <c r="F2059" s="4"/>
    </row>
    <row r="2060" spans="2:6" x14ac:dyDescent="0.3">
      <c r="B2060" s="4"/>
      <c r="C2060" s="4"/>
      <c r="D2060" s="4"/>
      <c r="E2060" s="4"/>
      <c r="F2060" s="4"/>
    </row>
    <row r="2061" spans="2:6" x14ac:dyDescent="0.3">
      <c r="B2061" s="4"/>
      <c r="C2061" s="4"/>
      <c r="D2061" s="4"/>
      <c r="E2061" s="4"/>
      <c r="F2061" s="4"/>
    </row>
    <row r="2062" spans="2:6" x14ac:dyDescent="0.3">
      <c r="B2062" s="4"/>
      <c r="C2062" s="4"/>
      <c r="D2062" s="4"/>
      <c r="E2062" s="4"/>
      <c r="F2062" s="4"/>
    </row>
    <row r="2063" spans="2:6" x14ac:dyDescent="0.3">
      <c r="B2063" s="4"/>
      <c r="C2063" s="4"/>
      <c r="D2063" s="4"/>
      <c r="E2063" s="4"/>
      <c r="F2063" s="4"/>
    </row>
    <row r="2064" spans="2:6" x14ac:dyDescent="0.3">
      <c r="B2064" s="4"/>
      <c r="C2064" s="4"/>
      <c r="D2064" s="4"/>
      <c r="E2064" s="4"/>
      <c r="F2064" s="4"/>
    </row>
    <row r="2065" spans="2:6" x14ac:dyDescent="0.3">
      <c r="B2065" s="4"/>
      <c r="C2065" s="4"/>
      <c r="D2065" s="4"/>
      <c r="E2065" s="4"/>
      <c r="F2065" s="4"/>
    </row>
    <row r="2066" spans="2:6" x14ac:dyDescent="0.3">
      <c r="B2066" s="4"/>
      <c r="C2066" s="4"/>
      <c r="D2066" s="4"/>
      <c r="E2066" s="4"/>
      <c r="F2066" s="4"/>
    </row>
    <row r="2067" spans="2:6" x14ac:dyDescent="0.3">
      <c r="B2067" s="4"/>
      <c r="C2067" s="4"/>
      <c r="D2067" s="4"/>
      <c r="E2067" s="4"/>
      <c r="F2067" s="4"/>
    </row>
    <row r="2068" spans="2:6" x14ac:dyDescent="0.3">
      <c r="B2068" s="4"/>
      <c r="C2068" s="4"/>
      <c r="D2068" s="4"/>
      <c r="E2068" s="4"/>
      <c r="F2068" s="4"/>
    </row>
    <row r="2069" spans="2:6" x14ac:dyDescent="0.3">
      <c r="B2069" s="4"/>
      <c r="C2069" s="4"/>
      <c r="D2069" s="4"/>
      <c r="E2069" s="4"/>
      <c r="F2069" s="4"/>
    </row>
    <row r="2070" spans="2:6" x14ac:dyDescent="0.3">
      <c r="B2070" s="4"/>
      <c r="C2070" s="4"/>
      <c r="D2070" s="4"/>
      <c r="E2070" s="4"/>
      <c r="F2070" s="4"/>
    </row>
    <row r="2071" spans="2:6" x14ac:dyDescent="0.3">
      <c r="B2071" s="4"/>
      <c r="C2071" s="4"/>
      <c r="D2071" s="4"/>
      <c r="E2071" s="4"/>
      <c r="F2071" s="4"/>
    </row>
    <row r="2072" spans="2:6" x14ac:dyDescent="0.3">
      <c r="B2072" s="4"/>
      <c r="C2072" s="4"/>
      <c r="D2072" s="4"/>
      <c r="E2072" s="4"/>
      <c r="F2072" s="4"/>
    </row>
    <row r="2073" spans="2:6" x14ac:dyDescent="0.3">
      <c r="B2073" s="4"/>
      <c r="C2073" s="4"/>
      <c r="D2073" s="4"/>
      <c r="E2073" s="4"/>
      <c r="F2073" s="4"/>
    </row>
    <row r="2074" spans="2:6" x14ac:dyDescent="0.3">
      <c r="B2074" s="4"/>
      <c r="C2074" s="4"/>
      <c r="D2074" s="4"/>
      <c r="E2074" s="4"/>
      <c r="F2074" s="4"/>
    </row>
    <row r="2075" spans="2:6" x14ac:dyDescent="0.3">
      <c r="B2075" s="4"/>
      <c r="C2075" s="4"/>
      <c r="D2075" s="4"/>
      <c r="E2075" s="4"/>
      <c r="F2075" s="4"/>
    </row>
    <row r="2076" spans="2:6" x14ac:dyDescent="0.3">
      <c r="B2076" s="4"/>
      <c r="C2076" s="4"/>
      <c r="D2076" s="4"/>
      <c r="E2076" s="4"/>
      <c r="F2076" s="4"/>
    </row>
    <row r="2077" spans="2:6" x14ac:dyDescent="0.3">
      <c r="B2077" s="4"/>
      <c r="C2077" s="4"/>
      <c r="D2077" s="4"/>
      <c r="E2077" s="4"/>
      <c r="F2077" s="4"/>
    </row>
    <row r="2078" spans="2:6" x14ac:dyDescent="0.3">
      <c r="B2078" s="4"/>
      <c r="C2078" s="4"/>
      <c r="D2078" s="4"/>
      <c r="E2078" s="4"/>
      <c r="F2078" s="4"/>
    </row>
    <row r="2079" spans="2:6" x14ac:dyDescent="0.3">
      <c r="B2079" s="4"/>
      <c r="C2079" s="4"/>
      <c r="D2079" s="4"/>
      <c r="E2079" s="4"/>
      <c r="F2079" s="4"/>
    </row>
    <row r="2080" spans="2:6" x14ac:dyDescent="0.3">
      <c r="B2080" s="4"/>
      <c r="C2080" s="4"/>
      <c r="D2080" s="4"/>
      <c r="E2080" s="4"/>
      <c r="F2080" s="4"/>
    </row>
    <row r="2081" spans="2:6" x14ac:dyDescent="0.3">
      <c r="B2081" s="4"/>
      <c r="C2081" s="4"/>
      <c r="D2081" s="4"/>
      <c r="E2081" s="4"/>
      <c r="F2081" s="4"/>
    </row>
    <row r="2082" spans="2:6" x14ac:dyDescent="0.3">
      <c r="B2082" s="4"/>
      <c r="C2082" s="4"/>
      <c r="D2082" s="4"/>
      <c r="E2082" s="4"/>
      <c r="F2082" s="4"/>
    </row>
    <row r="2083" spans="2:6" x14ac:dyDescent="0.3">
      <c r="B2083" s="4"/>
      <c r="C2083" s="4"/>
      <c r="D2083" s="4"/>
      <c r="E2083" s="4"/>
      <c r="F2083" s="4"/>
    </row>
    <row r="2084" spans="2:6" x14ac:dyDescent="0.3">
      <c r="B2084" s="4"/>
      <c r="C2084" s="4"/>
      <c r="D2084" s="4"/>
      <c r="E2084" s="4"/>
      <c r="F2084" s="4"/>
    </row>
    <row r="2085" spans="2:6" x14ac:dyDescent="0.3">
      <c r="B2085" s="4"/>
      <c r="C2085" s="4"/>
      <c r="D2085" s="4"/>
      <c r="E2085" s="4"/>
      <c r="F2085" s="4"/>
    </row>
    <row r="2086" spans="2:6" x14ac:dyDescent="0.3">
      <c r="B2086" s="4"/>
      <c r="C2086" s="4"/>
      <c r="D2086" s="4"/>
      <c r="E2086" s="4"/>
      <c r="F2086" s="4"/>
    </row>
    <row r="2087" spans="2:6" x14ac:dyDescent="0.3">
      <c r="B2087" s="4"/>
      <c r="C2087" s="4"/>
      <c r="D2087" s="4"/>
      <c r="E2087" s="4"/>
      <c r="F2087" s="4"/>
    </row>
    <row r="2088" spans="2:6" x14ac:dyDescent="0.3">
      <c r="B2088" s="4"/>
      <c r="C2088" s="4"/>
      <c r="D2088" s="4"/>
      <c r="E2088" s="4"/>
      <c r="F2088" s="4"/>
    </row>
    <row r="2089" spans="2:6" x14ac:dyDescent="0.3">
      <c r="B2089" s="4"/>
      <c r="C2089" s="4"/>
      <c r="D2089" s="4"/>
      <c r="E2089" s="4"/>
      <c r="F2089" s="4"/>
    </row>
    <row r="2090" spans="2:6" x14ac:dyDescent="0.3">
      <c r="B2090" s="4"/>
      <c r="C2090" s="4"/>
      <c r="D2090" s="4"/>
      <c r="E2090" s="4"/>
      <c r="F2090" s="4"/>
    </row>
    <row r="2091" spans="2:6" x14ac:dyDescent="0.3">
      <c r="B2091" s="4"/>
      <c r="C2091" s="4"/>
      <c r="D2091" s="4"/>
      <c r="E2091" s="4"/>
      <c r="F2091" s="4"/>
    </row>
    <row r="2092" spans="2:6" x14ac:dyDescent="0.3">
      <c r="B2092" s="4"/>
      <c r="C2092" s="4"/>
      <c r="D2092" s="4"/>
      <c r="E2092" s="4"/>
      <c r="F2092" s="4"/>
    </row>
    <row r="2093" spans="2:6" x14ac:dyDescent="0.3">
      <c r="B2093" s="4"/>
      <c r="C2093" s="4"/>
      <c r="D2093" s="4"/>
      <c r="E2093" s="4"/>
      <c r="F2093" s="4"/>
    </row>
    <row r="2094" spans="2:6" x14ac:dyDescent="0.3">
      <c r="B2094" s="4"/>
      <c r="C2094" s="4"/>
      <c r="D2094" s="4"/>
      <c r="E2094" s="4"/>
      <c r="F2094" s="4"/>
    </row>
    <row r="2095" spans="2:6" x14ac:dyDescent="0.3">
      <c r="B2095" s="4"/>
      <c r="C2095" s="4"/>
      <c r="D2095" s="4"/>
      <c r="E2095" s="4"/>
      <c r="F2095" s="4"/>
    </row>
    <row r="2096" spans="2:6" x14ac:dyDescent="0.3">
      <c r="B2096" s="4"/>
      <c r="C2096" s="4"/>
      <c r="D2096" s="4"/>
      <c r="E2096" s="4"/>
      <c r="F2096" s="4"/>
    </row>
    <row r="2097" spans="2:6" x14ac:dyDescent="0.3">
      <c r="B2097" s="4"/>
      <c r="C2097" s="4"/>
      <c r="D2097" s="4"/>
      <c r="E2097" s="4"/>
      <c r="F2097" s="4"/>
    </row>
    <row r="2098" spans="2:6" x14ac:dyDescent="0.3">
      <c r="B2098" s="4"/>
      <c r="C2098" s="4"/>
      <c r="D2098" s="4"/>
      <c r="E2098" s="4"/>
      <c r="F2098" s="4"/>
    </row>
    <row r="2099" spans="2:6" x14ac:dyDescent="0.3">
      <c r="B2099" s="4"/>
      <c r="C2099" s="4"/>
      <c r="D2099" s="4"/>
      <c r="E2099" s="4"/>
      <c r="F2099" s="4"/>
    </row>
    <row r="2100" spans="2:6" x14ac:dyDescent="0.3">
      <c r="B2100" s="4"/>
      <c r="C2100" s="4"/>
      <c r="D2100" s="4"/>
      <c r="E2100" s="4"/>
      <c r="F2100" s="4"/>
    </row>
    <row r="2101" spans="2:6" x14ac:dyDescent="0.3">
      <c r="B2101" s="4"/>
      <c r="C2101" s="4"/>
      <c r="D2101" s="4"/>
      <c r="E2101" s="4"/>
      <c r="F2101" s="4"/>
    </row>
    <row r="2102" spans="2:6" x14ac:dyDescent="0.3">
      <c r="B2102" s="4"/>
      <c r="C2102" s="4"/>
      <c r="D2102" s="4"/>
      <c r="E2102" s="4"/>
      <c r="F2102" s="4"/>
    </row>
    <row r="2103" spans="2:6" x14ac:dyDescent="0.3">
      <c r="B2103" s="4"/>
      <c r="C2103" s="4"/>
      <c r="D2103" s="4"/>
      <c r="E2103" s="4"/>
      <c r="F2103" s="4"/>
    </row>
    <row r="2104" spans="2:6" x14ac:dyDescent="0.3">
      <c r="B2104" s="4"/>
      <c r="C2104" s="4"/>
      <c r="D2104" s="4"/>
      <c r="E2104" s="4"/>
      <c r="F2104" s="4"/>
    </row>
    <row r="2105" spans="2:6" x14ac:dyDescent="0.3">
      <c r="B2105" s="4"/>
      <c r="C2105" s="4"/>
      <c r="D2105" s="4"/>
      <c r="E2105" s="4"/>
      <c r="F2105" s="4"/>
    </row>
    <row r="2106" spans="2:6" x14ac:dyDescent="0.3">
      <c r="B2106" s="4"/>
      <c r="C2106" s="4"/>
      <c r="D2106" s="4"/>
      <c r="E2106" s="4"/>
      <c r="F2106" s="4"/>
    </row>
    <row r="2107" spans="2:6" x14ac:dyDescent="0.3">
      <c r="B2107" s="4"/>
      <c r="C2107" s="4"/>
      <c r="D2107" s="4"/>
      <c r="E2107" s="4"/>
      <c r="F2107" s="4"/>
    </row>
    <row r="2108" spans="2:6" x14ac:dyDescent="0.3">
      <c r="B2108" s="4"/>
      <c r="C2108" s="4"/>
      <c r="D2108" s="4"/>
      <c r="E2108" s="4"/>
      <c r="F2108" s="4"/>
    </row>
    <row r="2109" spans="2:6" x14ac:dyDescent="0.3">
      <c r="B2109" s="4"/>
      <c r="C2109" s="4"/>
      <c r="D2109" s="4"/>
      <c r="E2109" s="4"/>
      <c r="F2109" s="4"/>
    </row>
    <row r="2110" spans="2:6" x14ac:dyDescent="0.3">
      <c r="B2110" s="4"/>
      <c r="C2110" s="4"/>
      <c r="D2110" s="4"/>
      <c r="E2110" s="4"/>
      <c r="F2110" s="4"/>
    </row>
    <row r="2111" spans="2:6" x14ac:dyDescent="0.3">
      <c r="B2111" s="4"/>
      <c r="C2111" s="4"/>
      <c r="D2111" s="4"/>
      <c r="E2111" s="4"/>
      <c r="F2111" s="4"/>
    </row>
    <row r="2112" spans="2:6" x14ac:dyDescent="0.3">
      <c r="B2112" s="4"/>
      <c r="C2112" s="4"/>
      <c r="D2112" s="4"/>
      <c r="E2112" s="4"/>
      <c r="F2112" s="4"/>
    </row>
    <row r="2113" spans="2:6" x14ac:dyDescent="0.3">
      <c r="B2113" s="4"/>
      <c r="C2113" s="4"/>
      <c r="D2113" s="4"/>
      <c r="E2113" s="4"/>
      <c r="F2113" s="4"/>
    </row>
    <row r="2114" spans="2:6" x14ac:dyDescent="0.3">
      <c r="B2114" s="4"/>
      <c r="C2114" s="4"/>
      <c r="D2114" s="4"/>
      <c r="E2114" s="4"/>
      <c r="F2114" s="4"/>
    </row>
    <row r="2115" spans="2:6" x14ac:dyDescent="0.3">
      <c r="B2115" s="4"/>
      <c r="C2115" s="4"/>
      <c r="D2115" s="4"/>
      <c r="E2115" s="4"/>
      <c r="F2115" s="4"/>
    </row>
    <row r="2116" spans="2:6" x14ac:dyDescent="0.3">
      <c r="B2116" s="4"/>
      <c r="C2116" s="4"/>
      <c r="D2116" s="4"/>
      <c r="E2116" s="4"/>
      <c r="F2116" s="4"/>
    </row>
    <row r="2117" spans="2:6" x14ac:dyDescent="0.3">
      <c r="B2117" s="4"/>
      <c r="C2117" s="4"/>
      <c r="D2117" s="4"/>
      <c r="E2117" s="4"/>
      <c r="F2117" s="4"/>
    </row>
    <row r="2118" spans="2:6" x14ac:dyDescent="0.3">
      <c r="B2118" s="4"/>
      <c r="C2118" s="4"/>
      <c r="D2118" s="4"/>
      <c r="E2118" s="4"/>
      <c r="F2118" s="4"/>
    </row>
    <row r="2119" spans="2:6" x14ac:dyDescent="0.3">
      <c r="B2119" s="4"/>
      <c r="C2119" s="4"/>
      <c r="D2119" s="4"/>
      <c r="E2119" s="4"/>
      <c r="F2119" s="4"/>
    </row>
    <row r="2120" spans="2:6" x14ac:dyDescent="0.3">
      <c r="B2120" s="4"/>
      <c r="C2120" s="4"/>
      <c r="D2120" s="4"/>
      <c r="E2120" s="4"/>
      <c r="F2120" s="4"/>
    </row>
    <row r="2121" spans="2:6" x14ac:dyDescent="0.3">
      <c r="B2121" s="4"/>
      <c r="C2121" s="4"/>
      <c r="D2121" s="4"/>
      <c r="E2121" s="4"/>
      <c r="F2121" s="4"/>
    </row>
    <row r="2122" spans="2:6" x14ac:dyDescent="0.3">
      <c r="B2122" s="4"/>
      <c r="C2122" s="4"/>
      <c r="D2122" s="4"/>
      <c r="E2122" s="4"/>
      <c r="F2122" s="4"/>
    </row>
    <row r="2123" spans="2:6" x14ac:dyDescent="0.3">
      <c r="B2123" s="4"/>
      <c r="C2123" s="4"/>
      <c r="D2123" s="4"/>
      <c r="E2123" s="4"/>
      <c r="F2123" s="4"/>
    </row>
    <row r="2124" spans="2:6" x14ac:dyDescent="0.3">
      <c r="B2124" s="4"/>
      <c r="C2124" s="4"/>
      <c r="D2124" s="4"/>
      <c r="E2124" s="4"/>
      <c r="F2124" s="4"/>
    </row>
    <row r="2125" spans="2:6" x14ac:dyDescent="0.3">
      <c r="B2125" s="4"/>
      <c r="C2125" s="4"/>
      <c r="D2125" s="4"/>
      <c r="E2125" s="4"/>
      <c r="F2125" s="4"/>
    </row>
    <row r="2126" spans="2:6" x14ac:dyDescent="0.3">
      <c r="B2126" s="4"/>
      <c r="C2126" s="4"/>
      <c r="D2126" s="4"/>
      <c r="E2126" s="4"/>
      <c r="F2126" s="4"/>
    </row>
    <row r="2127" spans="2:6" x14ac:dyDescent="0.3">
      <c r="B2127" s="4"/>
      <c r="C2127" s="4"/>
      <c r="D2127" s="4"/>
      <c r="E2127" s="4"/>
      <c r="F2127" s="4"/>
    </row>
    <row r="2128" spans="2:6" x14ac:dyDescent="0.3">
      <c r="B2128" s="4"/>
      <c r="C2128" s="4"/>
      <c r="D2128" s="4"/>
      <c r="E2128" s="4"/>
      <c r="F2128" s="4"/>
    </row>
    <row r="2129" spans="2:6" x14ac:dyDescent="0.3">
      <c r="B2129" s="4"/>
      <c r="C2129" s="4"/>
      <c r="D2129" s="4"/>
      <c r="E2129" s="4"/>
      <c r="F2129" s="4"/>
    </row>
    <row r="2130" spans="2:6" x14ac:dyDescent="0.3">
      <c r="B2130" s="4"/>
      <c r="C2130" s="4"/>
      <c r="D2130" s="4"/>
      <c r="E2130" s="4"/>
      <c r="F2130" s="4"/>
    </row>
    <row r="2131" spans="2:6" x14ac:dyDescent="0.3">
      <c r="B2131" s="4"/>
      <c r="C2131" s="4"/>
      <c r="D2131" s="4"/>
      <c r="E2131" s="4"/>
      <c r="F2131" s="4"/>
    </row>
    <row r="2132" spans="2:6" x14ac:dyDescent="0.3">
      <c r="B2132" s="4"/>
      <c r="C2132" s="4"/>
      <c r="D2132" s="4"/>
      <c r="E2132" s="4"/>
      <c r="F2132" s="4"/>
    </row>
    <row r="2133" spans="2:6" x14ac:dyDescent="0.3">
      <c r="B2133" s="4"/>
      <c r="C2133" s="4"/>
      <c r="D2133" s="4"/>
      <c r="E2133" s="4"/>
      <c r="F2133" s="4"/>
    </row>
    <row r="2134" spans="2:6" x14ac:dyDescent="0.3">
      <c r="B2134" s="4"/>
      <c r="C2134" s="4"/>
      <c r="D2134" s="4"/>
      <c r="E2134" s="4"/>
      <c r="F2134" s="4"/>
    </row>
    <row r="2135" spans="2:6" x14ac:dyDescent="0.3">
      <c r="B2135" s="4"/>
      <c r="C2135" s="4"/>
      <c r="D2135" s="4"/>
      <c r="E2135" s="4"/>
      <c r="F2135" s="4"/>
    </row>
    <row r="2136" spans="2:6" x14ac:dyDescent="0.3">
      <c r="B2136" s="4"/>
      <c r="C2136" s="4"/>
      <c r="D2136" s="4"/>
      <c r="E2136" s="4"/>
      <c r="F2136" s="4"/>
    </row>
    <row r="2137" spans="2:6" x14ac:dyDescent="0.3">
      <c r="B2137" s="4"/>
      <c r="C2137" s="4"/>
      <c r="D2137" s="4"/>
      <c r="E2137" s="4"/>
      <c r="F2137" s="4"/>
    </row>
    <row r="2138" spans="2:6" x14ac:dyDescent="0.3">
      <c r="B2138" s="4"/>
      <c r="C2138" s="4"/>
      <c r="D2138" s="4"/>
      <c r="E2138" s="4"/>
      <c r="F2138" s="4"/>
    </row>
    <row r="2139" spans="2:6" x14ac:dyDescent="0.3">
      <c r="B2139" s="4"/>
      <c r="C2139" s="4"/>
      <c r="D2139" s="4"/>
      <c r="E2139" s="4"/>
      <c r="F2139" s="4"/>
    </row>
    <row r="2140" spans="2:6" x14ac:dyDescent="0.3">
      <c r="B2140" s="4"/>
      <c r="C2140" s="4"/>
      <c r="D2140" s="4"/>
      <c r="E2140" s="4"/>
      <c r="F2140" s="4"/>
    </row>
    <row r="2141" spans="2:6" x14ac:dyDescent="0.3">
      <c r="B2141" s="4"/>
      <c r="C2141" s="4"/>
      <c r="D2141" s="4"/>
      <c r="E2141" s="4"/>
      <c r="F2141" s="4"/>
    </row>
    <row r="2142" spans="2:6" x14ac:dyDescent="0.3">
      <c r="B2142" s="4"/>
      <c r="C2142" s="4"/>
      <c r="D2142" s="4"/>
      <c r="E2142" s="4"/>
      <c r="F2142" s="4"/>
    </row>
    <row r="2143" spans="2:6" x14ac:dyDescent="0.3">
      <c r="B2143" s="4"/>
      <c r="C2143" s="4"/>
      <c r="D2143" s="4"/>
      <c r="E2143" s="4"/>
      <c r="F2143" s="4"/>
    </row>
    <row r="2144" spans="2:6" x14ac:dyDescent="0.3">
      <c r="B2144" s="4"/>
      <c r="C2144" s="4"/>
      <c r="D2144" s="4"/>
      <c r="E2144" s="4"/>
      <c r="F2144" s="4"/>
    </row>
    <row r="2145" spans="2:6" x14ac:dyDescent="0.3">
      <c r="B2145" s="4"/>
      <c r="C2145" s="4"/>
      <c r="D2145" s="4"/>
      <c r="E2145" s="4"/>
      <c r="F2145" s="4"/>
    </row>
    <row r="2146" spans="2:6" x14ac:dyDescent="0.3">
      <c r="B2146" s="4"/>
      <c r="C2146" s="4"/>
      <c r="D2146" s="4"/>
      <c r="E2146" s="4"/>
      <c r="F2146" s="4"/>
    </row>
    <row r="2147" spans="2:6" x14ac:dyDescent="0.3">
      <c r="B2147" s="4"/>
      <c r="C2147" s="4"/>
      <c r="D2147" s="4"/>
      <c r="E2147" s="4"/>
      <c r="F2147" s="4"/>
    </row>
    <row r="2148" spans="2:6" x14ac:dyDescent="0.3">
      <c r="B2148" s="4"/>
      <c r="C2148" s="4"/>
      <c r="D2148" s="4"/>
      <c r="E2148" s="4"/>
      <c r="F2148" s="4"/>
    </row>
    <row r="2149" spans="2:6" x14ac:dyDescent="0.3">
      <c r="B2149" s="4"/>
      <c r="C2149" s="4"/>
      <c r="D2149" s="4"/>
      <c r="E2149" s="4"/>
      <c r="F2149" s="4"/>
    </row>
    <row r="2150" spans="2:6" x14ac:dyDescent="0.3">
      <c r="B2150" s="4"/>
      <c r="C2150" s="4"/>
      <c r="D2150" s="4"/>
      <c r="E2150" s="4"/>
      <c r="F2150" s="4"/>
    </row>
    <row r="2151" spans="2:6" x14ac:dyDescent="0.3">
      <c r="B2151" s="4"/>
      <c r="C2151" s="4"/>
      <c r="D2151" s="4"/>
      <c r="E2151" s="4"/>
      <c r="F2151" s="4"/>
    </row>
    <row r="2152" spans="2:6" x14ac:dyDescent="0.3">
      <c r="B2152" s="4"/>
      <c r="C2152" s="4"/>
      <c r="D2152" s="4"/>
      <c r="E2152" s="4"/>
      <c r="F2152" s="4"/>
    </row>
    <row r="2153" spans="2:6" x14ac:dyDescent="0.3">
      <c r="B2153" s="4"/>
      <c r="C2153" s="4"/>
      <c r="D2153" s="4"/>
      <c r="E2153" s="4"/>
      <c r="F2153" s="4"/>
    </row>
    <row r="2154" spans="2:6" x14ac:dyDescent="0.3">
      <c r="B2154" s="4"/>
      <c r="C2154" s="4"/>
      <c r="D2154" s="4"/>
      <c r="E2154" s="4"/>
      <c r="F2154" s="4"/>
    </row>
    <row r="2155" spans="2:6" x14ac:dyDescent="0.3">
      <c r="B2155" s="4"/>
      <c r="C2155" s="4"/>
      <c r="D2155" s="4"/>
      <c r="E2155" s="4"/>
      <c r="F2155" s="4"/>
    </row>
    <row r="2156" spans="2:6" x14ac:dyDescent="0.3">
      <c r="B2156" s="4"/>
      <c r="C2156" s="4"/>
      <c r="D2156" s="4"/>
      <c r="E2156" s="4"/>
      <c r="F2156" s="4"/>
    </row>
    <row r="2157" spans="2:6" x14ac:dyDescent="0.3">
      <c r="B2157" s="4"/>
      <c r="C2157" s="4"/>
      <c r="D2157" s="4"/>
      <c r="E2157" s="4"/>
      <c r="F2157" s="4"/>
    </row>
    <row r="2158" spans="2:6" x14ac:dyDescent="0.3">
      <c r="B2158" s="4"/>
      <c r="C2158" s="4"/>
      <c r="D2158" s="4"/>
      <c r="E2158" s="4"/>
      <c r="F2158" s="4"/>
    </row>
    <row r="2159" spans="2:6" x14ac:dyDescent="0.3">
      <c r="B2159" s="4"/>
      <c r="C2159" s="4"/>
      <c r="D2159" s="4"/>
      <c r="E2159" s="4"/>
      <c r="F2159" s="4"/>
    </row>
    <row r="2160" spans="2:6" x14ac:dyDescent="0.3">
      <c r="B2160" s="4"/>
      <c r="C2160" s="4"/>
      <c r="D2160" s="4"/>
      <c r="E2160" s="4"/>
      <c r="F2160" s="4"/>
    </row>
    <row r="2161" spans="2:6" x14ac:dyDescent="0.3">
      <c r="B2161" s="4"/>
      <c r="C2161" s="4"/>
      <c r="D2161" s="4"/>
      <c r="E2161" s="4"/>
      <c r="F2161" s="4"/>
    </row>
    <row r="2162" spans="2:6" x14ac:dyDescent="0.3">
      <c r="B2162" s="4"/>
      <c r="C2162" s="4"/>
      <c r="D2162" s="4"/>
      <c r="E2162" s="4"/>
      <c r="F2162" s="4"/>
    </row>
    <row r="2163" spans="2:6" x14ac:dyDescent="0.3">
      <c r="B2163" s="4"/>
      <c r="C2163" s="4"/>
      <c r="D2163" s="4"/>
      <c r="E2163" s="4"/>
      <c r="F2163" s="4"/>
    </row>
    <row r="2164" spans="2:6" x14ac:dyDescent="0.3">
      <c r="B2164" s="4"/>
      <c r="C2164" s="4"/>
      <c r="D2164" s="4"/>
      <c r="E2164" s="4"/>
      <c r="F2164" s="4"/>
    </row>
    <row r="2165" spans="2:6" x14ac:dyDescent="0.3">
      <c r="B2165" s="4"/>
      <c r="C2165" s="4"/>
      <c r="D2165" s="4"/>
      <c r="E2165" s="4"/>
      <c r="F2165" s="4"/>
    </row>
    <row r="2166" spans="2:6" x14ac:dyDescent="0.3">
      <c r="B2166" s="4"/>
      <c r="C2166" s="4"/>
      <c r="D2166" s="4"/>
      <c r="E2166" s="4"/>
      <c r="F2166" s="4"/>
    </row>
    <row r="2167" spans="2:6" x14ac:dyDescent="0.3">
      <c r="B2167" s="4"/>
      <c r="C2167" s="4"/>
      <c r="D2167" s="4"/>
      <c r="E2167" s="4"/>
      <c r="F2167" s="4"/>
    </row>
    <row r="2168" spans="2:6" x14ac:dyDescent="0.3">
      <c r="B2168" s="4"/>
      <c r="C2168" s="4"/>
      <c r="D2168" s="4"/>
      <c r="E2168" s="4"/>
      <c r="F2168" s="4"/>
    </row>
    <row r="2169" spans="2:6" x14ac:dyDescent="0.3">
      <c r="B2169" s="4"/>
      <c r="C2169" s="4"/>
      <c r="D2169" s="4"/>
      <c r="E2169" s="4"/>
      <c r="F2169" s="4"/>
    </row>
    <row r="2170" spans="2:6" x14ac:dyDescent="0.3">
      <c r="B2170" s="4"/>
      <c r="C2170" s="4"/>
      <c r="D2170" s="4"/>
      <c r="E2170" s="4"/>
      <c r="F2170" s="4"/>
    </row>
    <row r="2171" spans="2:6" x14ac:dyDescent="0.3">
      <c r="B2171" s="4"/>
      <c r="C2171" s="4"/>
      <c r="D2171" s="4"/>
      <c r="E2171" s="4"/>
      <c r="F2171" s="4"/>
    </row>
    <row r="2172" spans="2:6" x14ac:dyDescent="0.3">
      <c r="B2172" s="4"/>
      <c r="C2172" s="4"/>
      <c r="D2172" s="4"/>
      <c r="E2172" s="4"/>
      <c r="F2172" s="4"/>
    </row>
    <row r="2173" spans="2:6" x14ac:dyDescent="0.3">
      <c r="B2173" s="4"/>
      <c r="C2173" s="4"/>
      <c r="D2173" s="4"/>
      <c r="E2173" s="4"/>
      <c r="F2173" s="4"/>
    </row>
    <row r="2174" spans="2:6" x14ac:dyDescent="0.3">
      <c r="B2174" s="4"/>
      <c r="C2174" s="4"/>
      <c r="D2174" s="4"/>
      <c r="E2174" s="4"/>
      <c r="F2174" s="4"/>
    </row>
    <row r="2175" spans="2:6" x14ac:dyDescent="0.3">
      <c r="B2175" s="4"/>
      <c r="C2175" s="4"/>
      <c r="D2175" s="4"/>
      <c r="E2175" s="4"/>
      <c r="F2175" s="4"/>
    </row>
    <row r="2176" spans="2:6" x14ac:dyDescent="0.3">
      <c r="B2176" s="4"/>
      <c r="C2176" s="4"/>
      <c r="D2176" s="4"/>
      <c r="E2176" s="4"/>
      <c r="F2176" s="4"/>
    </row>
    <row r="2177" spans="2:6" x14ac:dyDescent="0.3">
      <c r="B2177" s="4"/>
      <c r="C2177" s="4"/>
      <c r="D2177" s="4"/>
      <c r="E2177" s="4"/>
      <c r="F2177" s="4"/>
    </row>
    <row r="2178" spans="2:6" x14ac:dyDescent="0.3">
      <c r="B2178" s="4"/>
      <c r="C2178" s="4"/>
      <c r="D2178" s="4"/>
      <c r="E2178" s="4"/>
      <c r="F2178" s="4"/>
    </row>
    <row r="2179" spans="2:6" x14ac:dyDescent="0.3">
      <c r="B2179" s="4"/>
      <c r="C2179" s="4"/>
      <c r="D2179" s="4"/>
      <c r="E2179" s="4"/>
      <c r="F2179" s="4"/>
    </row>
    <row r="2180" spans="2:6" x14ac:dyDescent="0.3">
      <c r="B2180" s="4"/>
      <c r="C2180" s="4"/>
      <c r="D2180" s="4"/>
      <c r="E2180" s="4"/>
      <c r="F2180" s="4"/>
    </row>
    <row r="2181" spans="2:6" x14ac:dyDescent="0.3">
      <c r="B2181" s="4"/>
      <c r="C2181" s="4"/>
      <c r="D2181" s="4"/>
      <c r="E2181" s="4"/>
      <c r="F2181" s="4"/>
    </row>
    <row r="2182" spans="2:6" x14ac:dyDescent="0.3">
      <c r="B2182" s="4"/>
      <c r="C2182" s="4"/>
      <c r="D2182" s="4"/>
      <c r="E2182" s="4"/>
      <c r="F2182" s="4"/>
    </row>
    <row r="2183" spans="2:6" x14ac:dyDescent="0.3">
      <c r="B2183" s="4"/>
      <c r="C2183" s="4"/>
      <c r="D2183" s="4"/>
      <c r="E2183" s="4"/>
      <c r="F2183" s="4"/>
    </row>
    <row r="2184" spans="2:6" x14ac:dyDescent="0.3">
      <c r="B2184" s="4"/>
      <c r="C2184" s="4"/>
      <c r="D2184" s="4"/>
      <c r="E2184" s="4"/>
      <c r="F2184" s="4"/>
    </row>
    <row r="2185" spans="2:6" x14ac:dyDescent="0.3">
      <c r="B2185" s="4"/>
      <c r="C2185" s="4"/>
      <c r="D2185" s="4"/>
      <c r="E2185" s="4"/>
      <c r="F2185" s="4"/>
    </row>
    <row r="2186" spans="2:6" x14ac:dyDescent="0.3">
      <c r="B2186" s="4"/>
      <c r="C2186" s="4"/>
      <c r="D2186" s="4"/>
      <c r="E2186" s="4"/>
      <c r="F2186" s="4"/>
    </row>
    <row r="2187" spans="2:6" x14ac:dyDescent="0.3">
      <c r="B2187" s="4"/>
      <c r="C2187" s="4"/>
      <c r="D2187" s="4"/>
      <c r="E2187" s="4"/>
      <c r="F2187" s="4"/>
    </row>
    <row r="2188" spans="2:6" x14ac:dyDescent="0.3">
      <c r="B2188" s="4"/>
      <c r="C2188" s="4"/>
      <c r="D2188" s="4"/>
      <c r="E2188" s="4"/>
      <c r="F2188" s="4"/>
    </row>
    <row r="2189" spans="2:6" x14ac:dyDescent="0.3">
      <c r="B2189" s="4"/>
      <c r="C2189" s="4"/>
      <c r="D2189" s="4"/>
      <c r="E2189" s="4"/>
      <c r="F2189" s="4"/>
    </row>
    <row r="2190" spans="2:6" x14ac:dyDescent="0.3">
      <c r="B2190" s="4"/>
      <c r="C2190" s="4"/>
      <c r="D2190" s="4"/>
      <c r="E2190" s="4"/>
      <c r="F2190" s="4"/>
    </row>
    <row r="2191" spans="2:6" x14ac:dyDescent="0.3">
      <c r="B2191" s="4"/>
      <c r="C2191" s="4"/>
      <c r="D2191" s="4"/>
      <c r="E2191" s="4"/>
      <c r="F2191" s="4"/>
    </row>
    <row r="2192" spans="2:6" x14ac:dyDescent="0.3">
      <c r="B2192" s="4"/>
      <c r="C2192" s="4"/>
      <c r="D2192" s="4"/>
      <c r="E2192" s="4"/>
      <c r="F2192" s="4"/>
    </row>
    <row r="2193" spans="2:6" x14ac:dyDescent="0.3">
      <c r="B2193" s="4"/>
      <c r="C2193" s="4"/>
      <c r="D2193" s="4"/>
      <c r="E2193" s="4"/>
      <c r="F2193" s="4"/>
    </row>
    <row r="2194" spans="2:6" x14ac:dyDescent="0.3">
      <c r="B2194" s="4"/>
      <c r="C2194" s="4"/>
      <c r="D2194" s="4"/>
      <c r="E2194" s="4"/>
      <c r="F2194" s="4"/>
    </row>
    <row r="2195" spans="2:6" x14ac:dyDescent="0.3">
      <c r="B2195" s="4"/>
      <c r="C2195" s="4"/>
      <c r="D2195" s="4"/>
      <c r="E2195" s="4"/>
      <c r="F2195" s="4"/>
    </row>
    <row r="2196" spans="2:6" x14ac:dyDescent="0.3">
      <c r="B2196" s="4"/>
      <c r="C2196" s="4"/>
      <c r="D2196" s="4"/>
      <c r="E2196" s="4"/>
      <c r="F2196" s="4"/>
    </row>
    <row r="2197" spans="2:6" x14ac:dyDescent="0.3">
      <c r="B2197" s="4"/>
      <c r="C2197" s="4"/>
      <c r="D2197" s="4"/>
      <c r="E2197" s="4"/>
      <c r="F2197" s="4"/>
    </row>
    <row r="2198" spans="2:6" x14ac:dyDescent="0.3">
      <c r="B2198" s="4"/>
      <c r="C2198" s="4"/>
      <c r="D2198" s="4"/>
      <c r="E2198" s="4"/>
      <c r="F2198" s="4"/>
    </row>
    <row r="2199" spans="2:6" x14ac:dyDescent="0.3">
      <c r="B2199" s="4"/>
      <c r="C2199" s="4"/>
      <c r="D2199" s="4"/>
      <c r="E2199" s="4"/>
      <c r="F2199" s="4"/>
    </row>
    <row r="2200" spans="2:6" x14ac:dyDescent="0.3">
      <c r="B2200" s="4"/>
      <c r="C2200" s="4"/>
      <c r="D2200" s="4"/>
      <c r="E2200" s="4"/>
      <c r="F2200" s="4"/>
    </row>
    <row r="2201" spans="2:6" x14ac:dyDescent="0.3">
      <c r="B2201" s="4"/>
      <c r="C2201" s="4"/>
      <c r="D2201" s="4"/>
      <c r="E2201" s="4"/>
      <c r="F2201" s="4"/>
    </row>
    <row r="2202" spans="2:6" x14ac:dyDescent="0.3">
      <c r="B2202" s="4"/>
      <c r="C2202" s="4"/>
      <c r="D2202" s="4"/>
      <c r="E2202" s="4"/>
      <c r="F2202" s="4"/>
    </row>
    <row r="2203" spans="2:6" x14ac:dyDescent="0.3">
      <c r="B2203" s="4"/>
      <c r="C2203" s="4"/>
      <c r="D2203" s="4"/>
      <c r="E2203" s="4"/>
      <c r="F2203" s="4"/>
    </row>
    <row r="2204" spans="2:6" x14ac:dyDescent="0.3">
      <c r="B2204" s="4"/>
      <c r="C2204" s="4"/>
      <c r="D2204" s="4"/>
      <c r="E2204" s="4"/>
      <c r="F2204" s="4"/>
    </row>
    <row r="2205" spans="2:6" x14ac:dyDescent="0.3">
      <c r="B2205" s="4"/>
      <c r="C2205" s="4"/>
      <c r="D2205" s="4"/>
      <c r="E2205" s="4"/>
      <c r="F2205" s="4"/>
    </row>
    <row r="2206" spans="2:6" x14ac:dyDescent="0.3">
      <c r="B2206" s="4"/>
      <c r="C2206" s="4"/>
      <c r="D2206" s="4"/>
      <c r="E2206" s="4"/>
      <c r="F2206" s="4"/>
    </row>
    <row r="2207" spans="2:6" x14ac:dyDescent="0.3">
      <c r="B2207" s="4"/>
      <c r="C2207" s="4"/>
      <c r="D2207" s="4"/>
      <c r="E2207" s="4"/>
      <c r="F2207" s="4"/>
    </row>
    <row r="2208" spans="2:6" x14ac:dyDescent="0.3">
      <c r="B2208" s="4"/>
      <c r="C2208" s="4"/>
      <c r="D2208" s="4"/>
      <c r="E2208" s="4"/>
      <c r="F2208" s="4"/>
    </row>
    <row r="2209" spans="2:6" x14ac:dyDescent="0.3">
      <c r="B2209" s="4"/>
      <c r="C2209" s="4"/>
      <c r="D2209" s="4"/>
      <c r="E2209" s="4"/>
      <c r="F2209" s="4"/>
    </row>
    <row r="2210" spans="2:6" x14ac:dyDescent="0.3">
      <c r="B2210" s="4"/>
      <c r="C2210" s="4"/>
      <c r="D2210" s="4"/>
      <c r="E2210" s="4"/>
      <c r="F2210" s="4"/>
    </row>
    <row r="2211" spans="2:6" x14ac:dyDescent="0.3">
      <c r="B2211" s="4"/>
      <c r="C2211" s="4"/>
      <c r="D2211" s="4"/>
      <c r="E2211" s="4"/>
      <c r="F2211" s="4"/>
    </row>
    <row r="2212" spans="2:6" x14ac:dyDescent="0.3">
      <c r="B2212" s="4"/>
      <c r="C2212" s="4"/>
      <c r="D2212" s="4"/>
      <c r="E2212" s="4"/>
      <c r="F2212" s="4"/>
    </row>
    <row r="2213" spans="2:6" x14ac:dyDescent="0.3">
      <c r="B2213" s="4"/>
      <c r="C2213" s="4"/>
      <c r="D2213" s="4"/>
      <c r="E2213" s="4"/>
      <c r="F2213" s="4"/>
    </row>
    <row r="2214" spans="2:6" x14ac:dyDescent="0.3">
      <c r="B2214" s="4"/>
      <c r="C2214" s="4"/>
      <c r="D2214" s="4"/>
      <c r="E2214" s="4"/>
      <c r="F2214" s="4"/>
    </row>
    <row r="2215" spans="2:6" x14ac:dyDescent="0.3">
      <c r="B2215" s="4"/>
      <c r="C2215" s="4"/>
      <c r="D2215" s="4"/>
      <c r="E2215" s="4"/>
      <c r="F2215" s="4"/>
    </row>
    <row r="2216" spans="2:6" x14ac:dyDescent="0.3">
      <c r="B2216" s="4"/>
      <c r="C2216" s="4"/>
      <c r="D2216" s="4"/>
      <c r="E2216" s="4"/>
      <c r="F2216" s="4"/>
    </row>
    <row r="2217" spans="2:6" x14ac:dyDescent="0.3">
      <c r="B2217" s="4"/>
      <c r="C2217" s="4"/>
      <c r="D2217" s="4"/>
      <c r="E2217" s="4"/>
      <c r="F2217" s="4"/>
    </row>
    <row r="2218" spans="2:6" x14ac:dyDescent="0.3">
      <c r="B2218" s="4"/>
      <c r="C2218" s="4"/>
      <c r="D2218" s="4"/>
      <c r="E2218" s="4"/>
      <c r="F2218" s="4"/>
    </row>
    <row r="2219" spans="2:6" x14ac:dyDescent="0.3">
      <c r="B2219" s="4"/>
      <c r="C2219" s="4"/>
      <c r="D2219" s="4"/>
      <c r="E2219" s="4"/>
      <c r="F2219" s="4"/>
    </row>
    <row r="2220" spans="2:6" x14ac:dyDescent="0.3">
      <c r="B2220" s="4"/>
      <c r="C2220" s="4"/>
      <c r="D2220" s="4"/>
      <c r="E2220" s="4"/>
      <c r="F2220" s="4"/>
    </row>
    <row r="2221" spans="2:6" x14ac:dyDescent="0.3">
      <c r="B2221" s="4"/>
      <c r="C2221" s="4"/>
      <c r="D2221" s="4"/>
      <c r="E2221" s="4"/>
      <c r="F2221" s="4"/>
    </row>
    <row r="2222" spans="2:6" x14ac:dyDescent="0.3">
      <c r="B2222" s="4"/>
      <c r="C2222" s="4"/>
      <c r="D2222" s="4"/>
      <c r="E2222" s="4"/>
      <c r="F2222" s="4"/>
    </row>
    <row r="2223" spans="2:6" x14ac:dyDescent="0.3">
      <c r="B2223" s="4"/>
      <c r="C2223" s="4"/>
      <c r="D2223" s="4"/>
      <c r="E2223" s="4"/>
      <c r="F2223" s="4"/>
    </row>
    <row r="2224" spans="2:6" x14ac:dyDescent="0.3">
      <c r="B2224" s="4"/>
      <c r="C2224" s="4"/>
      <c r="D2224" s="4"/>
      <c r="E2224" s="4"/>
      <c r="F2224" s="4"/>
    </row>
    <row r="2225" spans="2:6" x14ac:dyDescent="0.3">
      <c r="B2225" s="4"/>
      <c r="C2225" s="4"/>
      <c r="D2225" s="4"/>
      <c r="E2225" s="4"/>
      <c r="F2225" s="4"/>
    </row>
    <row r="2226" spans="2:6" x14ac:dyDescent="0.3">
      <c r="B2226" s="4"/>
      <c r="C2226" s="4"/>
      <c r="D2226" s="4"/>
      <c r="E2226" s="4"/>
      <c r="F2226" s="4"/>
    </row>
    <row r="2227" spans="2:6" x14ac:dyDescent="0.3">
      <c r="B2227" s="4"/>
      <c r="C2227" s="4"/>
      <c r="D2227" s="4"/>
      <c r="E2227" s="4"/>
      <c r="F2227" s="4"/>
    </row>
    <row r="2228" spans="2:6" x14ac:dyDescent="0.3">
      <c r="B2228" s="4"/>
      <c r="C2228" s="4"/>
      <c r="D2228" s="4"/>
      <c r="E2228" s="4"/>
      <c r="F2228" s="4"/>
    </row>
    <row r="2229" spans="2:6" x14ac:dyDescent="0.3">
      <c r="B2229" s="4"/>
      <c r="C2229" s="4"/>
      <c r="D2229" s="4"/>
      <c r="E2229" s="4"/>
      <c r="F2229" s="4"/>
    </row>
    <row r="2230" spans="2:6" x14ac:dyDescent="0.3">
      <c r="B2230" s="4"/>
      <c r="C2230" s="4"/>
      <c r="D2230" s="4"/>
      <c r="E2230" s="4"/>
      <c r="F2230" s="4"/>
    </row>
    <row r="2231" spans="2:6" x14ac:dyDescent="0.3">
      <c r="B2231" s="4"/>
      <c r="C2231" s="4"/>
      <c r="D2231" s="4"/>
      <c r="E2231" s="4"/>
      <c r="F2231" s="4"/>
    </row>
    <row r="2232" spans="2:6" x14ac:dyDescent="0.3">
      <c r="B2232" s="4"/>
      <c r="C2232" s="4"/>
      <c r="D2232" s="4"/>
      <c r="E2232" s="4"/>
      <c r="F2232" s="4"/>
    </row>
    <row r="2233" spans="2:6" x14ac:dyDescent="0.3">
      <c r="B2233" s="4"/>
      <c r="C2233" s="4"/>
      <c r="D2233" s="4"/>
      <c r="E2233" s="4"/>
      <c r="F2233" s="4"/>
    </row>
    <row r="2234" spans="2:6" x14ac:dyDescent="0.3">
      <c r="B2234" s="4"/>
      <c r="C2234" s="4"/>
      <c r="D2234" s="4"/>
      <c r="E2234" s="4"/>
      <c r="F2234" s="4"/>
    </row>
    <row r="2235" spans="2:6" x14ac:dyDescent="0.3">
      <c r="B2235" s="4"/>
      <c r="C2235" s="4"/>
      <c r="D2235" s="4"/>
      <c r="E2235" s="4"/>
      <c r="F2235" s="4"/>
    </row>
    <row r="2236" spans="2:6" x14ac:dyDescent="0.3">
      <c r="B2236" s="4"/>
      <c r="C2236" s="4"/>
      <c r="D2236" s="4"/>
      <c r="E2236" s="4"/>
      <c r="F2236" s="4"/>
    </row>
    <row r="2237" spans="2:6" x14ac:dyDescent="0.3">
      <c r="B2237" s="4"/>
      <c r="C2237" s="4"/>
      <c r="D2237" s="4"/>
      <c r="E2237" s="4"/>
      <c r="F2237" s="4"/>
    </row>
    <row r="2238" spans="2:6" x14ac:dyDescent="0.3">
      <c r="B2238" s="4"/>
      <c r="C2238" s="4"/>
      <c r="D2238" s="4"/>
      <c r="E2238" s="4"/>
      <c r="F2238" s="4"/>
    </row>
    <row r="2239" spans="2:6" x14ac:dyDescent="0.3">
      <c r="B2239" s="4"/>
      <c r="C2239" s="4"/>
      <c r="D2239" s="4"/>
      <c r="E2239" s="4"/>
      <c r="F2239" s="4"/>
    </row>
    <row r="2240" spans="2:6" x14ac:dyDescent="0.3">
      <c r="B2240" s="4"/>
      <c r="C2240" s="4"/>
      <c r="D2240" s="4"/>
      <c r="E2240" s="4"/>
      <c r="F2240" s="4"/>
    </row>
    <row r="2241" spans="2:6" x14ac:dyDescent="0.3">
      <c r="B2241" s="4"/>
      <c r="C2241" s="4"/>
      <c r="D2241" s="4"/>
      <c r="E2241" s="4"/>
      <c r="F2241" s="4"/>
    </row>
    <row r="2242" spans="2:6" x14ac:dyDescent="0.3">
      <c r="B2242" s="4"/>
      <c r="C2242" s="4"/>
      <c r="D2242" s="4"/>
      <c r="E2242" s="4"/>
      <c r="F2242" s="4"/>
    </row>
    <row r="2243" spans="2:6" x14ac:dyDescent="0.3">
      <c r="B2243" s="4"/>
      <c r="C2243" s="4"/>
      <c r="D2243" s="4"/>
      <c r="E2243" s="4"/>
      <c r="F2243" s="4"/>
    </row>
    <row r="2244" spans="2:6" x14ac:dyDescent="0.3">
      <c r="B2244" s="4"/>
      <c r="C2244" s="4"/>
      <c r="D2244" s="4"/>
      <c r="E2244" s="4"/>
      <c r="F2244" s="4"/>
    </row>
    <row r="2245" spans="2:6" x14ac:dyDescent="0.3">
      <c r="B2245" s="4"/>
      <c r="C2245" s="4"/>
      <c r="D2245" s="4"/>
      <c r="E2245" s="4"/>
      <c r="F2245" s="4"/>
    </row>
    <row r="2246" spans="2:6" x14ac:dyDescent="0.3">
      <c r="B2246" s="4"/>
      <c r="C2246" s="4"/>
      <c r="D2246" s="4"/>
      <c r="E2246" s="4"/>
      <c r="F2246" s="4"/>
    </row>
    <row r="2247" spans="2:6" x14ac:dyDescent="0.3">
      <c r="B2247" s="4"/>
      <c r="C2247" s="4"/>
      <c r="D2247" s="4"/>
      <c r="E2247" s="4"/>
      <c r="F2247" s="4"/>
    </row>
    <row r="2248" spans="2:6" x14ac:dyDescent="0.3">
      <c r="B2248" s="4"/>
      <c r="C2248" s="4"/>
      <c r="D2248" s="4"/>
      <c r="E2248" s="4"/>
      <c r="F2248" s="4"/>
    </row>
    <row r="2249" spans="2:6" x14ac:dyDescent="0.3">
      <c r="B2249" s="4"/>
      <c r="C2249" s="4"/>
      <c r="D2249" s="4"/>
      <c r="E2249" s="4"/>
      <c r="F2249" s="4"/>
    </row>
    <row r="2250" spans="2:6" x14ac:dyDescent="0.3">
      <c r="B2250" s="4"/>
      <c r="C2250" s="4"/>
      <c r="D2250" s="4"/>
      <c r="E2250" s="4"/>
      <c r="F2250" s="4"/>
    </row>
    <row r="2251" spans="2:6" x14ac:dyDescent="0.3">
      <c r="B2251" s="4"/>
      <c r="C2251" s="4"/>
      <c r="D2251" s="4"/>
      <c r="E2251" s="4"/>
      <c r="F2251" s="4"/>
    </row>
    <row r="2252" spans="2:6" x14ac:dyDescent="0.3">
      <c r="B2252" s="4"/>
      <c r="C2252" s="4"/>
      <c r="D2252" s="4"/>
      <c r="E2252" s="4"/>
      <c r="F2252" s="4"/>
    </row>
    <row r="2253" spans="2:6" x14ac:dyDescent="0.3">
      <c r="B2253" s="4"/>
      <c r="C2253" s="4"/>
      <c r="D2253" s="4"/>
      <c r="E2253" s="4"/>
      <c r="F2253" s="4"/>
    </row>
    <row r="2254" spans="2:6" x14ac:dyDescent="0.3">
      <c r="B2254" s="4"/>
      <c r="C2254" s="4"/>
      <c r="D2254" s="4"/>
      <c r="E2254" s="4"/>
      <c r="F2254" s="4"/>
    </row>
    <row r="2255" spans="2:6" x14ac:dyDescent="0.3">
      <c r="B2255" s="4"/>
      <c r="C2255" s="4"/>
      <c r="D2255" s="4"/>
      <c r="E2255" s="4"/>
      <c r="F2255" s="4"/>
    </row>
    <row r="2256" spans="2:6" x14ac:dyDescent="0.3">
      <c r="B2256" s="4"/>
      <c r="C2256" s="4"/>
      <c r="D2256" s="4"/>
      <c r="E2256" s="4"/>
      <c r="F2256" s="4"/>
    </row>
    <row r="2257" spans="2:6" x14ac:dyDescent="0.3">
      <c r="B2257" s="4"/>
      <c r="C2257" s="4"/>
      <c r="D2257" s="4"/>
      <c r="E2257" s="4"/>
      <c r="F2257" s="4"/>
    </row>
    <row r="2258" spans="2:6" x14ac:dyDescent="0.3">
      <c r="B2258" s="4"/>
      <c r="C2258" s="4"/>
      <c r="D2258" s="4"/>
      <c r="E2258" s="4"/>
      <c r="F2258" s="4"/>
    </row>
    <row r="2259" spans="2:6" x14ac:dyDescent="0.3">
      <c r="B2259" s="4"/>
      <c r="C2259" s="4"/>
      <c r="D2259" s="4"/>
      <c r="E2259" s="4"/>
      <c r="F2259" s="4"/>
    </row>
    <row r="2260" spans="2:6" x14ac:dyDescent="0.3">
      <c r="B2260" s="4"/>
      <c r="C2260" s="4"/>
      <c r="D2260" s="4"/>
      <c r="E2260" s="4"/>
      <c r="F2260" s="4"/>
    </row>
    <row r="2261" spans="2:6" x14ac:dyDescent="0.3">
      <c r="B2261" s="4"/>
      <c r="C2261" s="4"/>
      <c r="D2261" s="4"/>
      <c r="E2261" s="4"/>
      <c r="F2261" s="4"/>
    </row>
    <row r="2262" spans="2:6" x14ac:dyDescent="0.3">
      <c r="B2262" s="4"/>
      <c r="C2262" s="4"/>
      <c r="D2262" s="4"/>
      <c r="E2262" s="4"/>
      <c r="F2262" s="4"/>
    </row>
    <row r="2263" spans="2:6" x14ac:dyDescent="0.3">
      <c r="B2263" s="4"/>
      <c r="C2263" s="4"/>
      <c r="D2263" s="4"/>
      <c r="E2263" s="4"/>
      <c r="F2263" s="4"/>
    </row>
    <row r="2264" spans="2:6" x14ac:dyDescent="0.3">
      <c r="B2264" s="4"/>
      <c r="C2264" s="4"/>
      <c r="D2264" s="4"/>
      <c r="E2264" s="4"/>
      <c r="F2264" s="4"/>
    </row>
    <row r="2265" spans="2:6" x14ac:dyDescent="0.3">
      <c r="B2265" s="4"/>
      <c r="C2265" s="4"/>
      <c r="D2265" s="4"/>
      <c r="E2265" s="4"/>
      <c r="F2265" s="4"/>
    </row>
    <row r="2266" spans="2:6" x14ac:dyDescent="0.3">
      <c r="B2266" s="4"/>
      <c r="C2266" s="4"/>
      <c r="D2266" s="4"/>
      <c r="E2266" s="4"/>
      <c r="F2266" s="4"/>
    </row>
    <row r="2267" spans="2:6" x14ac:dyDescent="0.3">
      <c r="B2267" s="4"/>
      <c r="C2267" s="4"/>
      <c r="D2267" s="4"/>
      <c r="E2267" s="4"/>
      <c r="F2267" s="4"/>
    </row>
    <row r="2268" spans="2:6" x14ac:dyDescent="0.3">
      <c r="B2268" s="4"/>
      <c r="C2268" s="4"/>
      <c r="D2268" s="4"/>
      <c r="E2268" s="4"/>
      <c r="F2268" s="4"/>
    </row>
    <row r="2269" spans="2:6" x14ac:dyDescent="0.3">
      <c r="B2269" s="4"/>
      <c r="C2269" s="4"/>
      <c r="D2269" s="4"/>
      <c r="E2269" s="4"/>
      <c r="F2269" s="4"/>
    </row>
    <row r="2270" spans="2:6" x14ac:dyDescent="0.3">
      <c r="B2270" s="4"/>
      <c r="C2270" s="4"/>
      <c r="D2270" s="4"/>
      <c r="E2270" s="4"/>
      <c r="F2270" s="4"/>
    </row>
    <row r="2271" spans="2:6" x14ac:dyDescent="0.3">
      <c r="B2271" s="4"/>
      <c r="C2271" s="4"/>
      <c r="D2271" s="4"/>
      <c r="E2271" s="4"/>
      <c r="F2271" s="4"/>
    </row>
    <row r="2272" spans="2:6" x14ac:dyDescent="0.3">
      <c r="B2272" s="4"/>
      <c r="C2272" s="4"/>
      <c r="D2272" s="4"/>
      <c r="E2272" s="4"/>
      <c r="F2272" s="4"/>
    </row>
    <row r="2273" spans="2:6" x14ac:dyDescent="0.3">
      <c r="B2273" s="4"/>
      <c r="C2273" s="4"/>
      <c r="D2273" s="4"/>
      <c r="E2273" s="4"/>
      <c r="F2273" s="4"/>
    </row>
    <row r="2274" spans="2:6" x14ac:dyDescent="0.3">
      <c r="B2274" s="4"/>
      <c r="C2274" s="4"/>
      <c r="D2274" s="4"/>
      <c r="E2274" s="4"/>
      <c r="F2274" s="4"/>
    </row>
    <row r="2275" spans="2:6" x14ac:dyDescent="0.3">
      <c r="B2275" s="4"/>
      <c r="C2275" s="4"/>
      <c r="D2275" s="4"/>
      <c r="E2275" s="4"/>
      <c r="F2275" s="4"/>
    </row>
    <row r="2276" spans="2:6" x14ac:dyDescent="0.3">
      <c r="B2276" s="4"/>
      <c r="C2276" s="4"/>
      <c r="D2276" s="4"/>
      <c r="E2276" s="4"/>
      <c r="F2276" s="4"/>
    </row>
    <row r="2277" spans="2:6" x14ac:dyDescent="0.3">
      <c r="B2277" s="4"/>
      <c r="C2277" s="4"/>
      <c r="D2277" s="4"/>
      <c r="E2277" s="4"/>
      <c r="F2277" s="4"/>
    </row>
    <row r="2278" spans="2:6" x14ac:dyDescent="0.3">
      <c r="B2278" s="4"/>
      <c r="C2278" s="4"/>
      <c r="D2278" s="4"/>
      <c r="E2278" s="4"/>
      <c r="F2278" s="4"/>
    </row>
    <row r="2279" spans="2:6" x14ac:dyDescent="0.3">
      <c r="B2279" s="4"/>
      <c r="C2279" s="4"/>
      <c r="D2279" s="4"/>
      <c r="E2279" s="4"/>
      <c r="F2279" s="4"/>
    </row>
    <row r="2280" spans="2:6" x14ac:dyDescent="0.3">
      <c r="B2280" s="4"/>
      <c r="C2280" s="4"/>
      <c r="D2280" s="4"/>
      <c r="E2280" s="4"/>
      <c r="F2280" s="4"/>
    </row>
    <row r="2281" spans="2:6" x14ac:dyDescent="0.3">
      <c r="B2281" s="4"/>
      <c r="C2281" s="4"/>
      <c r="D2281" s="4"/>
      <c r="E2281" s="4"/>
      <c r="F2281" s="4"/>
    </row>
    <row r="2282" spans="2:6" x14ac:dyDescent="0.3">
      <c r="B2282" s="4"/>
      <c r="C2282" s="4"/>
      <c r="D2282" s="4"/>
      <c r="E2282" s="4"/>
      <c r="F2282" s="4"/>
    </row>
    <row r="2283" spans="2:6" x14ac:dyDescent="0.3">
      <c r="B2283" s="4"/>
      <c r="C2283" s="4"/>
      <c r="D2283" s="4"/>
      <c r="E2283" s="4"/>
      <c r="F2283" s="4"/>
    </row>
    <row r="2284" spans="2:6" x14ac:dyDescent="0.3">
      <c r="B2284" s="4"/>
      <c r="C2284" s="4"/>
      <c r="D2284" s="4"/>
      <c r="E2284" s="4"/>
      <c r="F2284" s="4"/>
    </row>
    <row r="2285" spans="2:6" x14ac:dyDescent="0.3">
      <c r="B2285" s="4"/>
      <c r="C2285" s="4"/>
      <c r="D2285" s="4"/>
      <c r="E2285" s="4"/>
      <c r="F2285" s="4"/>
    </row>
    <row r="2286" spans="2:6" x14ac:dyDescent="0.3">
      <c r="B2286" s="4"/>
      <c r="C2286" s="4"/>
      <c r="D2286" s="4"/>
      <c r="E2286" s="4"/>
      <c r="F2286" s="4"/>
    </row>
    <row r="2287" spans="2:6" x14ac:dyDescent="0.3">
      <c r="B2287" s="4"/>
      <c r="C2287" s="4"/>
      <c r="D2287" s="4"/>
      <c r="E2287" s="4"/>
      <c r="F2287" s="4"/>
    </row>
    <row r="2288" spans="2:6" x14ac:dyDescent="0.3">
      <c r="B2288" s="4"/>
      <c r="C2288" s="4"/>
      <c r="D2288" s="4"/>
      <c r="E2288" s="4"/>
      <c r="F2288" s="4"/>
    </row>
    <row r="2289" spans="2:6" x14ac:dyDescent="0.3">
      <c r="B2289" s="4"/>
      <c r="C2289" s="4"/>
      <c r="D2289" s="4"/>
      <c r="E2289" s="4"/>
      <c r="F2289" s="4"/>
    </row>
    <row r="2290" spans="2:6" x14ac:dyDescent="0.3">
      <c r="B2290" s="4"/>
      <c r="C2290" s="4"/>
      <c r="D2290" s="4"/>
      <c r="E2290" s="4"/>
      <c r="F2290" s="4"/>
    </row>
    <row r="2291" spans="2:6" x14ac:dyDescent="0.3">
      <c r="B2291" s="4"/>
      <c r="C2291" s="4"/>
      <c r="D2291" s="4"/>
      <c r="E2291" s="4"/>
      <c r="F2291" s="4"/>
    </row>
    <row r="2292" spans="2:6" x14ac:dyDescent="0.3">
      <c r="B2292" s="4"/>
      <c r="C2292" s="4"/>
      <c r="D2292" s="4"/>
      <c r="E2292" s="4"/>
      <c r="F2292" s="4"/>
    </row>
    <row r="2293" spans="2:6" x14ac:dyDescent="0.3">
      <c r="B2293" s="4"/>
      <c r="C2293" s="4"/>
      <c r="D2293" s="4"/>
      <c r="E2293" s="4"/>
      <c r="F2293" s="4"/>
    </row>
    <row r="2294" spans="2:6" x14ac:dyDescent="0.3">
      <c r="B2294" s="4"/>
      <c r="C2294" s="4"/>
      <c r="D2294" s="4"/>
      <c r="E2294" s="4"/>
      <c r="F2294" s="4"/>
    </row>
    <row r="2295" spans="2:6" x14ac:dyDescent="0.3">
      <c r="B2295" s="4"/>
      <c r="C2295" s="4"/>
      <c r="D2295" s="4"/>
      <c r="E2295" s="4"/>
      <c r="F2295" s="4"/>
    </row>
    <row r="2296" spans="2:6" x14ac:dyDescent="0.3">
      <c r="B2296" s="4"/>
      <c r="C2296" s="4"/>
      <c r="D2296" s="4"/>
      <c r="E2296" s="4"/>
      <c r="F2296" s="4"/>
    </row>
    <row r="2297" spans="2:6" x14ac:dyDescent="0.3">
      <c r="B2297" s="4"/>
      <c r="C2297" s="4"/>
      <c r="D2297" s="4"/>
      <c r="E2297" s="4"/>
      <c r="F2297" s="4"/>
    </row>
    <row r="2298" spans="2:6" x14ac:dyDescent="0.3">
      <c r="B2298" s="4"/>
      <c r="C2298" s="4"/>
      <c r="D2298" s="4"/>
      <c r="E2298" s="4"/>
      <c r="F2298" s="4"/>
    </row>
    <row r="2299" spans="2:6" x14ac:dyDescent="0.3">
      <c r="B2299" s="4"/>
      <c r="C2299" s="4"/>
      <c r="D2299" s="4"/>
      <c r="E2299" s="4"/>
      <c r="F2299" s="4"/>
    </row>
    <row r="2300" spans="2:6" x14ac:dyDescent="0.3">
      <c r="B2300" s="4"/>
      <c r="C2300" s="4"/>
      <c r="D2300" s="4"/>
      <c r="E2300" s="4"/>
      <c r="F2300" s="4"/>
    </row>
    <row r="2301" spans="2:6" x14ac:dyDescent="0.3">
      <c r="B2301" s="4"/>
      <c r="C2301" s="4"/>
      <c r="D2301" s="4"/>
      <c r="E2301" s="4"/>
      <c r="F2301" s="4"/>
    </row>
    <row r="2302" spans="2:6" x14ac:dyDescent="0.3">
      <c r="B2302" s="4"/>
      <c r="C2302" s="4"/>
      <c r="D2302" s="4"/>
      <c r="E2302" s="4"/>
      <c r="F2302" s="4"/>
    </row>
    <row r="2303" spans="2:6" x14ac:dyDescent="0.3">
      <c r="B2303" s="4"/>
      <c r="C2303" s="4"/>
      <c r="D2303" s="4"/>
      <c r="E2303" s="4"/>
      <c r="F2303" s="4"/>
    </row>
    <row r="2304" spans="2:6" x14ac:dyDescent="0.3">
      <c r="B2304" s="4"/>
      <c r="C2304" s="4"/>
      <c r="D2304" s="4"/>
      <c r="E2304" s="4"/>
      <c r="F2304" s="4"/>
    </row>
    <row r="2305" spans="2:6" x14ac:dyDescent="0.3">
      <c r="B2305" s="4"/>
      <c r="C2305" s="4"/>
      <c r="D2305" s="4"/>
      <c r="E2305" s="4"/>
      <c r="F2305" s="4"/>
    </row>
    <row r="2306" spans="2:6" x14ac:dyDescent="0.3">
      <c r="B2306" s="4"/>
      <c r="C2306" s="4"/>
      <c r="D2306" s="4"/>
      <c r="E2306" s="4"/>
      <c r="F2306" s="4"/>
    </row>
    <row r="2307" spans="2:6" x14ac:dyDescent="0.3">
      <c r="B2307" s="4"/>
      <c r="C2307" s="4"/>
      <c r="D2307" s="4"/>
      <c r="E2307" s="4"/>
      <c r="F2307" s="4"/>
    </row>
    <row r="2308" spans="2:6" x14ac:dyDescent="0.3">
      <c r="B2308" s="4"/>
      <c r="C2308" s="4"/>
      <c r="D2308" s="4"/>
      <c r="E2308" s="4"/>
      <c r="F2308" s="4"/>
    </row>
    <row r="2309" spans="2:6" x14ac:dyDescent="0.3">
      <c r="B2309" s="4"/>
      <c r="C2309" s="4"/>
      <c r="D2309" s="4"/>
      <c r="E2309" s="4"/>
      <c r="F2309" s="4"/>
    </row>
    <row r="2310" spans="2:6" x14ac:dyDescent="0.3">
      <c r="B2310" s="4"/>
      <c r="C2310" s="4"/>
      <c r="D2310" s="4"/>
      <c r="E2310" s="4"/>
      <c r="F2310" s="4"/>
    </row>
    <row r="2311" spans="2:6" x14ac:dyDescent="0.3">
      <c r="B2311" s="4"/>
      <c r="C2311" s="4"/>
      <c r="D2311" s="4"/>
      <c r="E2311" s="4"/>
      <c r="F2311" s="4"/>
    </row>
    <row r="2312" spans="2:6" x14ac:dyDescent="0.3">
      <c r="B2312" s="4"/>
      <c r="C2312" s="4"/>
      <c r="D2312" s="4"/>
      <c r="E2312" s="4"/>
      <c r="F2312" s="4"/>
    </row>
    <row r="2313" spans="2:6" x14ac:dyDescent="0.3">
      <c r="B2313" s="4"/>
      <c r="C2313" s="4"/>
      <c r="D2313" s="4"/>
      <c r="E2313" s="4"/>
      <c r="F2313" s="4"/>
    </row>
    <row r="2314" spans="2:6" x14ac:dyDescent="0.3">
      <c r="B2314" s="4"/>
      <c r="C2314" s="4"/>
      <c r="D2314" s="4"/>
      <c r="E2314" s="4"/>
      <c r="F2314" s="4"/>
    </row>
    <row r="2315" spans="2:6" x14ac:dyDescent="0.3">
      <c r="B2315" s="4"/>
      <c r="C2315" s="4"/>
      <c r="D2315" s="4"/>
      <c r="E2315" s="4"/>
      <c r="F2315" s="4"/>
    </row>
    <row r="2316" spans="2:6" x14ac:dyDescent="0.3">
      <c r="B2316" s="4"/>
      <c r="C2316" s="4"/>
      <c r="D2316" s="4"/>
      <c r="E2316" s="4"/>
      <c r="F2316" s="4"/>
    </row>
    <row r="2317" spans="2:6" x14ac:dyDescent="0.3">
      <c r="B2317" s="4"/>
      <c r="C2317" s="4"/>
      <c r="D2317" s="4"/>
      <c r="E2317" s="4"/>
      <c r="F2317" s="4"/>
    </row>
    <row r="2318" spans="2:6" x14ac:dyDescent="0.3">
      <c r="B2318" s="4"/>
      <c r="C2318" s="4"/>
      <c r="D2318" s="4"/>
      <c r="E2318" s="4"/>
      <c r="F2318" s="4"/>
    </row>
    <row r="2319" spans="2:6" x14ac:dyDescent="0.3">
      <c r="B2319" s="4"/>
      <c r="C2319" s="4"/>
      <c r="D2319" s="4"/>
      <c r="E2319" s="4"/>
      <c r="F2319" s="4"/>
    </row>
    <row r="2320" spans="2:6" x14ac:dyDescent="0.3">
      <c r="B2320" s="4"/>
      <c r="C2320" s="4"/>
      <c r="D2320" s="4"/>
      <c r="E2320" s="4"/>
      <c r="F2320" s="4"/>
    </row>
    <row r="2321" spans="2:6" x14ac:dyDescent="0.3">
      <c r="B2321" s="4"/>
      <c r="C2321" s="4"/>
      <c r="D2321" s="4"/>
      <c r="E2321" s="4"/>
      <c r="F2321" s="4"/>
    </row>
    <row r="2322" spans="2:6" x14ac:dyDescent="0.3">
      <c r="B2322" s="4"/>
      <c r="C2322" s="4"/>
      <c r="D2322" s="4"/>
      <c r="E2322" s="4"/>
      <c r="F2322" s="4"/>
    </row>
    <row r="2323" spans="2:6" x14ac:dyDescent="0.3">
      <c r="B2323" s="4"/>
      <c r="C2323" s="4"/>
      <c r="D2323" s="4"/>
      <c r="E2323" s="4"/>
      <c r="F2323" s="4"/>
    </row>
    <row r="2324" spans="2:6" x14ac:dyDescent="0.3">
      <c r="B2324" s="4"/>
      <c r="C2324" s="4"/>
      <c r="D2324" s="4"/>
      <c r="E2324" s="4"/>
      <c r="F2324" s="4"/>
    </row>
    <row r="2325" spans="2:6" x14ac:dyDescent="0.3">
      <c r="B2325" s="4"/>
      <c r="C2325" s="4"/>
      <c r="D2325" s="4"/>
      <c r="E2325" s="4"/>
      <c r="F2325" s="4"/>
    </row>
    <row r="2326" spans="2:6" x14ac:dyDescent="0.3">
      <c r="B2326" s="4"/>
      <c r="C2326" s="4"/>
      <c r="D2326" s="4"/>
      <c r="E2326" s="4"/>
      <c r="F2326" s="4"/>
    </row>
    <row r="2327" spans="2:6" x14ac:dyDescent="0.3">
      <c r="B2327" s="4"/>
      <c r="C2327" s="4"/>
      <c r="D2327" s="4"/>
      <c r="E2327" s="4"/>
      <c r="F2327" s="4"/>
    </row>
    <row r="2328" spans="2:6" x14ac:dyDescent="0.3">
      <c r="B2328" s="4"/>
      <c r="C2328" s="4"/>
      <c r="D2328" s="4"/>
      <c r="E2328" s="4"/>
      <c r="F2328" s="4"/>
    </row>
    <row r="2329" spans="2:6" x14ac:dyDescent="0.3">
      <c r="B2329" s="4"/>
      <c r="C2329" s="4"/>
      <c r="D2329" s="4"/>
      <c r="E2329" s="4"/>
      <c r="F2329" s="4"/>
    </row>
    <row r="2330" spans="2:6" x14ac:dyDescent="0.3">
      <c r="B2330" s="4"/>
      <c r="C2330" s="4"/>
      <c r="D2330" s="4"/>
      <c r="E2330" s="4"/>
      <c r="F2330" s="4"/>
    </row>
    <row r="2331" spans="2:6" x14ac:dyDescent="0.3">
      <c r="B2331" s="4"/>
      <c r="C2331" s="4"/>
      <c r="D2331" s="4"/>
      <c r="E2331" s="4"/>
      <c r="F2331" s="4"/>
    </row>
    <row r="2332" spans="2:6" x14ac:dyDescent="0.3">
      <c r="B2332" s="4"/>
      <c r="C2332" s="4"/>
      <c r="D2332" s="4"/>
      <c r="E2332" s="4"/>
      <c r="F2332" s="4"/>
    </row>
    <row r="2333" spans="2:6" x14ac:dyDescent="0.3">
      <c r="B2333" s="4"/>
      <c r="C2333" s="4"/>
      <c r="D2333" s="4"/>
      <c r="E2333" s="4"/>
      <c r="F2333" s="4"/>
    </row>
    <row r="2334" spans="2:6" x14ac:dyDescent="0.3">
      <c r="B2334" s="4"/>
      <c r="C2334" s="4"/>
      <c r="D2334" s="4"/>
      <c r="E2334" s="4"/>
      <c r="F2334" s="4"/>
    </row>
    <row r="2335" spans="2:6" x14ac:dyDescent="0.3">
      <c r="B2335" s="4"/>
      <c r="C2335" s="4"/>
      <c r="D2335" s="4"/>
      <c r="E2335" s="4"/>
      <c r="F2335" s="4"/>
    </row>
    <row r="2336" spans="2:6" x14ac:dyDescent="0.3">
      <c r="B2336" s="4"/>
      <c r="C2336" s="4"/>
      <c r="D2336" s="4"/>
      <c r="E2336" s="4"/>
      <c r="F2336" s="4"/>
    </row>
    <row r="2337" spans="2:6" x14ac:dyDescent="0.3">
      <c r="B2337" s="4"/>
      <c r="C2337" s="4"/>
      <c r="D2337" s="4"/>
      <c r="E2337" s="4"/>
      <c r="F2337" s="4"/>
    </row>
    <row r="2338" spans="2:6" x14ac:dyDescent="0.3">
      <c r="B2338" s="4"/>
      <c r="C2338" s="4"/>
      <c r="D2338" s="4"/>
      <c r="E2338" s="4"/>
      <c r="F2338" s="4"/>
    </row>
    <row r="2339" spans="2:6" x14ac:dyDescent="0.3">
      <c r="B2339" s="4"/>
      <c r="C2339" s="4"/>
      <c r="D2339" s="4"/>
      <c r="E2339" s="4"/>
      <c r="F2339" s="4"/>
    </row>
    <row r="2340" spans="2:6" x14ac:dyDescent="0.3">
      <c r="B2340" s="4"/>
      <c r="C2340" s="4"/>
      <c r="D2340" s="4"/>
      <c r="E2340" s="4"/>
      <c r="F2340" s="4"/>
    </row>
    <row r="2341" spans="2:6" x14ac:dyDescent="0.3">
      <c r="B2341" s="4"/>
      <c r="C2341" s="4"/>
      <c r="D2341" s="4"/>
      <c r="E2341" s="4"/>
      <c r="F2341" s="4"/>
    </row>
    <row r="2342" spans="2:6" x14ac:dyDescent="0.3">
      <c r="B2342" s="4"/>
      <c r="C2342" s="4"/>
      <c r="D2342" s="4"/>
      <c r="E2342" s="4"/>
      <c r="F2342" s="4"/>
    </row>
    <row r="2343" spans="2:6" x14ac:dyDescent="0.3">
      <c r="B2343" s="4"/>
      <c r="C2343" s="4"/>
      <c r="D2343" s="4"/>
      <c r="E2343" s="4"/>
      <c r="F2343" s="4"/>
    </row>
    <row r="2344" spans="2:6" x14ac:dyDescent="0.3">
      <c r="B2344" s="4"/>
      <c r="C2344" s="4"/>
      <c r="D2344" s="4"/>
      <c r="E2344" s="4"/>
      <c r="F2344" s="4"/>
    </row>
    <row r="2345" spans="2:6" x14ac:dyDescent="0.3">
      <c r="B2345" s="4"/>
      <c r="C2345" s="4"/>
      <c r="D2345" s="4"/>
      <c r="E2345" s="4"/>
      <c r="F2345" s="4"/>
    </row>
    <row r="2346" spans="2:6" x14ac:dyDescent="0.3">
      <c r="B2346" s="4"/>
      <c r="C2346" s="4"/>
      <c r="D2346" s="4"/>
      <c r="E2346" s="4"/>
      <c r="F2346" s="4"/>
    </row>
    <row r="2347" spans="2:6" x14ac:dyDescent="0.3">
      <c r="B2347" s="4"/>
      <c r="C2347" s="4"/>
      <c r="D2347" s="4"/>
      <c r="E2347" s="4"/>
      <c r="F2347" s="4"/>
    </row>
    <row r="2348" spans="2:6" x14ac:dyDescent="0.3">
      <c r="B2348" s="4"/>
      <c r="C2348" s="4"/>
      <c r="D2348" s="4"/>
      <c r="E2348" s="4"/>
      <c r="F2348" s="4"/>
    </row>
    <row r="2349" spans="2:6" x14ac:dyDescent="0.3">
      <c r="B2349" s="4"/>
      <c r="C2349" s="4"/>
      <c r="D2349" s="4"/>
      <c r="E2349" s="4"/>
      <c r="F2349" s="4"/>
    </row>
    <row r="2350" spans="2:6" x14ac:dyDescent="0.3">
      <c r="B2350" s="4"/>
      <c r="C2350" s="4"/>
      <c r="D2350" s="4"/>
      <c r="E2350" s="4"/>
      <c r="F2350" s="4"/>
    </row>
    <row r="2351" spans="2:6" x14ac:dyDescent="0.3">
      <c r="B2351" s="4"/>
      <c r="C2351" s="4"/>
      <c r="D2351" s="4"/>
      <c r="E2351" s="4"/>
      <c r="F2351" s="4"/>
    </row>
    <row r="2352" spans="2:6" x14ac:dyDescent="0.3">
      <c r="B2352" s="4"/>
      <c r="C2352" s="4"/>
      <c r="D2352" s="4"/>
      <c r="E2352" s="4"/>
      <c r="F2352" s="4"/>
    </row>
    <row r="2353" spans="2:6" x14ac:dyDescent="0.3">
      <c r="B2353" s="4"/>
      <c r="C2353" s="4"/>
      <c r="D2353" s="4"/>
      <c r="E2353" s="4"/>
      <c r="F2353" s="4"/>
    </row>
    <row r="2354" spans="2:6" x14ac:dyDescent="0.3">
      <c r="B2354" s="4"/>
      <c r="C2354" s="4"/>
      <c r="D2354" s="4"/>
      <c r="E2354" s="4"/>
      <c r="F2354" s="4"/>
    </row>
    <row r="2355" spans="2:6" x14ac:dyDescent="0.3">
      <c r="B2355" s="4"/>
      <c r="C2355" s="4"/>
      <c r="D2355" s="4"/>
      <c r="E2355" s="4"/>
      <c r="F2355" s="4"/>
    </row>
    <row r="2356" spans="2:6" x14ac:dyDescent="0.3">
      <c r="B2356" s="4"/>
      <c r="C2356" s="4"/>
      <c r="D2356" s="4"/>
      <c r="E2356" s="4"/>
      <c r="F2356" s="4"/>
    </row>
    <row r="2357" spans="2:6" x14ac:dyDescent="0.3">
      <c r="B2357" s="4"/>
      <c r="C2357" s="4"/>
      <c r="D2357" s="4"/>
      <c r="E2357" s="4"/>
      <c r="F2357" s="4"/>
    </row>
    <row r="2358" spans="2:6" x14ac:dyDescent="0.3">
      <c r="B2358" s="4"/>
      <c r="C2358" s="4"/>
      <c r="D2358" s="4"/>
      <c r="E2358" s="4"/>
      <c r="F2358" s="4"/>
    </row>
    <row r="2359" spans="2:6" x14ac:dyDescent="0.3">
      <c r="B2359" s="4"/>
      <c r="C2359" s="4"/>
      <c r="D2359" s="4"/>
      <c r="E2359" s="4"/>
      <c r="F2359" s="4"/>
    </row>
    <row r="2360" spans="2:6" x14ac:dyDescent="0.3">
      <c r="B2360" s="4"/>
      <c r="C2360" s="4"/>
      <c r="D2360" s="4"/>
      <c r="E2360" s="4"/>
      <c r="F2360" s="4"/>
    </row>
    <row r="2361" spans="2:6" x14ac:dyDescent="0.3">
      <c r="B2361" s="4"/>
      <c r="C2361" s="4"/>
      <c r="D2361" s="4"/>
      <c r="E2361" s="4"/>
      <c r="F2361" s="4"/>
    </row>
    <row r="2362" spans="2:6" x14ac:dyDescent="0.3">
      <c r="B2362" s="4"/>
      <c r="C2362" s="4"/>
      <c r="D2362" s="4"/>
      <c r="E2362" s="4"/>
      <c r="F2362" s="4"/>
    </row>
    <row r="2363" spans="2:6" x14ac:dyDescent="0.3">
      <c r="B2363" s="4"/>
      <c r="C2363" s="4"/>
      <c r="D2363" s="4"/>
      <c r="E2363" s="4"/>
      <c r="F2363" s="4"/>
    </row>
    <row r="2364" spans="2:6" x14ac:dyDescent="0.3">
      <c r="B2364" s="4"/>
      <c r="C2364" s="4"/>
      <c r="D2364" s="4"/>
      <c r="E2364" s="4"/>
      <c r="F2364" s="4"/>
    </row>
    <row r="2365" spans="2:6" x14ac:dyDescent="0.3">
      <c r="B2365" s="4"/>
      <c r="C2365" s="4"/>
      <c r="D2365" s="4"/>
      <c r="E2365" s="4"/>
      <c r="F2365" s="4"/>
    </row>
    <row r="2366" spans="2:6" x14ac:dyDescent="0.3">
      <c r="B2366" s="4"/>
      <c r="C2366" s="4"/>
      <c r="D2366" s="4"/>
      <c r="E2366" s="4"/>
      <c r="F2366" s="4"/>
    </row>
    <row r="2367" spans="2:6" x14ac:dyDescent="0.3">
      <c r="B2367" s="4"/>
      <c r="C2367" s="4"/>
      <c r="D2367" s="4"/>
      <c r="E2367" s="4"/>
      <c r="F2367" s="4"/>
    </row>
    <row r="2368" spans="2:6" x14ac:dyDescent="0.3">
      <c r="B2368" s="4"/>
      <c r="C2368" s="4"/>
      <c r="D2368" s="4"/>
      <c r="E2368" s="4"/>
      <c r="F2368" s="4"/>
    </row>
    <row r="2369" spans="2:6" x14ac:dyDescent="0.3">
      <c r="B2369" s="4"/>
      <c r="C2369" s="4"/>
      <c r="D2369" s="4"/>
      <c r="E2369" s="4"/>
      <c r="F2369" s="4"/>
    </row>
    <row r="2370" spans="2:6" x14ac:dyDescent="0.3">
      <c r="B2370" s="4"/>
      <c r="C2370" s="4"/>
      <c r="D2370" s="4"/>
      <c r="E2370" s="4"/>
      <c r="F2370" s="4"/>
    </row>
    <row r="2371" spans="2:6" x14ac:dyDescent="0.3">
      <c r="B2371" s="4"/>
      <c r="C2371" s="4"/>
      <c r="D2371" s="4"/>
      <c r="E2371" s="4"/>
      <c r="F2371" s="4"/>
    </row>
    <row r="2372" spans="2:6" x14ac:dyDescent="0.3">
      <c r="B2372" s="4"/>
      <c r="C2372" s="4"/>
      <c r="D2372" s="4"/>
      <c r="E2372" s="4"/>
      <c r="F2372" s="4"/>
    </row>
    <row r="2373" spans="2:6" x14ac:dyDescent="0.3">
      <c r="B2373" s="4"/>
      <c r="C2373" s="4"/>
      <c r="D2373" s="4"/>
      <c r="E2373" s="4"/>
      <c r="F2373" s="4"/>
    </row>
    <row r="2374" spans="2:6" x14ac:dyDescent="0.3">
      <c r="B2374" s="4"/>
      <c r="C2374" s="4"/>
      <c r="D2374" s="4"/>
      <c r="E2374" s="4"/>
      <c r="F2374" s="4"/>
    </row>
    <row r="2375" spans="2:6" x14ac:dyDescent="0.3">
      <c r="B2375" s="4"/>
      <c r="C2375" s="4"/>
      <c r="D2375" s="4"/>
      <c r="E2375" s="4"/>
      <c r="F2375" s="4"/>
    </row>
    <row r="2376" spans="2:6" x14ac:dyDescent="0.3">
      <c r="B2376" s="4"/>
      <c r="C2376" s="4"/>
      <c r="D2376" s="4"/>
      <c r="E2376" s="4"/>
      <c r="F2376" s="4"/>
    </row>
    <row r="2377" spans="2:6" x14ac:dyDescent="0.3">
      <c r="B2377" s="4"/>
      <c r="C2377" s="4"/>
      <c r="D2377" s="4"/>
      <c r="E2377" s="4"/>
      <c r="F2377" s="4"/>
    </row>
    <row r="2378" spans="2:6" x14ac:dyDescent="0.3">
      <c r="B2378" s="4"/>
      <c r="C2378" s="4"/>
      <c r="D2378" s="4"/>
      <c r="E2378" s="4"/>
      <c r="F2378" s="4"/>
    </row>
    <row r="2379" spans="2:6" x14ac:dyDescent="0.3">
      <c r="B2379" s="4"/>
      <c r="C2379" s="4"/>
      <c r="D2379" s="4"/>
      <c r="E2379" s="4"/>
      <c r="F2379" s="4"/>
    </row>
    <row r="2380" spans="2:6" x14ac:dyDescent="0.3">
      <c r="B2380" s="4"/>
      <c r="C2380" s="4"/>
      <c r="D2380" s="4"/>
      <c r="E2380" s="4"/>
      <c r="F2380" s="4"/>
    </row>
    <row r="2381" spans="2:6" x14ac:dyDescent="0.3">
      <c r="B2381" s="4"/>
      <c r="C2381" s="4"/>
      <c r="D2381" s="4"/>
      <c r="E2381" s="4"/>
      <c r="F2381" s="4"/>
    </row>
    <row r="2382" spans="2:6" x14ac:dyDescent="0.3">
      <c r="B2382" s="4"/>
      <c r="C2382" s="4"/>
      <c r="D2382" s="4"/>
      <c r="E2382" s="4"/>
      <c r="F2382" s="4"/>
    </row>
    <row r="2383" spans="2:6" x14ac:dyDescent="0.3">
      <c r="B2383" s="4"/>
      <c r="C2383" s="4"/>
      <c r="D2383" s="4"/>
      <c r="E2383" s="4"/>
      <c r="F2383" s="4"/>
    </row>
    <row r="2384" spans="2:6" x14ac:dyDescent="0.3">
      <c r="B2384" s="4"/>
      <c r="C2384" s="4"/>
      <c r="D2384" s="4"/>
      <c r="E2384" s="4"/>
      <c r="F2384" s="4"/>
    </row>
    <row r="2385" spans="2:6" x14ac:dyDescent="0.3">
      <c r="B2385" s="4"/>
      <c r="C2385" s="4"/>
      <c r="D2385" s="4"/>
      <c r="E2385" s="4"/>
      <c r="F2385" s="4"/>
    </row>
    <row r="2386" spans="2:6" x14ac:dyDescent="0.3">
      <c r="B2386" s="4"/>
      <c r="C2386" s="4"/>
      <c r="D2386" s="4"/>
      <c r="E2386" s="4"/>
      <c r="F2386" s="4"/>
    </row>
    <row r="2387" spans="2:6" x14ac:dyDescent="0.3">
      <c r="B2387" s="4"/>
      <c r="C2387" s="4"/>
      <c r="D2387" s="4"/>
      <c r="E2387" s="4"/>
      <c r="F2387" s="4"/>
    </row>
    <row r="2388" spans="2:6" x14ac:dyDescent="0.3">
      <c r="B2388" s="4"/>
      <c r="C2388" s="4"/>
      <c r="D2388" s="4"/>
      <c r="E2388" s="4"/>
      <c r="F2388" s="4"/>
    </row>
    <row r="2389" spans="2:6" x14ac:dyDescent="0.3">
      <c r="B2389" s="4"/>
      <c r="C2389" s="4"/>
      <c r="D2389" s="4"/>
      <c r="E2389" s="4"/>
      <c r="F2389" s="4"/>
    </row>
    <row r="2390" spans="2:6" x14ac:dyDescent="0.3">
      <c r="B2390" s="4"/>
      <c r="C2390" s="4"/>
      <c r="D2390" s="4"/>
      <c r="E2390" s="4"/>
      <c r="F2390" s="4"/>
    </row>
    <row r="2391" spans="2:6" x14ac:dyDescent="0.3">
      <c r="B2391" s="4"/>
      <c r="C2391" s="4"/>
      <c r="D2391" s="4"/>
      <c r="E2391" s="4"/>
      <c r="F2391" s="4"/>
    </row>
    <row r="2392" spans="2:6" x14ac:dyDescent="0.3">
      <c r="B2392" s="4"/>
      <c r="C2392" s="4"/>
      <c r="D2392" s="4"/>
      <c r="E2392" s="4"/>
      <c r="F2392" s="4"/>
    </row>
    <row r="2393" spans="2:6" x14ac:dyDescent="0.3">
      <c r="B2393" s="4"/>
      <c r="C2393" s="4"/>
      <c r="D2393" s="4"/>
      <c r="E2393" s="4"/>
      <c r="F2393" s="4"/>
    </row>
    <row r="2394" spans="2:6" x14ac:dyDescent="0.3">
      <c r="B2394" s="4"/>
      <c r="C2394" s="4"/>
      <c r="D2394" s="4"/>
      <c r="E2394" s="4"/>
      <c r="F2394" s="4"/>
    </row>
    <row r="2395" spans="2:6" x14ac:dyDescent="0.3">
      <c r="B2395" s="4"/>
      <c r="C2395" s="4"/>
      <c r="D2395" s="4"/>
      <c r="E2395" s="4"/>
      <c r="F2395" s="4"/>
    </row>
    <row r="2396" spans="2:6" x14ac:dyDescent="0.3">
      <c r="B2396" s="4"/>
      <c r="C2396" s="4"/>
      <c r="D2396" s="4"/>
      <c r="E2396" s="4"/>
      <c r="F2396" s="4"/>
    </row>
    <row r="2397" spans="2:6" x14ac:dyDescent="0.3">
      <c r="B2397" s="4"/>
      <c r="C2397" s="4"/>
      <c r="D2397" s="4"/>
      <c r="E2397" s="4"/>
      <c r="F2397" s="4"/>
    </row>
    <row r="2398" spans="2:6" x14ac:dyDescent="0.3">
      <c r="B2398" s="4"/>
      <c r="C2398" s="4"/>
      <c r="D2398" s="4"/>
      <c r="E2398" s="4"/>
      <c r="F2398" s="4"/>
    </row>
    <row r="2399" spans="2:6" x14ac:dyDescent="0.3">
      <c r="B2399" s="4"/>
      <c r="C2399" s="4"/>
      <c r="D2399" s="4"/>
      <c r="E2399" s="4"/>
      <c r="F2399" s="4"/>
    </row>
    <row r="2400" spans="2:6" x14ac:dyDescent="0.3">
      <c r="B2400" s="4"/>
      <c r="C2400" s="4"/>
      <c r="D2400" s="4"/>
      <c r="E2400" s="4"/>
      <c r="F2400" s="4"/>
    </row>
    <row r="2401" spans="2:6" x14ac:dyDescent="0.3">
      <c r="B2401" s="4"/>
      <c r="C2401" s="4"/>
      <c r="D2401" s="4"/>
      <c r="E2401" s="4"/>
      <c r="F2401" s="4"/>
    </row>
    <row r="2402" spans="2:6" x14ac:dyDescent="0.3">
      <c r="B2402" s="4"/>
      <c r="C2402" s="4"/>
      <c r="D2402" s="4"/>
      <c r="E2402" s="4"/>
      <c r="F2402" s="4"/>
    </row>
    <row r="2403" spans="2:6" x14ac:dyDescent="0.3">
      <c r="B2403" s="4"/>
      <c r="C2403" s="4"/>
      <c r="D2403" s="4"/>
      <c r="E2403" s="4"/>
      <c r="F2403" s="4"/>
    </row>
    <row r="2404" spans="2:6" x14ac:dyDescent="0.3">
      <c r="B2404" s="4"/>
      <c r="C2404" s="4"/>
      <c r="D2404" s="4"/>
      <c r="E2404" s="4"/>
      <c r="F2404" s="4"/>
    </row>
    <row r="2405" spans="2:6" x14ac:dyDescent="0.3">
      <c r="B2405" s="4"/>
      <c r="C2405" s="4"/>
      <c r="D2405" s="4"/>
      <c r="E2405" s="4"/>
      <c r="F2405" s="4"/>
    </row>
    <row r="2406" spans="2:6" x14ac:dyDescent="0.3">
      <c r="B2406" s="4"/>
      <c r="C2406" s="4"/>
      <c r="D2406" s="4"/>
      <c r="E2406" s="4"/>
      <c r="F2406" s="4"/>
    </row>
    <row r="2407" spans="2:6" x14ac:dyDescent="0.3">
      <c r="B2407" s="4"/>
      <c r="C2407" s="4"/>
      <c r="D2407" s="4"/>
      <c r="E2407" s="4"/>
      <c r="F2407" s="4"/>
    </row>
    <row r="2408" spans="2:6" x14ac:dyDescent="0.3">
      <c r="B2408" s="4"/>
      <c r="C2408" s="4"/>
      <c r="D2408" s="4"/>
      <c r="E2408" s="4"/>
      <c r="F2408" s="4"/>
    </row>
    <row r="2409" spans="2:6" x14ac:dyDescent="0.3">
      <c r="B2409" s="4"/>
      <c r="C2409" s="4"/>
      <c r="D2409" s="4"/>
      <c r="E2409" s="4"/>
      <c r="F2409" s="4"/>
    </row>
    <row r="2410" spans="2:6" x14ac:dyDescent="0.3">
      <c r="B2410" s="4"/>
      <c r="C2410" s="4"/>
      <c r="D2410" s="4"/>
      <c r="E2410" s="4"/>
      <c r="F2410" s="4"/>
    </row>
    <row r="2411" spans="2:6" x14ac:dyDescent="0.3">
      <c r="B2411" s="4"/>
      <c r="C2411" s="4"/>
      <c r="D2411" s="4"/>
      <c r="E2411" s="4"/>
      <c r="F2411" s="4"/>
    </row>
    <row r="2412" spans="2:6" x14ac:dyDescent="0.3">
      <c r="B2412" s="4"/>
      <c r="C2412" s="4"/>
      <c r="D2412" s="4"/>
      <c r="E2412" s="4"/>
      <c r="F2412" s="4"/>
    </row>
    <row r="2413" spans="2:6" x14ac:dyDescent="0.3">
      <c r="B2413" s="4"/>
      <c r="C2413" s="4"/>
      <c r="D2413" s="4"/>
      <c r="E2413" s="4"/>
      <c r="F2413" s="4"/>
    </row>
    <row r="2414" spans="2:6" x14ac:dyDescent="0.3">
      <c r="B2414" s="4"/>
      <c r="C2414" s="4"/>
      <c r="D2414" s="4"/>
      <c r="E2414" s="4"/>
      <c r="F2414" s="4"/>
    </row>
    <row r="2415" spans="2:6" x14ac:dyDescent="0.3">
      <c r="B2415" s="4"/>
      <c r="C2415" s="4"/>
      <c r="D2415" s="4"/>
      <c r="E2415" s="4"/>
      <c r="F2415" s="4"/>
    </row>
    <row r="2416" spans="2:6" x14ac:dyDescent="0.3">
      <c r="B2416" s="4"/>
      <c r="C2416" s="4"/>
      <c r="D2416" s="4"/>
      <c r="E2416" s="4"/>
      <c r="F2416" s="4"/>
    </row>
    <row r="2417" spans="2:6" x14ac:dyDescent="0.3">
      <c r="B2417" s="4"/>
      <c r="C2417" s="4"/>
      <c r="D2417" s="4"/>
      <c r="E2417" s="4"/>
      <c r="F2417" s="4"/>
    </row>
    <row r="2418" spans="2:6" x14ac:dyDescent="0.3">
      <c r="B2418" s="4"/>
      <c r="C2418" s="4"/>
      <c r="D2418" s="4"/>
      <c r="E2418" s="4"/>
      <c r="F2418" s="4"/>
    </row>
    <row r="2419" spans="2:6" x14ac:dyDescent="0.3">
      <c r="B2419" s="4"/>
      <c r="C2419" s="4"/>
      <c r="D2419" s="4"/>
      <c r="E2419" s="4"/>
      <c r="F2419" s="4"/>
    </row>
    <row r="2420" spans="2:6" x14ac:dyDescent="0.3">
      <c r="B2420" s="4"/>
      <c r="C2420" s="4"/>
      <c r="D2420" s="4"/>
      <c r="E2420" s="4"/>
      <c r="F2420" s="4"/>
    </row>
    <row r="2421" spans="2:6" x14ac:dyDescent="0.3">
      <c r="B2421" s="4"/>
      <c r="C2421" s="4"/>
      <c r="D2421" s="4"/>
      <c r="E2421" s="4"/>
      <c r="F2421" s="4"/>
    </row>
    <row r="2422" spans="2:6" x14ac:dyDescent="0.3">
      <c r="B2422" s="4"/>
      <c r="C2422" s="4"/>
      <c r="D2422" s="4"/>
      <c r="E2422" s="4"/>
      <c r="F2422" s="4"/>
    </row>
    <row r="2423" spans="2:6" x14ac:dyDescent="0.3">
      <c r="B2423" s="4"/>
      <c r="C2423" s="4"/>
      <c r="D2423" s="4"/>
      <c r="E2423" s="4"/>
      <c r="F2423" s="4"/>
    </row>
    <row r="2424" spans="2:6" x14ac:dyDescent="0.3">
      <c r="B2424" s="4"/>
      <c r="C2424" s="4"/>
      <c r="D2424" s="4"/>
      <c r="E2424" s="4"/>
      <c r="F2424" s="4"/>
    </row>
    <row r="2425" spans="2:6" x14ac:dyDescent="0.3">
      <c r="B2425" s="4"/>
      <c r="C2425" s="4"/>
      <c r="D2425" s="4"/>
      <c r="E2425" s="4"/>
      <c r="F2425" s="4"/>
    </row>
    <row r="2426" spans="2:6" x14ac:dyDescent="0.3">
      <c r="B2426" s="4"/>
      <c r="C2426" s="4"/>
      <c r="D2426" s="4"/>
      <c r="E2426" s="4"/>
      <c r="F2426" s="4"/>
    </row>
    <row r="2427" spans="2:6" x14ac:dyDescent="0.3">
      <c r="B2427" s="4"/>
      <c r="C2427" s="4"/>
      <c r="D2427" s="4"/>
      <c r="E2427" s="4"/>
      <c r="F2427" s="4"/>
    </row>
    <row r="2428" spans="2:6" x14ac:dyDescent="0.3">
      <c r="B2428" s="4"/>
      <c r="C2428" s="4"/>
      <c r="D2428" s="4"/>
      <c r="E2428" s="4"/>
      <c r="F2428" s="4"/>
    </row>
    <row r="2429" spans="2:6" x14ac:dyDescent="0.3">
      <c r="B2429" s="4"/>
      <c r="C2429" s="4"/>
      <c r="D2429" s="4"/>
      <c r="E2429" s="4"/>
      <c r="F2429" s="4"/>
    </row>
    <row r="2430" spans="2:6" x14ac:dyDescent="0.3">
      <c r="B2430" s="4"/>
      <c r="C2430" s="4"/>
      <c r="D2430" s="4"/>
      <c r="E2430" s="4"/>
      <c r="F2430" s="4"/>
    </row>
    <row r="2431" spans="2:6" x14ac:dyDescent="0.3">
      <c r="B2431" s="4"/>
      <c r="C2431" s="4"/>
      <c r="D2431" s="4"/>
      <c r="E2431" s="4"/>
      <c r="F2431" s="4"/>
    </row>
    <row r="2432" spans="2:6" x14ac:dyDescent="0.3">
      <c r="B2432" s="4"/>
      <c r="C2432" s="4"/>
      <c r="D2432" s="4"/>
      <c r="E2432" s="4"/>
      <c r="F2432" s="4"/>
    </row>
    <row r="2433" spans="2:6" x14ac:dyDescent="0.3">
      <c r="B2433" s="4"/>
      <c r="C2433" s="4"/>
      <c r="D2433" s="4"/>
      <c r="E2433" s="4"/>
      <c r="F2433" s="4"/>
    </row>
    <row r="2434" spans="2:6" x14ac:dyDescent="0.3">
      <c r="B2434" s="4"/>
      <c r="C2434" s="4"/>
      <c r="D2434" s="4"/>
      <c r="E2434" s="4"/>
      <c r="F2434" s="4"/>
    </row>
    <row r="2435" spans="2:6" x14ac:dyDescent="0.3">
      <c r="B2435" s="4"/>
      <c r="C2435" s="4"/>
      <c r="D2435" s="4"/>
      <c r="E2435" s="4"/>
      <c r="F2435" s="4"/>
    </row>
    <row r="2436" spans="2:6" x14ac:dyDescent="0.3">
      <c r="B2436" s="4"/>
      <c r="C2436" s="4"/>
      <c r="D2436" s="4"/>
      <c r="E2436" s="4"/>
      <c r="F2436" s="4"/>
    </row>
    <row r="2437" spans="2:6" x14ac:dyDescent="0.3">
      <c r="B2437" s="4"/>
      <c r="C2437" s="4"/>
      <c r="D2437" s="4"/>
      <c r="E2437" s="4"/>
      <c r="F2437" s="4"/>
    </row>
    <row r="2438" spans="2:6" x14ac:dyDescent="0.3">
      <c r="B2438" s="4"/>
      <c r="C2438" s="4"/>
      <c r="D2438" s="4"/>
      <c r="E2438" s="4"/>
      <c r="F2438" s="4"/>
    </row>
    <row r="2439" spans="2:6" x14ac:dyDescent="0.3">
      <c r="B2439" s="4"/>
      <c r="C2439" s="4"/>
      <c r="D2439" s="4"/>
      <c r="E2439" s="4"/>
      <c r="F2439" s="4"/>
    </row>
    <row r="2440" spans="2:6" x14ac:dyDescent="0.3">
      <c r="B2440" s="4"/>
      <c r="C2440" s="4"/>
      <c r="D2440" s="4"/>
      <c r="E2440" s="4"/>
      <c r="F2440" s="4"/>
    </row>
    <row r="2441" spans="2:6" x14ac:dyDescent="0.3">
      <c r="B2441" s="4"/>
      <c r="C2441" s="4"/>
      <c r="D2441" s="4"/>
      <c r="E2441" s="4"/>
      <c r="F2441" s="4"/>
    </row>
    <row r="2442" spans="2:6" x14ac:dyDescent="0.3">
      <c r="B2442" s="4"/>
      <c r="C2442" s="4"/>
      <c r="D2442" s="4"/>
      <c r="E2442" s="4"/>
      <c r="F2442" s="4"/>
    </row>
    <row r="2443" spans="2:6" x14ac:dyDescent="0.3">
      <c r="B2443" s="4"/>
      <c r="C2443" s="4"/>
      <c r="D2443" s="4"/>
      <c r="E2443" s="4"/>
      <c r="F2443" s="4"/>
    </row>
    <row r="2444" spans="2:6" x14ac:dyDescent="0.3">
      <c r="B2444" s="4"/>
      <c r="C2444" s="4"/>
      <c r="D2444" s="4"/>
      <c r="E2444" s="4"/>
      <c r="F2444" s="4"/>
    </row>
    <row r="2445" spans="2:6" x14ac:dyDescent="0.3">
      <c r="B2445" s="4"/>
      <c r="C2445" s="4"/>
      <c r="D2445" s="4"/>
      <c r="E2445" s="4"/>
      <c r="F2445" s="4"/>
    </row>
    <row r="2446" spans="2:6" x14ac:dyDescent="0.3">
      <c r="B2446" s="4"/>
      <c r="C2446" s="4"/>
      <c r="D2446" s="4"/>
      <c r="E2446" s="4"/>
      <c r="F2446" s="4"/>
    </row>
    <row r="2447" spans="2:6" x14ac:dyDescent="0.3">
      <c r="B2447" s="4"/>
      <c r="C2447" s="4"/>
      <c r="D2447" s="4"/>
      <c r="E2447" s="4"/>
      <c r="F2447" s="4"/>
    </row>
    <row r="2448" spans="2:6" x14ac:dyDescent="0.3">
      <c r="B2448" s="4"/>
      <c r="C2448" s="4"/>
      <c r="D2448" s="4"/>
      <c r="E2448" s="4"/>
      <c r="F2448" s="4"/>
    </row>
    <row r="2449" spans="2:6" x14ac:dyDescent="0.3">
      <c r="B2449" s="4"/>
      <c r="C2449" s="4"/>
      <c r="D2449" s="4"/>
      <c r="E2449" s="4"/>
      <c r="F2449" s="4"/>
    </row>
    <row r="2450" spans="2:6" x14ac:dyDescent="0.3">
      <c r="B2450" s="4"/>
      <c r="C2450" s="4"/>
      <c r="D2450" s="4"/>
      <c r="E2450" s="4"/>
      <c r="F2450" s="4"/>
    </row>
    <row r="2451" spans="2:6" x14ac:dyDescent="0.3">
      <c r="B2451" s="4"/>
      <c r="C2451" s="4"/>
      <c r="D2451" s="4"/>
      <c r="E2451" s="4"/>
      <c r="F2451" s="4"/>
    </row>
    <row r="2452" spans="2:6" x14ac:dyDescent="0.3">
      <c r="B2452" s="4"/>
      <c r="C2452" s="4"/>
      <c r="D2452" s="4"/>
      <c r="E2452" s="4"/>
      <c r="F2452" s="4"/>
    </row>
    <row r="2453" spans="2:6" x14ac:dyDescent="0.3">
      <c r="B2453" s="4"/>
      <c r="C2453" s="4"/>
      <c r="D2453" s="4"/>
      <c r="E2453" s="4"/>
      <c r="F2453" s="4"/>
    </row>
    <row r="2454" spans="2:6" x14ac:dyDescent="0.3">
      <c r="B2454" s="4"/>
      <c r="C2454" s="4"/>
      <c r="D2454" s="4"/>
      <c r="E2454" s="4"/>
      <c r="F2454" s="4"/>
    </row>
    <row r="2455" spans="2:6" x14ac:dyDescent="0.3">
      <c r="B2455" s="4"/>
      <c r="C2455" s="4"/>
      <c r="D2455" s="4"/>
      <c r="E2455" s="4"/>
      <c r="F2455" s="4"/>
    </row>
    <row r="2456" spans="2:6" x14ac:dyDescent="0.3">
      <c r="B2456" s="4"/>
      <c r="C2456" s="4"/>
      <c r="D2456" s="4"/>
      <c r="E2456" s="4"/>
      <c r="F2456" s="4"/>
    </row>
    <row r="2457" spans="2:6" x14ac:dyDescent="0.3">
      <c r="B2457" s="4"/>
      <c r="C2457" s="4"/>
      <c r="D2457" s="4"/>
      <c r="E2457" s="4"/>
      <c r="F2457" s="4"/>
    </row>
    <row r="2458" spans="2:6" x14ac:dyDescent="0.3">
      <c r="B2458" s="4"/>
      <c r="C2458" s="4"/>
      <c r="D2458" s="4"/>
      <c r="E2458" s="4"/>
      <c r="F2458" s="4"/>
    </row>
    <row r="2459" spans="2:6" x14ac:dyDescent="0.3">
      <c r="B2459" s="4"/>
      <c r="C2459" s="4"/>
      <c r="D2459" s="4"/>
      <c r="E2459" s="4"/>
      <c r="F2459" s="4"/>
    </row>
    <row r="2460" spans="2:6" x14ac:dyDescent="0.3">
      <c r="B2460" s="4"/>
      <c r="C2460" s="4"/>
      <c r="D2460" s="4"/>
      <c r="E2460" s="4"/>
      <c r="F2460" s="4"/>
    </row>
    <row r="2461" spans="2:6" x14ac:dyDescent="0.3">
      <c r="B2461" s="4"/>
      <c r="C2461" s="4"/>
      <c r="D2461" s="4"/>
      <c r="E2461" s="4"/>
      <c r="F2461" s="4"/>
    </row>
    <row r="2462" spans="2:6" x14ac:dyDescent="0.3">
      <c r="B2462" s="4"/>
      <c r="C2462" s="4"/>
      <c r="D2462" s="4"/>
      <c r="E2462" s="4"/>
      <c r="F2462" s="4"/>
    </row>
    <row r="2463" spans="2:6" x14ac:dyDescent="0.3">
      <c r="B2463" s="4"/>
      <c r="C2463" s="4"/>
      <c r="D2463" s="4"/>
      <c r="E2463" s="4"/>
      <c r="F2463" s="4"/>
    </row>
    <row r="2464" spans="2:6" x14ac:dyDescent="0.3">
      <c r="B2464" s="4"/>
      <c r="C2464" s="4"/>
      <c r="D2464" s="4"/>
      <c r="E2464" s="4"/>
      <c r="F2464" s="4"/>
    </row>
    <row r="2465" spans="2:6" x14ac:dyDescent="0.3">
      <c r="B2465" s="4"/>
      <c r="C2465" s="4"/>
      <c r="D2465" s="4"/>
      <c r="E2465" s="4"/>
      <c r="F2465" s="4"/>
    </row>
    <row r="2466" spans="2:6" x14ac:dyDescent="0.3">
      <c r="B2466" s="4"/>
      <c r="C2466" s="4"/>
      <c r="D2466" s="4"/>
      <c r="E2466" s="4"/>
      <c r="F2466" s="4"/>
    </row>
    <row r="2467" spans="2:6" x14ac:dyDescent="0.3">
      <c r="B2467" s="4"/>
      <c r="C2467" s="4"/>
      <c r="D2467" s="4"/>
      <c r="E2467" s="4"/>
      <c r="F2467" s="4"/>
    </row>
    <row r="2468" spans="2:6" x14ac:dyDescent="0.3">
      <c r="B2468" s="4"/>
      <c r="C2468" s="4"/>
      <c r="D2468" s="4"/>
      <c r="E2468" s="4"/>
      <c r="F2468" s="4"/>
    </row>
    <row r="2469" spans="2:6" x14ac:dyDescent="0.3">
      <c r="B2469" s="4"/>
      <c r="C2469" s="4"/>
      <c r="D2469" s="4"/>
      <c r="E2469" s="4"/>
      <c r="F2469" s="4"/>
    </row>
    <row r="2470" spans="2:6" x14ac:dyDescent="0.3">
      <c r="B2470" s="4"/>
      <c r="C2470" s="4"/>
      <c r="D2470" s="4"/>
      <c r="E2470" s="4"/>
      <c r="F2470" s="4"/>
    </row>
    <row r="2471" spans="2:6" x14ac:dyDescent="0.3">
      <c r="B2471" s="4"/>
      <c r="C2471" s="4"/>
      <c r="D2471" s="4"/>
      <c r="E2471" s="4"/>
      <c r="F2471" s="4"/>
    </row>
    <row r="2472" spans="2:6" x14ac:dyDescent="0.3">
      <c r="B2472" s="4"/>
      <c r="C2472" s="4"/>
      <c r="D2472" s="4"/>
      <c r="E2472" s="4"/>
      <c r="F2472" s="4"/>
    </row>
    <row r="2473" spans="2:6" x14ac:dyDescent="0.3">
      <c r="B2473" s="4"/>
      <c r="C2473" s="4"/>
      <c r="D2473" s="4"/>
      <c r="E2473" s="4"/>
      <c r="F2473" s="4"/>
    </row>
    <row r="2474" spans="2:6" x14ac:dyDescent="0.3">
      <c r="B2474" s="4"/>
      <c r="C2474" s="4"/>
      <c r="D2474" s="4"/>
      <c r="E2474" s="4"/>
      <c r="F2474" s="4"/>
    </row>
    <row r="2475" spans="2:6" x14ac:dyDescent="0.3">
      <c r="B2475" s="4"/>
      <c r="C2475" s="4"/>
      <c r="D2475" s="4"/>
      <c r="E2475" s="4"/>
      <c r="F2475" s="4"/>
    </row>
    <row r="2476" spans="2:6" x14ac:dyDescent="0.3">
      <c r="B2476" s="4"/>
      <c r="C2476" s="4"/>
      <c r="D2476" s="4"/>
      <c r="E2476" s="4"/>
      <c r="F2476" s="4"/>
    </row>
    <row r="2477" spans="2:6" x14ac:dyDescent="0.3">
      <c r="B2477" s="4"/>
      <c r="C2477" s="4"/>
      <c r="D2477" s="4"/>
      <c r="E2477" s="4"/>
      <c r="F2477" s="4"/>
    </row>
    <row r="2478" spans="2:6" x14ac:dyDescent="0.3">
      <c r="B2478" s="4"/>
      <c r="C2478" s="4"/>
      <c r="D2478" s="4"/>
      <c r="E2478" s="4"/>
      <c r="F2478" s="4"/>
    </row>
    <row r="2479" spans="2:6" x14ac:dyDescent="0.3">
      <c r="B2479" s="4"/>
      <c r="C2479" s="4"/>
      <c r="D2479" s="4"/>
      <c r="E2479" s="4"/>
      <c r="F2479" s="4"/>
    </row>
    <row r="2480" spans="2:6" x14ac:dyDescent="0.3">
      <c r="B2480" s="4"/>
      <c r="C2480" s="4"/>
      <c r="D2480" s="4"/>
      <c r="E2480" s="4"/>
      <c r="F2480" s="4"/>
    </row>
    <row r="2481" spans="2:6" x14ac:dyDescent="0.3">
      <c r="B2481" s="4"/>
      <c r="C2481" s="4"/>
      <c r="D2481" s="4"/>
      <c r="E2481" s="4"/>
      <c r="F2481" s="4"/>
    </row>
    <row r="2482" spans="2:6" x14ac:dyDescent="0.3">
      <c r="B2482" s="4"/>
      <c r="C2482" s="4"/>
      <c r="D2482" s="4"/>
      <c r="E2482" s="4"/>
      <c r="F2482" s="4"/>
    </row>
    <row r="2483" spans="2:6" x14ac:dyDescent="0.3">
      <c r="B2483" s="4"/>
      <c r="C2483" s="4"/>
      <c r="D2483" s="4"/>
      <c r="E2483" s="4"/>
      <c r="F2483" s="4"/>
    </row>
    <row r="2484" spans="2:6" x14ac:dyDescent="0.3">
      <c r="B2484" s="4"/>
      <c r="C2484" s="4"/>
      <c r="D2484" s="4"/>
      <c r="E2484" s="4"/>
      <c r="F2484" s="4"/>
    </row>
    <row r="2485" spans="2:6" x14ac:dyDescent="0.3">
      <c r="B2485" s="4"/>
      <c r="C2485" s="4"/>
      <c r="D2485" s="4"/>
      <c r="E2485" s="4"/>
      <c r="F2485" s="4"/>
    </row>
    <row r="2486" spans="2:6" x14ac:dyDescent="0.3">
      <c r="B2486" s="4"/>
      <c r="C2486" s="4"/>
      <c r="D2486" s="4"/>
      <c r="E2486" s="4"/>
      <c r="F2486" s="4"/>
    </row>
    <row r="2487" spans="2:6" x14ac:dyDescent="0.3">
      <c r="B2487" s="4"/>
      <c r="C2487" s="4"/>
      <c r="D2487" s="4"/>
      <c r="E2487" s="4"/>
      <c r="F2487" s="4"/>
    </row>
    <row r="2488" spans="2:6" x14ac:dyDescent="0.3">
      <c r="B2488" s="4"/>
      <c r="C2488" s="4"/>
      <c r="D2488" s="4"/>
      <c r="E2488" s="4"/>
      <c r="F2488" s="4"/>
    </row>
    <row r="2489" spans="2:6" x14ac:dyDescent="0.3">
      <c r="B2489" s="4"/>
      <c r="C2489" s="4"/>
      <c r="D2489" s="4"/>
      <c r="E2489" s="4"/>
      <c r="F2489" s="4"/>
    </row>
    <row r="2490" spans="2:6" x14ac:dyDescent="0.3">
      <c r="B2490" s="4"/>
      <c r="C2490" s="4"/>
      <c r="D2490" s="4"/>
      <c r="E2490" s="4"/>
      <c r="F2490" s="4"/>
    </row>
    <row r="2491" spans="2:6" x14ac:dyDescent="0.3">
      <c r="B2491" s="4"/>
      <c r="C2491" s="4"/>
      <c r="D2491" s="4"/>
      <c r="E2491" s="4"/>
      <c r="F2491" s="4"/>
    </row>
    <row r="2492" spans="2:6" x14ac:dyDescent="0.3">
      <c r="B2492" s="4"/>
      <c r="C2492" s="4"/>
      <c r="D2492" s="4"/>
      <c r="E2492" s="4"/>
      <c r="F2492" s="4"/>
    </row>
    <row r="2493" spans="2:6" x14ac:dyDescent="0.3">
      <c r="B2493" s="4"/>
      <c r="C2493" s="4"/>
      <c r="D2493" s="4"/>
      <c r="E2493" s="4"/>
      <c r="F2493" s="4"/>
    </row>
    <row r="2494" spans="2:6" x14ac:dyDescent="0.3">
      <c r="B2494" s="4"/>
      <c r="C2494" s="4"/>
      <c r="D2494" s="4"/>
      <c r="E2494" s="4"/>
      <c r="F2494" s="4"/>
    </row>
    <row r="2495" spans="2:6" x14ac:dyDescent="0.3">
      <c r="B2495" s="4"/>
      <c r="C2495" s="4"/>
      <c r="D2495" s="4"/>
      <c r="E2495" s="4"/>
      <c r="F2495" s="4"/>
    </row>
    <row r="2496" spans="2:6" x14ac:dyDescent="0.3">
      <c r="B2496" s="4"/>
      <c r="C2496" s="4"/>
      <c r="D2496" s="4"/>
      <c r="E2496" s="4"/>
      <c r="F2496" s="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2503"/>
  <sheetViews>
    <sheetView zoomScale="90" zoomScaleNormal="90" workbookViewId="0">
      <selection activeCell="C19" sqref="C19"/>
    </sheetView>
  </sheetViews>
  <sheetFormatPr baseColWidth="10" defaultRowHeight="14.4" x14ac:dyDescent="0.3"/>
  <cols>
    <col min="1" max="1" width="13.88671875" customWidth="1"/>
    <col min="2" max="2" width="15" customWidth="1"/>
    <col min="3" max="3" width="70.77734375" customWidth="1"/>
    <col min="4" max="4" width="41.33203125" customWidth="1"/>
  </cols>
  <sheetData>
    <row r="1" spans="1:4" ht="12" customHeight="1" x14ac:dyDescent="0.3">
      <c r="A1" s="1" t="s">
        <v>0</v>
      </c>
      <c r="B1" s="2" t="s">
        <v>2</v>
      </c>
      <c r="C1" s="2" t="s">
        <v>3</v>
      </c>
      <c r="D1" s="2" t="s">
        <v>4</v>
      </c>
    </row>
    <row r="2" spans="1:4" ht="12" customHeight="1" x14ac:dyDescent="0.3">
      <c r="A2" s="4">
        <v>1000</v>
      </c>
      <c r="B2" s="6" t="str">
        <f>VLOOKUP(LISTADO_PRODUCTOS_LISTBOX[Código],LISTADO_PRODUCTOS[#All],3)</f>
        <v>LIBRERÍA</v>
      </c>
      <c r="C2" s="6" t="str">
        <f>VLOOKUP(LISTADO_PRODUCTOS_LISTBOX[Código],LISTADO_PRODUCTOS[#All],4)</f>
        <v>Cuaderno 29.7 America flex - 7792216854173</v>
      </c>
      <c r="D2" s="6" t="str">
        <f>VLOOKUP(LISTADO_PRODUCTOS_LISTBOX[Código],LISTADO_PRODUCTOS[#All],5)</f>
        <v>N/A</v>
      </c>
    </row>
    <row r="3" spans="1:4" ht="12" customHeight="1" x14ac:dyDescent="0.3">
      <c r="A3" s="4">
        <v>1001</v>
      </c>
      <c r="B3" s="6" t="str">
        <f>VLOOKUP(LISTADO_PRODUCTOS_LISTBOX[Código],LISTADO_PRODUCTOS[#All],3)</f>
        <v>LIBRERÍA</v>
      </c>
      <c r="C3" s="6" t="str">
        <f>VLOOKUP(LISTADO_PRODUCTOS_LISTBOX[Código],LISTADO_PRODUCTOS[#All],4)</f>
        <v>Cuaderno Rivadavia escolar 194h 88g</v>
      </c>
      <c r="D3" s="6" t="str">
        <f>VLOOKUP(LISTADO_PRODUCTOS_LISTBOX[Código],LISTADO_PRODUCTOS[#All],5)</f>
        <v>N/A</v>
      </c>
    </row>
    <row r="4" spans="1:4" ht="12" customHeight="1" x14ac:dyDescent="0.3">
      <c r="A4" s="4">
        <v>1002</v>
      </c>
      <c r="B4" s="6" t="str">
        <f>VLOOKUP(LISTADO_PRODUCTOS_LISTBOX[Código],LISTADO_PRODUCTOS[#All],3)</f>
        <v xml:space="preserve">OFICINA </v>
      </c>
      <c r="C4" s="6" t="str">
        <f>VLOOKUP(LISTADO_PRODUCTOS_LISTBOX[Código],LISTADO_PRODUCTOS[#All],4)</f>
        <v>Cuaderno 29.7 America Nos/Avon 80h</v>
      </c>
      <c r="D4" s="6" t="str">
        <f>VLOOKUP(LISTADO_PRODUCTOS_LISTBOX[Código],LISTADO_PRODUCTOS[#All],5)</f>
        <v>N/A</v>
      </c>
    </row>
    <row r="5" spans="1:4" ht="12" customHeight="1" x14ac:dyDescent="0.3">
      <c r="A5" s="4">
        <v>1004</v>
      </c>
      <c r="B5" s="6" t="str">
        <f>VLOOKUP(LISTADO_PRODUCTOS_LISTBOX[Código],LISTADO_PRODUCTOS[#All],3)</f>
        <v>LIBRERÍA</v>
      </c>
      <c r="C5" s="6" t="str">
        <f>VLOOKUP(LISTADO_PRODUCTOS_LISTBOX[Código],LISTADO_PRODUCTOS[#All],4)</f>
        <v>Resaltador Sharpie x12</v>
      </c>
      <c r="D5" s="6" t="str">
        <f>VLOOKUP(LISTADO_PRODUCTOS_LISTBOX[Código],LISTADO_PRODUCTOS[#All],5)</f>
        <v>N/A</v>
      </c>
    </row>
    <row r="6" spans="1:4" ht="12" customHeight="1" x14ac:dyDescent="0.3">
      <c r="A6" s="4">
        <v>1007</v>
      </c>
      <c r="B6" s="6" t="str">
        <f>VLOOKUP(LISTADO_PRODUCTOS_LISTBOX[Código],LISTADO_PRODUCTOS[#All],3)</f>
        <v>LIBRERÍA</v>
      </c>
      <c r="C6" s="6" t="str">
        <f>VLOOKUP(LISTADO_PRODUCTOS_LISTBOX[Código],LISTADO_PRODUCTOS[#All],4)</f>
        <v>Cuaderno 16.21 America Nos c/espiral x 84h</v>
      </c>
      <c r="D6" s="6" t="str">
        <f>VLOOKUP(LISTADO_PRODUCTOS_LISTBOX[Código],LISTADO_PRODUCTOS[#All],5)</f>
        <v>N/A</v>
      </c>
    </row>
    <row r="7" spans="1:4" ht="12" customHeight="1" x14ac:dyDescent="0.3">
      <c r="A7" s="4">
        <v>1009</v>
      </c>
      <c r="B7" s="6" t="str">
        <f>VLOOKUP(LISTADO_PRODUCTOS_LISTBOX[Código],LISTADO_PRODUCTOS[#All],3)</f>
        <v>LIBRERÍA</v>
      </c>
      <c r="C7" s="6" t="str">
        <f>VLOOKUP(LISTADO_PRODUCTOS_LISTBOX[Código],LISTADO_PRODUCTOS[#All],4)</f>
        <v>Cuaderno E7 Éxito Colegial Tapa c/ motivos 60h</v>
      </c>
      <c r="D7" s="6" t="str">
        <f>VLOOKUP(LISTADO_PRODUCTOS_LISTBOX[Código],LISTADO_PRODUCTOS[#All],5)</f>
        <v>N/A</v>
      </c>
    </row>
    <row r="8" spans="1:4" ht="12" customHeight="1" x14ac:dyDescent="0.3">
      <c r="A8" s="4">
        <v>1010</v>
      </c>
      <c r="B8" s="6" t="str">
        <f>VLOOKUP(LISTADO_PRODUCTOS_LISTBOX[Código],LISTADO_PRODUCTOS[#All],3)</f>
        <v>LIBRERÍA</v>
      </c>
      <c r="C8" s="6" t="str">
        <f>VLOOKUP(LISTADO_PRODUCTOS_LISTBOX[Código],LISTADO_PRODUCTOS[#All],4)</f>
        <v>Cuaderno Colegial Éxito x 60h</v>
      </c>
      <c r="D8" s="6" t="str">
        <f>VLOOKUP(LISTADO_PRODUCTOS_LISTBOX[Código],LISTADO_PRODUCTOS[#All],5)</f>
        <v>N/A</v>
      </c>
    </row>
    <row r="9" spans="1:4" ht="12" customHeight="1" x14ac:dyDescent="0.3">
      <c r="A9" s="4">
        <v>1011</v>
      </c>
      <c r="B9" s="6" t="str">
        <f>VLOOKUP(LISTADO_PRODUCTOS_LISTBOX[Código],LISTADO_PRODUCTOS[#All],3)</f>
        <v>LIBRERÍA</v>
      </c>
      <c r="C9" s="6" t="str">
        <f>VLOOKUP(LISTADO_PRODUCTOS_LISTBOX[Código],LISTADO_PRODUCTOS[#All],4)</f>
        <v>Cuaderno Colegial Éxito x 100h</v>
      </c>
      <c r="D9" s="6" t="str">
        <f>VLOOKUP(LISTADO_PRODUCTOS_LISTBOX[Código],LISTADO_PRODUCTOS[#All],5)</f>
        <v>N/A</v>
      </c>
    </row>
    <row r="10" spans="1:4" ht="12" customHeight="1" x14ac:dyDescent="0.3">
      <c r="A10" s="4">
        <v>1012</v>
      </c>
      <c r="B10" s="6" t="str">
        <f>VLOOKUP(LISTADO_PRODUCTOS_LISTBOX[Código],LISTADO_PRODUCTOS[#All],3)</f>
        <v>LIBRERÍA</v>
      </c>
      <c r="C10" s="6" t="str">
        <f>VLOOKUP(LISTADO_PRODUCTOS_LISTBOX[Código],LISTADO_PRODUCTOS[#All],4)</f>
        <v>Cuaderno ABC Rivadavia x 60h</v>
      </c>
      <c r="D10" s="6" t="str">
        <f>VLOOKUP(LISTADO_PRODUCTOS_LISTBOX[Código],LISTADO_PRODUCTOS[#All],5)</f>
        <v>N/A</v>
      </c>
    </row>
    <row r="11" spans="1:4" ht="12" customHeight="1" x14ac:dyDescent="0.3">
      <c r="A11" s="4">
        <v>1013</v>
      </c>
      <c r="B11" s="6" t="str">
        <f>VLOOKUP(LISTADO_PRODUCTOS_LISTBOX[Código],LISTADO_PRODUCTOS[#All],3)</f>
        <v>LIBRERÍA</v>
      </c>
      <c r="C11" s="6" t="str">
        <f>VLOOKUP(LISTADO_PRODUCTOS_LISTBOX[Código],LISTADO_PRODUCTOS[#All],4)</f>
        <v>Cuaderno ABC Rivadavia x 100h</v>
      </c>
      <c r="D11" s="6" t="str">
        <f>VLOOKUP(LISTADO_PRODUCTOS_LISTBOX[Código],LISTADO_PRODUCTOS[#All],5)</f>
        <v>N/A</v>
      </c>
    </row>
    <row r="12" spans="1:4" ht="12" customHeight="1" x14ac:dyDescent="0.3">
      <c r="A12" s="4">
        <v>1014</v>
      </c>
      <c r="B12" s="6" t="str">
        <f>VLOOKUP(LISTADO_PRODUCTOS_LISTBOX[Código],LISTADO_PRODUCTOS[#All],3)</f>
        <v>LIBRERÍA</v>
      </c>
      <c r="C12" s="6" t="str">
        <f>VLOOKUP(LISTADO_PRODUCTOS_LISTBOX[Código],LISTADO_PRODUCTOS[#All],4)</f>
        <v>Block A6 Alfa anillado Rayado 80h</v>
      </c>
      <c r="D12" s="6" t="str">
        <f>VLOOKUP(LISTADO_PRODUCTOS_LISTBOX[Código],LISTADO_PRODUCTOS[#All],5)</f>
        <v>N/A</v>
      </c>
    </row>
    <row r="13" spans="1:4" ht="12" customHeight="1" x14ac:dyDescent="0.3">
      <c r="A13" s="4">
        <v>1015</v>
      </c>
      <c r="B13" s="6" t="str">
        <f>VLOOKUP(LISTADO_PRODUCTOS_LISTBOX[Código],LISTADO_PRODUCTOS[#All],3)</f>
        <v>LIBRERÍA</v>
      </c>
      <c r="C13" s="6" t="str">
        <f>VLOOKUP(LISTADO_PRODUCTOS_LISTBOX[Código],LISTADO_PRODUCTOS[#All],4)</f>
        <v xml:space="preserve">Cuaderno 16.21 Avon x 84h Rayadas </v>
      </c>
      <c r="D13" s="6" t="str">
        <f>VLOOKUP(LISTADO_PRODUCTOS_LISTBOX[Código],LISTADO_PRODUCTOS[#All],5)</f>
        <v>N/A</v>
      </c>
    </row>
    <row r="14" spans="1:4" ht="12" customHeight="1" x14ac:dyDescent="0.3">
      <c r="A14" s="4">
        <v>1016</v>
      </c>
      <c r="B14" s="6" t="str">
        <f>VLOOKUP(LISTADO_PRODUCTOS_LISTBOX[Código],LISTADO_PRODUCTOS[#All],3)</f>
        <v>LIBRERÍA</v>
      </c>
      <c r="C14" s="6" t="str">
        <f>VLOOKUP(LISTADO_PRODUCTOS_LISTBOX[Código],LISTADO_PRODUCTOS[#All],4)</f>
        <v>Block A5 anillado Alfa</v>
      </c>
      <c r="D14" s="6" t="str">
        <f>VLOOKUP(LISTADO_PRODUCTOS_LISTBOX[Código],LISTADO_PRODUCTOS[#All],5)</f>
        <v>N/A</v>
      </c>
    </row>
    <row r="15" spans="1:4" ht="12" customHeight="1" x14ac:dyDescent="0.3">
      <c r="A15" s="4">
        <v>1017</v>
      </c>
      <c r="B15" s="6" t="str">
        <f>VLOOKUP(LISTADO_PRODUCTOS_LISTBOX[Código],LISTADO_PRODUCTOS[#All],3)</f>
        <v>LIBRERÍA</v>
      </c>
      <c r="C15" s="6" t="str">
        <f>VLOOKUP(LISTADO_PRODUCTOS_LISTBOX[Código],LISTADO_PRODUCTOS[#All],4)</f>
        <v>Block A4 Alfa anillado</v>
      </c>
      <c r="D15" s="6" t="str">
        <f>VLOOKUP(LISTADO_PRODUCTOS_LISTBOX[Código],LISTADO_PRODUCTOS[#All],5)</f>
        <v>N/A</v>
      </c>
    </row>
    <row r="16" spans="1:4" ht="12" customHeight="1" x14ac:dyDescent="0.3">
      <c r="A16" s="4">
        <v>1018</v>
      </c>
      <c r="B16" s="6" t="str">
        <f>VLOOKUP(LISTADO_PRODUCTOS_LISTBOX[Código],LISTADO_PRODUCTOS[#All],3)</f>
        <v>LIBRERÍA</v>
      </c>
      <c r="C16" s="6" t="str">
        <f>VLOOKUP(LISTADO_PRODUCTOS_LISTBOX[Código],LISTADO_PRODUCTOS[#All],4)</f>
        <v>Block A4 Avon</v>
      </c>
      <c r="D16" s="6" t="str">
        <f>VLOOKUP(LISTADO_PRODUCTOS_LISTBOX[Código],LISTADO_PRODUCTOS[#All],5)</f>
        <v>N/A</v>
      </c>
    </row>
    <row r="17" spans="1:4" ht="12" customHeight="1" x14ac:dyDescent="0.3">
      <c r="A17" s="4">
        <v>1020</v>
      </c>
      <c r="B17" s="6" t="str">
        <f>VLOOKUP(LISTADO_PRODUCTOS_LISTBOX[Código],LISTADO_PRODUCTOS[#All],3)</f>
        <v>LIBRERÍA</v>
      </c>
      <c r="C17" s="6" t="str">
        <f>VLOOKUP(LISTADO_PRODUCTOS_LISTBOX[Código],LISTADO_PRODUCTOS[#All],4)</f>
        <v>Block Oficio Avon</v>
      </c>
      <c r="D17" s="6" t="str">
        <f>VLOOKUP(LISTADO_PRODUCTOS_LISTBOX[Código],LISTADO_PRODUCTOS[#All],5)</f>
        <v>N/A</v>
      </c>
    </row>
    <row r="18" spans="1:4" ht="12" customHeight="1" x14ac:dyDescent="0.3">
      <c r="A18" s="4">
        <v>1021</v>
      </c>
      <c r="B18" s="6" t="str">
        <f>VLOOKUP(LISTADO_PRODUCTOS_LISTBOX[Código],LISTADO_PRODUCTOS[#All],3)</f>
        <v>LIBRERÍA</v>
      </c>
      <c r="C18" s="6" t="str">
        <f>VLOOKUP(LISTADO_PRODUCTOS_LISTBOX[Código],LISTADO_PRODUCTOS[#All],4)</f>
        <v>Tijera para Zurdos Maped</v>
      </c>
      <c r="D18" s="6" t="str">
        <f>VLOOKUP(LISTADO_PRODUCTOS_LISTBOX[Código],LISTADO_PRODUCTOS[#All],5)</f>
        <v>N/A</v>
      </c>
    </row>
    <row r="19" spans="1:4" ht="12" customHeight="1" x14ac:dyDescent="0.3">
      <c r="A19" s="4">
        <v>1023</v>
      </c>
      <c r="B19" s="6" t="str">
        <f>VLOOKUP(LISTADO_PRODUCTOS_LISTBOX[Código],LISTADO_PRODUCTOS[#All],3)</f>
        <v>LIBRERÍA</v>
      </c>
      <c r="C19" s="6" t="str">
        <f>VLOOKUP(LISTADO_PRODUCTOS_LISTBOX[Código],LISTADO_PRODUCTOS[#All],4)</f>
        <v>Cuaderno Éxito Nº3 x 48h Forrado</v>
      </c>
      <c r="D19" s="6" t="str">
        <f>VLOOKUP(LISTADO_PRODUCTOS_LISTBOX[Código],LISTADO_PRODUCTOS[#All],5)</f>
        <v>N/A</v>
      </c>
    </row>
    <row r="20" spans="1:4" ht="12" customHeight="1" x14ac:dyDescent="0.3">
      <c r="A20" s="4">
        <v>1024</v>
      </c>
      <c r="B20" s="6" t="str">
        <f>VLOOKUP(LISTADO_PRODUCTOS_LISTBOX[Código],LISTADO_PRODUCTOS[#All],3)</f>
        <v>LIBRERÍA</v>
      </c>
      <c r="C20" s="6" t="str">
        <f>VLOOKUP(LISTADO_PRODUCTOS_LISTBOX[Código],LISTADO_PRODUCTOS[#All],4)</f>
        <v>Cuaderno Éxito Nº3 x 48h Motivos - 7791762225079</v>
      </c>
      <c r="D20" s="6" t="str">
        <f>VLOOKUP(LISTADO_PRODUCTOS_LISTBOX[Código],LISTADO_PRODUCTOS[#All],5)</f>
        <v>N/A</v>
      </c>
    </row>
    <row r="21" spans="1:4" ht="12" customHeight="1" x14ac:dyDescent="0.3">
      <c r="A21" s="4">
        <v>1025</v>
      </c>
      <c r="B21" s="6" t="str">
        <f>VLOOKUP(LISTADO_PRODUCTOS_LISTBOX[Código],LISTADO_PRODUCTOS[#All],3)</f>
        <v>LIBRERÍA</v>
      </c>
      <c r="C21" s="6" t="str">
        <f>VLOOKUP(LISTADO_PRODUCTOS_LISTBOX[Código],LISTADO_PRODUCTOS[#All],4)</f>
        <v>Cuaderno Éxito Nº3 x 48h Lunares - 7791762378072</v>
      </c>
      <c r="D21" s="6" t="str">
        <f>VLOOKUP(LISTADO_PRODUCTOS_LISTBOX[Código],LISTADO_PRODUCTOS[#All],5)</f>
        <v>N/A</v>
      </c>
    </row>
    <row r="22" spans="1:4" ht="12" customHeight="1" x14ac:dyDescent="0.3">
      <c r="A22" s="4">
        <v>1026</v>
      </c>
      <c r="B22" s="6" t="str">
        <f>VLOOKUP(LISTADO_PRODUCTOS_LISTBOX[Código],LISTADO_PRODUCTOS[#All],3)</f>
        <v>LIBRERÍA</v>
      </c>
      <c r="C22" s="6" t="str">
        <f>VLOOKUP(LISTADO_PRODUCTOS_LISTBOX[Código],LISTADO_PRODUCTOS[#All],4)</f>
        <v>Cuaderno Rivadavia Nº3 x 50h Forrado araña</v>
      </c>
      <c r="D22" s="6" t="str">
        <f>VLOOKUP(LISTADO_PRODUCTOS_LISTBOX[Código],LISTADO_PRODUCTOS[#All],5)</f>
        <v>N/A</v>
      </c>
    </row>
    <row r="23" spans="1:4" ht="12" customHeight="1" x14ac:dyDescent="0.3">
      <c r="A23" s="4">
        <v>1027</v>
      </c>
      <c r="B23" s="6" t="str">
        <f>VLOOKUP(LISTADO_PRODUCTOS_LISTBOX[Código],LISTADO_PRODUCTOS[#All],3)</f>
        <v>LIBRERÍA</v>
      </c>
      <c r="C23" s="6" t="str">
        <f>VLOOKUP(LISTADO_PRODUCTOS_LISTBOX[Código],LISTADO_PRODUCTOS[#All],4)</f>
        <v>Cuaderno Rivadavia Nº3 x 50h Lunar</v>
      </c>
      <c r="D23" s="6" t="str">
        <f>VLOOKUP(LISTADO_PRODUCTOS_LISTBOX[Código],LISTADO_PRODUCTOS[#All],5)</f>
        <v>N/A</v>
      </c>
    </row>
    <row r="24" spans="1:4" ht="12" customHeight="1" x14ac:dyDescent="0.3">
      <c r="A24" s="4">
        <v>1028</v>
      </c>
      <c r="B24" s="6" t="str">
        <f>VLOOKUP(LISTADO_PRODUCTOS_LISTBOX[Código],LISTADO_PRODUCTOS[#All],3)</f>
        <v>LIBRERÍA</v>
      </c>
      <c r="C24" s="6" t="str">
        <f>VLOOKUP(LISTADO_PRODUCTOS_LISTBOX[Código],LISTADO_PRODUCTOS[#All],4)</f>
        <v>Cuaderno ABC Inicial T/C</v>
      </c>
      <c r="D24" s="6" t="str">
        <f>VLOOKUP(LISTADO_PRODUCTOS_LISTBOX[Código],LISTADO_PRODUCTOS[#All],5)</f>
        <v>N/A</v>
      </c>
    </row>
    <row r="25" spans="1:4" ht="12" customHeight="1" x14ac:dyDescent="0.3">
      <c r="A25" s="4">
        <v>1029</v>
      </c>
      <c r="B25" s="6" t="str">
        <f>VLOOKUP(LISTADO_PRODUCTOS_LISTBOX[Código],LISTADO_PRODUCTOS[#All],3)</f>
        <v>LIBRERÍA</v>
      </c>
      <c r="C25" s="6" t="str">
        <f>VLOOKUP(LISTADO_PRODUCTOS_LISTBOX[Código],LISTADO_PRODUCTOS[#All],4)</f>
        <v>Cuaderno Escolar Éxito x 48h Forrado</v>
      </c>
      <c r="D25" s="6" t="str">
        <f>VLOOKUP(LISTADO_PRODUCTOS_LISTBOX[Código],LISTADO_PRODUCTOS[#All],5)</f>
        <v>N/A</v>
      </c>
    </row>
    <row r="26" spans="1:4" ht="12" customHeight="1" x14ac:dyDescent="0.3">
      <c r="A26" s="4">
        <v>1030</v>
      </c>
      <c r="B26" s="6" t="str">
        <f>VLOOKUP(LISTADO_PRODUCTOS_LISTBOX[Código],LISTADO_PRODUCTOS[#All],3)</f>
        <v>LIBRERÍA</v>
      </c>
      <c r="C26" s="6" t="str">
        <f>VLOOKUP(LISTADO_PRODUCTOS_LISTBOX[Código],LISTADO_PRODUCTOS[#All],4)</f>
        <v>Cuaderno Escolar ABC Rivadavia x 50h - 7792216051053</v>
      </c>
      <c r="D26" s="6" t="str">
        <f>VLOOKUP(LISTADO_PRODUCTOS_LISTBOX[Código],LISTADO_PRODUCTOS[#All],5)</f>
        <v>N/A</v>
      </c>
    </row>
    <row r="27" spans="1:4" ht="12" customHeight="1" x14ac:dyDescent="0.3">
      <c r="A27" s="4">
        <v>1031</v>
      </c>
      <c r="B27" s="6" t="str">
        <f>VLOOKUP(LISTADO_PRODUCTOS_LISTBOX[Código],LISTADO_PRODUCTOS[#All],3)</f>
        <v>LIBRERÍA</v>
      </c>
      <c r="C27" s="6" t="str">
        <f>VLOOKUP(LISTADO_PRODUCTOS_LISTBOX[Código],LISTADO_PRODUCTOS[#All],4)</f>
        <v>Cuaderno Escolar America x 82h T/C - 7792216675709</v>
      </c>
      <c r="D27" s="6" t="str">
        <f>VLOOKUP(LISTADO_PRODUCTOS_LISTBOX[Código],LISTADO_PRODUCTOS[#All],5)</f>
        <v>N/A</v>
      </c>
    </row>
    <row r="28" spans="1:4" ht="12" customHeight="1" x14ac:dyDescent="0.3">
      <c r="A28" s="4">
        <v>1032</v>
      </c>
      <c r="B28" s="6" t="str">
        <f>VLOOKUP(LISTADO_PRODUCTOS_LISTBOX[Código],LISTADO_PRODUCTOS[#All],3)</f>
        <v>LIBRERÍA</v>
      </c>
      <c r="C28" s="6" t="str">
        <f>VLOOKUP(LISTADO_PRODUCTOS_LISTBOX[Código],LISTADO_PRODUCTOS[#All],4)</f>
        <v xml:space="preserve"> cuaderno Escolar America 42h T/C - 7792216000495</v>
      </c>
      <c r="D28" s="6" t="str">
        <f>VLOOKUP(LISTADO_PRODUCTOS_LISTBOX[Código],LISTADO_PRODUCTOS[#All],5)</f>
        <v>N/A</v>
      </c>
    </row>
    <row r="29" spans="1:4" ht="12" customHeight="1" x14ac:dyDescent="0.3">
      <c r="A29" s="4">
        <v>1033</v>
      </c>
      <c r="B29" s="6" t="str">
        <f>VLOOKUP(LISTADO_PRODUCTOS_LISTBOX[Código],LISTADO_PRODUCTOS[#All],3)</f>
        <v>LIBRERÍA</v>
      </c>
      <c r="C29" s="6" t="str">
        <f>VLOOKUP(LISTADO_PRODUCTOS_LISTBOX[Código],LISTADO_PRODUCTOS[#All],4)</f>
        <v>Cuaderno Escolar Gloria x 84h</v>
      </c>
      <c r="D29" s="6" t="str">
        <f>VLOOKUP(LISTADO_PRODUCTOS_LISTBOX[Código],LISTADO_PRODUCTOS[#All],5)</f>
        <v>N/A</v>
      </c>
    </row>
    <row r="30" spans="1:4" ht="12" customHeight="1" x14ac:dyDescent="0.3">
      <c r="A30" s="4">
        <v>1036</v>
      </c>
      <c r="B30" s="6" t="str">
        <f>VLOOKUP(LISTADO_PRODUCTOS_LISTBOX[Código],LISTADO_PRODUCTOS[#All],3)</f>
        <v>LIBRERÍA</v>
      </c>
      <c r="C30" s="6" t="str">
        <f>VLOOKUP(LISTADO_PRODUCTOS_LISTBOX[Código],LISTADO_PRODUCTOS[#All],4)</f>
        <v>Cuaderno Rivadavia escolar T dura 50h 16.21</v>
      </c>
      <c r="D30" s="6" t="str">
        <f>VLOOKUP(LISTADO_PRODUCTOS_LISTBOX[Código],LISTADO_PRODUCTOS[#All],5)</f>
        <v>N/A</v>
      </c>
    </row>
    <row r="31" spans="1:4" ht="12" customHeight="1" x14ac:dyDescent="0.3">
      <c r="A31" s="4">
        <v>1038</v>
      </c>
      <c r="B31" s="6" t="str">
        <f>VLOOKUP(LISTADO_PRODUCTOS_LISTBOX[Código],LISTADO_PRODUCTOS[#All],3)</f>
        <v>LIBRERÍA</v>
      </c>
      <c r="C31" s="6" t="str">
        <f>VLOOKUP(LISTADO_PRODUCTOS_LISTBOX[Código],LISTADO_PRODUCTOS[#All],4)</f>
        <v>Cuaderno T/flex Gloria x 48h - 7791762110078</v>
      </c>
      <c r="D31" s="6" t="str">
        <f>VLOOKUP(LISTADO_PRODUCTOS_LISTBOX[Código],LISTADO_PRODUCTOS[#All],5)</f>
        <v>N/A</v>
      </c>
    </row>
    <row r="32" spans="1:4" ht="12" customHeight="1" x14ac:dyDescent="0.3">
      <c r="A32" s="4">
        <v>1039</v>
      </c>
      <c r="B32" s="6" t="str">
        <f>VLOOKUP(LISTADO_PRODUCTOS_LISTBOX[Código],LISTADO_PRODUCTOS[#All],3)</f>
        <v>LIBRERÍA</v>
      </c>
      <c r="C32" s="6" t="str">
        <f>VLOOKUP(LISTADO_PRODUCTOS_LISTBOX[Código],LISTADO_PRODUCTOS[#All],4)</f>
        <v>Cuaderno T/flex Gloria x 24h</v>
      </c>
      <c r="D32" s="6" t="str">
        <f>VLOOKUP(LISTADO_PRODUCTOS_LISTBOX[Código],LISTADO_PRODUCTOS[#All],5)</f>
        <v>N/A</v>
      </c>
    </row>
    <row r="33" spans="1:4" ht="12" customHeight="1" x14ac:dyDescent="0.3">
      <c r="A33" s="4">
        <v>1040</v>
      </c>
      <c r="B33" s="6" t="str">
        <f>VLOOKUP(LISTADO_PRODUCTOS_LISTBOX[Código],LISTADO_PRODUCTOS[#All],3)</f>
        <v>LIBRERÍA</v>
      </c>
      <c r="C33" s="6" t="str">
        <f>VLOOKUP(LISTADO_PRODUCTOS_LISTBOX[Código],LISTADO_PRODUCTOS[#All],4)</f>
        <v>Repuesto N°3 Husares x 480h</v>
      </c>
      <c r="D33" s="6" t="str">
        <f>VLOOKUP(LISTADO_PRODUCTOS_LISTBOX[Código],LISTADO_PRODUCTOS[#All],5)</f>
        <v>N/A</v>
      </c>
    </row>
    <row r="34" spans="1:4" ht="12" customHeight="1" x14ac:dyDescent="0.3">
      <c r="A34" s="4">
        <v>1041</v>
      </c>
      <c r="B34" s="6" t="str">
        <f>VLOOKUP(LISTADO_PRODUCTOS_LISTBOX[Código],LISTADO_PRODUCTOS[#All],3)</f>
        <v>LIBRERÍA</v>
      </c>
      <c r="C34" s="6" t="str">
        <f>VLOOKUP(LISTADO_PRODUCTOS_LISTBOX[Código],LISTADO_PRODUCTOS[#All],4)</f>
        <v>Repuesto A4 Éxito M/Reforzado x 96h - 7791762400124</v>
      </c>
      <c r="D34" s="6" t="str">
        <f>VLOOKUP(LISTADO_PRODUCTOS_LISTBOX[Código],LISTADO_PRODUCTOS[#All],5)</f>
        <v>N/A</v>
      </c>
    </row>
    <row r="35" spans="1:4" ht="12" customHeight="1" x14ac:dyDescent="0.3">
      <c r="A35" s="4">
        <v>1042</v>
      </c>
      <c r="B35" s="6" t="str">
        <f>VLOOKUP(LISTADO_PRODUCTOS_LISTBOX[Código],LISTADO_PRODUCTOS[#All],3)</f>
        <v>LIBRERÍA</v>
      </c>
      <c r="C35" s="6" t="str">
        <f>VLOOKUP(LISTADO_PRODUCTOS_LISTBOX[Código],LISTADO_PRODUCTOS[#All],4)</f>
        <v>Repuesto A4 Rivadavia M/Ref x96h - 7792216041917</v>
      </c>
      <c r="D35" s="6" t="str">
        <f>VLOOKUP(LISTADO_PRODUCTOS_LISTBOX[Código],LISTADO_PRODUCTOS[#All],5)</f>
        <v>N/A</v>
      </c>
    </row>
    <row r="36" spans="1:4" ht="12" customHeight="1" x14ac:dyDescent="0.3">
      <c r="A36" s="4">
        <v>1043</v>
      </c>
      <c r="B36" s="6" t="str">
        <f>VLOOKUP(LISTADO_PRODUCTOS_LISTBOX[Código],LISTADO_PRODUCTOS[#All],3)</f>
        <v>LIBRERÍA</v>
      </c>
      <c r="C36" s="6" t="str">
        <f>VLOOKUP(LISTADO_PRODUCTOS_LISTBOX[Código],LISTADO_PRODUCTOS[#All],4)</f>
        <v>Repuesto A4 Rivadavia M/Ref x 48h</v>
      </c>
      <c r="D36" s="6" t="str">
        <f>VLOOKUP(LISTADO_PRODUCTOS_LISTBOX[Código],LISTADO_PRODUCTOS[#All],5)</f>
        <v>N/A</v>
      </c>
    </row>
    <row r="37" spans="1:4" ht="12" customHeight="1" x14ac:dyDescent="0.3">
      <c r="A37" s="4">
        <v>1044</v>
      </c>
      <c r="B37" s="6" t="str">
        <f>VLOOKUP(LISTADO_PRODUCTOS_LISTBOX[Código],LISTADO_PRODUCTOS[#All],3)</f>
        <v>LIBRERÍA</v>
      </c>
      <c r="C37" s="6" t="str">
        <f>VLOOKUP(LISTADO_PRODUCTOS_LISTBOX[Código],LISTADO_PRODUCTOS[#All],4)</f>
        <v>Repuesto escolar A4 Éxito x 192h M/Reforzado</v>
      </c>
      <c r="D37" s="6" t="str">
        <f>VLOOKUP(LISTADO_PRODUCTOS_LISTBOX[Código],LISTADO_PRODUCTOS[#All],5)</f>
        <v>N/A</v>
      </c>
    </row>
    <row r="38" spans="1:4" ht="12" customHeight="1" x14ac:dyDescent="0.3">
      <c r="A38" s="4">
        <v>1045</v>
      </c>
      <c r="B38" s="6" t="str">
        <f>VLOOKUP(LISTADO_PRODUCTOS_LISTBOX[Código],LISTADO_PRODUCTOS[#All],3)</f>
        <v>LIBRERÍA</v>
      </c>
      <c r="C38" s="6" t="str">
        <f>VLOOKUP(LISTADO_PRODUCTOS_LISTBOX[Código],LISTADO_PRODUCTOS[#All],4)</f>
        <v xml:space="preserve">Repuesto A4 Husares x 48h </v>
      </c>
      <c r="D38" s="6" t="str">
        <f>VLOOKUP(LISTADO_PRODUCTOS_LISTBOX[Código],LISTADO_PRODUCTOS[#All],5)</f>
        <v>N/A</v>
      </c>
    </row>
    <row r="39" spans="1:4" ht="12" customHeight="1" x14ac:dyDescent="0.3">
      <c r="A39" s="4">
        <v>1047</v>
      </c>
      <c r="B39" s="6" t="str">
        <f>VLOOKUP(LISTADO_PRODUCTOS_LISTBOX[Código],LISTADO_PRODUCTOS[#All],3)</f>
        <v>LIBRERÍA</v>
      </c>
      <c r="C39" s="6" t="str">
        <f>VLOOKUP(LISTADO_PRODUCTOS_LISTBOX[Código],LISTADO_PRODUCTOS[#All],4)</f>
        <v>Repuesto A4 Husares 120h</v>
      </c>
      <c r="D39" s="6" t="str">
        <f>VLOOKUP(LISTADO_PRODUCTOS_LISTBOX[Código],LISTADO_PRODUCTOS[#All],5)</f>
        <v>N/A</v>
      </c>
    </row>
    <row r="40" spans="1:4" ht="12" customHeight="1" x14ac:dyDescent="0.3">
      <c r="A40" s="4">
        <v>1048</v>
      </c>
      <c r="B40" s="6" t="str">
        <f>VLOOKUP(LISTADO_PRODUCTOS_LISTBOX[Código],LISTADO_PRODUCTOS[#All],3)</f>
        <v>LIBRERÍA</v>
      </c>
      <c r="C40" s="6" t="str">
        <f>VLOOKUP(LISTADO_PRODUCTOS_LISTBOX[Código],LISTADO_PRODUCTOS[#All],4)</f>
        <v>Repuesto Nº3 Éxito M/R x 480h</v>
      </c>
      <c r="D40" s="6" t="str">
        <f>VLOOKUP(LISTADO_PRODUCTOS_LISTBOX[Código],LISTADO_PRODUCTOS[#All],5)</f>
        <v>N/A</v>
      </c>
    </row>
    <row r="41" spans="1:4" ht="12" customHeight="1" x14ac:dyDescent="0.3">
      <c r="A41" s="4">
        <v>1049</v>
      </c>
      <c r="B41" s="6" t="str">
        <f>VLOOKUP(LISTADO_PRODUCTOS_LISTBOX[Código],LISTADO_PRODUCTOS[#All],3)</f>
        <v>LIBRERÍA</v>
      </c>
      <c r="C41" s="6" t="str">
        <f>VLOOKUP(LISTADO_PRODUCTOS_LISTBOX[Código],LISTADO_PRODUCTOS[#All],4)</f>
        <v>Repuesto Nº3 Éxito M/R x 96h - 7791762480126</v>
      </c>
      <c r="D41" s="6" t="str">
        <f>VLOOKUP(LISTADO_PRODUCTOS_LISTBOX[Código],LISTADO_PRODUCTOS[#All],5)</f>
        <v>N/A</v>
      </c>
    </row>
    <row r="42" spans="1:4" ht="12" customHeight="1" x14ac:dyDescent="0.3">
      <c r="A42" s="4">
        <v>1050</v>
      </c>
      <c r="B42" s="6" t="str">
        <f>VLOOKUP(LISTADO_PRODUCTOS_LISTBOX[Código],LISTADO_PRODUCTOS[#All],3)</f>
        <v>LIBRERÍA</v>
      </c>
      <c r="C42" s="6" t="str">
        <f>VLOOKUP(LISTADO_PRODUCTOS_LISTBOX[Código],LISTADO_PRODUCTOS[#All],4)</f>
        <v>Repuesto Éxito N°3 M/R x 48h</v>
      </c>
      <c r="D42" s="6" t="str">
        <f>VLOOKUP(LISTADO_PRODUCTOS_LISTBOX[Código],LISTADO_PRODUCTOS[#All],5)</f>
        <v>N/A</v>
      </c>
    </row>
    <row r="43" spans="1:4" ht="12" customHeight="1" x14ac:dyDescent="0.3">
      <c r="A43" s="4">
        <v>1051</v>
      </c>
      <c r="B43" s="6" t="str">
        <f>VLOOKUP(LISTADO_PRODUCTOS_LISTBOX[Código],LISTADO_PRODUCTOS[#All],3)</f>
        <v>LIBRERÍA</v>
      </c>
      <c r="C43" s="6" t="str">
        <f>VLOOKUP(LISTADO_PRODUCTOS_LISTBOX[Código],LISTADO_PRODUCTOS[#All],4)</f>
        <v>Repuesto Nº3 Éxito M/R x 24h</v>
      </c>
      <c r="D43" s="6" t="str">
        <f>VLOOKUP(LISTADO_PRODUCTOS_LISTBOX[Código],LISTADO_PRODUCTOS[#All],5)</f>
        <v>N/A</v>
      </c>
    </row>
    <row r="44" spans="1:4" ht="12" customHeight="1" x14ac:dyDescent="0.3">
      <c r="A44" s="4">
        <v>1052</v>
      </c>
      <c r="B44" s="6" t="str">
        <f>VLOOKUP(LISTADO_PRODUCTOS_LISTBOX[Código],LISTADO_PRODUCTOS[#All],3)</f>
        <v>LIBRERÍA</v>
      </c>
      <c r="C44" s="6" t="str">
        <f>VLOOKUP(LISTADO_PRODUCTOS_LISTBOX[Código],LISTADO_PRODUCTOS[#All],4)</f>
        <v>Repuesto Nº3 Éxito x 480h</v>
      </c>
      <c r="D44" s="6" t="str">
        <f>VLOOKUP(LISTADO_PRODUCTOS_LISTBOX[Código],LISTADO_PRODUCTOS[#All],5)</f>
        <v>N/A</v>
      </c>
    </row>
    <row r="45" spans="1:4" ht="12" customHeight="1" x14ac:dyDescent="0.3">
      <c r="A45" s="4">
        <v>1053</v>
      </c>
      <c r="B45" s="6" t="str">
        <f>VLOOKUP(LISTADO_PRODUCTOS_LISTBOX[Código],LISTADO_PRODUCTOS[#All],3)</f>
        <v>LIBRERÍA</v>
      </c>
      <c r="C45" s="6" t="str">
        <f>VLOOKUP(LISTADO_PRODUCTOS_LISTBOX[Código],LISTADO_PRODUCTOS[#All],4)</f>
        <v>Repuesto Nº3 Éxito x 96h</v>
      </c>
      <c r="D45" s="6" t="str">
        <f>VLOOKUP(LISTADO_PRODUCTOS_LISTBOX[Código],LISTADO_PRODUCTOS[#All],5)</f>
        <v>N/A</v>
      </c>
    </row>
    <row r="46" spans="1:4" ht="12" customHeight="1" x14ac:dyDescent="0.3">
      <c r="A46" s="4">
        <v>1054</v>
      </c>
      <c r="B46" s="6" t="str">
        <f>VLOOKUP(LISTADO_PRODUCTOS_LISTBOX[Código],LISTADO_PRODUCTOS[#All],3)</f>
        <v>LIBRERÍA</v>
      </c>
      <c r="C46" s="6" t="str">
        <f>VLOOKUP(LISTADO_PRODUCTOS_LISTBOX[Código],LISTADO_PRODUCTOS[#All],4)</f>
        <v>Repuesto Nº3 Éxito x 48h</v>
      </c>
      <c r="D46" s="6" t="str">
        <f>VLOOKUP(LISTADO_PRODUCTOS_LISTBOX[Código],LISTADO_PRODUCTOS[#All],5)</f>
        <v>N/A</v>
      </c>
    </row>
    <row r="47" spans="1:4" ht="12" customHeight="1" x14ac:dyDescent="0.3">
      <c r="A47" s="4">
        <v>1055</v>
      </c>
      <c r="B47" s="6" t="str">
        <f>VLOOKUP(LISTADO_PRODUCTOS_LISTBOX[Código],LISTADO_PRODUCTOS[#All],3)</f>
        <v>LIBRERÍA</v>
      </c>
      <c r="C47" s="6" t="str">
        <f>VLOOKUP(LISTADO_PRODUCTOS_LISTBOX[Código],LISTADO_PRODUCTOS[#All],4)</f>
        <v>Repuesto Nº3 Éxito x 24h - 7791762486333</v>
      </c>
      <c r="D47" s="6" t="str">
        <f>VLOOKUP(LISTADO_PRODUCTOS_LISTBOX[Código],LISTADO_PRODUCTOS[#All],5)</f>
        <v>N/A</v>
      </c>
    </row>
    <row r="48" spans="1:4" ht="12" customHeight="1" x14ac:dyDescent="0.3">
      <c r="A48" s="4">
        <v>1056</v>
      </c>
      <c r="B48" s="6" t="str">
        <f>VLOOKUP(LISTADO_PRODUCTOS_LISTBOX[Código],LISTADO_PRODUCTOS[#All],3)</f>
        <v>LIBRERÍA</v>
      </c>
      <c r="C48" s="6" t="str">
        <f>VLOOKUP(LISTADO_PRODUCTOS_LISTBOX[Código],LISTADO_PRODUCTOS[#All],4)</f>
        <v>Repuesto Nº3 Rivadavia x 480h - 7792216050162</v>
      </c>
      <c r="D48" s="6" t="str">
        <f>VLOOKUP(LISTADO_PRODUCTOS_LISTBOX[Código],LISTADO_PRODUCTOS[#All],5)</f>
        <v>N/A</v>
      </c>
    </row>
    <row r="49" spans="1:4" ht="12" customHeight="1" x14ac:dyDescent="0.3">
      <c r="A49" s="4">
        <v>1057</v>
      </c>
      <c r="B49" s="6" t="str">
        <f>VLOOKUP(LISTADO_PRODUCTOS_LISTBOX[Código],LISTADO_PRODUCTOS[#All],3)</f>
        <v>LIBRERÍA</v>
      </c>
      <c r="C49" s="6" t="str">
        <f>VLOOKUP(LISTADO_PRODUCTOS_LISTBOX[Código],LISTADO_PRODUCTOS[#All],4)</f>
        <v>Repuesto Nº3 Rivadavia x 96h - 7792216041658</v>
      </c>
      <c r="D49" s="6" t="str">
        <f>VLOOKUP(LISTADO_PRODUCTOS_LISTBOX[Código],LISTADO_PRODUCTOS[#All],5)</f>
        <v>N/A</v>
      </c>
    </row>
    <row r="50" spans="1:4" ht="12" customHeight="1" x14ac:dyDescent="0.3">
      <c r="A50" s="4">
        <v>1058</v>
      </c>
      <c r="B50" s="6" t="str">
        <f>VLOOKUP(LISTADO_PRODUCTOS_LISTBOX[Código],LISTADO_PRODUCTOS[#All],3)</f>
        <v>LIBRERÍA</v>
      </c>
      <c r="C50" s="6" t="str">
        <f>VLOOKUP(LISTADO_PRODUCTOS_LISTBOX[Código],LISTADO_PRODUCTOS[#All],4)</f>
        <v>Repuesto Nº3 Rivadavia x 48h</v>
      </c>
      <c r="D50" s="6" t="str">
        <f>VLOOKUP(LISTADO_PRODUCTOS_LISTBOX[Código],LISTADO_PRODUCTOS[#All],5)</f>
        <v>N/A</v>
      </c>
    </row>
    <row r="51" spans="1:4" ht="12" customHeight="1" x14ac:dyDescent="0.3">
      <c r="A51" s="4">
        <v>1059</v>
      </c>
      <c r="B51" s="6" t="str">
        <f>VLOOKUP(LISTADO_PRODUCTOS_LISTBOX[Código],LISTADO_PRODUCTOS[#All],3)</f>
        <v>LIBRERÍA</v>
      </c>
      <c r="C51" s="6" t="str">
        <f>VLOOKUP(LISTADO_PRODUCTOS_LISTBOX[Código],LISTADO_PRODUCTOS[#All],4)</f>
        <v>Repuesto Nº3 Rivadavia x 24h</v>
      </c>
      <c r="D51" s="6" t="str">
        <f>VLOOKUP(LISTADO_PRODUCTOS_LISTBOX[Código],LISTADO_PRODUCTOS[#All],5)</f>
        <v>N/A</v>
      </c>
    </row>
    <row r="52" spans="1:4" ht="12" customHeight="1" x14ac:dyDescent="0.3">
      <c r="A52" s="4">
        <v>1060</v>
      </c>
      <c r="B52" s="6" t="str">
        <f>VLOOKUP(LISTADO_PRODUCTOS_LISTBOX[Código],LISTADO_PRODUCTOS[#All],3)</f>
        <v>LIBRERÍA</v>
      </c>
      <c r="C52" s="6" t="str">
        <f>VLOOKUP(LISTADO_PRODUCTOS_LISTBOX[Código],LISTADO_PRODUCTOS[#All],4)</f>
        <v>Cuaderno T/flex Gloria x 84h</v>
      </c>
      <c r="D52" s="6" t="str">
        <f>VLOOKUP(LISTADO_PRODUCTOS_LISTBOX[Código],LISTADO_PRODUCTOS[#All],5)</f>
        <v>N/A</v>
      </c>
    </row>
    <row r="53" spans="1:4" ht="12" customHeight="1" x14ac:dyDescent="0.3">
      <c r="A53" s="4">
        <v>1061</v>
      </c>
      <c r="B53" s="6" t="str">
        <f>VLOOKUP(LISTADO_PRODUCTOS_LISTBOX[Código],LISTADO_PRODUCTOS[#All],3)</f>
        <v>LIBRERÍA</v>
      </c>
      <c r="C53" s="6" t="str">
        <f>VLOOKUP(LISTADO_PRODUCTOS_LISTBOX[Código],LISTADO_PRODUCTOS[#All],4)</f>
        <v xml:space="preserve">Repuesto husares x 96h A4 rayado - </v>
      </c>
      <c r="D53" s="6" t="str">
        <f>VLOOKUP(LISTADO_PRODUCTOS_LISTBOX[Código],LISTADO_PRODUCTOS[#All],5)</f>
        <v>N/A</v>
      </c>
    </row>
    <row r="54" spans="1:4" ht="12" customHeight="1" x14ac:dyDescent="0.3">
      <c r="A54" s="4">
        <v>1062</v>
      </c>
      <c r="B54" s="6" t="str">
        <f>VLOOKUP(LISTADO_PRODUCTOS_LISTBOX[Código],LISTADO_PRODUCTOS[#All],3)</f>
        <v>LIBRERÍA</v>
      </c>
      <c r="C54" s="6" t="str">
        <f>VLOOKUP(LISTADO_PRODUCTOS_LISTBOX[Código],LISTADO_PRODUCTOS[#All],4)</f>
        <v>Repuesto A4 Husares 96h - 7792564060837</v>
      </c>
      <c r="D54" s="6" t="str">
        <f>VLOOKUP(LISTADO_PRODUCTOS_LISTBOX[Código],LISTADO_PRODUCTOS[#All],5)</f>
        <v>N/A</v>
      </c>
    </row>
    <row r="55" spans="1:4" ht="12" customHeight="1" x14ac:dyDescent="0.3">
      <c r="A55" s="4">
        <v>1063</v>
      </c>
      <c r="B55" s="6" t="str">
        <f>VLOOKUP(LISTADO_PRODUCTOS_LISTBOX[Código],LISTADO_PRODUCTOS[#All],3)</f>
        <v>LIBRERÍA</v>
      </c>
      <c r="C55" s="6" t="str">
        <f>VLOOKUP(LISTADO_PRODUCTOS_LISTBOX[Código],LISTADO_PRODUCTOS[#All],4)</f>
        <v>Repuesto escolar N°3 Husares x 96h</v>
      </c>
      <c r="D55" s="6" t="str">
        <f>VLOOKUP(LISTADO_PRODUCTOS_LISTBOX[Código],LISTADO_PRODUCTOS[#All],5)</f>
        <v>N/A</v>
      </c>
    </row>
    <row r="56" spans="1:4" ht="12" customHeight="1" x14ac:dyDescent="0.3">
      <c r="A56" s="4">
        <v>1064</v>
      </c>
      <c r="B56" s="6" t="str">
        <f>VLOOKUP(LISTADO_PRODUCTOS_LISTBOX[Código],LISTADO_PRODUCTOS[#All],3)</f>
        <v>LIBRERÍA</v>
      </c>
      <c r="C56" s="6" t="str">
        <f>VLOOKUP(LISTADO_PRODUCTOS_LISTBOX[Código],LISTADO_PRODUCTOS[#All],4)</f>
        <v>Repuesto Nº6 Canson Luma Blanco</v>
      </c>
      <c r="D56" s="6" t="str">
        <f>VLOOKUP(LISTADO_PRODUCTOS_LISTBOX[Código],LISTADO_PRODUCTOS[#All],5)</f>
        <v>N/A</v>
      </c>
    </row>
    <row r="57" spans="1:4" ht="12" customHeight="1" x14ac:dyDescent="0.3">
      <c r="A57" s="4">
        <v>1065</v>
      </c>
      <c r="B57" s="6" t="str">
        <f>VLOOKUP(LISTADO_PRODUCTOS_LISTBOX[Código],LISTADO_PRODUCTOS[#All],3)</f>
        <v>LIBRERÍA</v>
      </c>
      <c r="C57" s="6" t="str">
        <f>VLOOKUP(LISTADO_PRODUCTOS_LISTBOX[Código],LISTADO_PRODUCTOS[#All],4)</f>
        <v>Repuesto Nº5 Canson Luma Blanco</v>
      </c>
      <c r="D57" s="6" t="str">
        <f>VLOOKUP(LISTADO_PRODUCTOS_LISTBOX[Código],LISTADO_PRODUCTOS[#All],5)</f>
        <v>N/A</v>
      </c>
    </row>
    <row r="58" spans="1:4" ht="12" customHeight="1" x14ac:dyDescent="0.3">
      <c r="A58" s="4">
        <v>1066</v>
      </c>
      <c r="B58" s="6" t="str">
        <f>VLOOKUP(LISTADO_PRODUCTOS_LISTBOX[Código],LISTADO_PRODUCTOS[#All],3)</f>
        <v>LIBRERÍA</v>
      </c>
      <c r="C58" s="6" t="str">
        <f>VLOOKUP(LISTADO_PRODUCTOS_LISTBOX[Código],LISTADO_PRODUCTOS[#All],4)</f>
        <v>Repuesto Nº3 Canson Luma Blanco</v>
      </c>
      <c r="D58" s="6" t="str">
        <f>VLOOKUP(LISTADO_PRODUCTOS_LISTBOX[Código],LISTADO_PRODUCTOS[#All],5)</f>
        <v>N/A</v>
      </c>
    </row>
    <row r="59" spans="1:4" ht="12" customHeight="1" x14ac:dyDescent="0.3">
      <c r="A59" s="4">
        <v>1067</v>
      </c>
      <c r="B59" s="6" t="str">
        <f>VLOOKUP(LISTADO_PRODUCTOS_LISTBOX[Código],LISTADO_PRODUCTOS[#All],3)</f>
        <v>LIBRERÍA</v>
      </c>
      <c r="C59" s="6" t="str">
        <f>VLOOKUP(LISTADO_PRODUCTOS_LISTBOX[Código],LISTADO_PRODUCTOS[#All],4)</f>
        <v>Repuesto Nº5 Canson Luma Color</v>
      </c>
      <c r="D59" s="6" t="str">
        <f>VLOOKUP(LISTADO_PRODUCTOS_LISTBOX[Código],LISTADO_PRODUCTOS[#All],5)</f>
        <v>N/A</v>
      </c>
    </row>
    <row r="60" spans="1:4" ht="12" customHeight="1" x14ac:dyDescent="0.3">
      <c r="A60" s="4">
        <v>1068</v>
      </c>
      <c r="B60" s="6" t="str">
        <f>VLOOKUP(LISTADO_PRODUCTOS_LISTBOX[Código],LISTADO_PRODUCTOS[#All],3)</f>
        <v>LIBRERÍA</v>
      </c>
      <c r="C60" s="6" t="str">
        <f>VLOOKUP(LISTADO_PRODUCTOS_LISTBOX[Código],LISTADO_PRODUCTOS[#All],4)</f>
        <v>Repuesto Nº3 Canson Luma Color</v>
      </c>
      <c r="D60" s="6" t="str">
        <f>VLOOKUP(LISTADO_PRODUCTOS_LISTBOX[Código],LISTADO_PRODUCTOS[#All],5)</f>
        <v>N/A</v>
      </c>
    </row>
    <row r="61" spans="1:4" ht="12" customHeight="1" x14ac:dyDescent="0.3">
      <c r="A61" s="4">
        <v>1069</v>
      </c>
      <c r="B61" s="6" t="str">
        <f>VLOOKUP(LISTADO_PRODUCTOS_LISTBOX[Código],LISTADO_PRODUCTOS[#All],3)</f>
        <v>LIBRERÍA</v>
      </c>
      <c r="C61" s="6" t="str">
        <f>VLOOKUP(LISTADO_PRODUCTOS_LISTBOX[Código],LISTADO_PRODUCTOS[#All],4)</f>
        <v>Repuesto Nº5 Canson Luma Negro</v>
      </c>
      <c r="D61" s="6" t="str">
        <f>VLOOKUP(LISTADO_PRODUCTOS_LISTBOX[Código],LISTADO_PRODUCTOS[#All],5)</f>
        <v>N/A</v>
      </c>
    </row>
    <row r="62" spans="1:4" ht="12" customHeight="1" x14ac:dyDescent="0.3">
      <c r="A62" s="4">
        <v>1070</v>
      </c>
      <c r="B62" s="6" t="str">
        <f>VLOOKUP(LISTADO_PRODUCTOS_LISTBOX[Código],LISTADO_PRODUCTOS[#All],3)</f>
        <v>LIBRERÍA</v>
      </c>
      <c r="C62" s="6" t="str">
        <f>VLOOKUP(LISTADO_PRODUCTOS_LISTBOX[Código],LISTADO_PRODUCTOS[#All],4)</f>
        <v>Repuesto Nº3 Canson Luma Negro</v>
      </c>
      <c r="D62" s="6" t="str">
        <f>VLOOKUP(LISTADO_PRODUCTOS_LISTBOX[Código],LISTADO_PRODUCTOS[#All],5)</f>
        <v>N/A</v>
      </c>
    </row>
    <row r="63" spans="1:4" ht="12" customHeight="1" x14ac:dyDescent="0.3">
      <c r="A63" s="4">
        <v>1071</v>
      </c>
      <c r="B63" s="6" t="str">
        <f>VLOOKUP(LISTADO_PRODUCTOS_LISTBOX[Código],LISTADO_PRODUCTOS[#All],3)</f>
        <v>LIBRERÍA</v>
      </c>
      <c r="C63" s="6" t="str">
        <f>VLOOKUP(LISTADO_PRODUCTOS_LISTBOX[Código],LISTADO_PRODUCTOS[#All],4)</f>
        <v>Repuesto Nº5 Calcar Luma</v>
      </c>
      <c r="D63" s="6" t="str">
        <f>VLOOKUP(LISTADO_PRODUCTOS_LISTBOX[Código],LISTADO_PRODUCTOS[#All],5)</f>
        <v>N/A</v>
      </c>
    </row>
    <row r="64" spans="1:4" ht="12" customHeight="1" x14ac:dyDescent="0.3">
      <c r="A64" s="4">
        <v>1072</v>
      </c>
      <c r="B64" s="6" t="str">
        <f>VLOOKUP(LISTADO_PRODUCTOS_LISTBOX[Código],LISTADO_PRODUCTOS[#All],3)</f>
        <v>LIBRERÍA</v>
      </c>
      <c r="C64" s="6" t="str">
        <f>VLOOKUP(LISTADO_PRODUCTOS_LISTBOX[Código],LISTADO_PRODUCTOS[#All],4)</f>
        <v>Repuesto Nº3 Calcar Luma</v>
      </c>
      <c r="D64" s="6" t="str">
        <f>VLOOKUP(LISTADO_PRODUCTOS_LISTBOX[Código],LISTADO_PRODUCTOS[#All],5)</f>
        <v>N/A</v>
      </c>
    </row>
    <row r="65" spans="1:4" ht="12" customHeight="1" x14ac:dyDescent="0.3">
      <c r="A65" s="4">
        <v>1073</v>
      </c>
      <c r="B65" s="6" t="str">
        <f>VLOOKUP(LISTADO_PRODUCTOS_LISTBOX[Código],LISTADO_PRODUCTOS[#All],3)</f>
        <v>LIBRERÍA</v>
      </c>
      <c r="C65" s="6" t="str">
        <f>VLOOKUP(LISTADO_PRODUCTOS_LISTBOX[Código],LISTADO_PRODUCTOS[#All],4)</f>
        <v>Carpeta escolar Nº3 colores y dibujos lindos Mooving</v>
      </c>
      <c r="D65" s="6" t="str">
        <f>VLOOKUP(LISTADO_PRODUCTOS_LISTBOX[Código],LISTADO_PRODUCTOS[#All],5)</f>
        <v>N/A</v>
      </c>
    </row>
    <row r="66" spans="1:4" ht="12" customHeight="1" x14ac:dyDescent="0.3">
      <c r="A66" s="4">
        <v>1074</v>
      </c>
      <c r="B66" s="6" t="str">
        <f>VLOOKUP(LISTADO_PRODUCTOS_LISTBOX[Código],LISTADO_PRODUCTOS[#All],3)</f>
        <v>LIBRERÍA</v>
      </c>
      <c r="C66" s="6" t="str">
        <f>VLOOKUP(LISTADO_PRODUCTOS_LISTBOX[Código],LISTADO_PRODUCTOS[#All],4)</f>
        <v>Carpeta Nº3 Neon 2020</v>
      </c>
      <c r="D66" s="6" t="str">
        <f>VLOOKUP(LISTADO_PRODUCTOS_LISTBOX[Código],LISTADO_PRODUCTOS[#All],5)</f>
        <v>N/A</v>
      </c>
    </row>
    <row r="67" spans="1:4" ht="12" customHeight="1" x14ac:dyDescent="0.3">
      <c r="A67" s="4">
        <v>1075</v>
      </c>
      <c r="B67" s="6" t="str">
        <f>VLOOKUP(LISTADO_PRODUCTOS_LISTBOX[Código],LISTADO_PRODUCTOS[#All],3)</f>
        <v>LIBRERÍA</v>
      </c>
      <c r="C67" s="6" t="str">
        <f>VLOOKUP(LISTADO_PRODUCTOS_LISTBOX[Código],LISTADO_PRODUCTOS[#All],4)</f>
        <v>Carpeta Nº3 Jurasic Park</v>
      </c>
      <c r="D67" s="6" t="str">
        <f>VLOOKUP(LISTADO_PRODUCTOS_LISTBOX[Código],LISTADO_PRODUCTOS[#All],5)</f>
        <v>N/A</v>
      </c>
    </row>
    <row r="68" spans="1:4" ht="12" customHeight="1" x14ac:dyDescent="0.3">
      <c r="A68" s="4">
        <v>1076</v>
      </c>
      <c r="B68" s="6" t="str">
        <f>VLOOKUP(LISTADO_PRODUCTOS_LISTBOX[Código],LISTADO_PRODUCTOS[#All],3)</f>
        <v>LIBRERÍA</v>
      </c>
      <c r="C68" s="6" t="str">
        <f>VLOOKUP(LISTADO_PRODUCTOS_LISTBOX[Código],LISTADO_PRODUCTOS[#All],4)</f>
        <v>Carpeta Nº3 3aros diseño zapatilla linea snakers Ito 2020</v>
      </c>
      <c r="D68" s="6" t="str">
        <f>VLOOKUP(LISTADO_PRODUCTOS_LISTBOX[Código],LISTADO_PRODUCTOS[#All],5)</f>
        <v>N/A</v>
      </c>
    </row>
    <row r="69" spans="1:4" ht="12" customHeight="1" x14ac:dyDescent="0.3">
      <c r="A69" s="4">
        <v>1077</v>
      </c>
      <c r="B69" s="6" t="str">
        <f>VLOOKUP(LISTADO_PRODUCTOS_LISTBOX[Código],LISTADO_PRODUCTOS[#All],3)</f>
        <v>LIBRERÍA</v>
      </c>
      <c r="C69" s="6" t="str">
        <f>VLOOKUP(LISTADO_PRODUCTOS_LISTBOX[Código],LISTADO_PRODUCTOS[#All],4)</f>
        <v>Carpeta Nº3 isofit forrada lisa</v>
      </c>
      <c r="D69" s="6" t="str">
        <f>VLOOKUP(LISTADO_PRODUCTOS_LISTBOX[Código],LISTADO_PRODUCTOS[#All],5)</f>
        <v>N/A</v>
      </c>
    </row>
    <row r="70" spans="1:4" ht="12" customHeight="1" x14ac:dyDescent="0.3">
      <c r="A70" s="4">
        <v>1078</v>
      </c>
      <c r="B70" s="6" t="str">
        <f>VLOOKUP(LISTADO_PRODUCTOS_LISTBOX[Código],LISTADO_PRODUCTOS[#All],3)</f>
        <v>LIBRERÍA</v>
      </c>
      <c r="C70" s="6" t="str">
        <f>VLOOKUP(LISTADO_PRODUCTOS_LISTBOX[Código],LISTADO_PRODUCTOS[#All],4)</f>
        <v>Carpeta Nº3 Rivadavia C/Çhojas</v>
      </c>
      <c r="D70" s="6" t="str">
        <f>VLOOKUP(LISTADO_PRODUCTOS_LISTBOX[Código],LISTADO_PRODUCTOS[#All],5)</f>
        <v>N/A</v>
      </c>
    </row>
    <row r="71" spans="1:4" ht="12" customHeight="1" x14ac:dyDescent="0.3">
      <c r="A71" s="4">
        <v>1079</v>
      </c>
      <c r="B71" s="6" t="str">
        <f>VLOOKUP(LISTADO_PRODUCTOS_LISTBOX[Código],LISTADO_PRODUCTOS[#All],3)</f>
        <v>LIBRERÍA</v>
      </c>
      <c r="C71" s="6" t="str">
        <f>VLOOKUP(LISTADO_PRODUCTOS_LISTBOX[Código],LISTADO_PRODUCTOS[#All],4)</f>
        <v>Carpeta escolar Nº3 Util-off Mia / Love</v>
      </c>
      <c r="D71" s="6" t="str">
        <f>VLOOKUP(LISTADO_PRODUCTOS_LISTBOX[Código],LISTADO_PRODUCTOS[#All],5)</f>
        <v>N/A</v>
      </c>
    </row>
    <row r="72" spans="1:4" ht="12" customHeight="1" x14ac:dyDescent="0.3">
      <c r="A72" s="4">
        <v>1080</v>
      </c>
      <c r="B72" s="6" t="str">
        <f>VLOOKUP(LISTADO_PRODUCTOS_LISTBOX[Código],LISTADO_PRODUCTOS[#All],3)</f>
        <v>LIBRERÍA</v>
      </c>
      <c r="C72" s="6" t="str">
        <f>VLOOKUP(LISTADO_PRODUCTOS_LISTBOX[Código],LISTADO_PRODUCTOS[#All],4)</f>
        <v>Carpeta Dibujo Nº3 3aros (Se entrega con aros OTA 35mm)</v>
      </c>
      <c r="D72" s="6" t="str">
        <f>VLOOKUP(LISTADO_PRODUCTOS_LISTBOX[Código],LISTADO_PRODUCTOS[#All],5)</f>
        <v>N/A</v>
      </c>
    </row>
    <row r="73" spans="1:4" ht="12" customHeight="1" x14ac:dyDescent="0.3">
      <c r="A73" s="4">
        <v>1081</v>
      </c>
      <c r="B73" s="6" t="str">
        <f>VLOOKUP(LISTADO_PRODUCTOS_LISTBOX[Código],LISTADO_PRODUCTOS[#All],3)</f>
        <v>LIBRERÍA</v>
      </c>
      <c r="C73" s="6" t="str">
        <f>VLOOKUP(LISTADO_PRODUCTOS_LISTBOX[Código],LISTADO_PRODUCTOS[#All],4)</f>
        <v>Carpeta Avery esquela 3 anillos small format</v>
      </c>
      <c r="D73" s="6" t="str">
        <f>VLOOKUP(LISTADO_PRODUCTOS_LISTBOX[Código],LISTADO_PRODUCTOS[#All],5)</f>
        <v>N/A</v>
      </c>
    </row>
    <row r="74" spans="1:4" ht="12" customHeight="1" x14ac:dyDescent="0.3">
      <c r="A74" s="4">
        <v>1082</v>
      </c>
      <c r="B74" s="6" t="str">
        <f>VLOOKUP(LISTADO_PRODUCTOS_LISTBOX[Código],LISTADO_PRODUCTOS[#All],3)</f>
        <v>LIBRERÍA</v>
      </c>
      <c r="C74" s="6" t="str">
        <f>VLOOKUP(LISTADO_PRODUCTOS_LISTBOX[Código],LISTADO_PRODUCTOS[#All],4)</f>
        <v>Cuaderno Nº3 Triunfante lunares x 50h</v>
      </c>
      <c r="D74" s="6" t="str">
        <f>VLOOKUP(LISTADO_PRODUCTOS_LISTBOX[Código],LISTADO_PRODUCTOS[#All],5)</f>
        <v>N/A</v>
      </c>
    </row>
    <row r="75" spans="1:4" ht="12" customHeight="1" x14ac:dyDescent="0.3">
      <c r="A75" s="4">
        <v>1083</v>
      </c>
      <c r="B75" s="6" t="str">
        <f>VLOOKUP(LISTADO_PRODUCTOS_LISTBOX[Código],LISTADO_PRODUCTOS[#All],3)</f>
        <v>LIBRERÍA</v>
      </c>
      <c r="C75" s="6" t="str">
        <f>VLOOKUP(LISTADO_PRODUCTOS_LISTBOX[Código],LISTADO_PRODUCTOS[#All],4)</f>
        <v>Carpeta Nº5 mooving / camaron brujo / rexon / ink-drop  c/aros</v>
      </c>
      <c r="D75" s="6" t="str">
        <f>VLOOKUP(LISTADO_PRODUCTOS_LISTBOX[Código],LISTADO_PRODUCTOS[#All],5)</f>
        <v>N/A</v>
      </c>
    </row>
    <row r="76" spans="1:4" ht="12" customHeight="1" x14ac:dyDescent="0.3">
      <c r="A76" s="4">
        <v>1084</v>
      </c>
      <c r="B76" s="6" t="str">
        <f>VLOOKUP(LISTADO_PRODUCTOS_LISTBOX[Código],LISTADO_PRODUCTOS[#All],3)</f>
        <v>LIBRERÍA</v>
      </c>
      <c r="C76" s="6" t="str">
        <f>VLOOKUP(LISTADO_PRODUCTOS_LISTBOX[Código],LISTADO_PRODUCTOS[#All],4)</f>
        <v>Carpeta Nº5 el nene c/aros y hojas</v>
      </c>
      <c r="D76" s="6" t="str">
        <f>VLOOKUP(LISTADO_PRODUCTOS_LISTBOX[Código],LISTADO_PRODUCTOS[#All],5)</f>
        <v>N/A</v>
      </c>
    </row>
    <row r="77" spans="1:4" ht="12" customHeight="1" x14ac:dyDescent="0.3">
      <c r="A77" s="4">
        <v>1085</v>
      </c>
      <c r="B77" s="6" t="str">
        <f>VLOOKUP(LISTADO_PRODUCTOS_LISTBOX[Código],LISTADO_PRODUCTOS[#All],3)</f>
        <v>LIBRERÍA</v>
      </c>
      <c r="C77" s="6" t="str">
        <f>VLOOKUP(LISTADO_PRODUCTOS_LISTBOX[Código],LISTADO_PRODUCTOS[#All],4)</f>
        <v>Carpeta Nº5 C/Relieve</v>
      </c>
      <c r="D77" s="6" t="str">
        <f>VLOOKUP(LISTADO_PRODUCTOS_LISTBOX[Código],LISTADO_PRODUCTOS[#All],5)</f>
        <v>N/A</v>
      </c>
    </row>
    <row r="78" spans="1:4" ht="12" customHeight="1" x14ac:dyDescent="0.3">
      <c r="A78" s="4">
        <v>1086</v>
      </c>
      <c r="B78" s="6" t="str">
        <f>VLOOKUP(LISTADO_PRODUCTOS_LISTBOX[Código],LISTADO_PRODUCTOS[#All],3)</f>
        <v>LIBRERÍA</v>
      </c>
      <c r="C78" s="6" t="str">
        <f>VLOOKUP(LISTADO_PRODUCTOS_LISTBOX[Código],LISTADO_PRODUCTOS[#All],4)</f>
        <v>Carpeta Nº5 Lavable</v>
      </c>
      <c r="D78" s="6" t="str">
        <f>VLOOKUP(LISTADO_PRODUCTOS_LISTBOX[Código],LISTADO_PRODUCTOS[#All],5)</f>
        <v>N/A</v>
      </c>
    </row>
    <row r="79" spans="1:4" ht="12" customHeight="1" x14ac:dyDescent="0.3">
      <c r="A79" s="4">
        <v>1087</v>
      </c>
      <c r="B79" s="6" t="str">
        <f>VLOOKUP(LISTADO_PRODUCTOS_LISTBOX[Código],LISTADO_PRODUCTOS[#All],3)</f>
        <v>LIBRERÍA</v>
      </c>
      <c r="C79" s="6" t="str">
        <f>VLOOKUP(LISTADO_PRODUCTOS_LISTBOX[Código],LISTADO_PRODUCTOS[#All],4)</f>
        <v>Carpeta 3 Solapas Mot. Varios</v>
      </c>
      <c r="D79" s="6" t="str">
        <f>VLOOKUP(LISTADO_PRODUCTOS_LISTBOX[Código],LISTADO_PRODUCTOS[#All],5)</f>
        <v>N/A</v>
      </c>
    </row>
    <row r="80" spans="1:4" ht="12" customHeight="1" x14ac:dyDescent="0.3">
      <c r="A80" s="4">
        <v>1088</v>
      </c>
      <c r="B80" s="6" t="str">
        <f>VLOOKUP(LISTADO_PRODUCTOS_LISTBOX[Código],LISTADO_PRODUCTOS[#All],3)</f>
        <v>LIBRERÍA</v>
      </c>
      <c r="C80" s="6" t="str">
        <f>VLOOKUP(LISTADO_PRODUCTOS_LISTBOX[Código],LISTADO_PRODUCTOS[#All],4)</f>
        <v>Carpeta 3 Solapas Comun</v>
      </c>
      <c r="D80" s="6" t="str">
        <f>VLOOKUP(LISTADO_PRODUCTOS_LISTBOX[Código],LISTADO_PRODUCTOS[#All],5)</f>
        <v>N/A</v>
      </c>
    </row>
    <row r="81" spans="1:4" ht="12" customHeight="1" x14ac:dyDescent="0.3">
      <c r="A81" s="4">
        <v>1089</v>
      </c>
      <c r="B81" s="6" t="str">
        <f>VLOOKUP(LISTADO_PRODUCTOS_LISTBOX[Código],LISTADO_PRODUCTOS[#All],3)</f>
        <v>LIBRERÍA</v>
      </c>
      <c r="C81" s="6" t="str">
        <f>VLOOKUP(LISTADO_PRODUCTOS_LISTBOX[Código],LISTADO_PRODUCTOS[#All],4)</f>
        <v>Carpeta 3 solapas 35 x 50 Rivadavia</v>
      </c>
      <c r="D81" s="6" t="str">
        <f>VLOOKUP(LISTADO_PRODUCTOS_LISTBOX[Código],LISTADO_PRODUCTOS[#All],5)</f>
        <v>N/A</v>
      </c>
    </row>
    <row r="82" spans="1:4" ht="12" customHeight="1" x14ac:dyDescent="0.3">
      <c r="A82" s="4">
        <v>1090</v>
      </c>
      <c r="B82" s="6" t="str">
        <f>VLOOKUP(LISTADO_PRODUCTOS_LISTBOX[Código],LISTADO_PRODUCTOS[#All],3)</f>
        <v>LIBRERÍA</v>
      </c>
      <c r="C82" s="6" t="str">
        <f>VLOOKUP(LISTADO_PRODUCTOS_LISTBOX[Código],LISTADO_PRODUCTOS[#All],4)</f>
        <v>Carpeta Fibra 35 x 50</v>
      </c>
      <c r="D82" s="6" t="str">
        <f>VLOOKUP(LISTADO_PRODUCTOS_LISTBOX[Código],LISTADO_PRODUCTOS[#All],5)</f>
        <v>N/A</v>
      </c>
    </row>
    <row r="83" spans="1:4" ht="12" customHeight="1" x14ac:dyDescent="0.3">
      <c r="A83" s="4">
        <v>1091</v>
      </c>
      <c r="B83" s="6" t="str">
        <f>VLOOKUP(LISTADO_PRODUCTOS_LISTBOX[Código],LISTADO_PRODUCTOS[#All],3)</f>
        <v>LIBRERÍA</v>
      </c>
      <c r="C83" s="6" t="str">
        <f>VLOOKUP(LISTADO_PRODUCTOS_LISTBOX[Código],LISTADO_PRODUCTOS[#All],4)</f>
        <v>Repuesto Canson N°5 Luma FLUO</v>
      </c>
      <c r="D83" s="6" t="str">
        <f>VLOOKUP(LISTADO_PRODUCTOS_LISTBOX[Código],LISTADO_PRODUCTOS[#All],5)</f>
        <v>N/A</v>
      </c>
    </row>
    <row r="84" spans="1:4" ht="12" customHeight="1" x14ac:dyDescent="0.3">
      <c r="A84" s="4">
        <v>1092</v>
      </c>
      <c r="B84" s="6" t="str">
        <f>VLOOKUP(LISTADO_PRODUCTOS_LISTBOX[Código],LISTADO_PRODUCTOS[#All],3)</f>
        <v>LIBRERÍA</v>
      </c>
      <c r="C84" s="6" t="str">
        <f>VLOOKUP(LISTADO_PRODUCTOS_LISTBOX[Código],LISTADO_PRODUCTOS[#All],4)</f>
        <v>Carpeta A4 Arte Benito/Barsky/Elisa/Milagros c/repuesto</v>
      </c>
      <c r="D84" s="6" t="str">
        <f>VLOOKUP(LISTADO_PRODUCTOS_LISTBOX[Código],LISTADO_PRODUCTOS[#All],5)</f>
        <v>N/A</v>
      </c>
    </row>
    <row r="85" spans="1:4" ht="12" customHeight="1" x14ac:dyDescent="0.3">
      <c r="A85" s="4">
        <v>1093</v>
      </c>
      <c r="B85" s="6" t="str">
        <f>VLOOKUP(LISTADO_PRODUCTOS_LISTBOX[Código],LISTADO_PRODUCTOS[#All],3)</f>
        <v>LIBRERÍA</v>
      </c>
      <c r="C85" s="6" t="str">
        <f>VLOOKUP(LISTADO_PRODUCTOS_LISTBOX[Código],LISTADO_PRODUCTOS[#All],4)</f>
        <v>Carpeta A4 Rivadavia c/repuesto x96hray y 48h cuad + separadores</v>
      </c>
      <c r="D85" s="6" t="str">
        <f>VLOOKUP(LISTADO_PRODUCTOS_LISTBOX[Código],LISTADO_PRODUCTOS[#All],5)</f>
        <v>N/A</v>
      </c>
    </row>
    <row r="86" spans="1:4" ht="12" customHeight="1" x14ac:dyDescent="0.3">
      <c r="A86" s="4">
        <v>1094</v>
      </c>
      <c r="B86" s="6" t="str">
        <f>VLOOKUP(LISTADO_PRODUCTOS_LISTBOX[Código],LISTADO_PRODUCTOS[#All],3)</f>
        <v>LIBRERÍA</v>
      </c>
      <c r="C86" s="6" t="str">
        <f>VLOOKUP(LISTADO_PRODUCTOS_LISTBOX[Código],LISTADO_PRODUCTOS[#All],4)</f>
        <v>Carpeta A4 Arte Clip/Bloom/barsky/benito c/repuesto</v>
      </c>
      <c r="D86" s="6" t="str">
        <f>VLOOKUP(LISTADO_PRODUCTOS_LISTBOX[Código],LISTADO_PRODUCTOS[#All],5)</f>
        <v>N/A</v>
      </c>
    </row>
    <row r="87" spans="1:4" ht="12" customHeight="1" x14ac:dyDescent="0.3">
      <c r="A87" s="4">
        <v>1095</v>
      </c>
      <c r="B87" s="6" t="str">
        <f>VLOOKUP(LISTADO_PRODUCTOS_LISTBOX[Código],LISTADO_PRODUCTOS[#All],3)</f>
        <v>LIBRERÍA</v>
      </c>
      <c r="C87" s="6" t="str">
        <f>VLOOKUP(LISTADO_PRODUCTOS_LISTBOX[Código],LISTADO_PRODUCTOS[#All],4)</f>
        <v>Marcador Maped Color Peps Duo Stamp</v>
      </c>
      <c r="D87" s="6" t="str">
        <f>VLOOKUP(LISTADO_PRODUCTOS_LISTBOX[Código],LISTADO_PRODUCTOS[#All],5)</f>
        <v>N/A</v>
      </c>
    </row>
    <row r="88" spans="1:4" ht="12" customHeight="1" x14ac:dyDescent="0.3">
      <c r="A88" s="4">
        <v>1098</v>
      </c>
      <c r="B88" s="6" t="str">
        <f>VLOOKUP(LISTADO_PRODUCTOS_LISTBOX[Código],LISTADO_PRODUCTOS[#All],3)</f>
        <v>LIBRERÍA</v>
      </c>
      <c r="C88" s="6" t="str">
        <f>VLOOKUP(LISTADO_PRODUCTOS_LISTBOX[Código],LISTADO_PRODUCTOS[#All],4)</f>
        <v>Crayon Pizzini x 6u Art. 9206</v>
      </c>
      <c r="D88" s="6" t="str">
        <f>VLOOKUP(LISTADO_PRODUCTOS_LISTBOX[Código],LISTADO_PRODUCTOS[#All],5)</f>
        <v>N/A</v>
      </c>
    </row>
    <row r="89" spans="1:4" ht="12" customHeight="1" x14ac:dyDescent="0.3">
      <c r="A89" s="4">
        <v>1099</v>
      </c>
      <c r="B89" s="6" t="str">
        <f>VLOOKUP(LISTADO_PRODUCTOS_LISTBOX[Código],LISTADO_PRODUCTOS[#All],3)</f>
        <v>LIBRERÍA</v>
      </c>
      <c r="C89" s="6" t="str">
        <f>VLOOKUP(LISTADO_PRODUCTOS_LISTBOX[Código],LISTADO_PRODUCTOS[#All],4)</f>
        <v>Block de dibujo Luma/triunfante Nº5 20/24 hojas color</v>
      </c>
      <c r="D89" s="6" t="str">
        <f>VLOOKUP(LISTADO_PRODUCTOS_LISTBOX[Código],LISTADO_PRODUCTOS[#All],5)</f>
        <v>N/A</v>
      </c>
    </row>
    <row r="90" spans="1:4" ht="12" customHeight="1" x14ac:dyDescent="0.3">
      <c r="A90" s="4">
        <v>1100</v>
      </c>
      <c r="B90" s="6" t="str">
        <f>VLOOKUP(LISTADO_PRODUCTOS_LISTBOX[Código],LISTADO_PRODUCTOS[#All],3)</f>
        <v>LIBRERÍA</v>
      </c>
      <c r="C90" s="6" t="str">
        <f>VLOOKUP(LISTADO_PRODUCTOS_LISTBOX[Código],LISTADO_PRODUCTOS[#All],4)</f>
        <v>Micro Tank pen 0,7</v>
      </c>
      <c r="D90" s="6" t="str">
        <f>VLOOKUP(LISTADO_PRODUCTOS_LISTBOX[Código],LISTADO_PRODUCTOS[#All],5)</f>
        <v>N/A</v>
      </c>
    </row>
    <row r="91" spans="1:4" ht="12" customHeight="1" x14ac:dyDescent="0.3">
      <c r="A91" s="4">
        <v>1101</v>
      </c>
      <c r="B91" s="6" t="str">
        <f>VLOOKUP(LISTADO_PRODUCTOS_LISTBOX[Código],LISTADO_PRODUCTOS[#All],3)</f>
        <v>LIBRERÍA</v>
      </c>
      <c r="C91" s="6" t="str">
        <f>VLOOKUP(LISTADO_PRODUCTOS_LISTBOX[Código],LISTADO_PRODUCTOS[#All],4)</f>
        <v>Toyo Max 0,7</v>
      </c>
      <c r="D91" s="6" t="str">
        <f>VLOOKUP(LISTADO_PRODUCTOS_LISTBOX[Código],LISTADO_PRODUCTOS[#All],5)</f>
        <v>N/A</v>
      </c>
    </row>
    <row r="92" spans="1:4" ht="12" customHeight="1" x14ac:dyDescent="0.3">
      <c r="A92" s="4">
        <v>1102</v>
      </c>
      <c r="B92" s="6" t="str">
        <f>VLOOKUP(LISTADO_PRODUCTOS_LISTBOX[Código],LISTADO_PRODUCTOS[#All],3)</f>
        <v>LIBRERÍA</v>
      </c>
      <c r="C92" s="6" t="str">
        <f>VLOOKUP(LISTADO_PRODUCTOS_LISTBOX[Código],LISTADO_PRODUCTOS[#All],4)</f>
        <v>Boligrafo Bic Grip</v>
      </c>
      <c r="D92" s="6" t="str">
        <f>VLOOKUP(LISTADO_PRODUCTOS_LISTBOX[Código],LISTADO_PRODUCTOS[#All],5)</f>
        <v>N/A</v>
      </c>
    </row>
    <row r="93" spans="1:4" ht="12" customHeight="1" x14ac:dyDescent="0.3">
      <c r="A93" s="4">
        <v>1103</v>
      </c>
      <c r="B93" s="6" t="str">
        <f>VLOOKUP(LISTADO_PRODUCTOS_LISTBOX[Código],LISTADO_PRODUCTOS[#All],3)</f>
        <v>LIBRERÍA</v>
      </c>
      <c r="C93" s="6" t="str">
        <f>VLOOKUP(LISTADO_PRODUCTOS_LISTBOX[Código],LISTADO_PRODUCTOS[#All],4)</f>
        <v>Boligrafo Paper Mate Kilometrico 300RT</v>
      </c>
      <c r="D93" s="6" t="str">
        <f>VLOOKUP(LISTADO_PRODUCTOS_LISTBOX[Código],LISTADO_PRODUCTOS[#All],5)</f>
        <v>N/A</v>
      </c>
    </row>
    <row r="94" spans="1:4" ht="12" customHeight="1" x14ac:dyDescent="0.3">
      <c r="A94" s="4">
        <v>1104</v>
      </c>
      <c r="B94" s="6" t="str">
        <f>VLOOKUP(LISTADO_PRODUCTOS_LISTBOX[Código],LISTADO_PRODUCTOS[#All],3)</f>
        <v>LIBRERÍA</v>
      </c>
      <c r="C94" s="6" t="str">
        <f>VLOOKUP(LISTADO_PRODUCTOS_LISTBOX[Código],LISTADO_PRODUCTOS[#All],4)</f>
        <v>Boligrafo Bic Cristal fina 2x $300</v>
      </c>
      <c r="D94" s="6" t="str">
        <f>VLOOKUP(LISTADO_PRODUCTOS_LISTBOX[Código],LISTADO_PRODUCTOS[#All],5)</f>
        <v>N/A</v>
      </c>
    </row>
    <row r="95" spans="1:4" ht="12" customHeight="1" x14ac:dyDescent="0.3">
      <c r="A95" s="4">
        <v>1105</v>
      </c>
      <c r="B95" s="6" t="str">
        <f>VLOOKUP(LISTADO_PRODUCTOS_LISTBOX[Código],LISTADO_PRODUCTOS[#All],3)</f>
        <v>LIBRERÍA</v>
      </c>
      <c r="C95" s="6" t="str">
        <f>VLOOKUP(LISTADO_PRODUCTOS_LISTBOX[Código],LISTADO_PRODUCTOS[#All],4)</f>
        <v>Boligrafo Bic Cristal</v>
      </c>
      <c r="D95" s="6" t="str">
        <f>VLOOKUP(LISTADO_PRODUCTOS_LISTBOX[Código],LISTADO_PRODUCTOS[#All],5)</f>
        <v>N/A</v>
      </c>
    </row>
    <row r="96" spans="1:4" ht="12" customHeight="1" x14ac:dyDescent="0.3">
      <c r="A96" s="4">
        <v>1107</v>
      </c>
      <c r="B96" s="6" t="str">
        <f>VLOOKUP(LISTADO_PRODUCTOS_LISTBOX[Código],LISTADO_PRODUCTOS[#All],3)</f>
        <v>LIBRERÍA</v>
      </c>
      <c r="C96" s="6" t="str">
        <f>VLOOKUP(LISTADO_PRODUCTOS_LISTBOX[Código],LISTADO_PRODUCTOS[#All],4)</f>
        <v>Boligrafo Faber Trilux 3 x $300</v>
      </c>
      <c r="D96" s="6" t="str">
        <f>VLOOKUP(LISTADO_PRODUCTOS_LISTBOX[Código],LISTADO_PRODUCTOS[#All],5)</f>
        <v>N/A</v>
      </c>
    </row>
    <row r="97" spans="1:4" ht="12" customHeight="1" x14ac:dyDescent="0.3">
      <c r="A97" s="4">
        <v>1108</v>
      </c>
      <c r="B97" s="6" t="str">
        <f>VLOOKUP(LISTADO_PRODUCTOS_LISTBOX[Código],LISTADO_PRODUCTOS[#All],3)</f>
        <v>LIBRERÍA</v>
      </c>
      <c r="C97" s="6" t="str">
        <f>VLOOKUP(LISTADO_PRODUCTOS_LISTBOX[Código],LISTADO_PRODUCTOS[#All],4)</f>
        <v>Boligrafo Bic opaco 2 x $300</v>
      </c>
      <c r="D97" s="6" t="str">
        <f>VLOOKUP(LISTADO_PRODUCTOS_LISTBOX[Código],LISTADO_PRODUCTOS[#All],5)</f>
        <v>N/A</v>
      </c>
    </row>
    <row r="98" spans="1:4" ht="12" customHeight="1" x14ac:dyDescent="0.3">
      <c r="A98" s="4">
        <v>1109</v>
      </c>
      <c r="B98" s="6" t="str">
        <f>VLOOKUP(LISTADO_PRODUCTOS_LISTBOX[Código],LISTADO_PRODUCTOS[#All],3)</f>
        <v>LIBRERÍA</v>
      </c>
      <c r="C98" s="6" t="str">
        <f>VLOOKUP(LISTADO_PRODUCTOS_LISTBOX[Código],LISTADO_PRODUCTOS[#All],4)</f>
        <v>Boligrafo Bic Vive</v>
      </c>
      <c r="D98" s="6" t="str">
        <f>VLOOKUP(LISTADO_PRODUCTOS_LISTBOX[Código],LISTADO_PRODUCTOS[#All],5)</f>
        <v>N/A</v>
      </c>
    </row>
    <row r="99" spans="1:4" ht="12" customHeight="1" x14ac:dyDescent="0.3">
      <c r="A99" s="4">
        <v>1110</v>
      </c>
      <c r="B99" s="6" t="str">
        <f>VLOOKUP(LISTADO_PRODUCTOS_LISTBOX[Código],LISTADO_PRODUCTOS[#All],3)</f>
        <v>LIBRERÍA</v>
      </c>
      <c r="C99" s="6" t="str">
        <f>VLOOKUP(LISTADO_PRODUCTOS_LISTBOX[Código],LISTADO_PRODUCTOS[#All],4)</f>
        <v>Boligrafo Bic Shimmer 2 x $300</v>
      </c>
      <c r="D99" s="6" t="str">
        <f>VLOOKUP(LISTADO_PRODUCTOS_LISTBOX[Código],LISTADO_PRODUCTOS[#All],5)</f>
        <v>N/A</v>
      </c>
    </row>
    <row r="100" spans="1:4" ht="12" customHeight="1" x14ac:dyDescent="0.3">
      <c r="A100" s="4">
        <v>1111</v>
      </c>
      <c r="B100" s="6" t="str">
        <f>VLOOKUP(LISTADO_PRODUCTOS_LISTBOX[Código],LISTADO_PRODUCTOS[#All],3)</f>
        <v>LIBRERÍA</v>
      </c>
      <c r="C100" s="6" t="str">
        <f>VLOOKUP(LISTADO_PRODUCTOS_LISTBOX[Código],LISTADO_PRODUCTOS[#All],4)</f>
        <v>Boligrafo Bic Opaco fina</v>
      </c>
      <c r="D100" s="6" t="str">
        <f>VLOOKUP(LISTADO_PRODUCTOS_LISTBOX[Código],LISTADO_PRODUCTOS[#All],5)</f>
        <v>N/A</v>
      </c>
    </row>
    <row r="101" spans="1:4" ht="12" customHeight="1" x14ac:dyDescent="0.3">
      <c r="A101" s="4">
        <v>1112</v>
      </c>
      <c r="B101" s="6" t="str">
        <f>VLOOKUP(LISTADO_PRODUCTOS_LISTBOX[Código],LISTADO_PRODUCTOS[#All],3)</f>
        <v>LIBRERÍA</v>
      </c>
      <c r="C101" s="6" t="str">
        <f>VLOOKUP(LISTADO_PRODUCTOS_LISTBOX[Código],LISTADO_PRODUCTOS[#All],4)</f>
        <v>Boligrafo Bic Bold</v>
      </c>
      <c r="D101" s="6" t="str">
        <f>VLOOKUP(LISTADO_PRODUCTOS_LISTBOX[Código],LISTADO_PRODUCTOS[#All],5)</f>
        <v>N/A</v>
      </c>
    </row>
    <row r="102" spans="1:4" ht="12" customHeight="1" x14ac:dyDescent="0.3">
      <c r="A102" s="4">
        <v>1113</v>
      </c>
      <c r="B102" s="6" t="str">
        <f>VLOOKUP(LISTADO_PRODUCTOS_LISTBOX[Código],LISTADO_PRODUCTOS[#All],3)</f>
        <v>LIBRERÍA</v>
      </c>
      <c r="C102" s="6" t="str">
        <f>VLOOKUP(LISTADO_PRODUCTOS_LISTBOX[Código],LISTADO_PRODUCTOS[#All],4)</f>
        <v>Roller Bic Gripp</v>
      </c>
      <c r="D102" s="6" t="str">
        <f>VLOOKUP(LISTADO_PRODUCTOS_LISTBOX[Código],LISTADO_PRODUCTOS[#All],5)</f>
        <v>N/A</v>
      </c>
    </row>
    <row r="103" spans="1:4" ht="12" customHeight="1" x14ac:dyDescent="0.3">
      <c r="A103" s="4">
        <v>1114</v>
      </c>
      <c r="B103" s="6" t="str">
        <f>VLOOKUP(LISTADO_PRODUCTOS_LISTBOX[Código],LISTADO_PRODUCTOS[#All],3)</f>
        <v>LIBRERÍA</v>
      </c>
      <c r="C103" s="6" t="str">
        <f>VLOOKUP(LISTADO_PRODUCTOS_LISTBOX[Código],LISTADO_PRODUCTOS[#All],4)</f>
        <v>Carpeta N°3 con cordon Comunes</v>
      </c>
      <c r="D103" s="6" t="str">
        <f>VLOOKUP(LISTADO_PRODUCTOS_LISTBOX[Código],LISTADO_PRODUCTOS[#All],5)</f>
        <v>N/A</v>
      </c>
    </row>
    <row r="104" spans="1:4" ht="12" customHeight="1" x14ac:dyDescent="0.3">
      <c r="A104" s="4">
        <v>1115</v>
      </c>
      <c r="B104" s="6" t="str">
        <f>VLOOKUP(LISTADO_PRODUCTOS_LISTBOX[Código],LISTADO_PRODUCTOS[#All],3)</f>
        <v>LIBRERÍA</v>
      </c>
      <c r="C104" s="6" t="str">
        <f>VLOOKUP(LISTADO_PRODUCTOS_LISTBOX[Código],LISTADO_PRODUCTOS[#All],4)</f>
        <v>Boligrafo borrable Erasermate comun</v>
      </c>
      <c r="D104" s="6" t="str">
        <f>VLOOKUP(LISTADO_PRODUCTOS_LISTBOX[Código],LISTADO_PRODUCTOS[#All],5)</f>
        <v>N/A</v>
      </c>
    </row>
    <row r="105" spans="1:4" ht="12" customHeight="1" x14ac:dyDescent="0.3">
      <c r="A105" s="4">
        <v>1116</v>
      </c>
      <c r="B105" s="6" t="str">
        <f>VLOOKUP(LISTADO_PRODUCTOS_LISTBOX[Código],LISTADO_PRODUCTOS[#All],3)</f>
        <v>LIBRERÍA</v>
      </c>
      <c r="C105" s="6" t="str">
        <f>VLOOKUP(LISTADO_PRODUCTOS_LISTBOX[Código],LISTADO_PRODUCTOS[#All],4)</f>
        <v>Boligrafo Borrable OLAMI Negro</v>
      </c>
      <c r="D105" s="6" t="str">
        <f>VLOOKUP(LISTADO_PRODUCTOS_LISTBOX[Código],LISTADO_PRODUCTOS[#All],5)</f>
        <v>N/A</v>
      </c>
    </row>
    <row r="106" spans="1:4" ht="12" customHeight="1" x14ac:dyDescent="0.3">
      <c r="A106" s="4">
        <v>1117</v>
      </c>
      <c r="B106" s="6" t="str">
        <f>VLOOKUP(LISTADO_PRODUCTOS_LISTBOX[Código],LISTADO_PRODUCTOS[#All],3)</f>
        <v>LIBRERÍA</v>
      </c>
      <c r="C106" s="6" t="str">
        <f>VLOOKUP(LISTADO_PRODUCTOS_LISTBOX[Código],LISTADO_PRODUCTOS[#All],4)</f>
        <v>Portaminas Filgo Real Grip 0.5</v>
      </c>
      <c r="D106" s="6" t="str">
        <f>VLOOKUP(LISTADO_PRODUCTOS_LISTBOX[Código],LISTADO_PRODUCTOS[#All],5)</f>
        <v>N/A</v>
      </c>
    </row>
    <row r="107" spans="1:4" ht="12" customHeight="1" x14ac:dyDescent="0.3">
      <c r="A107" s="4">
        <v>1118</v>
      </c>
      <c r="B107" s="6" t="str">
        <f>VLOOKUP(LISTADO_PRODUCTOS_LISTBOX[Código],LISTADO_PRODUCTOS[#All],3)</f>
        <v>LIBRERÍA</v>
      </c>
      <c r="C107" s="6" t="str">
        <f>VLOOKUP(LISTADO_PRODUCTOS_LISTBOX[Código],LISTADO_PRODUCTOS[#All],4)</f>
        <v>Boligrafo Wero retractil Pastel Notes Corazon</v>
      </c>
      <c r="D107" s="6" t="str">
        <f>VLOOKUP(LISTADO_PRODUCTOS_LISTBOX[Código],LISTADO_PRODUCTOS[#All],5)</f>
        <v>N/A</v>
      </c>
    </row>
    <row r="108" spans="1:4" ht="12" customHeight="1" x14ac:dyDescent="0.3">
      <c r="A108" s="4">
        <v>1119</v>
      </c>
      <c r="B108" s="6" t="str">
        <f>VLOOKUP(LISTADO_PRODUCTOS_LISTBOX[Código],LISTADO_PRODUCTOS[#All],3)</f>
        <v>LIBRERÍA</v>
      </c>
      <c r="C108" s="6" t="str">
        <f>VLOOKUP(LISTADO_PRODUCTOS_LISTBOX[Código],LISTADO_PRODUCTOS[#All],4)</f>
        <v>Boligrafo retractil pastel notes unicornio</v>
      </c>
      <c r="D108" s="6" t="str">
        <f>VLOOKUP(LISTADO_PRODUCTOS_LISTBOX[Código],LISTADO_PRODUCTOS[#All],5)</f>
        <v>N/A</v>
      </c>
    </row>
    <row r="109" spans="1:4" ht="12" customHeight="1" x14ac:dyDescent="0.3">
      <c r="A109" s="4">
        <v>1124</v>
      </c>
      <c r="B109" s="6" t="str">
        <f>VLOOKUP(LISTADO_PRODUCTOS_LISTBOX[Código],LISTADO_PRODUCTOS[#All],3)</f>
        <v>LIBRERÍA</v>
      </c>
      <c r="C109" s="6" t="str">
        <f>VLOOKUP(LISTADO_PRODUCTOS_LISTBOX[Código],LISTADO_PRODUCTOS[#All],4)</f>
        <v>Portaminas Bic Clic Matic Atlantis pencil 0.5</v>
      </c>
      <c r="D109" s="6" t="str">
        <f>VLOOKUP(LISTADO_PRODUCTOS_LISTBOX[Código],LISTADO_PRODUCTOS[#All],5)</f>
        <v>N/A</v>
      </c>
    </row>
    <row r="110" spans="1:4" ht="12" customHeight="1" x14ac:dyDescent="0.3">
      <c r="A110" s="4">
        <v>1125</v>
      </c>
      <c r="B110" s="6" t="str">
        <f>VLOOKUP(LISTADO_PRODUCTOS_LISTBOX[Código],LISTADO_PRODUCTOS[#All],3)</f>
        <v>LIBRERÍA</v>
      </c>
      <c r="C110" s="6" t="str">
        <f>VLOOKUP(LISTADO_PRODUCTOS_LISTBOX[Código],LISTADO_PRODUCTOS[#All],4)</f>
        <v>Minas pizzini 0.5 HB - Art. S5300HB - 7793198530079</v>
      </c>
      <c r="D110" s="6" t="str">
        <f>VLOOKUP(LISTADO_PRODUCTOS_LISTBOX[Código],LISTADO_PRODUCTOS[#All],5)</f>
        <v>N/A</v>
      </c>
    </row>
    <row r="111" spans="1:4" ht="12" customHeight="1" x14ac:dyDescent="0.3">
      <c r="A111" s="4">
        <v>1126</v>
      </c>
      <c r="B111" s="6" t="str">
        <f>VLOOKUP(LISTADO_PRODUCTOS_LISTBOX[Código],LISTADO_PRODUCTOS[#All],3)</f>
        <v>LIBRERÍA</v>
      </c>
      <c r="C111" s="6" t="str">
        <f>VLOOKUP(LISTADO_PRODUCTOS_LISTBOX[Código],LISTADO_PRODUCTOS[#All],4)</f>
        <v>Minas Pizzini 0,7 HB - Art. S7300HB - 7793198730073</v>
      </c>
      <c r="D111" s="6" t="str">
        <f>VLOOKUP(LISTADO_PRODUCTOS_LISTBOX[Código],LISTADO_PRODUCTOS[#All],5)</f>
        <v>N/A</v>
      </c>
    </row>
    <row r="112" spans="1:4" ht="12" customHeight="1" x14ac:dyDescent="0.3">
      <c r="A112" s="4">
        <v>1127</v>
      </c>
      <c r="B112" s="6" t="str">
        <f>VLOOKUP(LISTADO_PRODUCTOS_LISTBOX[Código],LISTADO_PRODUCTOS[#All],3)</f>
        <v>LIBRERÍA</v>
      </c>
      <c r="C112" s="6" t="str">
        <f>VLOOKUP(LISTADO_PRODUCTOS_LISTBOX[Código],LISTADO_PRODUCTOS[#All],4)</f>
        <v>Minas Faber Castell 0.5 HB</v>
      </c>
      <c r="D112" s="6" t="str">
        <f>VLOOKUP(LISTADO_PRODUCTOS_LISTBOX[Código],LISTADO_PRODUCTOS[#All],5)</f>
        <v>N/A</v>
      </c>
    </row>
    <row r="113" spans="1:4" ht="12" customHeight="1" x14ac:dyDescent="0.3">
      <c r="A113" s="4">
        <v>1128</v>
      </c>
      <c r="B113" s="6" t="str">
        <f>VLOOKUP(LISTADO_PRODUCTOS_LISTBOX[Código],LISTADO_PRODUCTOS[#All],3)</f>
        <v>LIBRERÍA</v>
      </c>
      <c r="C113" s="6" t="str">
        <f>VLOOKUP(LISTADO_PRODUCTOS_LISTBOX[Código],LISTADO_PRODUCTOS[#All],4)</f>
        <v>Minas Faber Castell 0,7 HB</v>
      </c>
      <c r="D113" s="6" t="str">
        <f>VLOOKUP(LISTADO_PRODUCTOS_LISTBOX[Código],LISTADO_PRODUCTOS[#All],5)</f>
        <v>N/A</v>
      </c>
    </row>
    <row r="114" spans="1:4" ht="12" customHeight="1" x14ac:dyDescent="0.3">
      <c r="A114" s="4">
        <v>1129</v>
      </c>
      <c r="B114" s="6" t="str">
        <f>VLOOKUP(LISTADO_PRODUCTOS_LISTBOX[Código],LISTADO_PRODUCTOS[#All],3)</f>
        <v>LIBRERÍA</v>
      </c>
      <c r="C114" s="6" t="str">
        <f>VLOOKUP(LISTADO_PRODUCTOS_LISTBOX[Código],LISTADO_PRODUCTOS[#All],4)</f>
        <v>Minas Faber Castell 0.5 2H</v>
      </c>
      <c r="D114" s="6" t="str">
        <f>VLOOKUP(LISTADO_PRODUCTOS_LISTBOX[Código],LISTADO_PRODUCTOS[#All],5)</f>
        <v>N/A</v>
      </c>
    </row>
    <row r="115" spans="1:4" ht="12" customHeight="1" x14ac:dyDescent="0.3">
      <c r="A115" s="4">
        <v>1130</v>
      </c>
      <c r="B115" s="6" t="str">
        <f>VLOOKUP(LISTADO_PRODUCTOS_LISTBOX[Código],LISTADO_PRODUCTOS[#All],3)</f>
        <v>LIBRERÍA</v>
      </c>
      <c r="C115" s="6" t="str">
        <f>VLOOKUP(LISTADO_PRODUCTOS_LISTBOX[Código],LISTADO_PRODUCTOS[#All],4)</f>
        <v>Minas Pizzini 2mm B - Art. S20300B - 7793198203034</v>
      </c>
      <c r="D115" s="6" t="str">
        <f>VLOOKUP(LISTADO_PRODUCTOS_LISTBOX[Código],LISTADO_PRODUCTOS[#All],5)</f>
        <v>N/A</v>
      </c>
    </row>
    <row r="116" spans="1:4" ht="12" customHeight="1" x14ac:dyDescent="0.3">
      <c r="A116" s="4">
        <v>1131</v>
      </c>
      <c r="B116" s="6" t="str">
        <f>VLOOKUP(LISTADO_PRODUCTOS_LISTBOX[Código],LISTADO_PRODUCTOS[#All],3)</f>
        <v>LIBRERÍA</v>
      </c>
      <c r="C116" s="6" t="str">
        <f>VLOOKUP(LISTADO_PRODUCTOS_LISTBOX[Código],LISTADO_PRODUCTOS[#All],4)</f>
        <v>Sacapuntas Maped CROC CROC</v>
      </c>
      <c r="D116" s="6" t="str">
        <f>VLOOKUP(LISTADO_PRODUCTOS_LISTBOX[Código],LISTADO_PRODUCTOS[#All],5)</f>
        <v>N/A</v>
      </c>
    </row>
    <row r="117" spans="1:4" ht="12" customHeight="1" x14ac:dyDescent="0.3">
      <c r="A117" s="4">
        <v>1132</v>
      </c>
      <c r="B117" s="6" t="str">
        <f>VLOOKUP(LISTADO_PRODUCTOS_LISTBOX[Código],LISTADO_PRODUCTOS[#All],3)</f>
        <v>LIBRERÍA</v>
      </c>
      <c r="C117" s="6" t="str">
        <f>VLOOKUP(LISTADO_PRODUCTOS_LISTBOX[Código],LISTADO_PRODUCTOS[#All],4)</f>
        <v>Notas Adhesivas WERO Fun WE 1144</v>
      </c>
      <c r="D117" s="6" t="str">
        <f>VLOOKUP(LISTADO_PRODUCTOS_LISTBOX[Código],LISTADO_PRODUCTOS[#All],5)</f>
        <v>N/A</v>
      </c>
    </row>
    <row r="118" spans="1:4" ht="12" customHeight="1" x14ac:dyDescent="0.3">
      <c r="A118" s="4">
        <v>1133</v>
      </c>
      <c r="B118" s="6" t="str">
        <f>VLOOKUP(LISTADO_PRODUCTOS_LISTBOX[Código],LISTADO_PRODUCTOS[#All],3)</f>
        <v>LIBRERÍA</v>
      </c>
      <c r="C118" s="6" t="str">
        <f>VLOOKUP(LISTADO_PRODUCTOS_LISTBOX[Código],LISTADO_PRODUCTOS[#All],4)</f>
        <v>Gomas c/formas Wero Cool Pops c/u se vende x unidad</v>
      </c>
      <c r="D118" s="6" t="str">
        <f>VLOOKUP(LISTADO_PRODUCTOS_LISTBOX[Código],LISTADO_PRODUCTOS[#All],5)</f>
        <v>N/A</v>
      </c>
    </row>
    <row r="119" spans="1:4" ht="12" customHeight="1" x14ac:dyDescent="0.3">
      <c r="A119" s="4">
        <v>1136</v>
      </c>
      <c r="B119" s="6" t="str">
        <f>VLOOKUP(LISTADO_PRODUCTOS_LISTBOX[Código],LISTADO_PRODUCTOS[#All],3)</f>
        <v>LIBRERÍA</v>
      </c>
      <c r="C119" s="6" t="str">
        <f>VLOOKUP(LISTADO_PRODUCTOS_LISTBOX[Código],LISTADO_PRODUCTOS[#All],4)</f>
        <v xml:space="preserve">Separador de materias cartulina con lengüeta A4/Of x5u color </v>
      </c>
      <c r="D119" s="6" t="str">
        <f>VLOOKUP(LISTADO_PRODUCTOS_LISTBOX[Código],LISTADO_PRODUCTOS[#All],5)</f>
        <v>N/A</v>
      </c>
    </row>
    <row r="120" spans="1:4" ht="12" customHeight="1" x14ac:dyDescent="0.3">
      <c r="A120" s="4">
        <v>1137</v>
      </c>
      <c r="B120" s="6" t="str">
        <f>VLOOKUP(LISTADO_PRODUCTOS_LISTBOX[Código],LISTADO_PRODUCTOS[#All],3)</f>
        <v>LIBRERÍA</v>
      </c>
      <c r="C120" s="6" t="str">
        <f>VLOOKUP(LISTADO_PRODUCTOS_LISTBOX[Código],LISTADO_PRODUCTOS[#All],4)</f>
        <v>Compas pizzini Pk133 - Art. PK133 - 7793198133003</v>
      </c>
      <c r="D120" s="6" t="str">
        <f>VLOOKUP(LISTADO_PRODUCTOS_LISTBOX[Código],LISTADO_PRODUCTOS[#All],5)</f>
        <v>N/A</v>
      </c>
    </row>
    <row r="121" spans="1:4" ht="12" customHeight="1" x14ac:dyDescent="0.3">
      <c r="A121" s="4">
        <v>1138</v>
      </c>
      <c r="B121" s="6" t="str">
        <f>VLOOKUP(LISTADO_PRODUCTOS_LISTBOX[Código],LISTADO_PRODUCTOS[#All],3)</f>
        <v>LIBRERÍA</v>
      </c>
      <c r="C121" s="6" t="str">
        <f>VLOOKUP(LISTADO_PRODUCTOS_LISTBOX[Código],LISTADO_PRODUCTOS[#All],4)</f>
        <v>Compas Pelikan en caja</v>
      </c>
      <c r="D121" s="6" t="str">
        <f>VLOOKUP(LISTADO_PRODUCTOS_LISTBOX[Código],LISTADO_PRODUCTOS[#All],5)</f>
        <v>N/A</v>
      </c>
    </row>
    <row r="122" spans="1:4" ht="12" customHeight="1" x14ac:dyDescent="0.3">
      <c r="A122" s="4">
        <v>1139</v>
      </c>
      <c r="B122" s="6" t="str">
        <f>VLOOKUP(LISTADO_PRODUCTOS_LISTBOX[Código],LISTADO_PRODUCTOS[#All],3)</f>
        <v>LIBRERÍA</v>
      </c>
      <c r="C122" s="6" t="str">
        <f>VLOOKUP(LISTADO_PRODUCTOS_LISTBOX[Código],LISTADO_PRODUCTOS[#All],4)</f>
        <v>Resaltador Micro Margi 2000</v>
      </c>
      <c r="D122" s="6" t="str">
        <f>VLOOKUP(LISTADO_PRODUCTOS_LISTBOX[Código],LISTADO_PRODUCTOS[#All],5)</f>
        <v>N/A</v>
      </c>
    </row>
    <row r="123" spans="1:4" ht="12" customHeight="1" x14ac:dyDescent="0.3">
      <c r="A123" s="4">
        <v>1141</v>
      </c>
      <c r="B123" s="6" t="str">
        <f>VLOOKUP(LISTADO_PRODUCTOS_LISTBOX[Código],LISTADO_PRODUCTOS[#All],3)</f>
        <v>LIBRERÍA</v>
      </c>
      <c r="C123" s="6" t="str">
        <f>VLOOKUP(LISTADO_PRODUCTOS_LISTBOX[Código],LISTADO_PRODUCTOS[#All],4)</f>
        <v>Resaltador Pizzini Duo - Art. 1282 - 7793198128887</v>
      </c>
      <c r="D123" s="6" t="str">
        <f>VLOOKUP(LISTADO_PRODUCTOS_LISTBOX[Código],LISTADO_PRODUCTOS[#All],5)</f>
        <v>N/A</v>
      </c>
    </row>
    <row r="124" spans="1:4" ht="12" customHeight="1" x14ac:dyDescent="0.3">
      <c r="A124" s="4">
        <v>1142</v>
      </c>
      <c r="B124" s="6" t="str">
        <f>VLOOKUP(LISTADO_PRODUCTOS_LISTBOX[Código],LISTADO_PRODUCTOS[#All],3)</f>
        <v>LIBRERÍA</v>
      </c>
      <c r="C124" s="6" t="str">
        <f>VLOOKUP(LISTADO_PRODUCTOS_LISTBOX[Código],LISTADO_PRODUCTOS[#All],4)</f>
        <v>Resaltador edding 342</v>
      </c>
      <c r="D124" s="6" t="str">
        <f>VLOOKUP(LISTADO_PRODUCTOS_LISTBOX[Código],LISTADO_PRODUCTOS[#All],5)</f>
        <v>N/A</v>
      </c>
    </row>
    <row r="125" spans="1:4" ht="12" customHeight="1" x14ac:dyDescent="0.3">
      <c r="A125" s="4">
        <v>1143</v>
      </c>
      <c r="B125" s="6" t="str">
        <f>VLOOKUP(LISTADO_PRODUCTOS_LISTBOX[Código],LISTADO_PRODUCTOS[#All],3)</f>
        <v>LIBRERÍA</v>
      </c>
      <c r="C125" s="6" t="str">
        <f>VLOOKUP(LISTADO_PRODUCTOS_LISTBOX[Código],LISTADO_PRODUCTOS[#All],4)</f>
        <v>Resaltador Bic</v>
      </c>
      <c r="D125" s="6" t="str">
        <f>VLOOKUP(LISTADO_PRODUCTOS_LISTBOX[Código],LISTADO_PRODUCTOS[#All],5)</f>
        <v>N/A</v>
      </c>
    </row>
    <row r="126" spans="1:4" ht="12" customHeight="1" x14ac:dyDescent="0.3">
      <c r="A126" s="4">
        <v>1144</v>
      </c>
      <c r="B126" s="6" t="str">
        <f>VLOOKUP(LISTADO_PRODUCTOS_LISTBOX[Código],LISTADO_PRODUCTOS[#All],3)</f>
        <v>LIBRERÍA</v>
      </c>
      <c r="C126" s="6" t="str">
        <f>VLOOKUP(LISTADO_PRODUCTOS_LISTBOX[Código],LISTADO_PRODUCTOS[#All],4)</f>
        <v>Marcador escolar Maped DUO TIP x 10u</v>
      </c>
      <c r="D126" s="6" t="str">
        <f>VLOOKUP(LISTADO_PRODUCTOS_LISTBOX[Código],LISTADO_PRODUCTOS[#All],5)</f>
        <v>N/A</v>
      </c>
    </row>
    <row r="127" spans="1:4" ht="12" customHeight="1" x14ac:dyDescent="0.3">
      <c r="A127" s="4">
        <v>1149</v>
      </c>
      <c r="B127" s="6" t="str">
        <f>VLOOKUP(LISTADO_PRODUCTOS_LISTBOX[Código],LISTADO_PRODUCTOS[#All],3)</f>
        <v>LIBRERÍA</v>
      </c>
      <c r="C127" s="6" t="str">
        <f>VLOOKUP(LISTADO_PRODUCTOS_LISTBOX[Código],LISTADO_PRODUCTOS[#All],4)</f>
        <v>Fibron Bic Marking Biselado extra grueso</v>
      </c>
      <c r="D127" s="6" t="str">
        <f>VLOOKUP(LISTADO_PRODUCTOS_LISTBOX[Código],LISTADO_PRODUCTOS[#All],5)</f>
        <v>N/A</v>
      </c>
    </row>
    <row r="128" spans="1:4" ht="12" customHeight="1" x14ac:dyDescent="0.3">
      <c r="A128" s="4">
        <v>1150</v>
      </c>
      <c r="B128" s="6" t="str">
        <f>VLOOKUP(LISTADO_PRODUCTOS_LISTBOX[Código],LISTADO_PRODUCTOS[#All],3)</f>
        <v>LIBRERÍA</v>
      </c>
      <c r="C128" s="6" t="str">
        <f>VLOOKUP(LISTADO_PRODUCTOS_LISTBOX[Código],LISTADO_PRODUCTOS[#All],4)</f>
        <v>Fibron Bic Marking redondo</v>
      </c>
      <c r="D128" s="6" t="str">
        <f>VLOOKUP(LISTADO_PRODUCTOS_LISTBOX[Código],LISTADO_PRODUCTOS[#All],5)</f>
        <v>N/A</v>
      </c>
    </row>
    <row r="129" spans="1:4" ht="12" customHeight="1" x14ac:dyDescent="0.3">
      <c r="A129" s="4">
        <v>1451</v>
      </c>
      <c r="B129" s="6" t="str">
        <f>VLOOKUP(LISTADO_PRODUCTOS_LISTBOX[Código],LISTADO_PRODUCTOS[#All],3)</f>
        <v>LIBRERÍA</v>
      </c>
      <c r="C129" s="6" t="str">
        <f>VLOOKUP(LISTADO_PRODUCTOS_LISTBOX[Código],LISTADO_PRODUCTOS[#All],4)</f>
        <v>Set de Resaltadores NUWA x5u en dispenser</v>
      </c>
      <c r="D129" s="6" t="str">
        <f>VLOOKUP(LISTADO_PRODUCTOS_LISTBOX[Código],LISTADO_PRODUCTOS[#All],5)</f>
        <v>N/A</v>
      </c>
    </row>
    <row r="130" spans="1:4" ht="12" customHeight="1" x14ac:dyDescent="0.3">
      <c r="A130" s="4">
        <v>1151</v>
      </c>
      <c r="B130" s="6" t="str">
        <f>VLOOKUP(LISTADO_PRODUCTOS_LISTBOX[Código],LISTADO_PRODUCTOS[#All],3)</f>
        <v>LIBRERÍA</v>
      </c>
      <c r="C130" s="6" t="str">
        <f>VLOOKUP(LISTADO_PRODUCTOS_LISTBOX[Código],LISTADO_PRODUCTOS[#All],4)</f>
        <v>Fibron Bic Marking redondo</v>
      </c>
      <c r="D130" s="6" t="str">
        <f>VLOOKUP(LISTADO_PRODUCTOS_LISTBOX[Código],LISTADO_PRODUCTOS[#All],5)</f>
        <v>N/A</v>
      </c>
    </row>
    <row r="131" spans="1:4" ht="12" customHeight="1" x14ac:dyDescent="0.3">
      <c r="A131" s="4">
        <v>1153</v>
      </c>
      <c r="B131" s="6" t="str">
        <f>VLOOKUP(LISTADO_PRODUCTOS_LISTBOX[Código],LISTADO_PRODUCTOS[#All],3)</f>
        <v>LIBRERÍA</v>
      </c>
      <c r="C131" s="6" t="str">
        <f>VLOOKUP(LISTADO_PRODUCTOS_LISTBOX[Código],LISTADO_PRODUCTOS[#All],4)</f>
        <v>Fibron Bic Marking redondo</v>
      </c>
      <c r="D131" s="6" t="str">
        <f>VLOOKUP(LISTADO_PRODUCTOS_LISTBOX[Código],LISTADO_PRODUCTOS[#All],5)</f>
        <v>N/A</v>
      </c>
    </row>
    <row r="132" spans="1:4" ht="12" customHeight="1" x14ac:dyDescent="0.3">
      <c r="A132" s="4">
        <v>1154</v>
      </c>
      <c r="B132" s="6" t="str">
        <f>VLOOKUP(LISTADO_PRODUCTOS_LISTBOX[Código],LISTADO_PRODUCTOS[#All],3)</f>
        <v>LIBRERÍA</v>
      </c>
      <c r="C132" s="6" t="str">
        <f>VLOOKUP(LISTADO_PRODUCTOS_LISTBOX[Código],LISTADO_PRODUCTOS[#All],4)</f>
        <v>Tijera Maped advanced office 17cm</v>
      </c>
      <c r="D132" s="6" t="str">
        <f>VLOOKUP(LISTADO_PRODUCTOS_LISTBOX[Código],LISTADO_PRODUCTOS[#All],5)</f>
        <v>N/A</v>
      </c>
    </row>
    <row r="133" spans="1:4" ht="12" customHeight="1" x14ac:dyDescent="0.3">
      <c r="A133" s="4">
        <v>1155</v>
      </c>
      <c r="B133" s="6" t="str">
        <f>VLOOKUP(LISTADO_PRODUCTOS_LISTBOX[Código],LISTADO_PRODUCTOS[#All],3)</f>
        <v>LIBRERÍA</v>
      </c>
      <c r="C133" s="6" t="str">
        <f>VLOOKUP(LISTADO_PRODUCTOS_LISTBOX[Código],LISTADO_PRODUCTOS[#All],4)</f>
        <v>Tijera Maped Universal 21cm</v>
      </c>
      <c r="D133" s="6" t="str">
        <f>VLOOKUP(LISTADO_PRODUCTOS_LISTBOX[Código],LISTADO_PRODUCTOS[#All],5)</f>
        <v>N/A</v>
      </c>
    </row>
    <row r="134" spans="1:4" ht="12" customHeight="1" x14ac:dyDescent="0.3">
      <c r="A134" s="4">
        <v>1156</v>
      </c>
      <c r="B134" s="6" t="str">
        <f>VLOOKUP(LISTADO_PRODUCTOS_LISTBOX[Código],LISTADO_PRODUCTOS[#All],3)</f>
        <v>LIBRERÍA</v>
      </c>
      <c r="C134" s="6" t="str">
        <f>VLOOKUP(LISTADO_PRODUCTOS_LISTBOX[Código],LISTADO_PRODUCTOS[#All],4)</f>
        <v>Tijera Olami Standard 17.5cm</v>
      </c>
      <c r="D134" s="6" t="str">
        <f>VLOOKUP(LISTADO_PRODUCTOS_LISTBOX[Código],LISTADO_PRODUCTOS[#All],5)</f>
        <v>N/A</v>
      </c>
    </row>
    <row r="135" spans="1:4" ht="12" customHeight="1" x14ac:dyDescent="0.3">
      <c r="A135" s="4">
        <v>1161</v>
      </c>
      <c r="B135" s="6" t="str">
        <f>VLOOKUP(LISTADO_PRODUCTOS_LISTBOX[Código],LISTADO_PRODUCTOS[#All],3)</f>
        <v>LIBRERÍA</v>
      </c>
      <c r="C135" s="6" t="str">
        <f>VLOOKUP(LISTADO_PRODUCTOS_LISTBOX[Código],LISTADO_PRODUCTOS[#All],4)</f>
        <v>Crayon Ezco Jumbo x 12u</v>
      </c>
      <c r="D135" s="6" t="str">
        <f>VLOOKUP(LISTADO_PRODUCTOS_LISTBOX[Código],LISTADO_PRODUCTOS[#All],5)</f>
        <v>N/A</v>
      </c>
    </row>
    <row r="136" spans="1:4" ht="12" customHeight="1" x14ac:dyDescent="0.3">
      <c r="A136" s="4">
        <v>1162</v>
      </c>
      <c r="B136" s="6" t="str">
        <f>VLOOKUP(LISTADO_PRODUCTOS_LISTBOX[Código],LISTADO_PRODUCTOS[#All],3)</f>
        <v>LIBRERÍA</v>
      </c>
      <c r="C136" s="6" t="str">
        <f>VLOOKUP(LISTADO_PRODUCTOS_LISTBOX[Código],LISTADO_PRODUCTOS[#All],4)</f>
        <v>Lapices de colores Bic Evolution x 24</v>
      </c>
      <c r="D136" s="6" t="str">
        <f>VLOOKUP(LISTADO_PRODUCTOS_LISTBOX[Código],LISTADO_PRODUCTOS[#All],5)</f>
        <v>N/A</v>
      </c>
    </row>
    <row r="137" spans="1:4" ht="12" customHeight="1" x14ac:dyDescent="0.3">
      <c r="A137" s="4">
        <v>1163</v>
      </c>
      <c r="B137" s="6" t="str">
        <f>VLOOKUP(LISTADO_PRODUCTOS_LISTBOX[Código],LISTADO_PRODUCTOS[#All],3)</f>
        <v>LIBRERÍA</v>
      </c>
      <c r="C137" s="6" t="str">
        <f>VLOOKUP(LISTADO_PRODUCTOS_LISTBOX[Código],LISTADO_PRODUCTOS[#All],4)</f>
        <v>Lapices de colores Skycolor pastel x 12</v>
      </c>
      <c r="D137" s="6" t="str">
        <f>VLOOKUP(LISTADO_PRODUCTOS_LISTBOX[Código],LISTADO_PRODUCTOS[#All],5)</f>
        <v>N/A</v>
      </c>
    </row>
    <row r="138" spans="1:4" ht="12" customHeight="1" x14ac:dyDescent="0.3">
      <c r="A138" s="4">
        <v>1164</v>
      </c>
      <c r="B138" s="6" t="str">
        <f>VLOOKUP(LISTADO_PRODUCTOS_LISTBOX[Código],LISTADO_PRODUCTOS[#All],3)</f>
        <v>LIBRERÍA</v>
      </c>
      <c r="C138" s="6" t="str">
        <f>VLOOKUP(LISTADO_PRODUCTOS_LISTBOX[Código],LISTADO_PRODUCTOS[#All],4)</f>
        <v>Lapices de colores Maped Star pinturitas x 36 u</v>
      </c>
      <c r="D138" s="6" t="str">
        <f>VLOOKUP(LISTADO_PRODUCTOS_LISTBOX[Código],LISTADO_PRODUCTOS[#All],5)</f>
        <v>N/A</v>
      </c>
    </row>
    <row r="139" spans="1:4" ht="12" customHeight="1" x14ac:dyDescent="0.3">
      <c r="A139" s="4">
        <v>1165</v>
      </c>
      <c r="B139" s="6" t="str">
        <f>VLOOKUP(LISTADO_PRODUCTOS_LISTBOX[Código],LISTADO_PRODUCTOS[#All],3)</f>
        <v>LIBRERÍA</v>
      </c>
      <c r="C139" s="6" t="str">
        <f>VLOOKUP(LISTADO_PRODUCTOS_LISTBOX[Código],LISTADO_PRODUCTOS[#All],4)</f>
        <v>Lapices de colores Maped Star pinturitas x 48 u</v>
      </c>
      <c r="D139" s="6" t="str">
        <f>VLOOKUP(LISTADO_PRODUCTOS_LISTBOX[Código],LISTADO_PRODUCTOS[#All],5)</f>
        <v>N/A</v>
      </c>
    </row>
    <row r="140" spans="1:4" ht="12" customHeight="1" x14ac:dyDescent="0.3">
      <c r="A140" s="4">
        <v>1167</v>
      </c>
      <c r="B140" s="38" t="str">
        <f>VLOOKUP(LISTADO_PRODUCTOS_LISTBOX[Código],LISTADO_PRODUCTOS[#All],3)</f>
        <v>LIBRERÍA</v>
      </c>
      <c r="C140" s="6" t="str">
        <f>VLOOKUP(LISTADO_PRODUCTOS_LISTBOX[Código],LISTADO_PRODUCTOS[#All],4)</f>
        <v>Colores Sylvapen x6 Fluo</v>
      </c>
      <c r="D140" s="6" t="str">
        <f>VLOOKUP(LISTADO_PRODUCTOS_LISTBOX[Código],LISTADO_PRODUCTOS[#All],5)</f>
        <v>N/A</v>
      </c>
    </row>
    <row r="141" spans="1:4" ht="12" customHeight="1" x14ac:dyDescent="0.3">
      <c r="A141" s="4">
        <v>1168</v>
      </c>
      <c r="B141" s="6" t="str">
        <f>VLOOKUP(LISTADO_PRODUCTOS_LISTBOX[Código],LISTADO_PRODUCTOS[#All],3)</f>
        <v>LIBRERÍA</v>
      </c>
      <c r="C141" s="6" t="str">
        <f>VLOOKUP(LISTADO_PRODUCTOS_LISTBOX[Código],LISTADO_PRODUCTOS[#All],4)</f>
        <v>Colores x 12 Simball Largos Acuarelables</v>
      </c>
      <c r="D141" s="6" t="str">
        <f>VLOOKUP(LISTADO_PRODUCTOS_LISTBOX[Código],LISTADO_PRODUCTOS[#All],5)</f>
        <v>N/A</v>
      </c>
    </row>
    <row r="142" spans="1:4" ht="12" customHeight="1" x14ac:dyDescent="0.3">
      <c r="A142" s="4">
        <v>1169</v>
      </c>
      <c r="B142" s="6" t="str">
        <f>VLOOKUP(LISTADO_PRODUCTOS_LISTBOX[Código],LISTADO_PRODUCTOS[#All],3)</f>
        <v>LIBRERÍA</v>
      </c>
      <c r="C142" s="6" t="str">
        <f>VLOOKUP(LISTADO_PRODUCTOS_LISTBOX[Código],LISTADO_PRODUCTOS[#All],4)</f>
        <v>Colores Simball x 12 largos innovation</v>
      </c>
      <c r="D142" s="6" t="str">
        <f>VLOOKUP(LISTADO_PRODUCTOS_LISTBOX[Código],LISTADO_PRODUCTOS[#All],5)</f>
        <v>N/A</v>
      </c>
    </row>
    <row r="143" spans="1:4" ht="12" customHeight="1" x14ac:dyDescent="0.3">
      <c r="A143" s="4">
        <v>1171</v>
      </c>
      <c r="B143" s="6" t="str">
        <f>VLOOKUP(LISTADO_PRODUCTOS_LISTBOX[Código],LISTADO_PRODUCTOS[#All],3)</f>
        <v>LIBRERÍA</v>
      </c>
      <c r="C143" s="6" t="str">
        <f>VLOOKUP(LISTADO_PRODUCTOS_LISTBOX[Código],LISTADO_PRODUCTOS[#All],4)</f>
        <v>Lapices de colores Pastel Mooving Dulce pastel x 10</v>
      </c>
      <c r="D143" s="6" t="str">
        <f>VLOOKUP(LISTADO_PRODUCTOS_LISTBOX[Código],LISTADO_PRODUCTOS[#All],5)</f>
        <v>N/A</v>
      </c>
    </row>
    <row r="144" spans="1:4" ht="12" customHeight="1" x14ac:dyDescent="0.3">
      <c r="A144" s="4">
        <v>1173</v>
      </c>
      <c r="B144" s="6" t="str">
        <f>VLOOKUP(LISTADO_PRODUCTOS_LISTBOX[Código],LISTADO_PRODUCTOS[#All],3)</f>
        <v>LIBRERÍA</v>
      </c>
      <c r="C144" s="6" t="str">
        <f>VLOOKUP(LISTADO_PRODUCTOS_LISTBOX[Código],LISTADO_PRODUCTOS[#All],4)</f>
        <v>Lapices de colores Paper mate x 15u incluye 3 NEON</v>
      </c>
      <c r="D144" s="6" t="str">
        <f>VLOOKUP(LISTADO_PRODUCTOS_LISTBOX[Código],LISTADO_PRODUCTOS[#All],5)</f>
        <v>N/A</v>
      </c>
    </row>
    <row r="145" spans="1:4" ht="12" customHeight="1" x14ac:dyDescent="0.3">
      <c r="A145" s="4">
        <v>1174</v>
      </c>
      <c r="B145" s="6" t="str">
        <f>VLOOKUP(LISTADO_PRODUCTOS_LISTBOX[Código],LISTADO_PRODUCTOS[#All],3)</f>
        <v>LIBRERÍA</v>
      </c>
      <c r="C145" s="6" t="str">
        <f>VLOOKUP(LISTADO_PRODUCTOS_LISTBOX[Código],LISTADO_PRODUCTOS[#All],4)</f>
        <v xml:space="preserve">Colores Faber castell x24 </v>
      </c>
      <c r="D145" s="6" t="str">
        <f>VLOOKUP(LISTADO_PRODUCTOS_LISTBOX[Código],LISTADO_PRODUCTOS[#All],5)</f>
        <v>N/A</v>
      </c>
    </row>
    <row r="146" spans="1:4" ht="12" customHeight="1" x14ac:dyDescent="0.3">
      <c r="A146" s="4">
        <v>1175</v>
      </c>
      <c r="B146" s="6" t="str">
        <f>VLOOKUP(LISTADO_PRODUCTOS_LISTBOX[Código],LISTADO_PRODUCTOS[#All],3)</f>
        <v>LIBRERÍA</v>
      </c>
      <c r="C146" s="6" t="str">
        <f>VLOOKUP(LISTADO_PRODUCTOS_LISTBOX[Código],LISTADO_PRODUCTOS[#All],4)</f>
        <v xml:space="preserve">Colores Faber Castell x12 +2N </v>
      </c>
      <c r="D146" s="6" t="str">
        <f>VLOOKUP(LISTADO_PRODUCTOS_LISTBOX[Código],LISTADO_PRODUCTOS[#All],5)</f>
        <v>N/A</v>
      </c>
    </row>
    <row r="147" spans="1:4" ht="12" customHeight="1" x14ac:dyDescent="0.3">
      <c r="A147" s="4">
        <v>1176</v>
      </c>
      <c r="B147" s="6" t="str">
        <f>VLOOKUP(LISTADO_PRODUCTOS_LISTBOX[Código],LISTADO_PRODUCTOS[#All],3)</f>
        <v>LIBRERÍA</v>
      </c>
      <c r="C147" s="6" t="str">
        <f>VLOOKUP(LISTADO_PRODUCTOS_LISTBOX[Código],LISTADO_PRODUCTOS[#All],4)</f>
        <v>Marcadores escolares Skycolor x 10</v>
      </c>
      <c r="D147" s="6" t="str">
        <f>VLOOKUP(LISTADO_PRODUCTOS_LISTBOX[Código],LISTADO_PRODUCTOS[#All],5)</f>
        <v>N/A</v>
      </c>
    </row>
    <row r="148" spans="1:4" ht="12" customHeight="1" x14ac:dyDescent="0.3">
      <c r="A148" s="4">
        <v>1180</v>
      </c>
      <c r="B148" s="6" t="str">
        <f>VLOOKUP(LISTADO_PRODUCTOS_LISTBOX[Código],LISTADO_PRODUCTOS[#All],3)</f>
        <v>LIBRERÍA</v>
      </c>
      <c r="C148" s="6" t="str">
        <f>VLOOKUP(LISTADO_PRODUCTOS_LISTBOX[Código],LISTADO_PRODUCTOS[#All],4)</f>
        <v>Marcadores Maped Long Life punta conica</v>
      </c>
      <c r="D148" s="6" t="str">
        <f>VLOOKUP(LISTADO_PRODUCTOS_LISTBOX[Código],LISTADO_PRODUCTOS[#All],5)</f>
        <v>N/A</v>
      </c>
    </row>
    <row r="149" spans="1:4" ht="12" customHeight="1" x14ac:dyDescent="0.3">
      <c r="A149" s="4">
        <v>1181</v>
      </c>
      <c r="B149" s="6" t="str">
        <f>VLOOKUP(LISTADO_PRODUCTOS_LISTBOX[Código],LISTADO_PRODUCTOS[#All],3)</f>
        <v>LIBRERÍA</v>
      </c>
      <c r="C149" s="6" t="str">
        <f>VLOOKUP(LISTADO_PRODUCTOS_LISTBOX[Código],LISTADO_PRODUCTOS[#All],4)</f>
        <v>Cuaderno America T/Flex 48h</v>
      </c>
      <c r="D149" s="6" t="str">
        <f>VLOOKUP(LISTADO_PRODUCTOS_LISTBOX[Código],LISTADO_PRODUCTOS[#All],5)</f>
        <v>N/A</v>
      </c>
    </row>
    <row r="150" spans="1:4" ht="12" customHeight="1" x14ac:dyDescent="0.3">
      <c r="A150" s="4">
        <v>1183</v>
      </c>
      <c r="B150" s="6" t="str">
        <f>VLOOKUP(LISTADO_PRODUCTOS_LISTBOX[Código],LISTADO_PRODUCTOS[#All],3)</f>
        <v>LIBRERÍA</v>
      </c>
      <c r="C150" s="6" t="str">
        <f>VLOOKUP(LISTADO_PRODUCTOS_LISTBOX[Código],LISTADO_PRODUCTOS[#All],4)</f>
        <v>Marcadores Deli Sketch triangular Doble punta Box x 12u</v>
      </c>
      <c r="D150" s="6" t="str">
        <f>VLOOKUP(LISTADO_PRODUCTOS_LISTBOX[Código],LISTADO_PRODUCTOS[#All],5)</f>
        <v>N/A</v>
      </c>
    </row>
    <row r="151" spans="1:4" ht="12" customHeight="1" x14ac:dyDescent="0.3">
      <c r="A151" s="4">
        <v>1186</v>
      </c>
      <c r="B151" s="6" t="str">
        <f>VLOOKUP(LISTADO_PRODUCTOS_LISTBOX[Código],LISTADO_PRODUCTOS[#All],3)</f>
        <v>LIBRERÍA</v>
      </c>
      <c r="C151" s="6" t="str">
        <f>VLOOKUP(LISTADO_PRODUCTOS_LISTBOX[Código],LISTADO_PRODUCTOS[#All],4)</f>
        <v>Marcador Trabí Art Brush Pastel x 6u</v>
      </c>
      <c r="D151" s="6" t="str">
        <f>VLOOKUP(LISTADO_PRODUCTOS_LISTBOX[Código],LISTADO_PRODUCTOS[#All],5)</f>
        <v>N/A</v>
      </c>
    </row>
    <row r="152" spans="1:4" ht="12" customHeight="1" x14ac:dyDescent="0.3">
      <c r="A152" s="4">
        <v>1187</v>
      </c>
      <c r="B152" s="6" t="str">
        <f>VLOOKUP(LISTADO_PRODUCTOS_LISTBOX[Código],LISTADO_PRODUCTOS[#All],3)</f>
        <v>LIBRERÍA</v>
      </c>
      <c r="C152" s="6" t="str">
        <f>VLOOKUP(LISTADO_PRODUCTOS_LISTBOX[Código],LISTADO_PRODUCTOS[#All],4)</f>
        <v>Tijera Maped Advanced 21cm Asim Try Me</v>
      </c>
      <c r="D152" s="6" t="str">
        <f>VLOOKUP(LISTADO_PRODUCTOS_LISTBOX[Código],LISTADO_PRODUCTOS[#All],5)</f>
        <v>N/A</v>
      </c>
    </row>
    <row r="153" spans="1:4" ht="12" customHeight="1" x14ac:dyDescent="0.3">
      <c r="A153" s="4">
        <v>1188</v>
      </c>
      <c r="B153" s="6" t="str">
        <f>VLOOKUP(LISTADO_PRODUCTOS_LISTBOX[Código],LISTADO_PRODUCTOS[#All],3)</f>
        <v>LIBRERÍA</v>
      </c>
      <c r="C153" s="6" t="str">
        <f>VLOOKUP(LISTADO_PRODUCTOS_LISTBOX[Código],LISTADO_PRODUCTOS[#All],4)</f>
        <v>Portaminas Micro Executive 0,7</v>
      </c>
      <c r="D153" s="6" t="str">
        <f>VLOOKUP(LISTADO_PRODUCTOS_LISTBOX[Código],LISTADO_PRODUCTOS[#All],5)</f>
        <v>N/A</v>
      </c>
    </row>
    <row r="154" spans="1:4" ht="12" customHeight="1" x14ac:dyDescent="0.3">
      <c r="A154" s="4">
        <v>1189</v>
      </c>
      <c r="B154" s="6" t="str">
        <f>VLOOKUP(LISTADO_PRODUCTOS_LISTBOX[Código],LISTADO_PRODUCTOS[#All],3)</f>
        <v>LIBRERÍA</v>
      </c>
      <c r="C154" s="6" t="str">
        <f>VLOOKUP(LISTADO_PRODUCTOS_LISTBOX[Código],LISTADO_PRODUCTOS[#All],4)</f>
        <v>Adhesivo Sintetico Pizzini x 30ml</v>
      </c>
      <c r="D154" s="6" t="str">
        <f>VLOOKUP(LISTADO_PRODUCTOS_LISTBOX[Código],LISTADO_PRODUCTOS[#All],5)</f>
        <v>N/A</v>
      </c>
    </row>
    <row r="155" spans="1:4" ht="12" customHeight="1" x14ac:dyDescent="0.3">
      <c r="A155" s="4">
        <v>1190</v>
      </c>
      <c r="B155" s="6" t="str">
        <f>VLOOKUP(LISTADO_PRODUCTOS_LISTBOX[Código],LISTADO_PRODUCTOS[#All],3)</f>
        <v>LIBRERÍA</v>
      </c>
      <c r="C155" s="6" t="str">
        <f>VLOOKUP(LISTADO_PRODUCTOS_LISTBOX[Código],LISTADO_PRODUCTOS[#All],4)</f>
        <v>Adhesivo Sintetico Voligoma x 30ml</v>
      </c>
      <c r="D155" s="6" t="str">
        <f>VLOOKUP(LISTADO_PRODUCTOS_LISTBOX[Código],LISTADO_PRODUCTOS[#All],5)</f>
        <v>N/A</v>
      </c>
    </row>
    <row r="156" spans="1:4" ht="12" customHeight="1" x14ac:dyDescent="0.3">
      <c r="A156" s="4">
        <v>1191</v>
      </c>
      <c r="B156" s="6" t="str">
        <f>VLOOKUP(LISTADO_PRODUCTOS_LISTBOX[Código],LISTADO_PRODUCTOS[#All],3)</f>
        <v>LIBRERÍA</v>
      </c>
      <c r="C156" s="6" t="str">
        <f>VLOOKUP(LISTADO_PRODUCTOS_LISTBOX[Código],LISTADO_PRODUCTOS[#All],4)</f>
        <v>Adhesivo Sintetico Voligoma x 50ml</v>
      </c>
      <c r="D156" s="6" t="str">
        <f>VLOOKUP(LISTADO_PRODUCTOS_LISTBOX[Código],LISTADO_PRODUCTOS[#All],5)</f>
        <v>N/A</v>
      </c>
    </row>
    <row r="157" spans="1:4" ht="12" customHeight="1" x14ac:dyDescent="0.3">
      <c r="A157" s="4">
        <v>1192</v>
      </c>
      <c r="B157" s="6" t="str">
        <f>VLOOKUP(LISTADO_PRODUCTOS_LISTBOX[Código],LISTADO_PRODUCTOS[#All],3)</f>
        <v>LIBRERÍA</v>
      </c>
      <c r="C157" s="6" t="str">
        <f>VLOOKUP(LISTADO_PRODUCTOS_LISTBOX[Código],LISTADO_PRODUCTOS[#All],4)</f>
        <v>Silicona liquida Pritt 105gr</v>
      </c>
      <c r="D157" s="6" t="str">
        <f>VLOOKUP(LISTADO_PRODUCTOS_LISTBOX[Código],LISTADO_PRODUCTOS[#All],5)</f>
        <v>N/A</v>
      </c>
    </row>
    <row r="158" spans="1:4" ht="12" customHeight="1" x14ac:dyDescent="0.3">
      <c r="A158" s="4">
        <v>1194</v>
      </c>
      <c r="B158" s="6" t="str">
        <f>VLOOKUP(LISTADO_PRODUCTOS_LISTBOX[Código],LISTADO_PRODUCTOS[#All],3)</f>
        <v>LIBRERÍA</v>
      </c>
      <c r="C158" s="6" t="str">
        <f>VLOOKUP(LISTADO_PRODUCTOS_LISTBOX[Código],LISTADO_PRODUCTOS[#All],4)</f>
        <v>Adhesivo vinilico Señorita x 1Kg</v>
      </c>
      <c r="D158" s="6" t="str">
        <f>VLOOKUP(LISTADO_PRODUCTOS_LISTBOX[Código],LISTADO_PRODUCTOS[#All],5)</f>
        <v>N/A</v>
      </c>
    </row>
    <row r="159" spans="1:4" ht="12" customHeight="1" x14ac:dyDescent="0.3">
      <c r="A159" s="4">
        <v>1195</v>
      </c>
      <c r="B159" s="6" t="str">
        <f>VLOOKUP(LISTADO_PRODUCTOS_LISTBOX[Código],LISTADO_PRODUCTOS[#All],3)</f>
        <v>LIBRERÍA</v>
      </c>
      <c r="C159" s="6" t="str">
        <f>VLOOKUP(LISTADO_PRODUCTOS_LISTBOX[Código],LISTADO_PRODUCTOS[#All],4)</f>
        <v>Adhesivo vinilico Señorita/Maped x 500gr</v>
      </c>
      <c r="D159" s="6" t="str">
        <f>VLOOKUP(LISTADO_PRODUCTOS_LISTBOX[Código],LISTADO_PRODUCTOS[#All],5)</f>
        <v>N/A</v>
      </c>
    </row>
    <row r="160" spans="1:4" ht="12" customHeight="1" x14ac:dyDescent="0.3">
      <c r="A160" s="4">
        <v>1196</v>
      </c>
      <c r="B160" s="6" t="str">
        <f>VLOOKUP(LISTADO_PRODUCTOS_LISTBOX[Código],LISTADO_PRODUCTOS[#All],3)</f>
        <v>LIBRERÍA</v>
      </c>
      <c r="C160" s="6" t="str">
        <f>VLOOKUP(LISTADO_PRODUCTOS_LISTBOX[Código],LISTADO_PRODUCTOS[#All],4)</f>
        <v>Adhesivo vinilico Señorita/Maped x 250gr</v>
      </c>
      <c r="D160" s="6" t="str">
        <f>VLOOKUP(LISTADO_PRODUCTOS_LISTBOX[Código],LISTADO_PRODUCTOS[#All],5)</f>
        <v>N/A</v>
      </c>
    </row>
    <row r="161" spans="1:4" ht="12" customHeight="1" x14ac:dyDescent="0.3">
      <c r="A161" s="4">
        <v>1197</v>
      </c>
      <c r="B161" s="6" t="str">
        <f>VLOOKUP(LISTADO_PRODUCTOS_LISTBOX[Código],LISTADO_PRODUCTOS[#All],3)</f>
        <v>LIBRERÍA</v>
      </c>
      <c r="C161" s="6" t="str">
        <f>VLOOKUP(LISTADO_PRODUCTOS_LISTBOX[Código],LISTADO_PRODUCTOS[#All],4)</f>
        <v>Adhesivo vinilico Señorita/Maped x 100gr/125gr</v>
      </c>
      <c r="D161" s="6" t="str">
        <f>VLOOKUP(LISTADO_PRODUCTOS_LISTBOX[Código],LISTADO_PRODUCTOS[#All],5)</f>
        <v>N/A</v>
      </c>
    </row>
    <row r="162" spans="1:4" ht="12" customHeight="1" x14ac:dyDescent="0.3">
      <c r="A162" s="4">
        <v>1199</v>
      </c>
      <c r="B162" s="6" t="str">
        <f>VLOOKUP(LISTADO_PRODUCTOS_LISTBOX[Código],LISTADO_PRODUCTOS[#All],3)</f>
        <v>LIBRERÍA</v>
      </c>
      <c r="C162" s="6" t="str">
        <f>VLOOKUP(LISTADO_PRODUCTOS_LISTBOX[Código],LISTADO_PRODUCTOS[#All],4)</f>
        <v>Goma de borrar Maped Technic</v>
      </c>
      <c r="D162" s="6" t="str">
        <f>VLOOKUP(LISTADO_PRODUCTOS_LISTBOX[Código],LISTADO_PRODUCTOS[#All],5)</f>
        <v>N/A</v>
      </c>
    </row>
    <row r="163" spans="1:4" ht="12" customHeight="1" x14ac:dyDescent="0.3">
      <c r="A163" s="4">
        <v>1205</v>
      </c>
      <c r="B163" s="6" t="str">
        <f>VLOOKUP(LISTADO_PRODUCTOS_LISTBOX[Código],LISTADO_PRODUCTOS[#All],3)</f>
        <v>LIBRERÍA</v>
      </c>
      <c r="C163" s="6" t="str">
        <f>VLOOKUP(LISTADO_PRODUCTOS_LISTBOX[Código],LISTADO_PRODUCTOS[#All],4)</f>
        <v xml:space="preserve">Papel Glace Lustre </v>
      </c>
      <c r="D163" s="6" t="str">
        <f>VLOOKUP(LISTADO_PRODUCTOS_LISTBOX[Código],LISTADO_PRODUCTOS[#All],5)</f>
        <v>N/A</v>
      </c>
    </row>
    <row r="164" spans="1:4" ht="12" customHeight="1" x14ac:dyDescent="0.3">
      <c r="A164" s="4">
        <v>1206</v>
      </c>
      <c r="B164" s="6" t="str">
        <f>VLOOKUP(LISTADO_PRODUCTOS_LISTBOX[Código],LISTADO_PRODUCTOS[#All],3)</f>
        <v>LIBRERÍA</v>
      </c>
      <c r="C164" s="6" t="str">
        <f>VLOOKUP(LISTADO_PRODUCTOS_LISTBOX[Código],LISTADO_PRODUCTOS[#All],4)</f>
        <v xml:space="preserve">Papel Glace Fluo - </v>
      </c>
      <c r="D164" s="6" t="str">
        <f>VLOOKUP(LISTADO_PRODUCTOS_LISTBOX[Código],LISTADO_PRODUCTOS[#All],5)</f>
        <v>N/A</v>
      </c>
    </row>
    <row r="165" spans="1:4" ht="12" customHeight="1" x14ac:dyDescent="0.3">
      <c r="A165" s="4">
        <v>1207</v>
      </c>
      <c r="B165" s="6" t="str">
        <f>VLOOKUP(LISTADO_PRODUCTOS_LISTBOX[Código],LISTADO_PRODUCTOS[#All],3)</f>
        <v>LIBRERÍA</v>
      </c>
      <c r="C165" s="6" t="str">
        <f>VLOOKUP(LISTADO_PRODUCTOS_LISTBOX[Código],LISTADO_PRODUCTOS[#All],4)</f>
        <v>Papel Glace metalizado -</v>
      </c>
      <c r="D165" s="6" t="str">
        <f>VLOOKUP(LISTADO_PRODUCTOS_LISTBOX[Código],LISTADO_PRODUCTOS[#All],5)</f>
        <v>N/A</v>
      </c>
    </row>
    <row r="166" spans="1:4" ht="12" customHeight="1" x14ac:dyDescent="0.3">
      <c r="A166" s="4">
        <v>1208</v>
      </c>
      <c r="B166" s="6" t="str">
        <f>VLOOKUP(LISTADO_PRODUCTOS_LISTBOX[Código],LISTADO_PRODUCTOS[#All],3)</f>
        <v>LIBRERÍA</v>
      </c>
      <c r="C166" s="6" t="str">
        <f>VLOOKUP(LISTADO_PRODUCTOS_LISTBOX[Código],LISTADO_PRODUCTOS[#All],4)</f>
        <v>Sacapuntas Maped Vivo</v>
      </c>
      <c r="D166" s="6" t="str">
        <f>VLOOKUP(LISTADO_PRODUCTOS_LISTBOX[Código],LISTADO_PRODUCTOS[#All],5)</f>
        <v>N/A</v>
      </c>
    </row>
    <row r="167" spans="1:4" ht="12" customHeight="1" x14ac:dyDescent="0.3">
      <c r="A167" s="4">
        <v>1209</v>
      </c>
      <c r="B167" s="6" t="str">
        <f>VLOOKUP(LISTADO_PRODUCTOS_LISTBOX[Código],LISTADO_PRODUCTOS[#All],3)</f>
        <v>LIBRERÍA</v>
      </c>
      <c r="C167" s="6" t="str">
        <f>VLOOKUP(LISTADO_PRODUCTOS_LISTBOX[Código],LISTADO_PRODUCTOS[#All],4)</f>
        <v>Sacapuntas Maped monstruito</v>
      </c>
      <c r="D167" s="6" t="str">
        <f>VLOOKUP(LISTADO_PRODUCTOS_LISTBOX[Código],LISTADO_PRODUCTOS[#All],5)</f>
        <v>N/A</v>
      </c>
    </row>
    <row r="168" spans="1:4" ht="12" customHeight="1" x14ac:dyDescent="0.3">
      <c r="A168" s="4">
        <v>1210</v>
      </c>
      <c r="B168" s="6" t="str">
        <f>VLOOKUP(LISTADO_PRODUCTOS_LISTBOX[Código],LISTADO_PRODUCTOS[#All],3)</f>
        <v>LIBRERÍA</v>
      </c>
      <c r="C168" s="6" t="str">
        <f>VLOOKUP(LISTADO_PRODUCTOS_LISTBOX[Código],LISTADO_PRODUCTOS[#All],4)</f>
        <v>Sacapuntas Metal</v>
      </c>
      <c r="D168" s="6" t="str">
        <f>VLOOKUP(LISTADO_PRODUCTOS_LISTBOX[Código],LISTADO_PRODUCTOS[#All],5)</f>
        <v>N/A</v>
      </c>
    </row>
    <row r="169" spans="1:4" ht="12" customHeight="1" x14ac:dyDescent="0.3">
      <c r="A169" s="4">
        <v>1211</v>
      </c>
      <c r="B169" s="6" t="str">
        <f>VLOOKUP(LISTADO_PRODUCTOS_LISTBOX[Código],LISTADO_PRODUCTOS[#All],3)</f>
        <v>LIBRERÍA</v>
      </c>
      <c r="C169" s="6" t="str">
        <f>VLOOKUP(LISTADO_PRODUCTOS_LISTBOX[Código],LISTADO_PRODUCTOS[#All],4)</f>
        <v>Lapiz Negro Filgo Pinto</v>
      </c>
      <c r="D169" s="6" t="str">
        <f>VLOOKUP(LISTADO_PRODUCTOS_LISTBOX[Código],LISTADO_PRODUCTOS[#All],5)</f>
        <v>N/A</v>
      </c>
    </row>
    <row r="170" spans="1:4" ht="12" customHeight="1" x14ac:dyDescent="0.3">
      <c r="A170" s="4">
        <v>1212</v>
      </c>
      <c r="B170" s="6" t="str">
        <f>VLOOKUP(LISTADO_PRODUCTOS_LISTBOX[Código],LISTADO_PRODUCTOS[#All],3)</f>
        <v>LIBRERÍA</v>
      </c>
      <c r="C170" s="6" t="str">
        <f>VLOOKUP(LISTADO_PRODUCTOS_LISTBOX[Código],LISTADO_PRODUCTOS[#All],4)</f>
        <v>Lapiz Negro Bic Evolution</v>
      </c>
      <c r="D170" s="6" t="str">
        <f>VLOOKUP(LISTADO_PRODUCTOS_LISTBOX[Código],LISTADO_PRODUCTOS[#All],5)</f>
        <v>N/A</v>
      </c>
    </row>
    <row r="171" spans="1:4" ht="12" customHeight="1" x14ac:dyDescent="0.3">
      <c r="A171" s="4">
        <v>1213</v>
      </c>
      <c r="B171" s="6" t="str">
        <f>VLOOKUP(LISTADO_PRODUCTOS_LISTBOX[Código],LISTADO_PRODUCTOS[#All],3)</f>
        <v>LIBRERÍA</v>
      </c>
      <c r="C171" s="6" t="str">
        <f>VLOOKUP(LISTADO_PRODUCTOS_LISTBOX[Código],LISTADO_PRODUCTOS[#All],4)</f>
        <v xml:space="preserve">Lapiz Negro Skycolor </v>
      </c>
      <c r="D171" s="6" t="str">
        <f>VLOOKUP(LISTADO_PRODUCTOS_LISTBOX[Código],LISTADO_PRODUCTOS[#All],5)</f>
        <v>N/A</v>
      </c>
    </row>
    <row r="172" spans="1:4" ht="12" customHeight="1" x14ac:dyDescent="0.3">
      <c r="A172" s="4">
        <v>1215</v>
      </c>
      <c r="B172" s="6" t="str">
        <f>VLOOKUP(LISTADO_PRODUCTOS_LISTBOX[Código],LISTADO_PRODUCTOS[#All],3)</f>
        <v>LIBRERÍA</v>
      </c>
      <c r="C172" s="6" t="str">
        <f>VLOOKUP(LISTADO_PRODUCTOS_LISTBOX[Código],LISTADO_PRODUCTOS[#All],4)</f>
        <v>Regla Pizzini 20cm Art. 1702 - 170268</v>
      </c>
      <c r="D172" s="6" t="str">
        <f>VLOOKUP(LISTADO_PRODUCTOS_LISTBOX[Código],LISTADO_PRODUCTOS[#All],5)</f>
        <v>N/A</v>
      </c>
    </row>
    <row r="173" spans="1:4" ht="12" customHeight="1" x14ac:dyDescent="0.3">
      <c r="A173" s="4">
        <v>1216</v>
      </c>
      <c r="B173" s="6" t="str">
        <f>VLOOKUP(LISTADO_PRODUCTOS_LISTBOX[Código],LISTADO_PRODUCTOS[#All],3)</f>
        <v>LIBRERÍA</v>
      </c>
      <c r="C173" s="6" t="str">
        <f>VLOOKUP(LISTADO_PRODUCTOS_LISTBOX[Código],LISTADO_PRODUCTOS[#All],4)</f>
        <v>Regla Pizzini 30cm Art. 170230 - 7793198170275</v>
      </c>
      <c r="D173" s="6" t="str">
        <f>VLOOKUP(LISTADO_PRODUCTOS_LISTBOX[Código],LISTADO_PRODUCTOS[#All],5)</f>
        <v>N/A</v>
      </c>
    </row>
    <row r="174" spans="1:4" ht="12" customHeight="1" x14ac:dyDescent="0.3">
      <c r="A174" s="4">
        <v>1219</v>
      </c>
      <c r="B174" s="6" t="str">
        <f>VLOOKUP(LISTADO_PRODUCTOS_LISTBOX[Código],LISTADO_PRODUCTOS[#All],3)</f>
        <v>LIBRERÍA</v>
      </c>
      <c r="C174" s="6" t="str">
        <f>VLOOKUP(LISTADO_PRODUCTOS_LISTBOX[Código],LISTADO_PRODUCTOS[#All],4)</f>
        <v>Set de Geometria Pizzini Mi mundo Pastel</v>
      </c>
      <c r="D174" s="6" t="str">
        <f>VLOOKUP(LISTADO_PRODUCTOS_LISTBOX[Código],LISTADO_PRODUCTOS[#All],5)</f>
        <v>N/A</v>
      </c>
    </row>
    <row r="175" spans="1:4" ht="12" customHeight="1" x14ac:dyDescent="0.3">
      <c r="A175" s="4">
        <v>1223</v>
      </c>
      <c r="B175" s="6" t="str">
        <f>VLOOKUP(LISTADO_PRODUCTOS_LISTBOX[Código],LISTADO_PRODUCTOS[#All],3)</f>
        <v>LIBRERÍA</v>
      </c>
      <c r="C175" s="6" t="str">
        <f>VLOOKUP(LISTADO_PRODUCTOS_LISTBOX[Código],LISTADO_PRODUCTOS[#All],4)</f>
        <v>Regla Flexible x20cm Keyroad/util uno</v>
      </c>
      <c r="D175" s="6" t="str">
        <f>VLOOKUP(LISTADO_PRODUCTOS_LISTBOX[Código],LISTADO_PRODUCTOS[#All],5)</f>
        <v>N/A</v>
      </c>
    </row>
    <row r="176" spans="1:4" ht="12" customHeight="1" x14ac:dyDescent="0.3">
      <c r="A176" s="4">
        <v>1224</v>
      </c>
      <c r="B176" s="6" t="str">
        <f>VLOOKUP(LISTADO_PRODUCTOS_LISTBOX[Código],LISTADO_PRODUCTOS[#All],3)</f>
        <v>LIBRERÍA</v>
      </c>
      <c r="C176" s="6" t="str">
        <f>VLOOKUP(LISTADO_PRODUCTOS_LISTBOX[Código],LISTADO_PRODUCTOS[#All],4)</f>
        <v>Regla de aluminio con porta lapiz Keyroad 20cm</v>
      </c>
      <c r="D176" s="6" t="str">
        <f>VLOOKUP(LISTADO_PRODUCTOS_LISTBOX[Código],LISTADO_PRODUCTOS[#All],5)</f>
        <v>N/A</v>
      </c>
    </row>
    <row r="177" spans="1:4" ht="12" customHeight="1" x14ac:dyDescent="0.3">
      <c r="A177" s="4">
        <v>1227</v>
      </c>
      <c r="B177" s="6" t="str">
        <f>VLOOKUP(LISTADO_PRODUCTOS_LISTBOX[Código],LISTADO_PRODUCTOS[#All],3)</f>
        <v>LIBRERÍA</v>
      </c>
      <c r="C177" s="6" t="str">
        <f>VLOOKUP(LISTADO_PRODUCTOS_LISTBOX[Código],LISTADO_PRODUCTOS[#All],4)</f>
        <v>Escuadra 45º Pizzini 20cm</v>
      </c>
      <c r="D177" s="6" t="str">
        <f>VLOOKUP(LISTADO_PRODUCTOS_LISTBOX[Código],LISTADO_PRODUCTOS[#All],5)</f>
        <v>N/A</v>
      </c>
    </row>
    <row r="178" spans="1:4" ht="12" customHeight="1" x14ac:dyDescent="0.3">
      <c r="A178" s="4">
        <v>1228</v>
      </c>
      <c r="B178" s="6" t="str">
        <f>VLOOKUP(LISTADO_PRODUCTOS_LISTBOX[Código],LISTADO_PRODUCTOS[#All],3)</f>
        <v>LIBRERÍA</v>
      </c>
      <c r="C178" s="6" t="str">
        <f>VLOOKUP(LISTADO_PRODUCTOS_LISTBOX[Código],LISTADO_PRODUCTOS[#All],4)</f>
        <v>Escuadra 30º Pizzini 20cm</v>
      </c>
      <c r="D178" s="6" t="str">
        <f>VLOOKUP(LISTADO_PRODUCTOS_LISTBOX[Código],LISTADO_PRODUCTOS[#All],5)</f>
        <v>N/A</v>
      </c>
    </row>
    <row r="179" spans="1:4" ht="12" customHeight="1" x14ac:dyDescent="0.3">
      <c r="A179" s="4">
        <v>1430</v>
      </c>
      <c r="B179" s="6" t="str">
        <f>VLOOKUP(LISTADO_PRODUCTOS_LISTBOX[Código],LISTADO_PRODUCTOS[#All],3)</f>
        <v>LIBRERÍA</v>
      </c>
      <c r="C179" s="6" t="str">
        <f>VLOOKUP(LISTADO_PRODUCTOS_LISTBOX[Código],LISTADO_PRODUCTOS[#All],4)</f>
        <v>Set de Resaltadores NUWA x5u en dispenser</v>
      </c>
      <c r="D179" s="6" t="str">
        <f>VLOOKUP(LISTADO_PRODUCTOS_LISTBOX[Código],LISTADO_PRODUCTOS[#All],5)</f>
        <v>N/A</v>
      </c>
    </row>
    <row r="180" spans="1:4" ht="12" customHeight="1" x14ac:dyDescent="0.3">
      <c r="A180" s="4">
        <v>1432</v>
      </c>
      <c r="B180" s="6" t="str">
        <f>VLOOKUP(LISTADO_PRODUCTOS_LISTBOX[Código],LISTADO_PRODUCTOS[#All],3)</f>
        <v>LIBRERÍA</v>
      </c>
      <c r="C180" s="6" t="str">
        <f>VLOOKUP(LISTADO_PRODUCTOS_LISTBOX[Código],LISTADO_PRODUCTOS[#All],4)</f>
        <v>Set de Resaltadores NUWA x5u en dispenser</v>
      </c>
      <c r="D180" s="6" t="str">
        <f>VLOOKUP(LISTADO_PRODUCTOS_LISTBOX[Código],LISTADO_PRODUCTOS[#All],5)</f>
        <v>N/A</v>
      </c>
    </row>
    <row r="181" spans="1:4" ht="12" customHeight="1" x14ac:dyDescent="0.3">
      <c r="A181" s="4">
        <v>1230</v>
      </c>
      <c r="B181" s="6" t="str">
        <f>VLOOKUP(LISTADO_PRODUCTOS_LISTBOX[Código],LISTADO_PRODUCTOS[#All],3)</f>
        <v>LIBRERÍA</v>
      </c>
      <c r="C181" s="6" t="str">
        <f>VLOOKUP(LISTADO_PRODUCTOS_LISTBOX[Código],LISTADO_PRODUCTOS[#All],4)</f>
        <v>Escuadra 30º Pizzini 20cm</v>
      </c>
      <c r="D181" s="6" t="str">
        <f>VLOOKUP(LISTADO_PRODUCTOS_LISTBOX[Código],LISTADO_PRODUCTOS[#All],5)</f>
        <v>N/A</v>
      </c>
    </row>
    <row r="182" spans="1:4" ht="12" customHeight="1" x14ac:dyDescent="0.3">
      <c r="A182" s="4">
        <v>1231</v>
      </c>
      <c r="B182" s="6" t="str">
        <f>VLOOKUP(LISTADO_PRODUCTOS_LISTBOX[Código],LISTADO_PRODUCTOS[#All],3)</f>
        <v>LIBRERÍA</v>
      </c>
      <c r="C182" s="6" t="str">
        <f>VLOOKUP(LISTADO_PRODUCTOS_LISTBOX[Código],LISTADO_PRODUCTOS[#All],4)</f>
        <v>Escuadra 30º Pizzini 20cm</v>
      </c>
      <c r="D182" s="6" t="str">
        <f>VLOOKUP(LISTADO_PRODUCTOS_LISTBOX[Código],LISTADO_PRODUCTOS[#All],5)</f>
        <v>N/A</v>
      </c>
    </row>
    <row r="183" spans="1:4" ht="12" customHeight="1" x14ac:dyDescent="0.3">
      <c r="A183" s="4">
        <v>1232</v>
      </c>
      <c r="B183" s="6" t="str">
        <f>VLOOKUP(LISTADO_PRODUCTOS_LISTBOX[Código],LISTADO_PRODUCTOS[#All],3)</f>
        <v>LIBRERÍA</v>
      </c>
      <c r="C183" s="6" t="str">
        <f>VLOOKUP(LISTADO_PRODUCTOS_LISTBOX[Código],LISTADO_PRODUCTOS[#All],4)</f>
        <v>Escuadra 30º Pizzini 20cm</v>
      </c>
      <c r="D183" s="6" t="str">
        <f>VLOOKUP(LISTADO_PRODUCTOS_LISTBOX[Código],LISTADO_PRODUCTOS[#All],5)</f>
        <v>N/A</v>
      </c>
    </row>
    <row r="184" spans="1:4" ht="12" customHeight="1" x14ac:dyDescent="0.3">
      <c r="A184" s="4">
        <v>1233</v>
      </c>
      <c r="B184" s="6" t="str">
        <f>VLOOKUP(LISTADO_PRODUCTOS_LISTBOX[Código],LISTADO_PRODUCTOS[#All],3)</f>
        <v>LIBRERÍA</v>
      </c>
      <c r="C184" s="6" t="str">
        <f>VLOOKUP(LISTADO_PRODUCTOS_LISTBOX[Código],LISTADO_PRODUCTOS[#All],4)</f>
        <v>Escuadra 30º Pizzini 20cm</v>
      </c>
      <c r="D184" s="6" t="str">
        <f>VLOOKUP(LISTADO_PRODUCTOS_LISTBOX[Código],LISTADO_PRODUCTOS[#All],5)</f>
        <v>N/A</v>
      </c>
    </row>
    <row r="185" spans="1:4" ht="12" customHeight="1" x14ac:dyDescent="0.3">
      <c r="A185" s="4">
        <v>1234</v>
      </c>
      <c r="B185" s="6" t="str">
        <f>VLOOKUP(LISTADO_PRODUCTOS_LISTBOX[Código],LISTADO_PRODUCTOS[#All],3)</f>
        <v>LIBRERÍA</v>
      </c>
      <c r="C185" s="6" t="str">
        <f>VLOOKUP(LISTADO_PRODUCTOS_LISTBOX[Código],LISTADO_PRODUCTOS[#All],4)</f>
        <v>Escuadra 30º Pizzini 20cm</v>
      </c>
      <c r="D185" s="6" t="str">
        <f>VLOOKUP(LISTADO_PRODUCTOS_LISTBOX[Código],LISTADO_PRODUCTOS[#All],5)</f>
        <v>N/A</v>
      </c>
    </row>
    <row r="186" spans="1:4" ht="12" customHeight="1" x14ac:dyDescent="0.3">
      <c r="A186" s="4">
        <v>1236</v>
      </c>
      <c r="B186" s="6" t="str">
        <f>VLOOKUP(LISTADO_PRODUCTOS_LISTBOX[Código],LISTADO_PRODUCTOS[#All],3)</f>
        <v>LIBRERÍA</v>
      </c>
      <c r="C186" s="6" t="str">
        <f>VLOOKUP(LISTADO_PRODUCTOS_LISTBOX[Código],LISTADO_PRODUCTOS[#All],4)</f>
        <v>Escuadra 30º Pizzini 20cm</v>
      </c>
      <c r="D186" s="6" t="str">
        <f>VLOOKUP(LISTADO_PRODUCTOS_LISTBOX[Código],LISTADO_PRODUCTOS[#All],5)</f>
        <v>N/A</v>
      </c>
    </row>
    <row r="187" spans="1:4" ht="12" customHeight="1" x14ac:dyDescent="0.3">
      <c r="A187" s="4">
        <v>1237</v>
      </c>
      <c r="B187" s="6" t="str">
        <f>VLOOKUP(LISTADO_PRODUCTOS_LISTBOX[Código],LISTADO_PRODUCTOS[#All],3)</f>
        <v>LIBRERÍA</v>
      </c>
      <c r="C187" s="6" t="str">
        <f>VLOOKUP(LISTADO_PRODUCTOS_LISTBOX[Código],LISTADO_PRODUCTOS[#All],4)</f>
        <v>Escuadra 30º Pizzini 20cm</v>
      </c>
      <c r="D187" s="6" t="str">
        <f>VLOOKUP(LISTADO_PRODUCTOS_LISTBOX[Código],LISTADO_PRODUCTOS[#All],5)</f>
        <v>N/A</v>
      </c>
    </row>
    <row r="188" spans="1:4" ht="12" customHeight="1" x14ac:dyDescent="0.3">
      <c r="A188" s="4">
        <v>1238</v>
      </c>
      <c r="B188" s="6" t="str">
        <f>VLOOKUP(LISTADO_PRODUCTOS_LISTBOX[Código],LISTADO_PRODUCTOS[#All],3)</f>
        <v>LIBRERÍA</v>
      </c>
      <c r="C188" s="6" t="str">
        <f>VLOOKUP(LISTADO_PRODUCTOS_LISTBOX[Código],LISTADO_PRODUCTOS[#All],4)</f>
        <v>Escuadra 30º Pizzini 20cm</v>
      </c>
      <c r="D188" s="6" t="str">
        <f>VLOOKUP(LISTADO_PRODUCTOS_LISTBOX[Código],LISTADO_PRODUCTOS[#All],5)</f>
        <v>N/A</v>
      </c>
    </row>
    <row r="189" spans="1:4" ht="12" customHeight="1" x14ac:dyDescent="0.3">
      <c r="A189" s="4">
        <v>1239</v>
      </c>
      <c r="B189" s="6" t="str">
        <f>VLOOKUP(LISTADO_PRODUCTOS_LISTBOX[Código],LISTADO_PRODUCTOS[#All],3)</f>
        <v>LIBRERÍA</v>
      </c>
      <c r="C189" s="6" t="str">
        <f>VLOOKUP(LISTADO_PRODUCTOS_LISTBOX[Código],LISTADO_PRODUCTOS[#All],4)</f>
        <v>Escuadra 30º Pizzini 20cm</v>
      </c>
      <c r="D189" s="6" t="str">
        <f>VLOOKUP(LISTADO_PRODUCTOS_LISTBOX[Código],LISTADO_PRODUCTOS[#All],5)</f>
        <v>N/A</v>
      </c>
    </row>
    <row r="190" spans="1:4" ht="12" customHeight="1" x14ac:dyDescent="0.3">
      <c r="A190" s="4">
        <v>1241</v>
      </c>
      <c r="B190" s="6" t="str">
        <f>VLOOKUP(LISTADO_PRODUCTOS_LISTBOX[Código],LISTADO_PRODUCTOS[#All],3)</f>
        <v>LIBRERÍA</v>
      </c>
      <c r="C190" s="6" t="str">
        <f>VLOOKUP(LISTADO_PRODUCTOS_LISTBOX[Código],LISTADO_PRODUCTOS[#All],4)</f>
        <v>Escuadra 30º Pizzini 20cm</v>
      </c>
      <c r="D190" s="6" t="str">
        <f>VLOOKUP(LISTADO_PRODUCTOS_LISTBOX[Código],LISTADO_PRODUCTOS[#All],5)</f>
        <v>N/A</v>
      </c>
    </row>
    <row r="191" spans="1:4" ht="12" customHeight="1" x14ac:dyDescent="0.3">
      <c r="A191" s="4">
        <v>1245</v>
      </c>
      <c r="B191" s="6" t="str">
        <f>VLOOKUP(LISTADO_PRODUCTOS_LISTBOX[Código],LISTADO_PRODUCTOS[#All],3)</f>
        <v>LIBRERÍA</v>
      </c>
      <c r="C191" s="6" t="str">
        <f>VLOOKUP(LISTADO_PRODUCTOS_LISTBOX[Código],LISTADO_PRODUCTOS[#All],4)</f>
        <v>Escuadra 30º Pizzini 20cm</v>
      </c>
      <c r="D191" s="6" t="str">
        <f>VLOOKUP(LISTADO_PRODUCTOS_LISTBOX[Código],LISTADO_PRODUCTOS[#All],5)</f>
        <v>N/A</v>
      </c>
    </row>
    <row r="192" spans="1:4" ht="12" customHeight="1" x14ac:dyDescent="0.3">
      <c r="A192" s="4">
        <v>1246</v>
      </c>
      <c r="B192" s="6" t="str">
        <f>VLOOKUP(LISTADO_PRODUCTOS_LISTBOX[Código],LISTADO_PRODUCTOS[#All],3)</f>
        <v>LIBRERÍA</v>
      </c>
      <c r="C192" s="6" t="str">
        <f>VLOOKUP(LISTADO_PRODUCTOS_LISTBOX[Código],LISTADO_PRODUCTOS[#All],4)</f>
        <v>Escarapela Tela</v>
      </c>
      <c r="D192" s="6" t="str">
        <f>VLOOKUP(LISTADO_PRODUCTOS_LISTBOX[Código],LISTADO_PRODUCTOS[#All],5)</f>
        <v>N/A</v>
      </c>
    </row>
    <row r="193" spans="1:4" ht="12" customHeight="1" x14ac:dyDescent="0.3">
      <c r="A193" s="4">
        <v>1300</v>
      </c>
      <c r="B193" s="6" t="str">
        <f>VLOOKUP(LISTADO_PRODUCTOS_LISTBOX[Código],LISTADO_PRODUCTOS[#All],3)</f>
        <v>LIBRERÍA</v>
      </c>
      <c r="C193" s="6" t="str">
        <f>VLOOKUP(LISTADO_PRODUCTOS_LISTBOX[Código],LISTADO_PRODUCTOS[#All],4)</f>
        <v>Goma Maped Technic Duo New Generation</v>
      </c>
      <c r="D193" s="6" t="str">
        <f>VLOOKUP(LISTADO_PRODUCTOS_LISTBOX[Código],LISTADO_PRODUCTOS[#All],5)</f>
        <v>N/A</v>
      </c>
    </row>
    <row r="194" spans="1:4" ht="12" customHeight="1" x14ac:dyDescent="0.3">
      <c r="A194" s="4">
        <v>1301</v>
      </c>
      <c r="B194" s="6" t="str">
        <f>VLOOKUP(LISTADO_PRODUCTOS_LISTBOX[Código],LISTADO_PRODUCTOS[#All],3)</f>
        <v>LIBRERÍA</v>
      </c>
      <c r="C194" s="6" t="str">
        <f>VLOOKUP(LISTADO_PRODUCTOS_LISTBOX[Código],LISTADO_PRODUCTOS[#All],4)</f>
        <v>Boligrafo Filgo Fastrack retractil</v>
      </c>
      <c r="D194" s="6" t="str">
        <f>VLOOKUP(LISTADO_PRODUCTOS_LISTBOX[Código],LISTADO_PRODUCTOS[#All],5)</f>
        <v>N/A</v>
      </c>
    </row>
    <row r="195" spans="1:4" ht="12" customHeight="1" x14ac:dyDescent="0.3">
      <c r="A195" s="4">
        <v>1302</v>
      </c>
      <c r="B195" s="6" t="str">
        <f>VLOOKUP(LISTADO_PRODUCTOS_LISTBOX[Código],LISTADO_PRODUCTOS[#All],3)</f>
        <v>LIBRERÍA</v>
      </c>
      <c r="C195" s="6" t="str">
        <f>VLOOKUP(LISTADO_PRODUCTOS_LISTBOX[Código],LISTADO_PRODUCTOS[#All],4)</f>
        <v>Tabla Periodica</v>
      </c>
      <c r="D195" s="6" t="str">
        <f>VLOOKUP(LISTADO_PRODUCTOS_LISTBOX[Código],LISTADO_PRODUCTOS[#All],5)</f>
        <v>N/A</v>
      </c>
    </row>
    <row r="196" spans="1:4" ht="12" customHeight="1" x14ac:dyDescent="0.3">
      <c r="A196" s="4">
        <v>1304</v>
      </c>
      <c r="B196" s="6" t="str">
        <f>VLOOKUP(LISTADO_PRODUCTOS_LISTBOX[Código],LISTADO_PRODUCTOS[#All],3)</f>
        <v>LIBRERÍA</v>
      </c>
      <c r="C196" s="6" t="str">
        <f>VLOOKUP(LISTADO_PRODUCTOS_LISTBOX[Código],LISTADO_PRODUCTOS[#All],4)</f>
        <v>Escarapelas varias tela</v>
      </c>
      <c r="D196" s="6" t="str">
        <f>VLOOKUP(LISTADO_PRODUCTOS_LISTBOX[Código],LISTADO_PRODUCTOS[#All],5)</f>
        <v>N/A</v>
      </c>
    </row>
    <row r="197" spans="1:4" ht="12" customHeight="1" x14ac:dyDescent="0.3">
      <c r="A197" s="4">
        <v>1305</v>
      </c>
      <c r="B197" s="6" t="str">
        <f>VLOOKUP(LISTADO_PRODUCTOS_LISTBOX[Código],LISTADO_PRODUCTOS[#All],3)</f>
        <v>LIBRERÍA</v>
      </c>
      <c r="C197" s="6" t="str">
        <f>VLOOKUP(LISTADO_PRODUCTOS_LISTBOX[Código],LISTADO_PRODUCTOS[#All],4)</f>
        <v>Lapiz Negro Trabí Neon por fuera y diseño C/Goma</v>
      </c>
      <c r="D197" s="6" t="str">
        <f>VLOOKUP(LISTADO_PRODUCTOS_LISTBOX[Código],LISTADO_PRODUCTOS[#All],5)</f>
        <v>N/A</v>
      </c>
    </row>
    <row r="198" spans="1:4" ht="12" customHeight="1" x14ac:dyDescent="0.3">
      <c r="A198" s="4">
        <v>1306</v>
      </c>
      <c r="B198" s="6" t="str">
        <f>VLOOKUP(LISTADO_PRODUCTOS_LISTBOX[Código],LISTADO_PRODUCTOS[#All],3)</f>
        <v>LIBRERÍA</v>
      </c>
      <c r="C198" s="6" t="str">
        <f>VLOOKUP(LISTADO_PRODUCTOS_LISTBOX[Código],LISTADO_PRODUCTOS[#All],4)</f>
        <v>Blister Lapiz Negro Mooving Disney x 6u</v>
      </c>
      <c r="D198" s="6" t="str">
        <f>VLOOKUP(LISTADO_PRODUCTOS_LISTBOX[Código],LISTADO_PRODUCTOS[#All],5)</f>
        <v>N/A</v>
      </c>
    </row>
    <row r="199" spans="1:4" ht="12" customHeight="1" x14ac:dyDescent="0.3">
      <c r="A199" s="4">
        <v>1307</v>
      </c>
      <c r="B199" s="6" t="str">
        <f>VLOOKUP(LISTADO_PRODUCTOS_LISTBOX[Código],LISTADO_PRODUCTOS[#All],3)</f>
        <v>LIBRERÍA</v>
      </c>
      <c r="C199" s="6" t="str">
        <f>VLOOKUP(LISTADO_PRODUCTOS_LISTBOX[Código],LISTADO_PRODUCTOS[#All],4)</f>
        <v>Roller Tinta Gel Mooving x10</v>
      </c>
      <c r="D199" s="6" t="str">
        <f>VLOOKUP(LISTADO_PRODUCTOS_LISTBOX[Código],LISTADO_PRODUCTOS[#All],5)</f>
        <v>N/A</v>
      </c>
    </row>
    <row r="200" spans="1:4" ht="12" customHeight="1" x14ac:dyDescent="0.3">
      <c r="A200" s="4">
        <v>1308</v>
      </c>
      <c r="B200" s="6" t="str">
        <f>VLOOKUP(LISTADO_PRODUCTOS_LISTBOX[Código],LISTADO_PRODUCTOS[#All],3)</f>
        <v>LIBRERÍA</v>
      </c>
      <c r="C200" s="6" t="str">
        <f>VLOOKUP(LISTADO_PRODUCTOS_LISTBOX[Código],LISTADO_PRODUCTOS[#All],4)</f>
        <v>Roller Silky NEON/PASTEL Mooving x5</v>
      </c>
      <c r="D200" s="6" t="str">
        <f>VLOOKUP(LISTADO_PRODUCTOS_LISTBOX[Código],LISTADO_PRODUCTOS[#All],5)</f>
        <v>N/A</v>
      </c>
    </row>
    <row r="201" spans="1:4" ht="12" customHeight="1" x14ac:dyDescent="0.3">
      <c r="A201" s="4">
        <v>1309</v>
      </c>
      <c r="B201" s="6" t="str">
        <f>VLOOKUP(LISTADO_PRODUCTOS_LISTBOX[Código],LISTADO_PRODUCTOS[#All],3)</f>
        <v>LIBRERÍA</v>
      </c>
      <c r="C201" s="6" t="str">
        <f>VLOOKUP(LISTADO_PRODUCTOS_LISTBOX[Código],LISTADO_PRODUCTOS[#All],4)</f>
        <v>Resaltadores NEON / PASTEL Dupla ideal Mooving x 4</v>
      </c>
      <c r="D201" s="6" t="str">
        <f>VLOOKUP(LISTADO_PRODUCTOS_LISTBOX[Código],LISTADO_PRODUCTOS[#All],5)</f>
        <v>N/A</v>
      </c>
    </row>
    <row r="202" spans="1:4" ht="12" customHeight="1" x14ac:dyDescent="0.3">
      <c r="A202" s="4">
        <v>1310</v>
      </c>
      <c r="B202" s="6" t="str">
        <f>VLOOKUP(LISTADO_PRODUCTOS_LISTBOX[Código],LISTADO_PRODUCTOS[#All],3)</f>
        <v>LIBRERÍA</v>
      </c>
      <c r="C202" s="6" t="str">
        <f>VLOOKUP(LISTADO_PRODUCTOS_LISTBOX[Código],LISTADO_PRODUCTOS[#All],4)</f>
        <v>Resaltador NEON Colores Aroma Perfumados x 4u</v>
      </c>
      <c r="D202" s="6" t="str">
        <f>VLOOKUP(LISTADO_PRODUCTOS_LISTBOX[Código],LISTADO_PRODUCTOS[#All],5)</f>
        <v>N/A</v>
      </c>
    </row>
    <row r="203" spans="1:4" ht="12" customHeight="1" x14ac:dyDescent="0.3">
      <c r="A203" s="4">
        <v>1311</v>
      </c>
      <c r="B203" s="6" t="str">
        <f>VLOOKUP(LISTADO_PRODUCTOS_LISTBOX[Código],LISTADO_PRODUCTOS[#All],3)</f>
        <v>LIBRERÍA</v>
      </c>
      <c r="C203" s="6" t="str">
        <f>VLOOKUP(LISTADO_PRODUCTOS_LISTBOX[Código],LISTADO_PRODUCTOS[#All],4)</f>
        <v>Resaltadores Glitter Mooving x4</v>
      </c>
      <c r="D203" s="6" t="str">
        <f>VLOOKUP(LISTADO_PRODUCTOS_LISTBOX[Código],LISTADO_PRODUCTOS[#All],5)</f>
        <v>N/A</v>
      </c>
    </row>
    <row r="204" spans="1:4" ht="12" customHeight="1" x14ac:dyDescent="0.3">
      <c r="A204" s="4">
        <v>1400</v>
      </c>
      <c r="B204" s="6" t="str">
        <f>VLOOKUP(LISTADO_PRODUCTOS_LISTBOX[Código],LISTADO_PRODUCTOS[#All],3)</f>
        <v>LIBRERÍA</v>
      </c>
      <c r="C204" s="6" t="str">
        <f>VLOOKUP(LISTADO_PRODUCTOS_LISTBOX[Código],LISTADO_PRODUCTOS[#All],4)</f>
        <v>Libreta NAT Ledesma tapa flexible 16.21 42h</v>
      </c>
      <c r="D204" s="6" t="str">
        <f>VLOOKUP(LISTADO_PRODUCTOS_LISTBOX[Código],LISTADO_PRODUCTOS[#All],5)</f>
        <v>N/A</v>
      </c>
    </row>
    <row r="205" spans="1:4" ht="12" customHeight="1" x14ac:dyDescent="0.3">
      <c r="A205" s="4">
        <v>1405</v>
      </c>
      <c r="B205" s="6" t="str">
        <f>VLOOKUP(LISTADO_PRODUCTOS_LISTBOX[Código],LISTADO_PRODUCTOS[#All],3)</f>
        <v>LIBRERÍA</v>
      </c>
      <c r="C205" s="6" t="str">
        <f>VLOOKUP(LISTADO_PRODUCTOS_LISTBOX[Código],LISTADO_PRODUCTOS[#All],4)</f>
        <v>Marcador doble punta Trabí Duplo Permanente</v>
      </c>
      <c r="D205" s="6" t="str">
        <f>VLOOKUP(LISTADO_PRODUCTOS_LISTBOX[Código],LISTADO_PRODUCTOS[#All],5)</f>
        <v>N/A</v>
      </c>
    </row>
    <row r="206" spans="1:4" ht="12" customHeight="1" x14ac:dyDescent="0.3">
      <c r="A206" s="4">
        <v>1408</v>
      </c>
      <c r="B206" s="6" t="str">
        <f>VLOOKUP(LISTADO_PRODUCTOS_LISTBOX[Código],LISTADO_PRODUCTOS[#All],3)</f>
        <v>LIBRERÍA</v>
      </c>
      <c r="C206" s="6" t="str">
        <f>VLOOKUP(LISTADO_PRODUCTOS_LISTBOX[Código],LISTADO_PRODUCTOS[#All],4)</f>
        <v>Cuaderno Triunfante 16.21 T/Carton 120hs</v>
      </c>
      <c r="D206" s="6" t="str">
        <f>VLOOKUP(LISTADO_PRODUCTOS_LISTBOX[Código],LISTADO_PRODUCTOS[#All],5)</f>
        <v>N/A</v>
      </c>
    </row>
    <row r="207" spans="1:4" ht="12" customHeight="1" x14ac:dyDescent="0.3">
      <c r="A207" s="4">
        <v>1409</v>
      </c>
      <c r="B207" s="6" t="str">
        <f>VLOOKUP(LISTADO_PRODUCTOS_LISTBOX[Código],LISTADO_PRODUCTOS[#All],3)</f>
        <v>LIBRERÍA</v>
      </c>
      <c r="C207" s="6" t="str">
        <f>VLOOKUP(LISTADO_PRODUCTOS_LISTBOX[Código],LISTADO_PRODUCTOS[#All],4)</f>
        <v>Repuesto Éxito NAT x288h C/Margen Reforzado N°3</v>
      </c>
      <c r="D207" s="6" t="str">
        <f>VLOOKUP(LISTADO_PRODUCTOS_LISTBOX[Código],LISTADO_PRODUCTOS[#All],5)</f>
        <v>N/A</v>
      </c>
    </row>
    <row r="208" spans="1:4" ht="12" customHeight="1" x14ac:dyDescent="0.3">
      <c r="A208" s="4">
        <v>1411</v>
      </c>
      <c r="B208" s="6" t="str">
        <f>VLOOKUP(LISTADO_PRODUCTOS_LISTBOX[Código],LISTADO_PRODUCTOS[#All],3)</f>
        <v>LIBRERÍA</v>
      </c>
      <c r="C208" s="6" t="str">
        <f>VLOOKUP(LISTADO_PRODUCTOS_LISTBOX[Código],LISTADO_PRODUCTOS[#All],4)</f>
        <v>Repuesto Éxito N°3 NAT M/R x 96h</v>
      </c>
      <c r="D208" s="6" t="str">
        <f>VLOOKUP(LISTADO_PRODUCTOS_LISTBOX[Código],LISTADO_PRODUCTOS[#All],5)</f>
        <v>N/A</v>
      </c>
    </row>
    <row r="209" spans="1:4" ht="12" customHeight="1" x14ac:dyDescent="0.3">
      <c r="A209" s="4">
        <v>1414</v>
      </c>
      <c r="B209" s="6" t="str">
        <f>VLOOKUP(LISTADO_PRODUCTOS_LISTBOX[Código],LISTADO_PRODUCTOS[#All],3)</f>
        <v>LIBRERÍA</v>
      </c>
      <c r="C209" s="6" t="str">
        <f>VLOOKUP(LISTADO_PRODUCTOS_LISTBOX[Código],LISTADO_PRODUCTOS[#All],4)</f>
        <v>Repuesto escolar N°3 Éxito NAT con Margen Reforzado x 96h</v>
      </c>
      <c r="D209" s="6" t="str">
        <f>VLOOKUP(LISTADO_PRODUCTOS_LISTBOX[Código],LISTADO_PRODUCTOS[#All],5)</f>
        <v>N/A</v>
      </c>
    </row>
    <row r="210" spans="1:4" ht="12" customHeight="1" x14ac:dyDescent="0.3">
      <c r="A210" s="4">
        <v>1415</v>
      </c>
      <c r="B210" s="6" t="str">
        <f>VLOOKUP(LISTADO_PRODUCTOS_LISTBOX[Código],LISTADO_PRODUCTOS[#All],3)</f>
        <v>LIBRERÍA</v>
      </c>
      <c r="C210" s="6" t="str">
        <f>VLOOKUP(LISTADO_PRODUCTOS_LISTBOX[Código],LISTADO_PRODUCTOS[#All],4)</f>
        <v>Repuesto Calcar Nº5 Luma</v>
      </c>
      <c r="D210" s="6" t="str">
        <f>VLOOKUP(LISTADO_PRODUCTOS_LISTBOX[Código],LISTADO_PRODUCTOS[#All],5)</f>
        <v>N/A</v>
      </c>
    </row>
    <row r="211" spans="1:4" ht="12" customHeight="1" x14ac:dyDescent="0.3">
      <c r="A211" s="4">
        <v>1416</v>
      </c>
      <c r="B211" s="6" t="str">
        <f>VLOOKUP(LISTADO_PRODUCTOS_LISTBOX[Código],LISTADO_PRODUCTOS[#All],3)</f>
        <v>LIBRERÍA</v>
      </c>
      <c r="C211" s="6" t="str">
        <f>VLOOKUP(LISTADO_PRODUCTOS_LISTBOX[Código],LISTADO_PRODUCTOS[#All],4)</f>
        <v>Repuesto Calcar Nº3 Luma</v>
      </c>
      <c r="D211" s="6" t="str">
        <f>VLOOKUP(LISTADO_PRODUCTOS_LISTBOX[Código],LISTADO_PRODUCTOS[#All],5)</f>
        <v>N/A</v>
      </c>
    </row>
    <row r="212" spans="1:4" ht="12" customHeight="1" x14ac:dyDescent="0.3">
      <c r="A212" s="4">
        <v>1417</v>
      </c>
      <c r="B212" s="6" t="str">
        <f>VLOOKUP(LISTADO_PRODUCTOS_LISTBOX[Código],LISTADO_PRODUCTOS[#All],3)</f>
        <v>LIBRERÍA</v>
      </c>
      <c r="C212" s="6" t="str">
        <f>VLOOKUP(LISTADO_PRODUCTOS_LISTBOX[Código],LISTADO_PRODUCTOS[#All],4)</f>
        <v>Mapa Nº6</v>
      </c>
      <c r="D212" s="6" t="str">
        <f>VLOOKUP(LISTADO_PRODUCTOS_LISTBOX[Código],LISTADO_PRODUCTOS[#All],5)</f>
        <v>N/A</v>
      </c>
    </row>
    <row r="213" spans="1:4" ht="12" customHeight="1" x14ac:dyDescent="0.3">
      <c r="A213" s="4">
        <v>1418</v>
      </c>
      <c r="B213" s="6" t="str">
        <f>VLOOKUP(LISTADO_PRODUCTOS_LISTBOX[Código],LISTADO_PRODUCTOS[#All],3)</f>
        <v>LIBRERÍA</v>
      </c>
      <c r="C213" s="6" t="str">
        <f>VLOOKUP(LISTADO_PRODUCTOS_LISTBOX[Código],LISTADO_PRODUCTOS[#All],4)</f>
        <v>Cuaderno Triunfante/Laprida Nº3 x 50h - 7792216049913</v>
      </c>
      <c r="D213" s="6" t="str">
        <f>VLOOKUP(LISTADO_PRODUCTOS_LISTBOX[Código],LISTADO_PRODUCTOS[#All],5)</f>
        <v>N/A</v>
      </c>
    </row>
    <row r="214" spans="1:4" ht="12" customHeight="1" x14ac:dyDescent="0.3">
      <c r="A214" s="4">
        <v>1420</v>
      </c>
      <c r="B214" s="6" t="str">
        <f>VLOOKUP(LISTADO_PRODUCTOS_LISTBOX[Código],LISTADO_PRODUCTOS[#All],3)</f>
        <v>LIBRERÍA</v>
      </c>
      <c r="C214" s="6" t="str">
        <f>VLOOKUP(LISTADO_PRODUCTOS_LISTBOX[Código],LISTADO_PRODUCTOS[#All],4)</f>
        <v>Flauta Blester NC</v>
      </c>
      <c r="D214" s="6" t="str">
        <f>VLOOKUP(LISTADO_PRODUCTOS_LISTBOX[Código],LISTADO_PRODUCTOS[#All],5)</f>
        <v>N/A</v>
      </c>
    </row>
    <row r="215" spans="1:4" ht="12" customHeight="1" x14ac:dyDescent="0.3">
      <c r="A215" s="4">
        <v>1421</v>
      </c>
      <c r="B215" s="6" t="str">
        <f>VLOOKUP(LISTADO_PRODUCTOS_LISTBOX[Código],LISTADO_PRODUCTOS[#All],3)</f>
        <v>LIBRERÍA</v>
      </c>
      <c r="C215" s="6" t="str">
        <f>VLOOKUP(LISTADO_PRODUCTOS_LISTBOX[Código],LISTADO_PRODUCTOS[#All],4)</f>
        <v>Escalimetro Maped en estuche</v>
      </c>
      <c r="D215" s="6" t="str">
        <f>VLOOKUP(LISTADO_PRODUCTOS_LISTBOX[Código],LISTADO_PRODUCTOS[#All],5)</f>
        <v>N/A</v>
      </c>
    </row>
    <row r="216" spans="1:4" ht="12" customHeight="1" x14ac:dyDescent="0.3">
      <c r="A216" s="4">
        <v>1423</v>
      </c>
      <c r="B216" s="6" t="str">
        <f>VLOOKUP(LISTADO_PRODUCTOS_LISTBOX[Código],LISTADO_PRODUCTOS[#All],3)</f>
        <v>LIBRERÍA</v>
      </c>
      <c r="C216" s="6" t="str">
        <f>VLOOKUP(LISTADO_PRODUCTOS_LISTBOX[Código],LISTADO_PRODUCTOS[#All],4)</f>
        <v>Adhesivo vinilico Tintoretto/model/playcolor/Maxxum x 250gr</v>
      </c>
      <c r="D216" s="6" t="str">
        <f>VLOOKUP(LISTADO_PRODUCTOS_LISTBOX[Código],LISTADO_PRODUCTOS[#All],5)</f>
        <v>N/A</v>
      </c>
    </row>
    <row r="217" spans="1:4" ht="12" customHeight="1" x14ac:dyDescent="0.3">
      <c r="A217" s="4">
        <v>1424</v>
      </c>
      <c r="B217" s="6" t="str">
        <f>VLOOKUP(LISTADO_PRODUCTOS_LISTBOX[Código],LISTADO_PRODUCTOS[#All],3)</f>
        <v>LIBRERÍA</v>
      </c>
      <c r="C217" s="6" t="str">
        <f>VLOOKUP(LISTADO_PRODUCTOS_LISTBOX[Código],LISTADO_PRODUCTOS[#All],4)</f>
        <v>Transportador Maped 10cm en bolsa</v>
      </c>
      <c r="D217" s="6" t="str">
        <f>VLOOKUP(LISTADO_PRODUCTOS_LISTBOX[Código],LISTADO_PRODUCTOS[#All],5)</f>
        <v>N/A</v>
      </c>
    </row>
    <row r="218" spans="1:4" ht="12" customHeight="1" x14ac:dyDescent="0.3">
      <c r="A218" s="4">
        <v>1425</v>
      </c>
      <c r="B218" s="6" t="str">
        <f>VLOOKUP(LISTADO_PRODUCTOS_LISTBOX[Código],LISTADO_PRODUCTOS[#All],3)</f>
        <v>LIBRERÍA</v>
      </c>
      <c r="C218" s="6" t="str">
        <f>VLOOKUP(LISTADO_PRODUCTOS_LISTBOX[Código],LISTADO_PRODUCTOS[#All],4)</f>
        <v>Corrector Filgo 012 - 7795513049518</v>
      </c>
      <c r="D218" s="6" t="str">
        <f>VLOOKUP(LISTADO_PRODUCTOS_LISTBOX[Código],LISTADO_PRODUCTOS[#All],5)</f>
        <v>N/A</v>
      </c>
    </row>
    <row r="219" spans="1:4" ht="12" customHeight="1" x14ac:dyDescent="0.3">
      <c r="A219" s="4">
        <v>1426</v>
      </c>
      <c r="B219" s="6" t="str">
        <f>VLOOKUP(LISTADO_PRODUCTOS_LISTBOX[Código],LISTADO_PRODUCTOS[#All],3)</f>
        <v>LIBRERÍA</v>
      </c>
      <c r="C219" s="6" t="str">
        <f>VLOOKUP(LISTADO_PRODUCTOS_LISTBOX[Código],LISTADO_PRODUCTOS[#All],4)</f>
        <v>Multibase de madera</v>
      </c>
      <c r="D219" s="6" t="str">
        <f>VLOOKUP(LISTADO_PRODUCTOS_LISTBOX[Código],LISTADO_PRODUCTOS[#All],5)</f>
        <v>N/A</v>
      </c>
    </row>
    <row r="220" spans="1:4" ht="12" customHeight="1" x14ac:dyDescent="0.3">
      <c r="A220" s="4">
        <v>1427</v>
      </c>
      <c r="B220" s="6" t="str">
        <f>VLOOKUP(LISTADO_PRODUCTOS_LISTBOX[Código],LISTADO_PRODUCTOS[#All],3)</f>
        <v>LIBRERÍA</v>
      </c>
      <c r="C220" s="6" t="str">
        <f>VLOOKUP(LISTADO_PRODUCTOS_LISTBOX[Código],LISTADO_PRODUCTOS[#All],4)</f>
        <v>Resaltador en Blister Mini tubo x 6</v>
      </c>
      <c r="D220" s="6" t="str">
        <f>VLOOKUP(LISTADO_PRODUCTOS_LISTBOX[Código],LISTADO_PRODUCTOS[#All],5)</f>
        <v>N/A</v>
      </c>
    </row>
    <row r="221" spans="1:4" ht="12" customHeight="1" x14ac:dyDescent="0.3">
      <c r="A221" s="4">
        <v>1428</v>
      </c>
      <c r="B221" s="6" t="str">
        <f>VLOOKUP(LISTADO_PRODUCTOS_LISTBOX[Código],LISTADO_PRODUCTOS[#All],3)</f>
        <v>LIBRERÍA</v>
      </c>
      <c r="C221" s="6" t="str">
        <f>VLOOKUP(LISTADO_PRODUCTOS_LISTBOX[Código],LISTADO_PRODUCTOS[#All],4)</f>
        <v>Set de Resaltadores NUWA x5u en dispenser</v>
      </c>
      <c r="D221" s="6" t="str">
        <f>VLOOKUP(LISTADO_PRODUCTOS_LISTBOX[Código],LISTADO_PRODUCTOS[#All],5)</f>
        <v>N/A</v>
      </c>
    </row>
    <row r="222" spans="1:4" ht="12" customHeight="1" x14ac:dyDescent="0.3">
      <c r="A222" s="4">
        <v>1500</v>
      </c>
      <c r="B222" s="6" t="str">
        <f>VLOOKUP(LISTADO_PRODUCTOS_LISTBOX[Código],LISTADO_PRODUCTOS[#All],3)</f>
        <v>LIBRERÍA</v>
      </c>
      <c r="C222" s="6" t="str">
        <f>VLOOKUP(LISTADO_PRODUCTOS_LISTBOX[Código],LISTADO_PRODUCTOS[#All],4)</f>
        <v>Carpeta N°5 Kraft color</v>
      </c>
      <c r="D222" s="6" t="str">
        <f>VLOOKUP(LISTADO_PRODUCTOS_LISTBOX[Código],LISTADO_PRODUCTOS[#All],5)</f>
        <v>N/A</v>
      </c>
    </row>
    <row r="223" spans="1:4" ht="12" customHeight="1" x14ac:dyDescent="0.3">
      <c r="A223" s="4">
        <v>1501</v>
      </c>
      <c r="B223" s="6" t="str">
        <f>VLOOKUP(LISTADO_PRODUCTOS_LISTBOX[Código],LISTADO_PRODUCTOS[#All],3)</f>
        <v>LIBRERÍA</v>
      </c>
      <c r="C223" s="6" t="str">
        <f>VLOOKUP(LISTADO_PRODUCTOS_LISTBOX[Código],LISTADO_PRODUCTOS[#All],4)</f>
        <v>Goma Keyroad Windmill</v>
      </c>
      <c r="D223" s="6" t="str">
        <f>VLOOKUP(LISTADO_PRODUCTOS_LISTBOX[Código],LISTADO_PRODUCTOS[#All],5)</f>
        <v>N/A</v>
      </c>
    </row>
    <row r="224" spans="1:4" ht="12" customHeight="1" x14ac:dyDescent="0.3">
      <c r="A224" s="4">
        <v>1504</v>
      </c>
      <c r="B224" s="6" t="str">
        <f>VLOOKUP(LISTADO_PRODUCTOS_LISTBOX[Código],LISTADO_PRODUCTOS[#All],3)</f>
        <v>LIBRERÍA</v>
      </c>
      <c r="C224" s="6" t="str">
        <f>VLOOKUP(LISTADO_PRODUCTOS_LISTBOX[Código],LISTADO_PRODUCTOS[#All],4)</f>
        <v>Cuaderno ABC Inicial</v>
      </c>
      <c r="D224" s="6" t="str">
        <f>VLOOKUP(LISTADO_PRODUCTOS_LISTBOX[Código],LISTADO_PRODUCTOS[#All],5)</f>
        <v>N/A</v>
      </c>
    </row>
    <row r="225" spans="1:4" ht="12" customHeight="1" x14ac:dyDescent="0.3">
      <c r="A225" s="4">
        <v>1505</v>
      </c>
      <c r="B225" s="6" t="str">
        <f>VLOOKUP(LISTADO_PRODUCTOS_LISTBOX[Código],LISTADO_PRODUCTOS[#All],3)</f>
        <v>LIBRERÍA</v>
      </c>
      <c r="C225" s="6" t="str">
        <f>VLOOKUP(LISTADO_PRODUCTOS_LISTBOX[Código],LISTADO_PRODUCTOS[#All],4)</f>
        <v>Bandera Argentina 1,3 x 2,5 S/sol</v>
      </c>
      <c r="D225" s="6" t="str">
        <f>VLOOKUP(LISTADO_PRODUCTOS_LISTBOX[Código],LISTADO_PRODUCTOS[#All],5)</f>
        <v>N/A</v>
      </c>
    </row>
    <row r="226" spans="1:4" ht="12" customHeight="1" x14ac:dyDescent="0.3">
      <c r="A226" s="4">
        <v>1506</v>
      </c>
      <c r="B226" s="6" t="str">
        <f>VLOOKUP(LISTADO_PRODUCTOS_LISTBOX[Código],LISTADO_PRODUCTOS[#All],3)</f>
        <v>LIBRERÍA</v>
      </c>
      <c r="C226" s="6" t="str">
        <f>VLOOKUP(LISTADO_PRODUCTOS_LISTBOX[Código],LISTADO_PRODUCTOS[#All],4)</f>
        <v>Block de dibujo Muresco D/especiales x 20h Nº5</v>
      </c>
      <c r="D226" s="6" t="str">
        <f>VLOOKUP(LISTADO_PRODUCTOS_LISTBOX[Código],LISTADO_PRODUCTOS[#All],5)</f>
        <v>N/A</v>
      </c>
    </row>
    <row r="227" spans="1:4" ht="12" customHeight="1" x14ac:dyDescent="0.3">
      <c r="A227" s="4">
        <v>1507</v>
      </c>
      <c r="B227" s="6" t="str">
        <f>VLOOKUP(LISTADO_PRODUCTOS_LISTBOX[Código],LISTADO_PRODUCTOS[#All],3)</f>
        <v>LIBRERÍA</v>
      </c>
      <c r="C227" s="6" t="str">
        <f>VLOOKUP(LISTADO_PRODUCTOS_LISTBOX[Código],LISTADO_PRODUCTOS[#All],4)</f>
        <v>Cartulina entretenida Muresco pre cortada formas varias presentacion A4</v>
      </c>
      <c r="D227" s="6" t="str">
        <f>VLOOKUP(LISTADO_PRODUCTOS_LISTBOX[Código],LISTADO_PRODUCTOS[#All],5)</f>
        <v>N/A</v>
      </c>
    </row>
    <row r="228" spans="1:4" ht="12" customHeight="1" x14ac:dyDescent="0.3">
      <c r="A228" s="4">
        <v>1508</v>
      </c>
      <c r="B228" s="6" t="str">
        <f>VLOOKUP(LISTADO_PRODUCTOS_LISTBOX[Código],LISTADO_PRODUCTOS[#All],3)</f>
        <v>LIBRERÍA</v>
      </c>
      <c r="C228" s="6" t="str">
        <f>VLOOKUP(LISTADO_PRODUCTOS_LISTBOX[Código],LISTADO_PRODUCTOS[#All],4)</f>
        <v>Marcadores Color Peps Glitter x 10</v>
      </c>
      <c r="D228" s="6" t="str">
        <f>VLOOKUP(LISTADO_PRODUCTOS_LISTBOX[Código],LISTADO_PRODUCTOS[#All],5)</f>
        <v>N/A</v>
      </c>
    </row>
    <row r="229" spans="1:4" ht="12" customHeight="1" x14ac:dyDescent="0.3">
      <c r="A229" s="4">
        <v>1511</v>
      </c>
      <c r="B229" s="6" t="str">
        <f>VLOOKUP(LISTADO_PRODUCTOS_LISTBOX[Código],LISTADO_PRODUCTOS[#All],3)</f>
        <v>LIBRERÍA</v>
      </c>
      <c r="C229" s="6" t="str">
        <f>VLOOKUP(LISTADO_PRODUCTOS_LISTBOX[Código],LISTADO_PRODUCTOS[#All],4)</f>
        <v>Adhesivo vinilico Tintoretto x 100gr</v>
      </c>
      <c r="D229" s="6" t="str">
        <f>VLOOKUP(LISTADO_PRODUCTOS_LISTBOX[Código],LISTADO_PRODUCTOS[#All],5)</f>
        <v>N/A</v>
      </c>
    </row>
    <row r="230" spans="1:4" ht="12" customHeight="1" x14ac:dyDescent="0.3">
      <c r="A230" s="4">
        <v>1512</v>
      </c>
      <c r="B230" s="6" t="str">
        <f>VLOOKUP(LISTADO_PRODUCTOS_LISTBOX[Código],LISTADO_PRODUCTOS[#All],3)</f>
        <v>LIBRERÍA</v>
      </c>
      <c r="C230" s="6" t="str">
        <f>VLOOKUP(LISTADO_PRODUCTOS_LISTBOX[Código],LISTADO_PRODUCTOS[#All],4)</f>
        <v>Marcador Trabí para Pizarra blanca Recargable 450</v>
      </c>
      <c r="D230" s="6" t="str">
        <f>VLOOKUP(LISTADO_PRODUCTOS_LISTBOX[Código],LISTADO_PRODUCTOS[#All],5)</f>
        <v>N/A</v>
      </c>
    </row>
    <row r="231" spans="1:4" ht="12" customHeight="1" x14ac:dyDescent="0.3">
      <c r="A231" s="4">
        <v>1514</v>
      </c>
      <c r="B231" s="6" t="str">
        <f>VLOOKUP(LISTADO_PRODUCTOS_LISTBOX[Código],LISTADO_PRODUCTOS[#All],3)</f>
        <v>LIBRERÍA</v>
      </c>
      <c r="C231" s="6" t="str">
        <f>VLOOKUP(LISTADO_PRODUCTOS_LISTBOX[Código],LISTADO_PRODUCTOS[#All],4)</f>
        <v>Block Dibujo Éxito/Luma Nº5 Blanco - 7791762319426</v>
      </c>
      <c r="D231" s="6" t="str">
        <f>VLOOKUP(LISTADO_PRODUCTOS_LISTBOX[Código],LISTADO_PRODUCTOS[#All],5)</f>
        <v>N/A</v>
      </c>
    </row>
    <row r="232" spans="1:4" ht="12" customHeight="1" x14ac:dyDescent="0.3">
      <c r="A232" s="4">
        <v>1515</v>
      </c>
      <c r="B232" s="6" t="str">
        <f>VLOOKUP(LISTADO_PRODUCTOS_LISTBOX[Código],LISTADO_PRODUCTOS[#All],3)</f>
        <v>LIBRERÍA</v>
      </c>
      <c r="C232" s="6" t="str">
        <f>VLOOKUP(LISTADO_PRODUCTOS_LISTBOX[Código],LISTADO_PRODUCTOS[#All],4)</f>
        <v>Block Dibujo Éxito/Luma Nº6 Blanco</v>
      </c>
      <c r="D232" s="6" t="str">
        <f>VLOOKUP(LISTADO_PRODUCTOS_LISTBOX[Código],LISTADO_PRODUCTOS[#All],5)</f>
        <v>N/A</v>
      </c>
    </row>
    <row r="233" spans="1:4" ht="12" customHeight="1" x14ac:dyDescent="0.3">
      <c r="A233" s="4">
        <v>1516</v>
      </c>
      <c r="B233" s="6" t="str">
        <f>VLOOKUP(LISTADO_PRODUCTOS_LISTBOX[Código],LISTADO_PRODUCTOS[#All],3)</f>
        <v>LIBRERÍA</v>
      </c>
      <c r="C233" s="6" t="str">
        <f>VLOOKUP(LISTADO_PRODUCTOS_LISTBOX[Código],LISTADO_PRODUCTOS[#All],4)</f>
        <v>Set de Geometria Maped x4 piezas 30cm</v>
      </c>
      <c r="D233" s="6" t="str">
        <f>VLOOKUP(LISTADO_PRODUCTOS_LISTBOX[Código],LISTADO_PRODUCTOS[#All],5)</f>
        <v>N/A</v>
      </c>
    </row>
    <row r="234" spans="1:4" ht="12" customHeight="1" x14ac:dyDescent="0.3">
      <c r="A234" s="4">
        <v>1517</v>
      </c>
      <c r="B234" s="6" t="str">
        <f>VLOOKUP(LISTADO_PRODUCTOS_LISTBOX[Código],LISTADO_PRODUCTOS[#All],3)</f>
        <v>LIBRERÍA</v>
      </c>
      <c r="C234" s="6" t="str">
        <f>VLOOKUP(LISTADO_PRODUCTOS_LISTBOX[Código],LISTADO_PRODUCTOS[#All],4)</f>
        <v>Tijera para zurdos Maped</v>
      </c>
      <c r="D234" s="6" t="str">
        <f>VLOOKUP(LISTADO_PRODUCTOS_LISTBOX[Código],LISTADO_PRODUCTOS[#All],5)</f>
        <v>N/A</v>
      </c>
    </row>
    <row r="235" spans="1:4" ht="12" customHeight="1" x14ac:dyDescent="0.3">
      <c r="A235" s="4">
        <v>1518</v>
      </c>
      <c r="B235" s="6" t="str">
        <f>VLOOKUP(LISTADO_PRODUCTOS_LISTBOX[Código],LISTADO_PRODUCTOS[#All],3)</f>
        <v>LIBRERÍA</v>
      </c>
      <c r="C235" s="6" t="str">
        <f>VLOOKUP(LISTADO_PRODUCTOS_LISTBOX[Código],LISTADO_PRODUCTOS[#All],4)</f>
        <v xml:space="preserve">Silicona Liquida CBX x 30ml </v>
      </c>
      <c r="D235" s="6" t="str">
        <f>VLOOKUP(LISTADO_PRODUCTOS_LISTBOX[Código],LISTADO_PRODUCTOS[#All],5)</f>
        <v>N/A</v>
      </c>
    </row>
    <row r="236" spans="1:4" ht="12" customHeight="1" x14ac:dyDescent="0.3">
      <c r="A236" s="4">
        <v>1519</v>
      </c>
      <c r="B236" s="6" t="str">
        <f>VLOOKUP(LISTADO_PRODUCTOS_LISTBOX[Código],LISTADO_PRODUCTOS[#All],3)</f>
        <v>LIBRERÍA</v>
      </c>
      <c r="C236" s="6" t="str">
        <f>VLOOKUP(LISTADO_PRODUCTOS_LISTBOX[Código],LISTADO_PRODUCTOS[#All],4)</f>
        <v>Colores Simball Largo x 24 innovation</v>
      </c>
      <c r="D236" s="6" t="str">
        <f>VLOOKUP(LISTADO_PRODUCTOS_LISTBOX[Código],LISTADO_PRODUCTOS[#All],5)</f>
        <v>N/A</v>
      </c>
    </row>
    <row r="237" spans="1:4" ht="12" customHeight="1" x14ac:dyDescent="0.3">
      <c r="A237" s="4">
        <v>1520</v>
      </c>
      <c r="B237" s="6" t="str">
        <f>VLOOKUP(LISTADO_PRODUCTOS_LISTBOX[Código],LISTADO_PRODUCTOS[#All],3)</f>
        <v>LIBRERÍA</v>
      </c>
      <c r="C237" s="6" t="str">
        <f>VLOOKUP(LISTADO_PRODUCTOS_LISTBOX[Código],LISTADO_PRODUCTOS[#All],4)</f>
        <v>Tijera Maped Office Advance Soft Gel 21cm</v>
      </c>
      <c r="D237" s="6" t="str">
        <f>VLOOKUP(LISTADO_PRODUCTOS_LISTBOX[Código],LISTADO_PRODUCTOS[#All],5)</f>
        <v>N/A</v>
      </c>
    </row>
    <row r="238" spans="1:4" ht="12" customHeight="1" x14ac:dyDescent="0.3">
      <c r="A238" s="4">
        <v>1521</v>
      </c>
      <c r="B238" s="6" t="str">
        <f>VLOOKUP(LISTADO_PRODUCTOS_LISTBOX[Código],LISTADO_PRODUCTOS[#All],3)</f>
        <v>LIBRERÍA</v>
      </c>
      <c r="C238" s="6" t="str">
        <f>VLOOKUP(LISTADO_PRODUCTOS_LISTBOX[Código],LISTADO_PRODUCTOS[#All],4)</f>
        <v>Set de Geometria Maped x 3 piezas</v>
      </c>
      <c r="D238" s="6" t="str">
        <f>VLOOKUP(LISTADO_PRODUCTOS_LISTBOX[Código],LISTADO_PRODUCTOS[#All],5)</f>
        <v>N/A</v>
      </c>
    </row>
    <row r="239" spans="1:4" ht="12" customHeight="1" x14ac:dyDescent="0.3">
      <c r="A239" s="4">
        <v>1522</v>
      </c>
      <c r="B239" s="6" t="str">
        <f>VLOOKUP(LISTADO_PRODUCTOS_LISTBOX[Código],LISTADO_PRODUCTOS[#All],3)</f>
        <v>LIBRERÍA</v>
      </c>
      <c r="C239" s="6" t="str">
        <f>VLOOKUP(LISTADO_PRODUCTOS_LISTBOX[Código],LISTADO_PRODUCTOS[#All],4)</f>
        <v>Set de Geometria Glee x 3 piezas</v>
      </c>
      <c r="D239" s="6" t="str">
        <f>VLOOKUP(LISTADO_PRODUCTOS_LISTBOX[Código],LISTADO_PRODUCTOS[#All],5)</f>
        <v>N/A</v>
      </c>
    </row>
    <row r="240" spans="1:4" ht="12" customHeight="1" x14ac:dyDescent="0.3">
      <c r="A240" s="4">
        <v>1523</v>
      </c>
      <c r="B240" s="6" t="str">
        <f>VLOOKUP(LISTADO_PRODUCTOS_LISTBOX[Código],LISTADO_PRODUCTOS[#All],3)</f>
        <v>LIBRERÍA</v>
      </c>
      <c r="C240" s="6" t="str">
        <f>VLOOKUP(LISTADO_PRODUCTOS_LISTBOX[Código],LISTADO_PRODUCTOS[#All],4)</f>
        <v>Resaltador Maped Glitter Pastel</v>
      </c>
      <c r="D240" s="6" t="str">
        <f>VLOOKUP(LISTADO_PRODUCTOS_LISTBOX[Código],LISTADO_PRODUCTOS[#All],5)</f>
        <v>N/A</v>
      </c>
    </row>
    <row r="241" spans="1:4" ht="12" customHeight="1" x14ac:dyDescent="0.3">
      <c r="A241" s="4">
        <v>1524</v>
      </c>
      <c r="B241" s="6" t="str">
        <f>VLOOKUP(LISTADO_PRODUCTOS_LISTBOX[Código],LISTADO_PRODUCTOS[#All],3)</f>
        <v>LIBRERÍA</v>
      </c>
      <c r="C241" s="6" t="str">
        <f>VLOOKUP(LISTADO_PRODUCTOS_LISTBOX[Código],LISTADO_PRODUCTOS[#All],4)</f>
        <v>Resaltador Maped  PASTEL</v>
      </c>
      <c r="D241" s="6" t="str">
        <f>VLOOKUP(LISTADO_PRODUCTOS_LISTBOX[Código],LISTADO_PRODUCTOS[#All],5)</f>
        <v>N/A</v>
      </c>
    </row>
    <row r="242" spans="1:4" ht="12" customHeight="1" x14ac:dyDescent="0.3">
      <c r="A242" s="4">
        <v>1525</v>
      </c>
      <c r="B242" s="6" t="str">
        <f>VLOOKUP(LISTADO_PRODUCTOS_LISTBOX[Código],LISTADO_PRODUCTOS[#All],3)</f>
        <v>LIBRERÍA</v>
      </c>
      <c r="C242" s="6" t="str">
        <f>VLOOKUP(LISTADO_PRODUCTOS_LISTBOX[Código],LISTADO_PRODUCTOS[#All],4)</f>
        <v xml:space="preserve">Resaltador Maped FLUO </v>
      </c>
      <c r="D242" s="6" t="str">
        <f>VLOOKUP(LISTADO_PRODUCTOS_LISTBOX[Código],LISTADO_PRODUCTOS[#All],5)</f>
        <v>N/A</v>
      </c>
    </row>
    <row r="243" spans="1:4" ht="12" customHeight="1" x14ac:dyDescent="0.3">
      <c r="A243" s="4">
        <v>1532</v>
      </c>
      <c r="B243" s="6" t="str">
        <f>VLOOKUP(LISTADO_PRODUCTOS_LISTBOX[Código],LISTADO_PRODUCTOS[#All],3)</f>
        <v>LIBRERÍA</v>
      </c>
      <c r="C243" s="6" t="str">
        <f>VLOOKUP(LISTADO_PRODUCTOS_LISTBOX[Código],LISTADO_PRODUCTOS[#All],4)</f>
        <v>Carpeta Rivadavia Nº3 con repuesto x96h ray y 48h cuad y separadores</v>
      </c>
      <c r="D243" s="6" t="str">
        <f>VLOOKUP(LISTADO_PRODUCTOS_LISTBOX[Código],LISTADO_PRODUCTOS[#All],5)</f>
        <v>N/A</v>
      </c>
    </row>
    <row r="244" spans="1:4" ht="12" customHeight="1" x14ac:dyDescent="0.3">
      <c r="A244" s="4">
        <v>1533</v>
      </c>
      <c r="B244" s="6" t="str">
        <f>VLOOKUP(LISTADO_PRODUCTOS_LISTBOX[Código],LISTADO_PRODUCTOS[#All],3)</f>
        <v>LIBRERÍA</v>
      </c>
      <c r="C244" s="6" t="str">
        <f>VLOOKUP(LISTADO_PRODUCTOS_LISTBOX[Código],LISTADO_PRODUCTOS[#All],4)</f>
        <v>Marcador Trabí Mega Pinturon x 10</v>
      </c>
      <c r="D244" s="6" t="str">
        <f>VLOOKUP(LISTADO_PRODUCTOS_LISTBOX[Código],LISTADO_PRODUCTOS[#All],5)</f>
        <v>N/A</v>
      </c>
    </row>
    <row r="245" spans="1:4" ht="12" customHeight="1" x14ac:dyDescent="0.3">
      <c r="A245" s="4">
        <v>1534</v>
      </c>
      <c r="B245" s="6" t="str">
        <f>VLOOKUP(LISTADO_PRODUCTOS_LISTBOX[Código],LISTADO_PRODUCTOS[#All],3)</f>
        <v>LIBRERÍA</v>
      </c>
      <c r="C245" s="6" t="str">
        <f>VLOOKUP(LISTADO_PRODUCTOS_LISTBOX[Código],LISTADO_PRODUCTOS[#All],4)</f>
        <v>MarcadorPelikan Colorella Star Jumbo x8u</v>
      </c>
      <c r="D245" s="6" t="str">
        <f>VLOOKUP(LISTADO_PRODUCTOS_LISTBOX[Código],LISTADO_PRODUCTOS[#All],5)</f>
        <v>N/A</v>
      </c>
    </row>
    <row r="246" spans="1:4" ht="12" customHeight="1" x14ac:dyDescent="0.3">
      <c r="A246" s="4">
        <v>1535</v>
      </c>
      <c r="B246" s="6" t="str">
        <f>VLOOKUP(LISTADO_PRODUCTOS_LISTBOX[Código],LISTADO_PRODUCTOS[#All],3)</f>
        <v>LIBRERÍA</v>
      </c>
      <c r="C246" s="6" t="str">
        <f>VLOOKUP(LISTADO_PRODUCTOS_LISTBOX[Código],LISTADO_PRODUCTOS[#All],4)</f>
        <v>Marcador Pizzini Mio x 10 - 7793198801001</v>
      </c>
      <c r="D246" s="6" t="str">
        <f>VLOOKUP(LISTADO_PRODUCTOS_LISTBOX[Código],LISTADO_PRODUCTOS[#All],5)</f>
        <v>N/A</v>
      </c>
    </row>
    <row r="247" spans="1:4" ht="12" customHeight="1" x14ac:dyDescent="0.3">
      <c r="A247" s="4">
        <v>1536</v>
      </c>
      <c r="B247" s="6" t="str">
        <f>VLOOKUP(LISTADO_PRODUCTOS_LISTBOX[Código],LISTADO_PRODUCTOS[#All],3)</f>
        <v>LIBRERÍA</v>
      </c>
      <c r="C247" s="6" t="str">
        <f>VLOOKUP(LISTADO_PRODUCTOS_LISTBOX[Código],LISTADO_PRODUCTOS[#All],4)</f>
        <v>Rompecabezas de madera</v>
      </c>
      <c r="D247" s="6" t="str">
        <f>VLOOKUP(LISTADO_PRODUCTOS_LISTBOX[Código],LISTADO_PRODUCTOS[#All],5)</f>
        <v>N/A</v>
      </c>
    </row>
    <row r="248" spans="1:4" ht="12" customHeight="1" x14ac:dyDescent="0.3">
      <c r="A248" s="4">
        <v>1538</v>
      </c>
      <c r="B248" s="6" t="str">
        <f>VLOOKUP(LISTADO_PRODUCTOS_LISTBOX[Código],LISTADO_PRODUCTOS[#All],3)</f>
        <v>LIBRERÍA</v>
      </c>
      <c r="C248" s="6" t="str">
        <f>VLOOKUP(LISTADO_PRODUCTOS_LISTBOX[Código],LISTADO_PRODUCTOS[#All],4)</f>
        <v>Block Triunfante Blanco N°6</v>
      </c>
      <c r="D248" s="6" t="str">
        <f>VLOOKUP(LISTADO_PRODUCTOS_LISTBOX[Código],LISTADO_PRODUCTOS[#All],5)</f>
        <v>N/A</v>
      </c>
    </row>
    <row r="249" spans="1:4" ht="12" customHeight="1" x14ac:dyDescent="0.3">
      <c r="A249" s="4">
        <v>1541</v>
      </c>
      <c r="B249" s="6" t="str">
        <f>VLOOKUP(LISTADO_PRODUCTOS_LISTBOX[Código],LISTADO_PRODUCTOS[#All],3)</f>
        <v>LIBRERÍA</v>
      </c>
      <c r="C249" s="6" t="str">
        <f>VLOOKUP(LISTADO_PRODUCTOS_LISTBOX[Código],LISTADO_PRODUCTOS[#All],4)</f>
        <v>Cuaderno de caligrafia Laprida T/Flex</v>
      </c>
      <c r="D249" s="6" t="str">
        <f>VLOOKUP(LISTADO_PRODUCTOS_LISTBOX[Código],LISTADO_PRODUCTOS[#All],5)</f>
        <v>N/A</v>
      </c>
    </row>
    <row r="250" spans="1:4" ht="12" customHeight="1" x14ac:dyDescent="0.3">
      <c r="A250" s="4">
        <v>1544</v>
      </c>
      <c r="B250" s="6" t="str">
        <f>VLOOKUP(LISTADO_PRODUCTOS_LISTBOX[Código],LISTADO_PRODUCTOS[#All],3)</f>
        <v>LIBRERÍA</v>
      </c>
      <c r="C250" s="6" t="str">
        <f>VLOOKUP(LISTADO_PRODUCTOS_LISTBOX[Código],LISTADO_PRODUCTOS[#All],4)</f>
        <v>Cuaderno colegial fantasia x 60h</v>
      </c>
      <c r="D250" s="6" t="str">
        <f>VLOOKUP(LISTADO_PRODUCTOS_LISTBOX[Código],LISTADO_PRODUCTOS[#All],5)</f>
        <v>N/A</v>
      </c>
    </row>
    <row r="251" spans="1:4" ht="12" customHeight="1" x14ac:dyDescent="0.3">
      <c r="A251" s="4">
        <v>1545</v>
      </c>
      <c r="B251" s="6" t="str">
        <f>VLOOKUP(LISTADO_PRODUCTOS_LISTBOX[Código],LISTADO_PRODUCTOS[#All],3)</f>
        <v>LIBRERÍA</v>
      </c>
      <c r="C251" s="6" t="str">
        <f>VLOOKUP(LISTADO_PRODUCTOS_LISTBOX[Código],LISTADO_PRODUCTOS[#All],4)</f>
        <v>Bandera Argentina 90x150 S/sol</v>
      </c>
      <c r="D251" s="6" t="str">
        <f>VLOOKUP(LISTADO_PRODUCTOS_LISTBOX[Código],LISTADO_PRODUCTOS[#All],5)</f>
        <v>N/A</v>
      </c>
    </row>
    <row r="252" spans="1:4" ht="12" customHeight="1" x14ac:dyDescent="0.3">
      <c r="A252" s="4">
        <v>1546</v>
      </c>
      <c r="B252" s="6" t="str">
        <f>VLOOKUP(LISTADO_PRODUCTOS_LISTBOX[Código],LISTADO_PRODUCTOS[#All],3)</f>
        <v>LIBRERÍA</v>
      </c>
      <c r="C252" s="6" t="str">
        <f>VLOOKUP(LISTADO_PRODUCTOS_LISTBOX[Código],LISTADO_PRODUCTOS[#All],4)</f>
        <v>Bandera Argentina 50x100 S/sol</v>
      </c>
      <c r="D252" s="6" t="str">
        <f>VLOOKUP(LISTADO_PRODUCTOS_LISTBOX[Código],LISTADO_PRODUCTOS[#All],5)</f>
        <v>N/A</v>
      </c>
    </row>
    <row r="253" spans="1:4" ht="12" customHeight="1" x14ac:dyDescent="0.3">
      <c r="A253" s="4">
        <v>1548</v>
      </c>
      <c r="B253" s="6" t="str">
        <f>VLOOKUP(LISTADO_PRODUCTOS_LISTBOX[Código],LISTADO_PRODUCTOS[#All],3)</f>
        <v>LIBRERÍA</v>
      </c>
      <c r="C253" s="6" t="str">
        <f>VLOOKUP(LISTADO_PRODUCTOS_LISTBOX[Código],LISTADO_PRODUCTOS[#All],4)</f>
        <v>Block Dibujo Nº6 Triunfante/Luma Color</v>
      </c>
      <c r="D253" s="6" t="str">
        <f>VLOOKUP(LISTADO_PRODUCTOS_LISTBOX[Código],LISTADO_PRODUCTOS[#All],5)</f>
        <v>N/A</v>
      </c>
    </row>
    <row r="254" spans="1:4" ht="12" customHeight="1" x14ac:dyDescent="0.3">
      <c r="A254" s="4">
        <v>1553</v>
      </c>
      <c r="B254" s="6" t="str">
        <f>VLOOKUP(LISTADO_PRODUCTOS_LISTBOX[Código],LISTADO_PRODUCTOS[#All],3)</f>
        <v>LIBRERÍA</v>
      </c>
      <c r="C254" s="6" t="str">
        <f>VLOOKUP(LISTADO_PRODUCTOS_LISTBOX[Código],LISTADO_PRODUCTOS[#All],4)</f>
        <v>Fibron Trabi permanente 411</v>
      </c>
      <c r="D254" s="6" t="str">
        <f>VLOOKUP(LISTADO_PRODUCTOS_LISTBOX[Código],LISTADO_PRODUCTOS[#All],5)</f>
        <v>N/A</v>
      </c>
    </row>
    <row r="255" spans="1:4" ht="12" customHeight="1" x14ac:dyDescent="0.3">
      <c r="A255" s="4">
        <v>1556</v>
      </c>
      <c r="B255" s="6" t="str">
        <f>VLOOKUP(LISTADO_PRODUCTOS_LISTBOX[Código],LISTADO_PRODUCTOS[#All],3)</f>
        <v>LIBRERÍA</v>
      </c>
      <c r="C255" s="6" t="str">
        <f>VLOOKUP(LISTADO_PRODUCTOS_LISTBOX[Código],LISTADO_PRODUCTOS[#All],4)</f>
        <v>Block art deco Alfa 20h Nº5</v>
      </c>
      <c r="D255" s="6" t="str">
        <f>VLOOKUP(LISTADO_PRODUCTOS_LISTBOX[Código],LISTADO_PRODUCTOS[#All],5)</f>
        <v>N/A</v>
      </c>
    </row>
    <row r="256" spans="1:4" ht="12" customHeight="1" x14ac:dyDescent="0.3">
      <c r="A256" s="4">
        <v>1557</v>
      </c>
      <c r="B256" s="6" t="str">
        <f>VLOOKUP(LISTADO_PRODUCTOS_LISTBOX[Código],LISTADO_PRODUCTOS[#All],3)</f>
        <v>LIBRERÍA</v>
      </c>
      <c r="C256" s="6" t="str">
        <f>VLOOKUP(LISTADO_PRODUCTOS_LISTBOX[Código],LISTADO_PRODUCTOS[#All],4)</f>
        <v>Regla 50cm PIZZINI PROFESIONAL 173250 - 7793198173252</v>
      </c>
      <c r="D256" s="6" t="str">
        <f>VLOOKUP(LISTADO_PRODUCTOS_LISTBOX[Código],LISTADO_PRODUCTOS[#All],5)</f>
        <v>N/A</v>
      </c>
    </row>
    <row r="257" spans="1:4" ht="12" customHeight="1" x14ac:dyDescent="0.3">
      <c r="A257" s="4">
        <v>1558</v>
      </c>
      <c r="B257" s="6" t="str">
        <f>VLOOKUP(LISTADO_PRODUCTOS_LISTBOX[Código],LISTADO_PRODUCTOS[#All],3)</f>
        <v>LIBRERÍA</v>
      </c>
      <c r="C257" s="6" t="str">
        <f>VLOOKUP(LISTADO_PRODUCTOS_LISTBOX[Código],LISTADO_PRODUCTOS[#All],4)</f>
        <v>Block Dibujo Blanco N°5 Gloria - 103602 - 7791762001154</v>
      </c>
      <c r="D257" s="6" t="str">
        <f>VLOOKUP(LISTADO_PRODUCTOS_LISTBOX[Código],LISTADO_PRODUCTOS[#All],5)</f>
        <v>N/A</v>
      </c>
    </row>
    <row r="258" spans="1:4" ht="12" customHeight="1" x14ac:dyDescent="0.3">
      <c r="A258" s="4">
        <v>1559</v>
      </c>
      <c r="B258" s="6" t="str">
        <f>VLOOKUP(LISTADO_PRODUCTOS_LISTBOX[Código],LISTADO_PRODUCTOS[#All],3)</f>
        <v>LIBRERÍA</v>
      </c>
      <c r="C258" s="6" t="str">
        <f>VLOOKUP(LISTADO_PRODUCTOS_LISTBOX[Código],LISTADO_PRODUCTOS[#All],4)</f>
        <v>Lapiz de Graduacion Staedtler</v>
      </c>
      <c r="D258" s="6" t="str">
        <f>VLOOKUP(LISTADO_PRODUCTOS_LISTBOX[Código],LISTADO_PRODUCTOS[#All],5)</f>
        <v>N/A</v>
      </c>
    </row>
    <row r="259" spans="1:4" ht="12" customHeight="1" x14ac:dyDescent="0.3">
      <c r="A259" s="4">
        <v>1560</v>
      </c>
      <c r="B259" s="6" t="str">
        <f>VLOOKUP(LISTADO_PRODUCTOS_LISTBOX[Código],LISTADO_PRODUCTOS[#All],3)</f>
        <v>LIBRERÍA</v>
      </c>
      <c r="C259" s="6" t="str">
        <f>VLOOKUP(LISTADO_PRODUCTOS_LISTBOX[Código],LISTADO_PRODUCTOS[#All],4)</f>
        <v>Lapiz de Graduacion Faber Castell</v>
      </c>
      <c r="D259" s="6" t="str">
        <f>VLOOKUP(LISTADO_PRODUCTOS_LISTBOX[Código],LISTADO_PRODUCTOS[#All],5)</f>
        <v>N/A</v>
      </c>
    </row>
    <row r="260" spans="1:4" ht="12" customHeight="1" x14ac:dyDescent="0.3">
      <c r="A260" s="4">
        <v>1561</v>
      </c>
      <c r="B260" s="6" t="str">
        <f>VLOOKUP(LISTADO_PRODUCTOS_LISTBOX[Código],LISTADO_PRODUCTOS[#All],3)</f>
        <v>LIBRERÍA</v>
      </c>
      <c r="C260" s="6" t="str">
        <f>VLOOKUP(LISTADO_PRODUCTOS_LISTBOX[Código],LISTADO_PRODUCTOS[#All],4)</f>
        <v>Tabla periodica para carpeta</v>
      </c>
      <c r="D260" s="6" t="str">
        <f>VLOOKUP(LISTADO_PRODUCTOS_LISTBOX[Código],LISTADO_PRODUCTOS[#All],5)</f>
        <v>N/A</v>
      </c>
    </row>
    <row r="261" spans="1:4" ht="12" customHeight="1" x14ac:dyDescent="0.3">
      <c r="A261" s="4">
        <v>1563</v>
      </c>
      <c r="B261" s="6" t="str">
        <f>VLOOKUP(LISTADO_PRODUCTOS_LISTBOX[Código],LISTADO_PRODUCTOS[#All],3)</f>
        <v>LIBRERÍA</v>
      </c>
      <c r="C261" s="6" t="str">
        <f>VLOOKUP(LISTADO_PRODUCTOS_LISTBOX[Código],LISTADO_PRODUCTOS[#All],4)</f>
        <v>Block Dibujo Color N°5 Gloria - 103603 - 7791762001161</v>
      </c>
      <c r="D261" s="6" t="str">
        <f>VLOOKUP(LISTADO_PRODUCTOS_LISTBOX[Código],LISTADO_PRODUCTOS[#All],5)</f>
        <v>N/A</v>
      </c>
    </row>
    <row r="262" spans="1:4" ht="12" customHeight="1" x14ac:dyDescent="0.3">
      <c r="A262" s="4">
        <v>1565</v>
      </c>
      <c r="B262" s="6" t="str">
        <f>VLOOKUP(LISTADO_PRODUCTOS_LISTBOX[Código],LISTADO_PRODUCTOS[#All],3)</f>
        <v>LIBRERÍA</v>
      </c>
      <c r="C262" s="6" t="str">
        <f>VLOOKUP(LISTADO_PRODUCTOS_LISTBOX[Código],LISTADO_PRODUCTOS[#All],4)</f>
        <v>Sacapuntas Maped Ñoki</v>
      </c>
      <c r="D262" s="6" t="str">
        <f>VLOOKUP(LISTADO_PRODUCTOS_LISTBOX[Código],LISTADO_PRODUCTOS[#All],5)</f>
        <v>N/A</v>
      </c>
    </row>
    <row r="263" spans="1:4" ht="12" customHeight="1" x14ac:dyDescent="0.3">
      <c r="A263" s="4">
        <v>1569</v>
      </c>
      <c r="B263" s="6" t="str">
        <f>VLOOKUP(LISTADO_PRODUCTOS_LISTBOX[Código],LISTADO_PRODUCTOS[#All],3)</f>
        <v>LIBRERÍA</v>
      </c>
      <c r="C263" s="6" t="str">
        <f>VLOOKUP(LISTADO_PRODUCTOS_LISTBOX[Código],LISTADO_PRODUCTOS[#All],4)</f>
        <v xml:space="preserve">Aro OTA Sifap 35mm c/u </v>
      </c>
      <c r="D263" s="6" t="str">
        <f>VLOOKUP(LISTADO_PRODUCTOS_LISTBOX[Código],LISTADO_PRODUCTOS[#All],5)</f>
        <v>N/A</v>
      </c>
    </row>
    <row r="264" spans="1:4" ht="12" customHeight="1" x14ac:dyDescent="0.3">
      <c r="A264" s="4">
        <v>1570</v>
      </c>
      <c r="B264" s="6" t="str">
        <f>VLOOKUP(LISTADO_PRODUCTOS_LISTBOX[Código],LISTADO_PRODUCTOS[#All],3)</f>
        <v>LIBRERÍA</v>
      </c>
      <c r="C264" s="6" t="str">
        <f>VLOOKUP(LISTADO_PRODUCTOS_LISTBOX[Código],LISTADO_PRODUCTOS[#All],4)</f>
        <v>Aro OTA Sifap 40mm c/u</v>
      </c>
      <c r="D264" s="6" t="str">
        <f>VLOOKUP(LISTADO_PRODUCTOS_LISTBOX[Código],LISTADO_PRODUCTOS[#All],5)</f>
        <v>N/A</v>
      </c>
    </row>
    <row r="265" spans="1:4" ht="12" customHeight="1" x14ac:dyDescent="0.3">
      <c r="A265" s="4">
        <v>1571</v>
      </c>
      <c r="B265" s="6" t="str">
        <f>VLOOKUP(LISTADO_PRODUCTOS_LISTBOX[Código],LISTADO_PRODUCTOS[#All],3)</f>
        <v>LIBRERÍA</v>
      </c>
      <c r="C265" s="6" t="str">
        <f>VLOOKUP(LISTADO_PRODUCTOS_LISTBOX[Código],LISTADO_PRODUCTOS[#All],4)</f>
        <v xml:space="preserve">Aro OTA Sifap 50mm c/u </v>
      </c>
      <c r="D265" s="6" t="str">
        <f>VLOOKUP(LISTADO_PRODUCTOS_LISTBOX[Código],LISTADO_PRODUCTOS[#All],5)</f>
        <v>N/A</v>
      </c>
    </row>
    <row r="266" spans="1:4" ht="12" customHeight="1" x14ac:dyDescent="0.3">
      <c r="A266" s="4">
        <v>1578</v>
      </c>
      <c r="B266" s="6" t="str">
        <f>VLOOKUP(LISTADO_PRODUCTOS_LISTBOX[Código],LISTADO_PRODUCTOS[#All],3)</f>
        <v>LIBRERÍA</v>
      </c>
      <c r="C266" s="6" t="str">
        <f>VLOOKUP(LISTADO_PRODUCTOS_LISTBOX[Código],LISTADO_PRODUCTOS[#All],4)</f>
        <v>Tijera simball escolar Pop 12cm</v>
      </c>
      <c r="D266" s="6" t="str">
        <f>VLOOKUP(LISTADO_PRODUCTOS_LISTBOX[Código],LISTADO_PRODUCTOS[#All],5)</f>
        <v>N/A</v>
      </c>
    </row>
    <row r="267" spans="1:4" ht="12" customHeight="1" x14ac:dyDescent="0.3">
      <c r="A267" s="4">
        <v>1579</v>
      </c>
      <c r="B267" s="6" t="str">
        <f>VLOOKUP(LISTADO_PRODUCTOS_LISTBOX[Código],LISTADO_PRODUCTOS[#All],3)</f>
        <v>LIBRERÍA</v>
      </c>
      <c r="C267" s="6" t="str">
        <f>VLOOKUP(LISTADO_PRODUCTOS_LISTBOX[Código],LISTADO_PRODUCTOS[#All],4)</f>
        <v>Compas Maped Portalapiz</v>
      </c>
      <c r="D267" s="6" t="str">
        <f>VLOOKUP(LISTADO_PRODUCTOS_LISTBOX[Código],LISTADO_PRODUCTOS[#All],5)</f>
        <v>N/A</v>
      </c>
    </row>
    <row r="268" spans="1:4" ht="12" customHeight="1" x14ac:dyDescent="0.3">
      <c r="A268" s="4">
        <v>1580</v>
      </c>
      <c r="B268" s="6" t="str">
        <f>VLOOKUP(LISTADO_PRODUCTOS_LISTBOX[Código],LISTADO_PRODUCTOS[#All],3)</f>
        <v>LIBRERÍA</v>
      </c>
      <c r="C268" s="6" t="str">
        <f>VLOOKUP(LISTADO_PRODUCTOS_LISTBOX[Código],LISTADO_PRODUCTOS[#All],4)</f>
        <v>Colores Faber Castell x12 cortos</v>
      </c>
      <c r="D268" s="6" t="str">
        <f>VLOOKUP(LISTADO_PRODUCTOS_LISTBOX[Código],LISTADO_PRODUCTOS[#All],5)</f>
        <v>N/A</v>
      </c>
    </row>
    <row r="269" spans="1:4" ht="12" customHeight="1" x14ac:dyDescent="0.3">
      <c r="A269" s="4">
        <v>1581</v>
      </c>
      <c r="B269" s="6" t="str">
        <f>VLOOKUP(LISTADO_PRODUCTOS_LISTBOX[Código],LISTADO_PRODUCTOS[#All],3)</f>
        <v>LIBRERÍA</v>
      </c>
      <c r="C269" s="6" t="str">
        <f>VLOOKUP(LISTADO_PRODUCTOS_LISTBOX[Código],LISTADO_PRODUCTOS[#All],4)</f>
        <v>Roller Simball Pöwer Gel Mix up x 10u 5 Gel + 5 Glitter</v>
      </c>
      <c r="D269" s="6" t="str">
        <f>VLOOKUP(LISTADO_PRODUCTOS_LISTBOX[Código],LISTADO_PRODUCTOS[#All],5)</f>
        <v>N/A</v>
      </c>
    </row>
    <row r="270" spans="1:4" ht="12" customHeight="1" x14ac:dyDescent="0.3">
      <c r="A270" s="4">
        <v>1582</v>
      </c>
      <c r="B270" s="6" t="str">
        <f>VLOOKUP(LISTADO_PRODUCTOS_LISTBOX[Código],LISTADO_PRODUCTOS[#All],3)</f>
        <v>LIBRERÍA</v>
      </c>
      <c r="C270" s="6" t="str">
        <f>VLOOKUP(LISTADO_PRODUCTOS_LISTBOX[Código],LISTADO_PRODUCTOS[#All],4)</f>
        <v>Marcador de Pintura Trabí MarkAll</v>
      </c>
      <c r="D270" s="6" t="str">
        <f>VLOOKUP(LISTADO_PRODUCTOS_LISTBOX[Código],LISTADO_PRODUCTOS[#All],5)</f>
        <v>N/A</v>
      </c>
    </row>
    <row r="271" spans="1:4" ht="12" customHeight="1" x14ac:dyDescent="0.3">
      <c r="A271" s="4">
        <v>1583</v>
      </c>
      <c r="B271" s="6" t="str">
        <f>VLOOKUP(LISTADO_PRODUCTOS_LISTBOX[Código],LISTADO_PRODUCTOS[#All],3)</f>
        <v>LIBRERÍA</v>
      </c>
      <c r="C271" s="6" t="str">
        <f>VLOOKUP(LISTADO_PRODUCTOS_LISTBOX[Código],LISTADO_PRODUCTOS[#All],4)</f>
        <v>Minas OTA para compas</v>
      </c>
      <c r="D271" s="6" t="str">
        <f>VLOOKUP(LISTADO_PRODUCTOS_LISTBOX[Código],LISTADO_PRODUCTOS[#All],5)</f>
        <v>N/A</v>
      </c>
    </row>
    <row r="272" spans="1:4" ht="12" customHeight="1" x14ac:dyDescent="0.3">
      <c r="A272" s="4">
        <v>1584</v>
      </c>
      <c r="B272" s="6" t="str">
        <f>VLOOKUP(LISTADO_PRODUCTOS_LISTBOX[Código],LISTADO_PRODUCTOS[#All],3)</f>
        <v>LIBRERÍA</v>
      </c>
      <c r="C272" s="6" t="str">
        <f>VLOOKUP(LISTADO_PRODUCTOS_LISTBOX[Código],LISTADO_PRODUCTOS[#All],4)</f>
        <v>Tubo portaplano</v>
      </c>
      <c r="D272" s="6" t="str">
        <f>VLOOKUP(LISTADO_PRODUCTOS_LISTBOX[Código],LISTADO_PRODUCTOS[#All],5)</f>
        <v>N/A</v>
      </c>
    </row>
    <row r="273" spans="1:4" ht="12" customHeight="1" x14ac:dyDescent="0.3">
      <c r="A273" s="4">
        <v>1585</v>
      </c>
      <c r="B273" s="6" t="str">
        <f>VLOOKUP(LISTADO_PRODUCTOS_LISTBOX[Código],LISTADO_PRODUCTOS[#All],3)</f>
        <v>LIBRERÍA</v>
      </c>
      <c r="C273" s="6" t="str">
        <f>VLOOKUP(LISTADO_PRODUCTOS_LISTBOX[Código],LISTADO_PRODUCTOS[#All],4)</f>
        <v>Boligrafo Paper mate lex Grip Ultra 1mm Retractil</v>
      </c>
      <c r="D273" s="6" t="str">
        <f>VLOOKUP(LISTADO_PRODUCTOS_LISTBOX[Código],LISTADO_PRODUCTOS[#All],5)</f>
        <v>N/A</v>
      </c>
    </row>
    <row r="274" spans="1:4" ht="12" customHeight="1" x14ac:dyDescent="0.3">
      <c r="A274" s="4">
        <v>1587</v>
      </c>
      <c r="B274" s="6" t="str">
        <f>VLOOKUP(LISTADO_PRODUCTOS_LISTBOX[Código],LISTADO_PRODUCTOS[#All],3)</f>
        <v>LIBRERÍA</v>
      </c>
      <c r="C274" s="6" t="str">
        <f>VLOOKUP(LISTADO_PRODUCTOS_LISTBOX[Código],LISTADO_PRODUCTOS[#All],4)</f>
        <v>Cuaderno Laprida Tapa dura escolar 98h 90gr</v>
      </c>
      <c r="D274" s="6" t="str">
        <f>VLOOKUP(LISTADO_PRODUCTOS_LISTBOX[Código],LISTADO_PRODUCTOS[#All],5)</f>
        <v>N/A</v>
      </c>
    </row>
    <row r="275" spans="1:4" ht="12" customHeight="1" x14ac:dyDescent="0.3">
      <c r="A275" s="4">
        <v>1588</v>
      </c>
      <c r="B275" s="6" t="str">
        <f>VLOOKUP(LISTADO_PRODUCTOS_LISTBOX[Código],LISTADO_PRODUCTOS[#All],3)</f>
        <v>LIBRERÍA</v>
      </c>
      <c r="C275" s="6" t="str">
        <f>VLOOKUP(LISTADO_PRODUCTOS_LISTBOX[Código],LISTADO_PRODUCTOS[#All],4)</f>
        <v>Repuesto Rescolar Rivadavia N°3 Clasico Con Rótulo Hojas Super Gruesas</v>
      </c>
      <c r="D275" s="6" t="str">
        <f>VLOOKUP(LISTADO_PRODUCTOS_LISTBOX[Código],LISTADO_PRODUCTOS[#All],5)</f>
        <v>N/A</v>
      </c>
    </row>
    <row r="276" spans="1:4" ht="12" customHeight="1" x14ac:dyDescent="0.3">
      <c r="A276" s="4">
        <v>1589</v>
      </c>
      <c r="B276" s="6" t="str">
        <f>VLOOKUP(LISTADO_PRODUCTOS_LISTBOX[Código],LISTADO_PRODUCTOS[#All],3)</f>
        <v>LIBRERÍA</v>
      </c>
      <c r="C276" s="6" t="str">
        <f>VLOOKUP(LISTADO_PRODUCTOS_LISTBOX[Código],LISTADO_PRODUCTOS[#All],4)</f>
        <v>Tablero de Dibujo Tecnico 40x50 C/atril 6 POS (7753) Pizzini - 7793198775302</v>
      </c>
      <c r="D276" s="6" t="str">
        <f>VLOOKUP(LISTADO_PRODUCTOS_LISTBOX[Código],LISTADO_PRODUCTOS[#All],5)</f>
        <v>N/A</v>
      </c>
    </row>
    <row r="277" spans="1:4" ht="12" customHeight="1" x14ac:dyDescent="0.3">
      <c r="A277" s="4">
        <v>1591</v>
      </c>
      <c r="B277" s="6" t="str">
        <f>VLOOKUP(LISTADO_PRODUCTOS_LISTBOX[Código],LISTADO_PRODUCTOS[#All],3)</f>
        <v>LIBRERÍA</v>
      </c>
      <c r="C277" s="6" t="str">
        <f>VLOOKUP(LISTADO_PRODUCTOS_LISTBOX[Código],LISTADO_PRODUCTOS[#All],4)</f>
        <v>Lapiz Negro de Graduacion Trabi</v>
      </c>
      <c r="D277" s="6" t="str">
        <f>VLOOKUP(LISTADO_PRODUCTOS_LISTBOX[Código],LISTADO_PRODUCTOS[#All],5)</f>
        <v>N/A</v>
      </c>
    </row>
    <row r="278" spans="1:4" ht="12" customHeight="1" x14ac:dyDescent="0.3">
      <c r="A278" s="4">
        <v>1597</v>
      </c>
      <c r="B278" s="6" t="str">
        <f>VLOOKUP(LISTADO_PRODUCTOS_LISTBOX[Código],LISTADO_PRODUCTOS[#All],3)</f>
        <v>LIBRERÍA</v>
      </c>
      <c r="C278" s="6" t="str">
        <f>VLOOKUP(LISTADO_PRODUCTOS_LISTBOX[Código],LISTADO_PRODUCTOS[#All],4)</f>
        <v>Boligrafo Borrable Filgo Borrax</v>
      </c>
      <c r="D278" s="6" t="str">
        <f>VLOOKUP(LISTADO_PRODUCTOS_LISTBOX[Código],LISTADO_PRODUCTOS[#All],5)</f>
        <v>N/A</v>
      </c>
    </row>
    <row r="279" spans="1:4" ht="12" customHeight="1" x14ac:dyDescent="0.3">
      <c r="A279" s="4">
        <v>1600</v>
      </c>
      <c r="B279" s="6" t="str">
        <f>VLOOKUP(LISTADO_PRODUCTOS_LISTBOX[Código],LISTADO_PRODUCTOS[#All],3)</f>
        <v>LIBRERÍA</v>
      </c>
      <c r="C279" s="6" t="str">
        <f>VLOOKUP(LISTADO_PRODUCTOS_LISTBOX[Código],LISTADO_PRODUCTOS[#All],4)</f>
        <v>Carpeta Nº6 para dibujo el nene c/repuestos</v>
      </c>
      <c r="D279" s="6" t="str">
        <f>VLOOKUP(LISTADO_PRODUCTOS_LISTBOX[Código],LISTADO_PRODUCTOS[#All],5)</f>
        <v>N/A</v>
      </c>
    </row>
    <row r="280" spans="1:4" ht="12" customHeight="1" x14ac:dyDescent="0.3">
      <c r="A280" s="4">
        <v>1601</v>
      </c>
      <c r="B280" s="6" t="str">
        <f>VLOOKUP(LISTADO_PRODUCTOS_LISTBOX[Código],LISTADO_PRODUCTOS[#All],3)</f>
        <v>LIBRERÍA</v>
      </c>
      <c r="C280" s="6" t="str">
        <f>VLOOKUP(LISTADO_PRODUCTOS_LISTBOX[Código],LISTADO_PRODUCTOS[#All],4)</f>
        <v>Carpeta Nº6 para dibujo asamblea s/rep</v>
      </c>
      <c r="D280" s="6" t="str">
        <f>VLOOKUP(LISTADO_PRODUCTOS_LISTBOX[Código],LISTADO_PRODUCTOS[#All],5)</f>
        <v>N/A</v>
      </c>
    </row>
    <row r="281" spans="1:4" ht="12" customHeight="1" x14ac:dyDescent="0.3">
      <c r="A281" s="4">
        <v>1602</v>
      </c>
      <c r="B281" s="6" t="str">
        <f>VLOOKUP(LISTADO_PRODUCTOS_LISTBOX[Código],LISTADO_PRODUCTOS[#All],3)</f>
        <v>LIBRERÍA</v>
      </c>
      <c r="C281" s="6" t="str">
        <f>VLOOKUP(LISTADO_PRODUCTOS_LISTBOX[Código],LISTADO_PRODUCTOS[#All],4)</f>
        <v>Sacapuntas Keyroad Rubber 2 tamaños</v>
      </c>
      <c r="D281" s="6" t="str">
        <f>VLOOKUP(LISTADO_PRODUCTOS_LISTBOX[Código],LISTADO_PRODUCTOS[#All],5)</f>
        <v>N/A</v>
      </c>
    </row>
    <row r="282" spans="1:4" ht="12" customHeight="1" x14ac:dyDescent="0.3">
      <c r="A282" s="4">
        <v>1604</v>
      </c>
      <c r="B282" s="6" t="str">
        <f>VLOOKUP(LISTADO_PRODUCTOS_LISTBOX[Código],LISTADO_PRODUCTOS[#All],3)</f>
        <v>LIBRERÍA</v>
      </c>
      <c r="C282" s="6" t="str">
        <f>VLOOKUP(LISTADO_PRODUCTOS_LISTBOX[Código],LISTADO_PRODUCTOS[#All],4)</f>
        <v>Colores largos Simball FLUO x 6</v>
      </c>
      <c r="D282" s="6" t="str">
        <f>VLOOKUP(LISTADO_PRODUCTOS_LISTBOX[Código],LISTADO_PRODUCTOS[#All],5)</f>
        <v>N/A</v>
      </c>
    </row>
    <row r="283" spans="1:4" ht="12" customHeight="1" x14ac:dyDescent="0.3">
      <c r="A283" s="4">
        <v>1607</v>
      </c>
      <c r="B283" s="6" t="str">
        <f>VLOOKUP(LISTADO_PRODUCTOS_LISTBOX[Código],LISTADO_PRODUCTOS[#All],3)</f>
        <v>LIBRERÍA</v>
      </c>
      <c r="C283" s="6" t="str">
        <f>VLOOKUP(LISTADO_PRODUCTOS_LISTBOX[Código],LISTADO_PRODUCTOS[#All],4)</f>
        <v>Repuesto azul borrable Borrax Filgo</v>
      </c>
      <c r="D283" s="6" t="str">
        <f>VLOOKUP(LISTADO_PRODUCTOS_LISTBOX[Código],LISTADO_PRODUCTOS[#All],5)</f>
        <v>N/A</v>
      </c>
    </row>
    <row r="284" spans="1:4" ht="12" customHeight="1" x14ac:dyDescent="0.3">
      <c r="A284" s="4">
        <v>1608</v>
      </c>
      <c r="B284" s="6" t="str">
        <f>VLOOKUP(LISTADO_PRODUCTOS_LISTBOX[Código],LISTADO_PRODUCTOS[#All],3)</f>
        <v>LIBRERÍA</v>
      </c>
      <c r="C284" s="6" t="str">
        <f>VLOOKUP(LISTADO_PRODUCTOS_LISTBOX[Código],LISTADO_PRODUCTOS[#All],4)</f>
        <v>Crayon Playcolor Jumbo FLUO x 6</v>
      </c>
      <c r="D284" s="6" t="str">
        <f>VLOOKUP(LISTADO_PRODUCTOS_LISTBOX[Código],LISTADO_PRODUCTOS[#All],5)</f>
        <v>N/A</v>
      </c>
    </row>
    <row r="285" spans="1:4" ht="12" customHeight="1" x14ac:dyDescent="0.3">
      <c r="A285" s="4">
        <v>1609</v>
      </c>
      <c r="B285" s="6" t="str">
        <f>VLOOKUP(LISTADO_PRODUCTOS_LISTBOX[Código],LISTADO_PRODUCTOS[#All],3)</f>
        <v>LIBRERÍA</v>
      </c>
      <c r="C285" s="6" t="str">
        <f>VLOOKUP(LISTADO_PRODUCTOS_LISTBOX[Código],LISTADO_PRODUCTOS[#All],4)</f>
        <v>Marcadores Mooving punta pincel pastel x 6u</v>
      </c>
      <c r="D285" s="6" t="str">
        <f>VLOOKUP(LISTADO_PRODUCTOS_LISTBOX[Código],LISTADO_PRODUCTOS[#All],5)</f>
        <v>N/A</v>
      </c>
    </row>
    <row r="286" spans="1:4" ht="12" customHeight="1" x14ac:dyDescent="0.3">
      <c r="A286" s="4">
        <v>1610</v>
      </c>
      <c r="B286" s="6" t="str">
        <f>VLOOKUP(LISTADO_PRODUCTOS_LISTBOX[Código],LISTADO_PRODUCTOS[#All],3)</f>
        <v>LIBRERÍA</v>
      </c>
      <c r="C286" s="6" t="str">
        <f>VLOOKUP(LISTADO_PRODUCTOS_LISTBOX[Código],LISTADO_PRODUCTOS[#All],4)</f>
        <v>Pizarra DELI A4 Magnetica con imanes</v>
      </c>
      <c r="D286" s="6" t="str">
        <f>VLOOKUP(LISTADO_PRODUCTOS_LISTBOX[Código],LISTADO_PRODUCTOS[#All],5)</f>
        <v>N/A</v>
      </c>
    </row>
    <row r="287" spans="1:4" ht="12" customHeight="1" x14ac:dyDescent="0.3">
      <c r="A287" s="4">
        <v>1611</v>
      </c>
      <c r="B287" s="6" t="str">
        <f>VLOOKUP(LISTADO_PRODUCTOS_LISTBOX[Código],LISTADO_PRODUCTOS[#All],3)</f>
        <v>LIBRERÍA</v>
      </c>
      <c r="C287" s="6" t="str">
        <f>VLOOKUP(LISTADO_PRODUCTOS_LISTBOX[Código],LISTADO_PRODUCTOS[#All],4)</f>
        <v>Folio Luma N°3 reforzado $25 C/u</v>
      </c>
      <c r="D287" s="6" t="str">
        <f>VLOOKUP(LISTADO_PRODUCTOS_LISTBOX[Código],LISTADO_PRODUCTOS[#All],5)</f>
        <v>N/A</v>
      </c>
    </row>
    <row r="288" spans="1:4" ht="12" customHeight="1" x14ac:dyDescent="0.3">
      <c r="A288" s="4">
        <v>1612</v>
      </c>
      <c r="B288" s="6" t="str">
        <f>VLOOKUP(LISTADO_PRODUCTOS_LISTBOX[Código],LISTADO_PRODUCTOS[#All],3)</f>
        <v>LIBRERÍA</v>
      </c>
      <c r="C288" s="6" t="str">
        <f>VLOOKUP(LISTADO_PRODUCTOS_LISTBOX[Código],LISTADO_PRODUCTOS[#All],4)</f>
        <v>Cuaderno Mooving Magnifique 80h T/C</v>
      </c>
      <c r="D288" s="6" t="str">
        <f>VLOOKUP(LISTADO_PRODUCTOS_LISTBOX[Código],LISTADO_PRODUCTOS[#All],5)</f>
        <v>N/A</v>
      </c>
    </row>
    <row r="289" spans="1:4" ht="12" customHeight="1" x14ac:dyDescent="0.3">
      <c r="A289" s="4">
        <v>1613</v>
      </c>
      <c r="B289" s="6" t="str">
        <f>VLOOKUP(LISTADO_PRODUCTOS_LISTBOX[Código],LISTADO_PRODUCTOS[#All],3)</f>
        <v>LIBRERÍA</v>
      </c>
      <c r="C289" s="6" t="str">
        <f>VLOOKUP(LISTADO_PRODUCTOS_LISTBOX[Código],LISTADO_PRODUCTOS[#All],4)</f>
        <v>Cuaderno Mooving Magnifique 120 Hojas Tapa Dura hojas con borde color</v>
      </c>
      <c r="D289" s="6" t="str">
        <f>VLOOKUP(LISTADO_PRODUCTOS_LISTBOX[Código],LISTADO_PRODUCTOS[#All],5)</f>
        <v>N/A</v>
      </c>
    </row>
    <row r="290" spans="1:4" ht="12" customHeight="1" x14ac:dyDescent="0.3">
      <c r="A290" s="4">
        <v>1614</v>
      </c>
      <c r="B290" s="6" t="str">
        <f>VLOOKUP(LISTADO_PRODUCTOS_LISTBOX[Código],LISTADO_PRODUCTOS[#All],3)</f>
        <v>LIBRERÍA</v>
      </c>
      <c r="C290" s="6" t="str">
        <f>VLOOKUP(LISTADO_PRODUCTOS_LISTBOX[Código],LISTADO_PRODUCTOS[#All],4)</f>
        <v>Cuaderno Mooving Minnie Mouse Tapa Carton Semi Rigida 80h</v>
      </c>
      <c r="D290" s="6" t="str">
        <f>VLOOKUP(LISTADO_PRODUCTOS_LISTBOX[Código],LISTADO_PRODUCTOS[#All],5)</f>
        <v>N/A</v>
      </c>
    </row>
    <row r="291" spans="1:4" ht="12" customHeight="1" x14ac:dyDescent="0.3">
      <c r="A291" s="4">
        <v>1615</v>
      </c>
      <c r="B291" s="6" t="str">
        <f>VLOOKUP(LISTADO_PRODUCTOS_LISTBOX[Código],LISTADO_PRODUCTOS[#All],3)</f>
        <v>LIBRERÍA</v>
      </c>
      <c r="C291" s="6" t="str">
        <f>VLOOKUP(LISTADO_PRODUCTOS_LISTBOX[Código],LISTADO_PRODUCTOS[#All],4)</f>
        <v xml:space="preserve">Boligrafo BIC Cristal UP 1.2mm x8col surtidos </v>
      </c>
      <c r="D291" s="6" t="str">
        <f>VLOOKUP(LISTADO_PRODUCTOS_LISTBOX[Código],LISTADO_PRODUCTOS[#All],5)</f>
        <v>N/A</v>
      </c>
    </row>
    <row r="292" spans="1:4" ht="12" customHeight="1" x14ac:dyDescent="0.3">
      <c r="A292" s="4">
        <v>1616</v>
      </c>
      <c r="B292" s="6" t="str">
        <f>VLOOKUP(LISTADO_PRODUCTOS_LISTBOX[Código],LISTADO_PRODUCTOS[#All],3)</f>
        <v>LIBRERÍA</v>
      </c>
      <c r="C292" s="6" t="str">
        <f>VLOOKUP(LISTADO_PRODUCTOS_LISTBOX[Código],LISTADO_PRODUCTOS[#All],4)</f>
        <v>Blister Resaltador Filgo Text Marker FLUO</v>
      </c>
      <c r="D292" s="6" t="str">
        <f>VLOOKUP(LISTADO_PRODUCTOS_LISTBOX[Código],LISTADO_PRODUCTOS[#All],5)</f>
        <v>N/A</v>
      </c>
    </row>
    <row r="293" spans="1:4" ht="12" customHeight="1" x14ac:dyDescent="0.3">
      <c r="A293" s="4">
        <v>1617</v>
      </c>
      <c r="B293" s="6" t="str">
        <f>VLOOKUP(LISTADO_PRODUCTOS_LISTBOX[Código],LISTADO_PRODUCTOS[#All],3)</f>
        <v>LIBRERÍA</v>
      </c>
      <c r="C293" s="6" t="str">
        <f>VLOOKUP(LISTADO_PRODUCTOS_LISTBOX[Código],LISTADO_PRODUCTOS[#All],4)</f>
        <v>Lapicera Punta Aguja Super Point Filgo</v>
      </c>
      <c r="D293" s="6" t="str">
        <f>VLOOKUP(LISTADO_PRODUCTOS_LISTBOX[Código],LISTADO_PRODUCTOS[#All],5)</f>
        <v>N/A</v>
      </c>
    </row>
    <row r="294" spans="1:4" ht="12" customHeight="1" x14ac:dyDescent="0.3">
      <c r="A294" s="4">
        <v>1618</v>
      </c>
      <c r="B294" s="6" t="str">
        <f>VLOOKUP(LISTADO_PRODUCTOS_LISTBOX[Código],LISTADO_PRODUCTOS[#All],3)</f>
        <v>LIBRERÍA</v>
      </c>
      <c r="C294" s="6" t="str">
        <f>VLOOKUP(LISTADO_PRODUCTOS_LISTBOX[Código],LISTADO_PRODUCTOS[#All],4)</f>
        <v>Rgla de Aluminio Keyroad C/Porta Lapiz 20cm KR9</v>
      </c>
      <c r="D294" s="6" t="str">
        <f>VLOOKUP(LISTADO_PRODUCTOS_LISTBOX[Código],LISTADO_PRODUCTOS[#All],5)</f>
        <v>N/A</v>
      </c>
    </row>
    <row r="295" spans="1:4" ht="12" customHeight="1" x14ac:dyDescent="0.3">
      <c r="A295" s="4">
        <v>1619</v>
      </c>
      <c r="B295" s="6" t="str">
        <f>VLOOKUP(LISTADO_PRODUCTOS_LISTBOX[Código],LISTADO_PRODUCTOS[#All],3)</f>
        <v>LIBRERÍA</v>
      </c>
      <c r="C295" s="6" t="str">
        <f>VLOOKUP(LISTADO_PRODUCTOS_LISTBOX[Código],LISTADO_PRODUCTOS[#All],4)</f>
        <v>Rgla de Aluminio Keyroad C/Porta Lapiz 30cm KR9</v>
      </c>
      <c r="D295" s="6" t="str">
        <f>VLOOKUP(LISTADO_PRODUCTOS_LISTBOX[Código],LISTADO_PRODUCTOS[#All],5)</f>
        <v>N/A</v>
      </c>
    </row>
    <row r="296" spans="1:4" ht="12" customHeight="1" x14ac:dyDescent="0.3">
      <c r="A296" s="4">
        <v>1620</v>
      </c>
      <c r="B296" s="6" t="str">
        <f>VLOOKUP(LISTADO_PRODUCTOS_LISTBOX[Código],LISTADO_PRODUCTOS[#All],3)</f>
        <v>LIBRERÍA</v>
      </c>
      <c r="C296" s="6" t="str">
        <f>VLOOKUP(LISTADO_PRODUCTOS_LISTBOX[Código],LISTADO_PRODUCTOS[#All],4)</f>
        <v>Marcador permanente Edding 404 punta fina</v>
      </c>
      <c r="D296" s="6" t="str">
        <f>VLOOKUP(LISTADO_PRODUCTOS_LISTBOX[Código],LISTADO_PRODUCTOS[#All],5)</f>
        <v>N/A</v>
      </c>
    </row>
    <row r="297" spans="1:4" ht="12" customHeight="1" x14ac:dyDescent="0.3">
      <c r="A297" s="4">
        <v>1621</v>
      </c>
      <c r="B297" s="6" t="str">
        <f>VLOOKUP(LISTADO_PRODUCTOS_LISTBOX[Código],LISTADO_PRODUCTOS[#All],3)</f>
        <v>LIBRERÍA</v>
      </c>
      <c r="C297" s="6" t="str">
        <f>VLOOKUP(LISTADO_PRODUCTOS_LISTBOX[Código],LISTADO_PRODUCTOS[#All],4)</f>
        <v>Roller Super Ball Filgo</v>
      </c>
      <c r="D297" s="6" t="str">
        <f>VLOOKUP(LISTADO_PRODUCTOS_LISTBOX[Código],LISTADO_PRODUCTOS[#All],5)</f>
        <v>N/A</v>
      </c>
    </row>
    <row r="298" spans="1:4" ht="12" customHeight="1" x14ac:dyDescent="0.3">
      <c r="A298" s="4">
        <v>1624</v>
      </c>
      <c r="B298" s="6" t="str">
        <f>VLOOKUP(LISTADO_PRODUCTOS_LISTBOX[Código],LISTADO_PRODUCTOS[#All],3)</f>
        <v>LIBRERÍA</v>
      </c>
      <c r="C298" s="6" t="str">
        <f>VLOOKUP(LISTADO_PRODUCTOS_LISTBOX[Código],LISTADO_PRODUCTOS[#All],4)</f>
        <v>Adhesivo Glitter NEON/Pastel/Glue 21gr colores surtidos C/U</v>
      </c>
      <c r="D298" s="6" t="str">
        <f>VLOOKUP(LISTADO_PRODUCTOS_LISTBOX[Código],LISTADO_PRODUCTOS[#All],5)</f>
        <v>N/A</v>
      </c>
    </row>
    <row r="299" spans="1:4" ht="12" customHeight="1" x14ac:dyDescent="0.3">
      <c r="A299" s="4">
        <v>1627</v>
      </c>
      <c r="B299" s="6" t="str">
        <f>VLOOKUP(LISTADO_PRODUCTOS_LISTBOX[Código],LISTADO_PRODUCTOS[#All],3)</f>
        <v>LIBRERÍA</v>
      </c>
      <c r="C299" s="6" t="str">
        <f>VLOOKUP(LISTADO_PRODUCTOS_LISTBOX[Código],LISTADO_PRODUCTOS[#All],4)</f>
        <v>Fibron Faber Castell al agua 56 P.Red.</v>
      </c>
      <c r="D299" s="6" t="str">
        <f>VLOOKUP(LISTADO_PRODUCTOS_LISTBOX[Código],LISTADO_PRODUCTOS[#All],5)</f>
        <v>N/A</v>
      </c>
    </row>
    <row r="300" spans="1:4" ht="12" customHeight="1" x14ac:dyDescent="0.3">
      <c r="A300" s="4">
        <v>1628</v>
      </c>
      <c r="B300" s="6" t="str">
        <f>VLOOKUP(LISTADO_PRODUCTOS_LISTBOX[Código],LISTADO_PRODUCTOS[#All],3)</f>
        <v>LIBRERÍA</v>
      </c>
      <c r="C300" s="6" t="str">
        <f>VLOOKUP(LISTADO_PRODUCTOS_LISTBOX[Código],LISTADO_PRODUCTOS[#All],4)</f>
        <v>Block Cartulina entretenida Antiestress anti stress Muresco</v>
      </c>
      <c r="D300" s="6" t="str">
        <f>VLOOKUP(LISTADO_PRODUCTOS_LISTBOX[Código],LISTADO_PRODUCTOS[#All],5)</f>
        <v>N/A</v>
      </c>
    </row>
    <row r="301" spans="1:4" ht="12" customHeight="1" x14ac:dyDescent="0.3">
      <c r="A301" s="4">
        <v>1629</v>
      </c>
      <c r="B301" s="6" t="str">
        <f>VLOOKUP(LISTADO_PRODUCTOS_LISTBOX[Código],LISTADO_PRODUCTOS[#All],3)</f>
        <v>LIBRERÍA</v>
      </c>
      <c r="C301" s="6" t="str">
        <f>VLOOKUP(LISTADO_PRODUCTOS_LISTBOX[Código],LISTADO_PRODUCTOS[#All],4)</f>
        <v>Block Cartulina entretenida Muresco Negra/celeste/amarillo/rosa surtida</v>
      </c>
      <c r="D301" s="6" t="str">
        <f>VLOOKUP(LISTADO_PRODUCTOS_LISTBOX[Código],LISTADO_PRODUCTOS[#All],5)</f>
        <v>N/A</v>
      </c>
    </row>
    <row r="302" spans="1:4" ht="12" customHeight="1" x14ac:dyDescent="0.3">
      <c r="A302" s="4">
        <v>1634</v>
      </c>
      <c r="B302" s="6" t="str">
        <f>VLOOKUP(LISTADO_PRODUCTOS_LISTBOX[Código],LISTADO_PRODUCTOS[#All],3)</f>
        <v>LIBRERÍA</v>
      </c>
      <c r="C302" s="6" t="str">
        <f>VLOOKUP(LISTADO_PRODUCTOS_LISTBOX[Código],LISTADO_PRODUCTOS[#All],4)</f>
        <v>Fibron Pelikan Permanente Punta Redonda 441</v>
      </c>
      <c r="D302" s="6" t="str">
        <f>VLOOKUP(LISTADO_PRODUCTOS_LISTBOX[Código],LISTADO_PRODUCTOS[#All],5)</f>
        <v>N/A</v>
      </c>
    </row>
    <row r="303" spans="1:4" ht="12" customHeight="1" x14ac:dyDescent="0.3">
      <c r="A303" s="4">
        <v>1638</v>
      </c>
      <c r="B303" s="6" t="str">
        <f>VLOOKUP(LISTADO_PRODUCTOS_LISTBOX[Código],LISTADO_PRODUCTOS[#All],3)</f>
        <v>LIBRERÍA</v>
      </c>
      <c r="C303" s="6" t="str">
        <f>VLOOKUP(LISTADO_PRODUCTOS_LISTBOX[Código],LISTADO_PRODUCTOS[#All],4)</f>
        <v>Block N°6 Capitolio Blanco</v>
      </c>
      <c r="D303" s="6" t="str">
        <f>VLOOKUP(LISTADO_PRODUCTOS_LISTBOX[Código],LISTADO_PRODUCTOS[#All],5)</f>
        <v>N/A</v>
      </c>
    </row>
    <row r="304" spans="1:4" ht="12" customHeight="1" x14ac:dyDescent="0.3">
      <c r="A304" s="4">
        <v>1640</v>
      </c>
      <c r="B304" s="6" t="str">
        <f>VLOOKUP(LISTADO_PRODUCTOS_LISTBOX[Código],LISTADO_PRODUCTOS[#All],3)</f>
        <v>LIBRERÍA</v>
      </c>
      <c r="C304" s="6" t="str">
        <f>VLOOKUP(LISTADO_PRODUCTOS_LISTBOX[Código],LISTADO_PRODUCTOS[#All],4)</f>
        <v>Block N°5 Muresco 22 x 29.5 Afiche color x 50h colores</v>
      </c>
      <c r="D304" s="6" t="str">
        <f>VLOOKUP(LISTADO_PRODUCTOS_LISTBOX[Código],LISTADO_PRODUCTOS[#All],5)</f>
        <v>N/A</v>
      </c>
    </row>
    <row r="305" spans="1:4" ht="12" customHeight="1" x14ac:dyDescent="0.3">
      <c r="A305" s="4">
        <v>1641</v>
      </c>
      <c r="B305" s="6" t="str">
        <f>VLOOKUP(LISTADO_PRODUCTOS_LISTBOX[Código],LISTADO_PRODUCTOS[#All],3)</f>
        <v>LIBRERÍA</v>
      </c>
      <c r="C305" s="6" t="str">
        <f>VLOOKUP(LISTADO_PRODUCTOS_LISTBOX[Código],LISTADO_PRODUCTOS[#All],4)</f>
        <v>Lapiz Borratinta Staedtler escobilla</v>
      </c>
      <c r="D305" s="6" t="str">
        <f>VLOOKUP(LISTADO_PRODUCTOS_LISTBOX[Código],LISTADO_PRODUCTOS[#All],5)</f>
        <v>N/A</v>
      </c>
    </row>
    <row r="306" spans="1:4" ht="12" customHeight="1" x14ac:dyDescent="0.3">
      <c r="A306" s="4">
        <v>1643</v>
      </c>
      <c r="B306" s="6" t="str">
        <f>VLOOKUP(LISTADO_PRODUCTOS_LISTBOX[Código],LISTADO_PRODUCTOS[#All],3)</f>
        <v>LIBRERÍA</v>
      </c>
      <c r="C306" s="6" t="str">
        <f>VLOOKUP(LISTADO_PRODUCTOS_LISTBOX[Código],LISTADO_PRODUCTOS[#All],4)</f>
        <v>Block Capitolio Collage 20h</v>
      </c>
      <c r="D306" s="6" t="str">
        <f>VLOOKUP(LISTADO_PRODUCTOS_LISTBOX[Código],LISTADO_PRODUCTOS[#All],5)</f>
        <v>N/A</v>
      </c>
    </row>
    <row r="307" spans="1:4" ht="12" customHeight="1" x14ac:dyDescent="0.3">
      <c r="A307" s="4">
        <v>1644</v>
      </c>
      <c r="B307" s="6" t="str">
        <f>VLOOKUP(LISTADO_PRODUCTOS_LISTBOX[Código],LISTADO_PRODUCTOS[#All],3)</f>
        <v>LIBRERÍA</v>
      </c>
      <c r="C307" s="6" t="str">
        <f>VLOOKUP(LISTADO_PRODUCTOS_LISTBOX[Código],LISTADO_PRODUCTOS[#All],4)</f>
        <v>Adhesivo en barra Giotto 36g</v>
      </c>
      <c r="D307" s="6" t="str">
        <f>VLOOKUP(LISTADO_PRODUCTOS_LISTBOX[Código],LISTADO_PRODUCTOS[#All],5)</f>
        <v>N/A</v>
      </c>
    </row>
    <row r="308" spans="1:4" ht="12" customHeight="1" x14ac:dyDescent="0.3">
      <c r="A308" s="4">
        <v>1645</v>
      </c>
      <c r="B308" s="6" t="str">
        <f>VLOOKUP(LISTADO_PRODUCTOS_LISTBOX[Código],LISTADO_PRODUCTOS[#All],3)</f>
        <v>LIBRERÍA</v>
      </c>
      <c r="C308" s="6" t="str">
        <f>VLOOKUP(LISTADO_PRODUCTOS_LISTBOX[Código],LISTADO_PRODUCTOS[#All],4)</f>
        <v>Goma DELI Scribe Eraser H00110</v>
      </c>
      <c r="D308" s="6" t="str">
        <f>VLOOKUP(LISTADO_PRODUCTOS_LISTBOX[Código],LISTADO_PRODUCTOS[#All],5)</f>
        <v>N/A</v>
      </c>
    </row>
    <row r="309" spans="1:4" ht="12" customHeight="1" x14ac:dyDescent="0.3">
      <c r="A309" s="4">
        <v>1648</v>
      </c>
      <c r="B309" s="6" t="str">
        <f>VLOOKUP(LISTADO_PRODUCTOS_LISTBOX[Código],LISTADO_PRODUCTOS[#All],3)</f>
        <v>LIBRERÍA</v>
      </c>
      <c r="C309" s="6" t="str">
        <f>VLOOKUP(LISTADO_PRODUCTOS_LISTBOX[Código],LISTADO_PRODUCTOS[#All],4)</f>
        <v>Carpeta Util-of</v>
      </c>
      <c r="D309" s="6" t="str">
        <f>VLOOKUP(LISTADO_PRODUCTOS_LISTBOX[Código],LISTADO_PRODUCTOS[#All],5)</f>
        <v>N/A</v>
      </c>
    </row>
    <row r="310" spans="1:4" ht="12" customHeight="1" x14ac:dyDescent="0.3">
      <c r="A310" s="4">
        <v>1651</v>
      </c>
      <c r="B310" s="6" t="str">
        <f>VLOOKUP(LISTADO_PRODUCTOS_LISTBOX[Código],LISTADO_PRODUCTOS[#All],3)</f>
        <v>LIBRERÍA</v>
      </c>
      <c r="C310" s="6" t="str">
        <f>VLOOKUP(LISTADO_PRODUCTOS_LISTBOX[Código],LISTADO_PRODUCTOS[#All],4)</f>
        <v>Set Microfibras Filgo Liner 038 x 10</v>
      </c>
      <c r="D310" s="6" t="str">
        <f>VLOOKUP(LISTADO_PRODUCTOS_LISTBOX[Código],LISTADO_PRODUCTOS[#All],5)</f>
        <v>N/A</v>
      </c>
    </row>
    <row r="311" spans="1:4" ht="12" customHeight="1" x14ac:dyDescent="0.3">
      <c r="A311" s="4">
        <v>1652</v>
      </c>
      <c r="B311" s="6" t="str">
        <f>VLOOKUP(LISTADO_PRODUCTOS_LISTBOX[Código],LISTADO_PRODUCTOS[#All],3)</f>
        <v>LIBRERÍA</v>
      </c>
      <c r="C311" s="6" t="str">
        <f>VLOOKUP(LISTADO_PRODUCTOS_LISTBOX[Código],LISTADO_PRODUCTOS[#All],4)</f>
        <v>Boligrafo Borrable Trabí Fantastic Tinta azul</v>
      </c>
      <c r="D311" s="6" t="str">
        <f>VLOOKUP(LISTADO_PRODUCTOS_LISTBOX[Código],LISTADO_PRODUCTOS[#All],5)</f>
        <v>N/A</v>
      </c>
    </row>
    <row r="312" spans="1:4" ht="12" customHeight="1" x14ac:dyDescent="0.3">
      <c r="A312" s="4">
        <v>1661</v>
      </c>
      <c r="B312" s="6" t="str">
        <f>VLOOKUP(LISTADO_PRODUCTOS_LISTBOX[Código],LISTADO_PRODUCTOS[#All],3)</f>
        <v>LIBRERÍA</v>
      </c>
      <c r="C312" s="6" t="str">
        <f>VLOOKUP(LISTADO_PRODUCTOS_LISTBOX[Código],LISTADO_PRODUCTOS[#All],4)</f>
        <v xml:space="preserve">Repuesto Roller borrable Trabí </v>
      </c>
      <c r="D312" s="6" t="str">
        <f>VLOOKUP(LISTADO_PRODUCTOS_LISTBOX[Código],LISTADO_PRODUCTOS[#All],5)</f>
        <v>N/A</v>
      </c>
    </row>
    <row r="313" spans="1:4" ht="12" customHeight="1" x14ac:dyDescent="0.3">
      <c r="A313" s="4">
        <v>1662</v>
      </c>
      <c r="B313" s="6" t="str">
        <f>VLOOKUP(LISTADO_PRODUCTOS_LISTBOX[Código],LISTADO_PRODUCTOS[#All],3)</f>
        <v>LIBRERÍA</v>
      </c>
      <c r="C313" s="6" t="str">
        <f>VLOOKUP(LISTADO_PRODUCTOS_LISTBOX[Código],LISTADO_PRODUCTOS[#All],4)</f>
        <v>Microfibra Filgo yo amo mis colores FLUO x 5 liner 038 - 7795513075296</v>
      </c>
      <c r="D313" s="6" t="str">
        <f>VLOOKUP(LISTADO_PRODUCTOS_LISTBOX[Código],LISTADO_PRODUCTOS[#All],5)</f>
        <v>N/A</v>
      </c>
    </row>
    <row r="314" spans="1:4" ht="12" customHeight="1" x14ac:dyDescent="0.3">
      <c r="A314" s="4">
        <v>1666</v>
      </c>
      <c r="B314" s="6" t="str">
        <f>VLOOKUP(LISTADO_PRODUCTOS_LISTBOX[Código],LISTADO_PRODUCTOS[#All],3)</f>
        <v>LIBRERÍA</v>
      </c>
      <c r="C314" s="6" t="str">
        <f>VLOOKUP(LISTADO_PRODUCTOS_LISTBOX[Código],LISTADO_PRODUCTOS[#All],4)</f>
        <v xml:space="preserve">Portaminas BIC AI con grip 0.5 en presentacion </v>
      </c>
      <c r="D314" s="6" t="str">
        <f>VLOOKUP(LISTADO_PRODUCTOS_LISTBOX[Código],LISTADO_PRODUCTOS[#All],5)</f>
        <v>N/A</v>
      </c>
    </row>
    <row r="315" spans="1:4" ht="12" customHeight="1" x14ac:dyDescent="0.3">
      <c r="A315" s="4">
        <v>1670</v>
      </c>
      <c r="B315" s="6" t="str">
        <f>VLOOKUP(LISTADO_PRODUCTOS_LISTBOX[Código],LISTADO_PRODUCTOS[#All],3)</f>
        <v>LIBRERÍA</v>
      </c>
      <c r="C315" s="6" t="str">
        <f>VLOOKUP(LISTADO_PRODUCTOS_LISTBOX[Código],LISTADO_PRODUCTOS[#All],4)</f>
        <v xml:space="preserve">Cuaderno LAPRIDA AB7 tradicional 21x27 100h Ray </v>
      </c>
      <c r="D315" s="6" t="str">
        <f>VLOOKUP(LISTADO_PRODUCTOS_LISTBOX[Código],LISTADO_PRODUCTOS[#All],5)</f>
        <v>N/A</v>
      </c>
    </row>
    <row r="316" spans="1:4" ht="12" customHeight="1" x14ac:dyDescent="0.3">
      <c r="A316" s="4">
        <v>1671</v>
      </c>
      <c r="B316" s="6" t="str">
        <f>VLOOKUP(LISTADO_PRODUCTOS_LISTBOX[Código],LISTADO_PRODUCTOS[#All],3)</f>
        <v>LIBRERÍA</v>
      </c>
      <c r="C316" s="6" t="str">
        <f>VLOOKUP(LISTADO_PRODUCTOS_LISTBOX[Código],LISTADO_PRODUCTOS[#All],4)</f>
        <v>Block Muresco Kraft x 30h Muresco</v>
      </c>
      <c r="D316" s="6" t="str">
        <f>VLOOKUP(LISTADO_PRODUCTOS_LISTBOX[Código],LISTADO_PRODUCTOS[#All],5)</f>
        <v>N/A</v>
      </c>
    </row>
    <row r="317" spans="1:4" ht="12" customHeight="1" x14ac:dyDescent="0.3">
      <c r="A317" s="4">
        <v>1672</v>
      </c>
      <c r="B317" s="6" t="str">
        <f>VLOOKUP(LISTADO_PRODUCTOS_LISTBOX[Código],LISTADO_PRODUCTOS[#All],3)</f>
        <v>LIBRERÍA</v>
      </c>
      <c r="C317" s="6" t="str">
        <f>VLOOKUP(LISTADO_PRODUCTOS_LISTBOX[Código],LISTADO_PRODUCTOS[#All],4)</f>
        <v>Marcadores Mooving Resaltador PWR Chic cuerpo triangular</v>
      </c>
      <c r="D317" s="6" t="str">
        <f>VLOOKUP(LISTADO_PRODUCTOS_LISTBOX[Código],LISTADO_PRODUCTOS[#All],5)</f>
        <v>N/A</v>
      </c>
    </row>
    <row r="318" spans="1:4" ht="12" customHeight="1" x14ac:dyDescent="0.3">
      <c r="A318" s="4">
        <v>1674</v>
      </c>
      <c r="B318" s="6" t="str">
        <f>VLOOKUP(LISTADO_PRODUCTOS_LISTBOX[Código],LISTADO_PRODUCTOS[#All],3)</f>
        <v>LIBRERÍA</v>
      </c>
      <c r="C318" s="6" t="str">
        <f>VLOOKUP(LISTADO_PRODUCTOS_LISTBOX[Código],LISTADO_PRODUCTOS[#All],4)</f>
        <v>Microfibra Mooving punta metalica 0.4mm estuche x 10u</v>
      </c>
      <c r="D318" s="6" t="str">
        <f>VLOOKUP(LISTADO_PRODUCTOS_LISTBOX[Código],LISTADO_PRODUCTOS[#All],5)</f>
        <v>N/A</v>
      </c>
    </row>
    <row r="319" spans="1:4" ht="12" customHeight="1" x14ac:dyDescent="0.3">
      <c r="A319" s="4">
        <v>1675</v>
      </c>
      <c r="B319" s="6" t="str">
        <f>VLOOKUP(LISTADO_PRODUCTOS_LISTBOX[Código],LISTADO_PRODUCTOS[#All],3)</f>
        <v>LIBRERÍA</v>
      </c>
      <c r="C319" s="6" t="str">
        <f>VLOOKUP(LISTADO_PRODUCTOS_LISTBOX[Código],LISTADO_PRODUCTOS[#All],4)</f>
        <v>Marcador Pizzini para vidrio x 9 colores</v>
      </c>
      <c r="D319" s="6" t="str">
        <f>VLOOKUP(LISTADO_PRODUCTOS_LISTBOX[Código],LISTADO_PRODUCTOS[#All],5)</f>
        <v>N/A</v>
      </c>
    </row>
    <row r="320" spans="1:4" ht="12" customHeight="1" x14ac:dyDescent="0.3">
      <c r="A320" s="4">
        <v>1676</v>
      </c>
      <c r="B320" s="6" t="str">
        <f>VLOOKUP(LISTADO_PRODUCTOS_LISTBOX[Código],LISTADO_PRODUCTOS[#All],3)</f>
        <v>LIBRERÍA</v>
      </c>
      <c r="C320" s="6" t="str">
        <f>VLOOKUP(LISTADO_PRODUCTOS_LISTBOX[Código],LISTADO_PRODUCTOS[#All],4)</f>
        <v xml:space="preserve">Marcador Maped Window Color Peps para vidrio </v>
      </c>
      <c r="D320" s="6" t="str">
        <f>VLOOKUP(LISTADO_PRODUCTOS_LISTBOX[Código],LISTADO_PRODUCTOS[#All],5)</f>
        <v>N/A</v>
      </c>
    </row>
    <row r="321" spans="1:4" ht="12" customHeight="1" x14ac:dyDescent="0.3">
      <c r="A321" s="4">
        <v>1678</v>
      </c>
      <c r="B321" s="6" t="str">
        <f>VLOOKUP(LISTADO_PRODUCTOS_LISTBOX[Código],LISTADO_PRODUCTOS[#All],3)</f>
        <v>LIBRERÍA</v>
      </c>
      <c r="C321" s="6" t="str">
        <f>VLOOKUP(LISTADO_PRODUCTOS_LISTBOX[Código],LISTADO_PRODUCTOS[#All],4)</f>
        <v>Goma de Borrar Dos Banderas 3036/ Minigoma Giotto Pastel</v>
      </c>
      <c r="D321" s="6" t="str">
        <f>VLOOKUP(LISTADO_PRODUCTOS_LISTBOX[Código],LISTADO_PRODUCTOS[#All],5)</f>
        <v>N/A</v>
      </c>
    </row>
    <row r="322" spans="1:4" ht="12" customHeight="1" x14ac:dyDescent="0.3">
      <c r="A322" s="4">
        <v>1681</v>
      </c>
      <c r="B322" s="6" t="str">
        <f>VLOOKUP(LISTADO_PRODUCTOS_LISTBOX[Código],LISTADO_PRODUCTOS[#All],3)</f>
        <v>LIBRERÍA</v>
      </c>
      <c r="C322" s="6" t="str">
        <f>VLOOKUP(LISTADO_PRODUCTOS_LISTBOX[Código],LISTADO_PRODUCTOS[#All],4)</f>
        <v>Boligrafo Paper mate kilometrico economico</v>
      </c>
      <c r="D322" s="6" t="str">
        <f>VLOOKUP(LISTADO_PRODUCTOS_LISTBOX[Código],LISTADO_PRODUCTOS[#All],5)</f>
        <v>N/A</v>
      </c>
    </row>
    <row r="323" spans="1:4" ht="12" customHeight="1" x14ac:dyDescent="0.3">
      <c r="A323" s="4">
        <v>1684</v>
      </c>
      <c r="B323" s="6" t="str">
        <f>VLOOKUP(LISTADO_PRODUCTOS_LISTBOX[Código],LISTADO_PRODUCTOS[#All],3)</f>
        <v>LIBRERÍA</v>
      </c>
      <c r="C323" s="6" t="str">
        <f>VLOOKUP(LISTADO_PRODUCTOS_LISTBOX[Código],LISTADO_PRODUCTOS[#All],4)</f>
        <v>Regla Flexible DELI 20cm</v>
      </c>
      <c r="D323" s="6" t="str">
        <f>VLOOKUP(LISTADO_PRODUCTOS_LISTBOX[Código],LISTADO_PRODUCTOS[#All],5)</f>
        <v>N/A</v>
      </c>
    </row>
    <row r="324" spans="1:4" ht="12" customHeight="1" x14ac:dyDescent="0.3">
      <c r="A324" s="4">
        <v>1685</v>
      </c>
      <c r="B324" s="6" t="str">
        <f>VLOOKUP(LISTADO_PRODUCTOS_LISTBOX[Código],LISTADO_PRODUCTOS[#All],3)</f>
        <v>LIBRERÍA</v>
      </c>
      <c r="C324" s="6" t="str">
        <f>VLOOKUP(LISTADO_PRODUCTOS_LISTBOX[Código],LISTADO_PRODUCTOS[#All],4)</f>
        <v>Boligrafo Maped Visio Pen p/zurdos</v>
      </c>
      <c r="D324" s="6" t="str">
        <f>VLOOKUP(LISTADO_PRODUCTOS_LISTBOX[Código],LISTADO_PRODUCTOS[#All],5)</f>
        <v>N/A</v>
      </c>
    </row>
    <row r="325" spans="1:4" ht="12" customHeight="1" x14ac:dyDescent="0.3">
      <c r="A325" s="4">
        <v>1686</v>
      </c>
      <c r="B325" s="6" t="str">
        <f>VLOOKUP(LISTADO_PRODUCTOS_LISTBOX[Código],LISTADO_PRODUCTOS[#All],3)</f>
        <v>LIBRERÍA</v>
      </c>
      <c r="C325" s="6" t="str">
        <f>VLOOKUP(LISTADO_PRODUCTOS_LISTBOX[Código],LISTADO_PRODUCTOS[#All],4)</f>
        <v>Lapices de colores Mooving Inseparables x 12 Doble punta (24 colore)</v>
      </c>
      <c r="D325" s="6" t="str">
        <f>VLOOKUP(LISTADO_PRODUCTOS_LISTBOX[Código],LISTADO_PRODUCTOS[#All],5)</f>
        <v>N/A</v>
      </c>
    </row>
    <row r="326" spans="1:4" ht="12" customHeight="1" x14ac:dyDescent="0.3">
      <c r="A326" s="4">
        <v>1687</v>
      </c>
      <c r="B326" s="6" t="str">
        <f>VLOOKUP(LISTADO_PRODUCTOS_LISTBOX[Código],LISTADO_PRODUCTOS[#All],3)</f>
        <v>LIBRERÍA</v>
      </c>
      <c r="C326" s="6" t="str">
        <f>VLOOKUP(LISTADO_PRODUCTOS_LISTBOX[Código],LISTADO_PRODUCTOS[#All],4)</f>
        <v xml:space="preserve">Goma Maped Technic Duo  </v>
      </c>
      <c r="D326" s="6" t="str">
        <f>VLOOKUP(LISTADO_PRODUCTOS_LISTBOX[Código],LISTADO_PRODUCTOS[#All],5)</f>
        <v>N/A</v>
      </c>
    </row>
    <row r="327" spans="1:4" ht="12" customHeight="1" x14ac:dyDescent="0.3">
      <c r="A327" s="4">
        <v>1688</v>
      </c>
      <c r="B327" s="6" t="str">
        <f>VLOOKUP(LISTADO_PRODUCTOS_LISTBOX[Código],LISTADO_PRODUCTOS[#All],3)</f>
        <v>LIBRERÍA</v>
      </c>
      <c r="C327" s="6" t="str">
        <f>VLOOKUP(LISTADO_PRODUCTOS_LISTBOX[Código],LISTADO_PRODUCTOS[#All],4)</f>
        <v>Cuaderno rivadavia  60h Tapa semi rigida metalizada ABC 21x27</v>
      </c>
      <c r="D327" s="6" t="str">
        <f>VLOOKUP(LISTADO_PRODUCTOS_LISTBOX[Código],LISTADO_PRODUCTOS[#All],5)</f>
        <v>N/A</v>
      </c>
    </row>
    <row r="328" spans="1:4" ht="12" customHeight="1" x14ac:dyDescent="0.3">
      <c r="A328" s="4">
        <v>1689</v>
      </c>
      <c r="B328" s="6" t="str">
        <f>VLOOKUP(LISTADO_PRODUCTOS_LISTBOX[Código],LISTADO_PRODUCTOS[#All],3)</f>
        <v>LIBRERÍA</v>
      </c>
      <c r="C328" s="6" t="str">
        <f>VLOOKUP(LISTADO_PRODUCTOS_LISTBOX[Código],LISTADO_PRODUCTOS[#All],4)</f>
        <v>Set de Microfibras Maped Graph peps x 4u</v>
      </c>
      <c r="D328" s="6" t="str">
        <f>VLOOKUP(LISTADO_PRODUCTOS_LISTBOX[Código],LISTADO_PRODUCTOS[#All],5)</f>
        <v>N/A</v>
      </c>
    </row>
    <row r="329" spans="1:4" ht="12" customHeight="1" x14ac:dyDescent="0.3">
      <c r="A329" s="4">
        <v>1691</v>
      </c>
      <c r="B329" s="6" t="str">
        <f>VLOOKUP(LISTADO_PRODUCTOS_LISTBOX[Código],LISTADO_PRODUCTOS[#All],3)</f>
        <v>LIBRERÍA</v>
      </c>
      <c r="C329" s="6" t="str">
        <f>VLOOKUP(LISTADO_PRODUCTOS_LISTBOX[Código],LISTADO_PRODUCTOS[#All],4)</f>
        <v>Boligrafo Paper Mate Kilometrico 100 3 x $300</v>
      </c>
      <c r="D329" s="6" t="str">
        <f>VLOOKUP(LISTADO_PRODUCTOS_LISTBOX[Código],LISTADO_PRODUCTOS[#All],5)</f>
        <v>N/A</v>
      </c>
    </row>
    <row r="330" spans="1:4" ht="12" customHeight="1" x14ac:dyDescent="0.3">
      <c r="A330" s="4">
        <v>1692</v>
      </c>
      <c r="B330" s="6" t="str">
        <f>VLOOKUP(LISTADO_PRODUCTOS_LISTBOX[Código],LISTADO_PRODUCTOS[#All],3)</f>
        <v>LIBRERÍA</v>
      </c>
      <c r="C330" s="6" t="str">
        <f>VLOOKUP(LISTADO_PRODUCTOS_LISTBOX[Código],LISTADO_PRODUCTOS[#All],4)</f>
        <v>Microfibra Maped Graph Peps fine 0.4</v>
      </c>
      <c r="D330" s="6" t="str">
        <f>VLOOKUP(LISTADO_PRODUCTOS_LISTBOX[Código],LISTADO_PRODUCTOS[#All],5)</f>
        <v>N/A</v>
      </c>
    </row>
    <row r="331" spans="1:4" ht="12" customHeight="1" x14ac:dyDescent="0.3">
      <c r="A331" s="4">
        <v>1693</v>
      </c>
      <c r="B331" s="6" t="str">
        <f>VLOOKUP(LISTADO_PRODUCTOS_LISTBOX[Código],LISTADO_PRODUCTOS[#All],3)</f>
        <v>LIBRERÍA</v>
      </c>
      <c r="C331" s="6" t="str">
        <f>VLOOKUP(LISTADO_PRODUCTOS_LISTBOX[Código],LISTADO_PRODUCTOS[#All],4)</f>
        <v>Block N°6 Luma Blanco</v>
      </c>
      <c r="D331" s="6" t="str">
        <f>VLOOKUP(LISTADO_PRODUCTOS_LISTBOX[Código],LISTADO_PRODUCTOS[#All],5)</f>
        <v>N/A</v>
      </c>
    </row>
    <row r="332" spans="1:4" ht="12" customHeight="1" x14ac:dyDescent="0.3">
      <c r="A332" s="4">
        <v>1694</v>
      </c>
      <c r="B332" s="6" t="str">
        <f>VLOOKUP(LISTADO_PRODUCTOS_LISTBOX[Código],LISTADO_PRODUCTOS[#All],3)</f>
        <v>LIBRERÍA</v>
      </c>
      <c r="C332" s="6" t="str">
        <f>VLOOKUP(LISTADO_PRODUCTOS_LISTBOX[Código],LISTADO_PRODUCTOS[#All],4)</f>
        <v>Microfibra Maped Graph Peps Colores vivos x 4</v>
      </c>
      <c r="D332" s="6" t="str">
        <f>VLOOKUP(LISTADO_PRODUCTOS_LISTBOX[Código],LISTADO_PRODUCTOS[#All],5)</f>
        <v>N/A</v>
      </c>
    </row>
    <row r="333" spans="1:4" ht="12" customHeight="1" x14ac:dyDescent="0.3">
      <c r="A333" s="4">
        <v>1698</v>
      </c>
      <c r="B333" s="6" t="str">
        <f>VLOOKUP(LISTADO_PRODUCTOS_LISTBOX[Código],LISTADO_PRODUCTOS[#All],3)</f>
        <v>LIBRERÍA</v>
      </c>
      <c r="C333" s="6" t="str">
        <f>VLOOKUP(LISTADO_PRODUCTOS_LISTBOX[Código],LISTADO_PRODUCTOS[#All],4)</f>
        <v>Lupa Maped ergo logic 75mm</v>
      </c>
      <c r="D333" s="6" t="str">
        <f>VLOOKUP(LISTADO_PRODUCTOS_LISTBOX[Código],LISTADO_PRODUCTOS[#All],5)</f>
        <v>N/A</v>
      </c>
    </row>
    <row r="334" spans="1:4" ht="12" customHeight="1" x14ac:dyDescent="0.3">
      <c r="A334" s="4">
        <v>1701</v>
      </c>
      <c r="B334" s="6" t="str">
        <f>VLOOKUP(LISTADO_PRODUCTOS_LISTBOX[Código],LISTADO_PRODUCTOS[#All],3)</f>
        <v>LIBRERÍA</v>
      </c>
      <c r="C334" s="6" t="str">
        <f>VLOOKUP(LISTADO_PRODUCTOS_LISTBOX[Código],LISTADO_PRODUCTOS[#All],4)</f>
        <v>Canopla Mooving estilo Trend Pastel 1522210</v>
      </c>
      <c r="D334" s="6" t="str">
        <f>VLOOKUP(LISTADO_PRODUCTOS_LISTBOX[Código],LISTADO_PRODUCTOS[#All],5)</f>
        <v>N/A</v>
      </c>
    </row>
    <row r="335" spans="1:4" ht="12" customHeight="1" x14ac:dyDescent="0.3">
      <c r="A335" s="4">
        <v>1709</v>
      </c>
      <c r="B335" s="6" t="str">
        <f>VLOOKUP(LISTADO_PRODUCTOS_LISTBOX[Código],LISTADO_PRODUCTOS[#All],3)</f>
        <v>LIBRERÍA</v>
      </c>
      <c r="C335" s="6" t="str">
        <f>VLOOKUP(LISTADO_PRODUCTOS_LISTBOX[Código],LISTADO_PRODUCTOS[#All],4)</f>
        <v>Folio Reforzado Borde color Luma N°3</v>
      </c>
      <c r="D335" s="6" t="str">
        <f>VLOOKUP(LISTADO_PRODUCTOS_LISTBOX[Código],LISTADO_PRODUCTOS[#All],5)</f>
        <v>N/A</v>
      </c>
    </row>
    <row r="336" spans="1:4" ht="12" customHeight="1" x14ac:dyDescent="0.3">
      <c r="A336" s="4">
        <v>1713</v>
      </c>
      <c r="B336" s="6" t="str">
        <f>VLOOKUP(LISTADO_PRODUCTOS_LISTBOX[Código],LISTADO_PRODUCTOS[#All],3)</f>
        <v>LIBRERÍA</v>
      </c>
      <c r="C336" s="6" t="str">
        <f>VLOOKUP(LISTADO_PRODUCTOS_LISTBOX[Código],LISTADO_PRODUCTOS[#All],4)</f>
        <v>Carpeta para aros Ota Lama A4 Carpeta N°4</v>
      </c>
      <c r="D336" s="6" t="str">
        <f>VLOOKUP(LISTADO_PRODUCTOS_LISTBOX[Código],LISTADO_PRODUCTOS[#All],5)</f>
        <v>N/A</v>
      </c>
    </row>
    <row r="337" spans="1:4" ht="12" customHeight="1" x14ac:dyDescent="0.3">
      <c r="A337" s="4">
        <v>1717</v>
      </c>
      <c r="B337" s="6" t="str">
        <f>VLOOKUP(LISTADO_PRODUCTOS_LISTBOX[Código],LISTADO_PRODUCTOS[#All],3)</f>
        <v>LIBRERÍA</v>
      </c>
      <c r="C337" s="6" t="str">
        <f>VLOOKUP(LISTADO_PRODUCTOS_LISTBOX[Código],LISTADO_PRODUCTOS[#All],4)</f>
        <v>Marcador doble punta Filgo Permanente 042</v>
      </c>
      <c r="D337" s="6" t="str">
        <f>VLOOKUP(LISTADO_PRODUCTOS_LISTBOX[Código],LISTADO_PRODUCTOS[#All],5)</f>
        <v>N/A</v>
      </c>
    </row>
    <row r="338" spans="1:4" ht="12" customHeight="1" x14ac:dyDescent="0.3">
      <c r="A338" s="4">
        <v>1718</v>
      </c>
      <c r="B338" s="6" t="str">
        <f>VLOOKUP(LISTADO_PRODUCTOS_LISTBOX[Código],LISTADO_PRODUCTOS[#All],3)</f>
        <v>LIBRERÍA</v>
      </c>
      <c r="C338" s="6" t="str">
        <f>VLOOKUP(LISTADO_PRODUCTOS_LISTBOX[Código],LISTADO_PRODUCTOS[#All],4)</f>
        <v>Cuaderno Tapa dura A4 AB7 Laprida 21x27 60h</v>
      </c>
      <c r="D338" s="6" t="str">
        <f>VLOOKUP(LISTADO_PRODUCTOS_LISTBOX[Código],LISTADO_PRODUCTOS[#All],5)</f>
        <v>N/A</v>
      </c>
    </row>
    <row r="339" spans="1:4" ht="12" customHeight="1" x14ac:dyDescent="0.3">
      <c r="A339" s="4">
        <v>1719</v>
      </c>
      <c r="B339" s="6" t="str">
        <f>VLOOKUP(LISTADO_PRODUCTOS_LISTBOX[Código],LISTADO_PRODUCTOS[#All],3)</f>
        <v>LIBRERÍA</v>
      </c>
      <c r="C339" s="6" t="str">
        <f>VLOOKUP(LISTADO_PRODUCTOS_LISTBOX[Código],LISTADO_PRODUCTOS[#All],4)</f>
        <v>Roller Mooving tinta Gel Silky Glitter x5</v>
      </c>
      <c r="D339" s="6" t="str">
        <f>VLOOKUP(LISTADO_PRODUCTOS_LISTBOX[Código],LISTADO_PRODUCTOS[#All],5)</f>
        <v>N/A</v>
      </c>
    </row>
    <row r="340" spans="1:4" ht="12" customHeight="1" x14ac:dyDescent="0.3">
      <c r="A340" s="4">
        <v>1720</v>
      </c>
      <c r="B340" s="6" t="str">
        <f>VLOOKUP(LISTADO_PRODUCTOS_LISTBOX[Código],LISTADO_PRODUCTOS[#All],3)</f>
        <v>LIBRERÍA</v>
      </c>
      <c r="C340" s="6" t="str">
        <f>VLOOKUP(LISTADO_PRODUCTOS_LISTBOX[Código],LISTADO_PRODUCTOS[#All],4)</f>
        <v>Boligrafo Gel Glitter Simball x 5u</v>
      </c>
      <c r="D340" s="6" t="str">
        <f>VLOOKUP(LISTADO_PRODUCTOS_LISTBOX[Código],LISTADO_PRODUCTOS[#All],5)</f>
        <v>N/A</v>
      </c>
    </row>
    <row r="341" spans="1:4" ht="12" customHeight="1" x14ac:dyDescent="0.3">
      <c r="A341" s="4">
        <v>1721</v>
      </c>
      <c r="B341" s="6" t="str">
        <f>VLOOKUP(LISTADO_PRODUCTOS_LISTBOX[Código],LISTADO_PRODUCTOS[#All],3)</f>
        <v>LIBRERÍA</v>
      </c>
      <c r="C341" s="6" t="str">
        <f>VLOOKUP(LISTADO_PRODUCTOS_LISTBOX[Código],LISTADO_PRODUCTOS[#All],4)</f>
        <v>Señaladore Deli Index Tab 100x4</v>
      </c>
      <c r="D341" s="6" t="str">
        <f>VLOOKUP(LISTADO_PRODUCTOS_LISTBOX[Código],LISTADO_PRODUCTOS[#All],5)</f>
        <v>N/A</v>
      </c>
    </row>
    <row r="342" spans="1:4" ht="12" customHeight="1" x14ac:dyDescent="0.3">
      <c r="A342" s="4">
        <v>1722</v>
      </c>
      <c r="B342" s="6" t="str">
        <f>VLOOKUP(LISTADO_PRODUCTOS_LISTBOX[Código],LISTADO_PRODUCTOS[#All],3)</f>
        <v>LIBRERÍA</v>
      </c>
      <c r="C342" s="6" t="str">
        <f>VLOOKUP(LISTADO_PRODUCTOS_LISTBOX[Código],LISTADO_PRODUCTOS[#All],4)</f>
        <v>Blister boligrafo Paper mate Ink Joy x8u</v>
      </c>
      <c r="D342" s="6" t="str">
        <f>VLOOKUP(LISTADO_PRODUCTOS_LISTBOX[Código],LISTADO_PRODUCTOS[#All],5)</f>
        <v>N/A</v>
      </c>
    </row>
    <row r="343" spans="1:4" ht="12" customHeight="1" x14ac:dyDescent="0.3">
      <c r="A343" s="4">
        <v>1723</v>
      </c>
      <c r="B343" s="6" t="str">
        <f>VLOOKUP(LISTADO_PRODUCTOS_LISTBOX[Código],LISTADO_PRODUCTOS[#All],3)</f>
        <v>LIBRERÍA</v>
      </c>
      <c r="C343" s="6" t="str">
        <f>VLOOKUP(LISTADO_PRODUCTOS_LISTBOX[Código],LISTADO_PRODUCTOS[#All],4)</f>
        <v>Pizarra blanca 30x40 Marco metal</v>
      </c>
      <c r="D343" s="6" t="str">
        <f>VLOOKUP(LISTADO_PRODUCTOS_LISTBOX[Código],LISTADO_PRODUCTOS[#All],5)</f>
        <v>N/A</v>
      </c>
    </row>
    <row r="344" spans="1:4" ht="12" customHeight="1" x14ac:dyDescent="0.3">
      <c r="A344" s="4">
        <v>2000</v>
      </c>
      <c r="B344" s="6" t="str">
        <f>VLOOKUP(LISTADO_PRODUCTOS_LISTBOX[Código],LISTADO_PRODUCTOS[#All],3)</f>
        <v>PAPELERIA Y ARTISTICA</v>
      </c>
      <c r="C344" s="6" t="str">
        <f>VLOOKUP(LISTADO_PRODUCTOS_LISTBOX[Código],LISTADO_PRODUCTOS[#All],4)</f>
        <v xml:space="preserve">Resma A4 Autor 75g </v>
      </c>
      <c r="D344" s="6" t="str">
        <f>VLOOKUP(LISTADO_PRODUCTOS_LISTBOX[Código],LISTADO_PRODUCTOS[#All],5)</f>
        <v>N/A</v>
      </c>
    </row>
    <row r="345" spans="1:4" ht="12" customHeight="1" x14ac:dyDescent="0.3">
      <c r="A345" s="4">
        <v>2001</v>
      </c>
      <c r="B345" s="6" t="str">
        <f>VLOOKUP(LISTADO_PRODUCTOS_LISTBOX[Código],LISTADO_PRODUCTOS[#All],3)</f>
        <v>PAPELERIA Y ARTISTICA</v>
      </c>
      <c r="C345" s="6" t="str">
        <f>VLOOKUP(LISTADO_PRODUCTOS_LISTBOX[Código],LISTADO_PRODUCTOS[#All],4)</f>
        <v>Resma A4 Autor 80g</v>
      </c>
      <c r="D345" s="6" t="str">
        <f>VLOOKUP(LISTADO_PRODUCTOS_LISTBOX[Código],LISTADO_PRODUCTOS[#All],5)</f>
        <v>N/A</v>
      </c>
    </row>
    <row r="346" spans="1:4" ht="12" customHeight="1" x14ac:dyDescent="0.3">
      <c r="A346" s="4">
        <v>2002</v>
      </c>
      <c r="B346" s="6" t="str">
        <f>VLOOKUP(LISTADO_PRODUCTOS_LISTBOX[Código],LISTADO_PRODUCTOS[#All],3)</f>
        <v>PAPELERIA Y ARTISTICA</v>
      </c>
      <c r="C346" s="6" t="str">
        <f>VLOOKUP(LISTADO_PRODUCTOS_LISTBOX[Código],LISTADO_PRODUCTOS[#All],4)</f>
        <v>Resma A4 Autor 90g</v>
      </c>
      <c r="D346" s="6" t="str">
        <f>VLOOKUP(LISTADO_PRODUCTOS_LISTBOX[Código],LISTADO_PRODUCTOS[#All],5)</f>
        <v>N/A</v>
      </c>
    </row>
    <row r="347" spans="1:4" ht="12" customHeight="1" x14ac:dyDescent="0.3">
      <c r="A347" s="4">
        <v>2003</v>
      </c>
      <c r="B347" s="6" t="str">
        <f>VLOOKUP(LISTADO_PRODUCTOS_LISTBOX[Código],LISTADO_PRODUCTOS[#All],3)</f>
        <v>PAPELERIA Y ARTISTICA</v>
      </c>
      <c r="C347" s="6" t="str">
        <f>VLOOKUP(LISTADO_PRODUCTOS_LISTBOX[Código],LISTADO_PRODUCTOS[#All],4)</f>
        <v>Resma Oficio Autor 75g</v>
      </c>
      <c r="D347" s="6" t="str">
        <f>VLOOKUP(LISTADO_PRODUCTOS_LISTBOX[Código],LISTADO_PRODUCTOS[#All],5)</f>
        <v>N/A</v>
      </c>
    </row>
    <row r="348" spans="1:4" ht="12" customHeight="1" x14ac:dyDescent="0.3">
      <c r="A348" s="4">
        <v>2004</v>
      </c>
      <c r="B348" s="6" t="str">
        <f>VLOOKUP(LISTADO_PRODUCTOS_LISTBOX[Código],LISTADO_PRODUCTOS[#All],3)</f>
        <v>PAPELERIA Y ARTISTICA</v>
      </c>
      <c r="C348" s="6" t="str">
        <f>VLOOKUP(LISTADO_PRODUCTOS_LISTBOX[Código],LISTADO_PRODUCTOS[#All],4)</f>
        <v>Resma Oficio Autor 80g</v>
      </c>
      <c r="D348" s="6" t="str">
        <f>VLOOKUP(LISTADO_PRODUCTOS_LISTBOX[Código],LISTADO_PRODUCTOS[#All],5)</f>
        <v>N/A</v>
      </c>
    </row>
    <row r="349" spans="1:4" ht="12" customHeight="1" x14ac:dyDescent="0.3">
      <c r="A349" s="4">
        <v>2005</v>
      </c>
      <c r="B349" s="6" t="str">
        <f>VLOOKUP(LISTADO_PRODUCTOS_LISTBOX[Código],LISTADO_PRODUCTOS[#All],3)</f>
        <v>PAPELERIA Y ARTISTICA</v>
      </c>
      <c r="C349" s="6" t="str">
        <f>VLOOKUP(LISTADO_PRODUCTOS_LISTBOX[Código],LISTADO_PRODUCTOS[#All],4)</f>
        <v>Resma A4 Chamex 75gr</v>
      </c>
      <c r="D349" s="6" t="str">
        <f>VLOOKUP(LISTADO_PRODUCTOS_LISTBOX[Código],LISTADO_PRODUCTOS[#All],5)</f>
        <v>N/A</v>
      </c>
    </row>
    <row r="350" spans="1:4" ht="12" customHeight="1" x14ac:dyDescent="0.3">
      <c r="A350" s="4">
        <v>2006</v>
      </c>
      <c r="B350" s="6" t="str">
        <f>VLOOKUP(LISTADO_PRODUCTOS_LISTBOX[Código],LISTADO_PRODUCTOS[#All],3)</f>
        <v>PAPELERIA Y ARTISTICA</v>
      </c>
      <c r="C350" s="6" t="str">
        <f>VLOOKUP(LISTADO_PRODUCTOS_LISTBOX[Código],LISTADO_PRODUCTOS[#All],4)</f>
        <v>Resma Ledesma NAT A4</v>
      </c>
      <c r="D350" s="6" t="str">
        <f>VLOOKUP(LISTADO_PRODUCTOS_LISTBOX[Código],LISTADO_PRODUCTOS[#All],5)</f>
        <v>N/A</v>
      </c>
    </row>
    <row r="351" spans="1:4" ht="12" customHeight="1" x14ac:dyDescent="0.3">
      <c r="A351" s="4">
        <v>2007</v>
      </c>
      <c r="B351" s="6" t="str">
        <f>VLOOKUP(LISTADO_PRODUCTOS_LISTBOX[Código],LISTADO_PRODUCTOS[#All],3)</f>
        <v>PAPELERIA Y ARTISTICA</v>
      </c>
      <c r="C351" s="6" t="str">
        <f>VLOOKUP(LISTADO_PRODUCTOS_LISTBOX[Código],LISTADO_PRODUCTOS[#All],4)</f>
        <v>Resma A4 color autor  x 250h</v>
      </c>
      <c r="D351" s="6" t="str">
        <f>VLOOKUP(LISTADO_PRODUCTOS_LISTBOX[Código],LISTADO_PRODUCTOS[#All],5)</f>
        <v>N/A</v>
      </c>
    </row>
    <row r="352" spans="1:4" ht="12" customHeight="1" x14ac:dyDescent="0.3">
      <c r="A352" s="4">
        <v>2008</v>
      </c>
      <c r="B352" s="6" t="str">
        <f>VLOOKUP(LISTADO_PRODUCTOS_LISTBOX[Código],LISTADO_PRODUCTOS[#All],3)</f>
        <v>PAPELERIA Y ARTISTICA</v>
      </c>
      <c r="C352" s="6" t="str">
        <f>VLOOKUP(LISTADO_PRODUCTOS_LISTBOX[Código],LISTADO_PRODUCTOS[#All],4)</f>
        <v>Resma Oficio Autor Color</v>
      </c>
      <c r="D352" s="6" t="str">
        <f>VLOOKUP(LISTADO_PRODUCTOS_LISTBOX[Código],LISTADO_PRODUCTOS[#All],5)</f>
        <v>N/A</v>
      </c>
    </row>
    <row r="353" spans="1:4" ht="12" customHeight="1" x14ac:dyDescent="0.3">
      <c r="A353" s="4">
        <v>2010</v>
      </c>
      <c r="B353" s="6" t="str">
        <f>VLOOKUP(LISTADO_PRODUCTOS_LISTBOX[Código],LISTADO_PRODUCTOS[#All],3)</f>
        <v>PAPELERIA Y ARTISTICA</v>
      </c>
      <c r="C353" s="6" t="str">
        <f>VLOOKUP(LISTADO_PRODUCTOS_LISTBOX[Código],LISTADO_PRODUCTOS[#All],4)</f>
        <v>Resma A4 Husares Fluo colores surtido x 20h</v>
      </c>
      <c r="D353" s="6" t="str">
        <f>VLOOKUP(LISTADO_PRODUCTOS_LISTBOX[Código],LISTADO_PRODUCTOS[#All],5)</f>
        <v>N/A</v>
      </c>
    </row>
    <row r="354" spans="1:4" ht="12" customHeight="1" x14ac:dyDescent="0.3">
      <c r="A354" s="4">
        <v>2011</v>
      </c>
      <c r="B354" s="6" t="str">
        <f>VLOOKUP(LISTADO_PRODUCTOS_LISTBOX[Código],LISTADO_PRODUCTOS[#All],3)</f>
        <v>PAPELERIA Y ARTISTICA</v>
      </c>
      <c r="C354" s="6" t="str">
        <f>VLOOKUP(LISTADO_PRODUCTOS_LISTBOX[Código],LISTADO_PRODUCTOS[#All],4)</f>
        <v>Palitos Brochet cortos 15cm</v>
      </c>
      <c r="D354" s="6" t="str">
        <f>VLOOKUP(LISTADO_PRODUCTOS_LISTBOX[Código],LISTADO_PRODUCTOS[#All],5)</f>
        <v>N/A</v>
      </c>
    </row>
    <row r="355" spans="1:4" ht="12" customHeight="1" x14ac:dyDescent="0.3">
      <c r="A355" s="4">
        <v>2012</v>
      </c>
      <c r="B355" s="6" t="str">
        <f>VLOOKUP(LISTADO_PRODUCTOS_LISTBOX[Código],LISTADO_PRODUCTOS[#All],3)</f>
        <v>PAPELERIA Y ARTISTICA</v>
      </c>
      <c r="C355" s="6" t="str">
        <f>VLOOKUP(LISTADO_PRODUCTOS_LISTBOX[Código],LISTADO_PRODUCTOS[#All],4)</f>
        <v>Palito de brochet largo 25cm</v>
      </c>
      <c r="D355" s="6" t="str">
        <f>VLOOKUP(LISTADO_PRODUCTOS_LISTBOX[Código],LISTADO_PRODUCTOS[#All],5)</f>
        <v>N/A</v>
      </c>
    </row>
    <row r="356" spans="1:4" ht="12" customHeight="1" x14ac:dyDescent="0.3">
      <c r="A356" s="4">
        <v>2013</v>
      </c>
      <c r="B356" s="6" t="str">
        <f>VLOOKUP(LISTADO_PRODUCTOS_LISTBOX[Código],LISTADO_PRODUCTOS[#All],3)</f>
        <v>PAPELERIA Y ARTISTICA</v>
      </c>
      <c r="C356" s="6" t="str">
        <f>VLOOKUP(LISTADO_PRODUCTOS_LISTBOX[Código],LISTADO_PRODUCTOS[#All],4)</f>
        <v>Plastificado en Frio BinderPlus 200gr</v>
      </c>
      <c r="D356" s="6" t="str">
        <f>VLOOKUP(LISTADO_PRODUCTOS_LISTBOX[Código],LISTADO_PRODUCTOS[#All],5)</f>
        <v>N/A</v>
      </c>
    </row>
    <row r="357" spans="1:4" ht="12" customHeight="1" x14ac:dyDescent="0.3">
      <c r="A357" s="4">
        <v>2014</v>
      </c>
      <c r="B357" s="6" t="str">
        <f>VLOOKUP(LISTADO_PRODUCTOS_LISTBOX[Código],LISTADO_PRODUCTOS[#All],3)</f>
        <v>PAPELERIA Y ARTISTICA</v>
      </c>
      <c r="C357" s="6" t="str">
        <f>VLOOKUP(LISTADO_PRODUCTOS_LISTBOX[Código],LISTADO_PRODUCTOS[#All],4)</f>
        <v xml:space="preserve">Plastificado en Frio LAMA </v>
      </c>
      <c r="D357" s="6" t="str">
        <f>VLOOKUP(LISTADO_PRODUCTOS_LISTBOX[Código],LISTADO_PRODUCTOS[#All],5)</f>
        <v>N/A</v>
      </c>
    </row>
    <row r="358" spans="1:4" ht="12" customHeight="1" x14ac:dyDescent="0.3">
      <c r="A358" s="4">
        <v>2018</v>
      </c>
      <c r="B358" s="6" t="str">
        <f>VLOOKUP(LISTADO_PRODUCTOS_LISTBOX[Código],LISTADO_PRODUCTOS[#All],3)</f>
        <v>PAPELERIA Y ARTISTICA</v>
      </c>
      <c r="C358" s="6" t="str">
        <f>VLOOKUP(LISTADO_PRODUCTOS_LISTBOX[Código],LISTADO_PRODUCTOS[#All],4)</f>
        <v>Resma Chamex A4 x 500h color</v>
      </c>
      <c r="D358" s="6" t="str">
        <f>VLOOKUP(LISTADO_PRODUCTOS_LISTBOX[Código],LISTADO_PRODUCTOS[#All],5)</f>
        <v>N/A</v>
      </c>
    </row>
    <row r="359" spans="1:4" ht="12" customHeight="1" x14ac:dyDescent="0.3">
      <c r="A359" s="4">
        <v>2019</v>
      </c>
      <c r="B359" s="6" t="str">
        <f>VLOOKUP(LISTADO_PRODUCTOS_LISTBOX[Código],LISTADO_PRODUCTOS[#All],3)</f>
        <v>PAPELERIA Y ARTISTICA</v>
      </c>
      <c r="C359" s="6" t="str">
        <f>VLOOKUP(LISTADO_PRODUCTOS_LISTBOX[Código],LISTADO_PRODUCTOS[#All],4)</f>
        <v>Papel celofan</v>
      </c>
      <c r="D359" s="6" t="str">
        <f>VLOOKUP(LISTADO_PRODUCTOS_LISTBOX[Código],LISTADO_PRODUCTOS[#All],5)</f>
        <v>N/A</v>
      </c>
    </row>
    <row r="360" spans="1:4" ht="12" customHeight="1" x14ac:dyDescent="0.3">
      <c r="A360" s="4">
        <v>2020</v>
      </c>
      <c r="B360" s="6" t="str">
        <f>VLOOKUP(LISTADO_PRODUCTOS_LISTBOX[Código],LISTADO_PRODUCTOS[#All],3)</f>
        <v>PAPELERIA Y ARTISTICA</v>
      </c>
      <c r="C360" s="6" t="str">
        <f>VLOOKUP(LISTADO_PRODUCTOS_LISTBOX[Código],LISTADO_PRODUCTOS[#All],4)</f>
        <v>Resma A3 150gr x240h Husares $60 c/u o 4 x $200</v>
      </c>
      <c r="D360" s="6" t="str">
        <f>VLOOKUP(LISTADO_PRODUCTOS_LISTBOX[Código],LISTADO_PRODUCTOS[#All],5)</f>
        <v>N/A</v>
      </c>
    </row>
    <row r="361" spans="1:4" ht="12" customHeight="1" x14ac:dyDescent="0.3">
      <c r="A361" s="4">
        <v>2024</v>
      </c>
      <c r="B361" s="6" t="str">
        <f>VLOOKUP(LISTADO_PRODUCTOS_LISTBOX[Código],LISTADO_PRODUCTOS[#All],3)</f>
        <v>PAPELERIA Y ARTISTICA</v>
      </c>
      <c r="C361" s="6" t="str">
        <f>VLOOKUP(LISTADO_PRODUCTOS_LISTBOX[Código],LISTADO_PRODUCTOS[#All],4)</f>
        <v xml:space="preserve">Brillantina x5u Fluo </v>
      </c>
      <c r="D361" s="6" t="str">
        <f>VLOOKUP(LISTADO_PRODUCTOS_LISTBOX[Código],LISTADO_PRODUCTOS[#All],5)</f>
        <v>N/A</v>
      </c>
    </row>
    <row r="362" spans="1:4" ht="12" customHeight="1" x14ac:dyDescent="0.3">
      <c r="A362" s="4">
        <v>2025</v>
      </c>
      <c r="B362" s="6" t="str">
        <f>VLOOKUP(LISTADO_PRODUCTOS_LISTBOX[Código],LISTADO_PRODUCTOS[#All],3)</f>
        <v>PAPELERIA Y ARTISTICA</v>
      </c>
      <c r="C362" s="6" t="str">
        <f>VLOOKUP(LISTADO_PRODUCTOS_LISTBOX[Código],LISTADO_PRODUCTOS[#All],4)</f>
        <v>Brillantina x 5u</v>
      </c>
      <c r="D362" s="6" t="str">
        <f>VLOOKUP(LISTADO_PRODUCTOS_LISTBOX[Código],LISTADO_PRODUCTOS[#All],5)</f>
        <v>N/A</v>
      </c>
    </row>
    <row r="363" spans="1:4" ht="12" customHeight="1" x14ac:dyDescent="0.3">
      <c r="A363" s="4">
        <v>2026</v>
      </c>
      <c r="B363" s="6" t="str">
        <f>VLOOKUP(LISTADO_PRODUCTOS_LISTBOX[Código],LISTADO_PRODUCTOS[#All],3)</f>
        <v>PAPELERIA Y ARTISTICA</v>
      </c>
      <c r="C363" s="6" t="str">
        <f>VLOOKUP(LISTADO_PRODUCTOS_LISTBOX[Código],LISTADO_PRODUCTOS[#All],4)</f>
        <v xml:space="preserve">Papel madera </v>
      </c>
      <c r="D363" s="6" t="str">
        <f>VLOOKUP(LISTADO_PRODUCTOS_LISTBOX[Código],LISTADO_PRODUCTOS[#All],5)</f>
        <v>N/A</v>
      </c>
    </row>
    <row r="364" spans="1:4" ht="12" customHeight="1" x14ac:dyDescent="0.3">
      <c r="A364" s="4">
        <v>2027</v>
      </c>
      <c r="B364" s="6" t="str">
        <f>VLOOKUP(LISTADO_PRODUCTOS_LISTBOX[Código],LISTADO_PRODUCTOS[#All],3)</f>
        <v>PAPELERIA Y ARTISTICA</v>
      </c>
      <c r="C364" s="6" t="str">
        <f>VLOOKUP(LISTADO_PRODUCTOS_LISTBOX[Código],LISTADO_PRODUCTOS[#All],4)</f>
        <v xml:space="preserve">Cartulina Comun </v>
      </c>
      <c r="D364" s="6" t="str">
        <f>VLOOKUP(LISTADO_PRODUCTOS_LISTBOX[Código],LISTADO_PRODUCTOS[#All],5)</f>
        <v>N/A</v>
      </c>
    </row>
    <row r="365" spans="1:4" ht="12" customHeight="1" x14ac:dyDescent="0.3">
      <c r="A365" s="4">
        <v>2028</v>
      </c>
      <c r="B365" s="6" t="str">
        <f>VLOOKUP(LISTADO_PRODUCTOS_LISTBOX[Código],LISTADO_PRODUCTOS[#All],3)</f>
        <v>PAPELERIA Y ARTISTICA</v>
      </c>
      <c r="C365" s="6" t="str">
        <f>VLOOKUP(LISTADO_PRODUCTOS_LISTBOX[Código],LISTADO_PRODUCTOS[#All],4)</f>
        <v xml:space="preserve">Cartulina Fluo </v>
      </c>
      <c r="D365" s="6" t="str">
        <f>VLOOKUP(LISTADO_PRODUCTOS_LISTBOX[Código],LISTADO_PRODUCTOS[#All],5)</f>
        <v>N/A</v>
      </c>
    </row>
    <row r="366" spans="1:4" ht="12" customHeight="1" x14ac:dyDescent="0.3">
      <c r="A366" s="4">
        <v>2029</v>
      </c>
      <c r="B366" s="6" t="str">
        <f>VLOOKUP(LISTADO_PRODUCTOS_LISTBOX[Código],LISTADO_PRODUCTOS[#All],3)</f>
        <v>PAPELERIA Y ARTISTICA</v>
      </c>
      <c r="C366" s="6" t="str">
        <f>VLOOKUP(LISTADO_PRODUCTOS_LISTBOX[Código],LISTADO_PRODUCTOS[#All],4)</f>
        <v>Cartulina Metalizada</v>
      </c>
      <c r="D366" s="6" t="str">
        <f>VLOOKUP(LISTADO_PRODUCTOS_LISTBOX[Código],LISTADO_PRODUCTOS[#All],5)</f>
        <v>N/A</v>
      </c>
    </row>
    <row r="367" spans="1:4" ht="12" customHeight="1" x14ac:dyDescent="0.3">
      <c r="A367" s="4">
        <v>2030</v>
      </c>
      <c r="B367" s="6" t="str">
        <f>VLOOKUP(LISTADO_PRODUCTOS_LISTBOX[Código],LISTADO_PRODUCTOS[#All],3)</f>
        <v>PAPELERIA Y ARTISTICA</v>
      </c>
      <c r="C367" s="6" t="str">
        <f>VLOOKUP(LISTADO_PRODUCTOS_LISTBOX[Código],LISTADO_PRODUCTOS[#All],4)</f>
        <v xml:space="preserve">Cartulina con Motivos </v>
      </c>
      <c r="D367" s="6" t="str">
        <f>VLOOKUP(LISTADO_PRODUCTOS_LISTBOX[Código],LISTADO_PRODUCTOS[#All],5)</f>
        <v>N/A</v>
      </c>
    </row>
    <row r="368" spans="1:4" ht="12" customHeight="1" x14ac:dyDescent="0.3">
      <c r="A368" s="4">
        <v>2031</v>
      </c>
      <c r="B368" s="6" t="str">
        <f>VLOOKUP(LISTADO_PRODUCTOS_LISTBOX[Código],LISTADO_PRODUCTOS[#All],3)</f>
        <v>PAPELERIA Y ARTISTICA</v>
      </c>
      <c r="C368" s="6" t="str">
        <f>VLOOKUP(LISTADO_PRODUCTOS_LISTBOX[Código],LISTADO_PRODUCTOS[#All],4)</f>
        <v>Cartulina Entretenida</v>
      </c>
      <c r="D368" s="6" t="str">
        <f>VLOOKUP(LISTADO_PRODUCTOS_LISTBOX[Código],LISTADO_PRODUCTOS[#All],5)</f>
        <v>N/A</v>
      </c>
    </row>
    <row r="369" spans="1:4" ht="12" customHeight="1" x14ac:dyDescent="0.3">
      <c r="A369" s="4">
        <v>2032</v>
      </c>
      <c r="B369" s="6" t="str">
        <f>VLOOKUP(LISTADO_PRODUCTOS_LISTBOX[Código],LISTADO_PRODUCTOS[#All],3)</f>
        <v>PAPELERIA Y ARTISTICA</v>
      </c>
      <c r="C369" s="6" t="str">
        <f>VLOOKUP(LISTADO_PRODUCTOS_LISTBOX[Código],LISTADO_PRODUCTOS[#All],4)</f>
        <v>Afiche</v>
      </c>
      <c r="D369" s="6" t="str">
        <f>VLOOKUP(LISTADO_PRODUCTOS_LISTBOX[Código],LISTADO_PRODUCTOS[#All],5)</f>
        <v>N/A</v>
      </c>
    </row>
    <row r="370" spans="1:4" ht="12" customHeight="1" x14ac:dyDescent="0.3">
      <c r="A370" s="4">
        <v>2033</v>
      </c>
      <c r="B370" s="6" t="str">
        <f>VLOOKUP(LISTADO_PRODUCTOS_LISTBOX[Código],LISTADO_PRODUCTOS[#All],3)</f>
        <v>PAPELERIA Y ARTISTICA</v>
      </c>
      <c r="C370" s="6" t="str">
        <f>VLOOKUP(LISTADO_PRODUCTOS_LISTBOX[Código],LISTADO_PRODUCTOS[#All],4)</f>
        <v>Papel Crepe Comun</v>
      </c>
      <c r="D370" s="6" t="str">
        <f>VLOOKUP(LISTADO_PRODUCTOS_LISTBOX[Código],LISTADO_PRODUCTOS[#All],5)</f>
        <v>N/A</v>
      </c>
    </row>
    <row r="371" spans="1:4" ht="12" customHeight="1" x14ac:dyDescent="0.3">
      <c r="A371" s="4">
        <v>2034</v>
      </c>
      <c r="B371" s="6" t="str">
        <f>VLOOKUP(LISTADO_PRODUCTOS_LISTBOX[Código],LISTADO_PRODUCTOS[#All],3)</f>
        <v>PAPELERIA Y ARTISTICA</v>
      </c>
      <c r="C371" s="6" t="str">
        <f>VLOOKUP(LISTADO_PRODUCTOS_LISTBOX[Código],LISTADO_PRODUCTOS[#All],4)</f>
        <v>Papel Crepe Perlado</v>
      </c>
      <c r="D371" s="6" t="str">
        <f>VLOOKUP(LISTADO_PRODUCTOS_LISTBOX[Código],LISTADO_PRODUCTOS[#All],5)</f>
        <v>N/A</v>
      </c>
    </row>
    <row r="372" spans="1:4" ht="12" customHeight="1" x14ac:dyDescent="0.3">
      <c r="A372" s="4">
        <v>2035</v>
      </c>
      <c r="B372" s="6" t="str">
        <f>VLOOKUP(LISTADO_PRODUCTOS_LISTBOX[Código],LISTADO_PRODUCTOS[#All],3)</f>
        <v>PAPELERIA Y ARTISTICA</v>
      </c>
      <c r="C372" s="6" t="str">
        <f>VLOOKUP(LISTADO_PRODUCTOS_LISTBOX[Código],LISTADO_PRODUCTOS[#All],4)</f>
        <v>Papel Crepe Fluo</v>
      </c>
      <c r="D372" s="6" t="str">
        <f>VLOOKUP(LISTADO_PRODUCTOS_LISTBOX[Código],LISTADO_PRODUCTOS[#All],5)</f>
        <v>N/A</v>
      </c>
    </row>
    <row r="373" spans="1:4" ht="12" customHeight="1" x14ac:dyDescent="0.3">
      <c r="A373" s="4">
        <v>2036</v>
      </c>
      <c r="B373" s="6" t="str">
        <f>VLOOKUP(LISTADO_PRODUCTOS_LISTBOX[Código],LISTADO_PRODUCTOS[#All],3)</f>
        <v>PAPELERIA Y ARTISTICA</v>
      </c>
      <c r="C373" s="6" t="str">
        <f>VLOOKUP(LISTADO_PRODUCTOS_LISTBOX[Código],LISTADO_PRODUCTOS[#All],4)</f>
        <v>Papel Crepe c/Motivos</v>
      </c>
      <c r="D373" s="6" t="str">
        <f>VLOOKUP(LISTADO_PRODUCTOS_LISTBOX[Código],LISTADO_PRODUCTOS[#All],5)</f>
        <v>N/A</v>
      </c>
    </row>
    <row r="374" spans="1:4" ht="12" customHeight="1" x14ac:dyDescent="0.3">
      <c r="A374" s="4">
        <v>2037</v>
      </c>
      <c r="B374" s="6" t="str">
        <f>VLOOKUP(LISTADO_PRODUCTOS_LISTBOX[Código],LISTADO_PRODUCTOS[#All],3)</f>
        <v>PAPELERIA Y ARTISTICA</v>
      </c>
      <c r="C374" s="6" t="str">
        <f>VLOOKUP(LISTADO_PRODUCTOS_LISTBOX[Código],LISTADO_PRODUCTOS[#All],4)</f>
        <v>Papel Crepe Bandera Argentina</v>
      </c>
      <c r="D374" s="6" t="str">
        <f>VLOOKUP(LISTADO_PRODUCTOS_LISTBOX[Código],LISTADO_PRODUCTOS[#All],5)</f>
        <v>N/A</v>
      </c>
    </row>
    <row r="375" spans="1:4" ht="12" customHeight="1" x14ac:dyDescent="0.3">
      <c r="A375" s="4">
        <v>2038</v>
      </c>
      <c r="B375" s="6" t="str">
        <f>VLOOKUP(LISTADO_PRODUCTOS_LISTBOX[Código],LISTADO_PRODUCTOS[#All],3)</f>
        <v>PAPELERIA Y ARTISTICA</v>
      </c>
      <c r="C375" s="6" t="str">
        <f>VLOOKUP(LISTADO_PRODUCTOS_LISTBOX[Código],LISTADO_PRODUCTOS[#All],4)</f>
        <v>Papel de Forrar Muresco</v>
      </c>
      <c r="D375" s="6" t="str">
        <f>VLOOKUP(LISTADO_PRODUCTOS_LISTBOX[Código],LISTADO_PRODUCTOS[#All],5)</f>
        <v>N/A</v>
      </c>
    </row>
    <row r="376" spans="1:4" ht="12" customHeight="1" x14ac:dyDescent="0.3">
      <c r="A376" s="4">
        <v>2039</v>
      </c>
      <c r="B376" s="6" t="str">
        <f>VLOOKUP(LISTADO_PRODUCTOS_LISTBOX[Código],LISTADO_PRODUCTOS[#All],3)</f>
        <v>PAPELERIA Y ARTISTICA</v>
      </c>
      <c r="C376" s="6" t="str">
        <f>VLOOKUP(LISTADO_PRODUCTOS_LISTBOX[Código],LISTADO_PRODUCTOS[#All],4)</f>
        <v>Papel de Forrar Comun</v>
      </c>
      <c r="D376" s="6" t="str">
        <f>VLOOKUP(LISTADO_PRODUCTOS_LISTBOX[Código],LISTADO_PRODUCTOS[#All],5)</f>
        <v>N/A</v>
      </c>
    </row>
    <row r="377" spans="1:4" ht="12" customHeight="1" x14ac:dyDescent="0.3">
      <c r="A377" s="4">
        <v>2040</v>
      </c>
      <c r="B377" s="6" t="str">
        <f>VLOOKUP(LISTADO_PRODUCTOS_LISTBOX[Código],LISTADO_PRODUCTOS[#All],3)</f>
        <v>PAPELERIA Y ARTISTICA</v>
      </c>
      <c r="C377" s="6" t="str">
        <f>VLOOKUP(LISTADO_PRODUCTOS_LISTBOX[Código],LISTADO_PRODUCTOS[#All],4)</f>
        <v>Marcador UNI ORO P. MEDIANA</v>
      </c>
      <c r="D377" s="6" t="str">
        <f>VLOOKUP(LISTADO_PRODUCTOS_LISTBOX[Código],LISTADO_PRODUCTOS[#All],5)</f>
        <v>N/A</v>
      </c>
    </row>
    <row r="378" spans="1:4" ht="12" customHeight="1" x14ac:dyDescent="0.3">
      <c r="A378" s="4">
        <v>2041</v>
      </c>
      <c r="B378" s="6" t="str">
        <f>VLOOKUP(LISTADO_PRODUCTOS_LISTBOX[Código],LISTADO_PRODUCTOS[#All],3)</f>
        <v>PAPELERIA Y ARTISTICA</v>
      </c>
      <c r="C378" s="6" t="str">
        <f>VLOOKUP(LISTADO_PRODUCTOS_LISTBOX[Código],LISTADO_PRODUCTOS[#All],4)</f>
        <v>Pinceleta Nª1</v>
      </c>
      <c r="D378" s="6" t="str">
        <f>VLOOKUP(LISTADO_PRODUCTOS_LISTBOX[Código],LISTADO_PRODUCTOS[#All],5)</f>
        <v>N/A</v>
      </c>
    </row>
    <row r="379" spans="1:4" ht="12" customHeight="1" x14ac:dyDescent="0.3">
      <c r="A379" s="4">
        <v>2042</v>
      </c>
      <c r="B379" s="6" t="str">
        <f>VLOOKUP(LISTADO_PRODUCTOS_LISTBOX[Código],LISTADO_PRODUCTOS[#All],3)</f>
        <v>PAPELERIA Y ARTISTICA</v>
      </c>
      <c r="C379" s="6" t="str">
        <f>VLOOKUP(LISTADO_PRODUCTOS_LISTBOX[Código],LISTADO_PRODUCTOS[#All],4)</f>
        <v>Pinceleta Nª2</v>
      </c>
      <c r="D379" s="6" t="str">
        <f>VLOOKUP(LISTADO_PRODUCTOS_LISTBOX[Código],LISTADO_PRODUCTOS[#All],5)</f>
        <v>N/A</v>
      </c>
    </row>
    <row r="380" spans="1:4" ht="12" customHeight="1" x14ac:dyDescent="0.3">
      <c r="A380" s="4">
        <v>2043</v>
      </c>
      <c r="B380" s="6" t="str">
        <f>VLOOKUP(LISTADO_PRODUCTOS_LISTBOX[Código],LISTADO_PRODUCTOS[#All],3)</f>
        <v>PAPELERIA Y ARTISTICA</v>
      </c>
      <c r="C380" s="6" t="str">
        <f>VLOOKUP(LISTADO_PRODUCTOS_LISTBOX[Código],LISTADO_PRODUCTOS[#All],4)</f>
        <v>Pinceleta Nª3</v>
      </c>
      <c r="D380" s="6" t="str">
        <f>VLOOKUP(LISTADO_PRODUCTOS_LISTBOX[Código],LISTADO_PRODUCTOS[#All],5)</f>
        <v>N/A</v>
      </c>
    </row>
    <row r="381" spans="1:4" ht="12" customHeight="1" x14ac:dyDescent="0.3">
      <c r="A381" s="4">
        <v>2044</v>
      </c>
      <c r="B381" s="6" t="str">
        <f>VLOOKUP(LISTADO_PRODUCTOS_LISTBOX[Código],LISTADO_PRODUCTOS[#All],3)</f>
        <v>PAPELERIA Y ARTISTICA</v>
      </c>
      <c r="C381" s="6" t="str">
        <f>VLOOKUP(LISTADO_PRODUCTOS_LISTBOX[Código],LISTADO_PRODUCTOS[#All],4)</f>
        <v>Pinceleta Nª4</v>
      </c>
      <c r="D381" s="6" t="str">
        <f>VLOOKUP(LISTADO_PRODUCTOS_LISTBOX[Código],LISTADO_PRODUCTOS[#All],5)</f>
        <v>N/A</v>
      </c>
    </row>
    <row r="382" spans="1:4" ht="12" customHeight="1" x14ac:dyDescent="0.3">
      <c r="A382" s="4">
        <v>2045</v>
      </c>
      <c r="B382" s="6" t="str">
        <f>VLOOKUP(LISTADO_PRODUCTOS_LISTBOX[Código],LISTADO_PRODUCTOS[#All],3)</f>
        <v>PAPELERIA Y ARTISTICA</v>
      </c>
      <c r="C382" s="6" t="str">
        <f>VLOOKUP(LISTADO_PRODUCTOS_LISTBOX[Código],LISTADO_PRODUCTOS[#All],4)</f>
        <v>Pinceleta Nº5</v>
      </c>
      <c r="D382" s="6" t="str">
        <f>VLOOKUP(LISTADO_PRODUCTOS_LISTBOX[Código],LISTADO_PRODUCTOS[#All],5)</f>
        <v>N/A</v>
      </c>
    </row>
    <row r="383" spans="1:4" ht="12" customHeight="1" x14ac:dyDescent="0.3">
      <c r="A383" s="4">
        <v>2046</v>
      </c>
      <c r="B383" s="6" t="str">
        <f>VLOOKUP(LISTADO_PRODUCTOS_LISTBOX[Código],LISTADO_PRODUCTOS[#All],3)</f>
        <v>PAPELERIA Y ARTISTICA</v>
      </c>
      <c r="C383" s="6" t="str">
        <f>VLOOKUP(LISTADO_PRODUCTOS_LISTBOX[Código],LISTADO_PRODUCTOS[#All],4)</f>
        <v>Pinceleta Nº6</v>
      </c>
      <c r="D383" s="6" t="str">
        <f>VLOOKUP(LISTADO_PRODUCTOS_LISTBOX[Código],LISTADO_PRODUCTOS[#All],5)</f>
        <v>N/A</v>
      </c>
    </row>
    <row r="384" spans="1:4" ht="12" customHeight="1" x14ac:dyDescent="0.3">
      <c r="A384" s="4">
        <v>2047</v>
      </c>
      <c r="B384" s="6" t="str">
        <f>VLOOKUP(LISTADO_PRODUCTOS_LISTBOX[Código],LISTADO_PRODUCTOS[#All],3)</f>
        <v>PAPELERIA Y ARTISTICA</v>
      </c>
      <c r="C384" s="6" t="str">
        <f>VLOOKUP(LISTADO_PRODUCTOS_LISTBOX[Código],LISTADO_PRODUCTOS[#All],4)</f>
        <v>Pinceleta Nº7</v>
      </c>
      <c r="D384" s="6" t="str">
        <f>VLOOKUP(LISTADO_PRODUCTOS_LISTBOX[Código],LISTADO_PRODUCTOS[#All],5)</f>
        <v>N/A</v>
      </c>
    </row>
    <row r="385" spans="1:4" ht="12" customHeight="1" x14ac:dyDescent="0.3">
      <c r="A385" s="4">
        <v>2048</v>
      </c>
      <c r="B385" s="6" t="str">
        <f>VLOOKUP(LISTADO_PRODUCTOS_LISTBOX[Código],LISTADO_PRODUCTOS[#All],3)</f>
        <v>PAPELERIA Y ARTISTICA</v>
      </c>
      <c r="C385" s="6" t="str">
        <f>VLOOKUP(LISTADO_PRODUCTOS_LISTBOX[Código],LISTADO_PRODUCTOS[#All],4)</f>
        <v>Broches CBX madera natural 45mm x 35u</v>
      </c>
      <c r="D385" s="6" t="str">
        <f>VLOOKUP(LISTADO_PRODUCTOS_LISTBOX[Código],LISTADO_PRODUCTOS[#All],5)</f>
        <v>N/A</v>
      </c>
    </row>
    <row r="386" spans="1:4" ht="12" customHeight="1" x14ac:dyDescent="0.3">
      <c r="A386" s="4">
        <v>2049</v>
      </c>
      <c r="B386" s="6" t="str">
        <f>VLOOKUP(LISTADO_PRODUCTOS_LISTBOX[Código],LISTADO_PRODUCTOS[#All],3)</f>
        <v>PAPELERIA Y ARTISTICA</v>
      </c>
      <c r="C386" s="6" t="str">
        <f>VLOOKUP(LISTADO_PRODUCTOS_LISTBOX[Código],LISTADO_PRODUCTOS[#All],4)</f>
        <v>Goma eva color comun</v>
      </c>
      <c r="D386" s="6" t="str">
        <f>VLOOKUP(LISTADO_PRODUCTOS_LISTBOX[Código],LISTADO_PRODUCTOS[#All],5)</f>
        <v>N/A</v>
      </c>
    </row>
    <row r="387" spans="1:4" ht="12" customHeight="1" x14ac:dyDescent="0.3">
      <c r="A387" s="4">
        <v>2050</v>
      </c>
      <c r="B387" s="6" t="str">
        <f>VLOOKUP(LISTADO_PRODUCTOS_LISTBOX[Código],LISTADO_PRODUCTOS[#All],3)</f>
        <v>PAPELERIA Y ARTISTICA</v>
      </c>
      <c r="C387" s="6" t="str">
        <f>VLOOKUP(LISTADO_PRODUCTOS_LISTBOX[Código],LISTADO_PRODUCTOS[#All],4)</f>
        <v>Goma eva corrugada</v>
      </c>
      <c r="D387" s="6" t="str">
        <f>VLOOKUP(LISTADO_PRODUCTOS_LISTBOX[Código],LISTADO_PRODUCTOS[#All],5)</f>
        <v>N/A</v>
      </c>
    </row>
    <row r="388" spans="1:4" ht="12" customHeight="1" x14ac:dyDescent="0.3">
      <c r="A388" s="4">
        <v>2051</v>
      </c>
      <c r="B388" s="6" t="str">
        <f>VLOOKUP(LISTADO_PRODUCTOS_LISTBOX[Código],LISTADO_PRODUCTOS[#All],3)</f>
        <v>PAPELERIA Y ARTISTICA</v>
      </c>
      <c r="C388" s="6" t="str">
        <f>VLOOKUP(LISTADO_PRODUCTOS_LISTBOX[Código],LISTADO_PRODUCTOS[#All],4)</f>
        <v>Goma Eva Super Glitter</v>
      </c>
      <c r="D388" s="6" t="str">
        <f>VLOOKUP(LISTADO_PRODUCTOS_LISTBOX[Código],LISTADO_PRODUCTOS[#All],5)</f>
        <v>N/A</v>
      </c>
    </row>
    <row r="389" spans="1:4" ht="12" customHeight="1" x14ac:dyDescent="0.3">
      <c r="A389" s="4">
        <v>2052</v>
      </c>
      <c r="B389" s="6" t="str">
        <f>VLOOKUP(LISTADO_PRODUCTOS_LISTBOX[Código],LISTADO_PRODUCTOS[#All],3)</f>
        <v>PAPELERIA Y ARTISTICA</v>
      </c>
      <c r="C389" s="6" t="str">
        <f>VLOOKUP(LISTADO_PRODUCTOS_LISTBOX[Código],LISTADO_PRODUCTOS[#All],4)</f>
        <v>Resma A3 Autor 80gr</v>
      </c>
      <c r="D389" s="6" t="str">
        <f>VLOOKUP(LISTADO_PRODUCTOS_LISTBOX[Código],LISTADO_PRODUCTOS[#All],5)</f>
        <v>N/A</v>
      </c>
    </row>
    <row r="390" spans="1:4" ht="12" customHeight="1" x14ac:dyDescent="0.3">
      <c r="A390" s="4">
        <v>2054</v>
      </c>
      <c r="B390" s="6" t="str">
        <f>VLOOKUP(LISTADO_PRODUCTOS_LISTBOX[Código],LISTADO_PRODUCTOS[#All],3)</f>
        <v>PAPELERIA Y ARTISTICA</v>
      </c>
      <c r="C390" s="6" t="str">
        <f>VLOOKUP(LISTADO_PRODUCTOS_LISTBOX[Código],LISTADO_PRODUCTOS[#All],4)</f>
        <v xml:space="preserve">Carton Corrugado Colores </v>
      </c>
      <c r="D390" s="6" t="str">
        <f>VLOOKUP(LISTADO_PRODUCTOS_LISTBOX[Código],LISTADO_PRODUCTOS[#All],5)</f>
        <v>N/A</v>
      </c>
    </row>
    <row r="391" spans="1:4" ht="12" customHeight="1" x14ac:dyDescent="0.3">
      <c r="A391" s="4">
        <v>2055</v>
      </c>
      <c r="B391" s="6" t="str">
        <f>VLOOKUP(LISTADO_PRODUCTOS_LISTBOX[Código],LISTADO_PRODUCTOS[#All],3)</f>
        <v>PAPELERIA Y ARTISTICA</v>
      </c>
      <c r="C391" s="6" t="str">
        <f>VLOOKUP(LISTADO_PRODUCTOS_LISTBOX[Código],LISTADO_PRODUCTOS[#All],4)</f>
        <v>Carton Corrugado Kraft</v>
      </c>
      <c r="D391" s="6" t="str">
        <f>VLOOKUP(LISTADO_PRODUCTOS_LISTBOX[Código],LISTADO_PRODUCTOS[#All],5)</f>
        <v>N/A</v>
      </c>
    </row>
    <row r="392" spans="1:4" ht="12" customHeight="1" x14ac:dyDescent="0.3">
      <c r="A392" s="4">
        <v>2058</v>
      </c>
      <c r="B392" s="6" t="str">
        <f>VLOOKUP(LISTADO_PRODUCTOS_LISTBOX[Código],LISTADO_PRODUCTOS[#All],3)</f>
        <v>PAPELERIA Y ARTISTICA</v>
      </c>
      <c r="C392" s="6" t="str">
        <f>VLOOKUP(LISTADO_PRODUCTOS_LISTBOX[Código],LISTADO_PRODUCTOS[#All],4)</f>
        <v>Cartulina Hologlitter x plancha</v>
      </c>
      <c r="D392" s="6" t="str">
        <f>VLOOKUP(LISTADO_PRODUCTOS_LISTBOX[Código],LISTADO_PRODUCTOS[#All],5)</f>
        <v>N/A</v>
      </c>
    </row>
    <row r="393" spans="1:4" ht="12" customHeight="1" x14ac:dyDescent="0.3">
      <c r="A393" s="4">
        <v>2059</v>
      </c>
      <c r="B393" s="6" t="str">
        <f>VLOOKUP(LISTADO_PRODUCTOS_LISTBOX[Código],LISTADO_PRODUCTOS[#All],3)</f>
        <v>PAPELERIA Y ARTISTICA</v>
      </c>
      <c r="C393" s="6" t="str">
        <f>VLOOKUP(LISTADO_PRODUCTOS_LISTBOX[Código],LISTADO_PRODUCTOS[#All],4)</f>
        <v>Papel Barrilete</v>
      </c>
      <c r="D393" s="6" t="str">
        <f>VLOOKUP(LISTADO_PRODUCTOS_LISTBOX[Código],LISTADO_PRODUCTOS[#All],5)</f>
        <v>N/A</v>
      </c>
    </row>
    <row r="394" spans="1:4" ht="12" customHeight="1" x14ac:dyDescent="0.3">
      <c r="A394" s="4">
        <v>2060</v>
      </c>
      <c r="B394" s="6" t="str">
        <f>VLOOKUP(LISTADO_PRODUCTOS_LISTBOX[Código],LISTADO_PRODUCTOS[#All],3)</f>
        <v>PAPELERIA Y ARTISTICA</v>
      </c>
      <c r="C394" s="6" t="str">
        <f>VLOOKUP(LISTADO_PRODUCTOS_LISTBOX[Código],LISTADO_PRODUCTOS[#All],4)</f>
        <v>Papel Barrilete</v>
      </c>
      <c r="D394" s="6" t="str">
        <f>VLOOKUP(LISTADO_PRODUCTOS_LISTBOX[Código],LISTADO_PRODUCTOS[#All],5)</f>
        <v>N/A</v>
      </c>
    </row>
    <row r="395" spans="1:4" ht="12" customHeight="1" x14ac:dyDescent="0.3">
      <c r="A395" s="4">
        <v>2062</v>
      </c>
      <c r="B395" s="6" t="str">
        <f>VLOOKUP(LISTADO_PRODUCTOS_LISTBOX[Código],LISTADO_PRODUCTOS[#All],3)</f>
        <v>PAPELERIA Y ARTISTICA</v>
      </c>
      <c r="C395" s="6" t="str">
        <f>VLOOKUP(LISTADO_PRODUCTOS_LISTBOX[Código],LISTADO_PRODUCTOS[#All],4)</f>
        <v>Papel de regalo Muresco</v>
      </c>
      <c r="D395" s="6" t="str">
        <f>VLOOKUP(LISTADO_PRODUCTOS_LISTBOX[Código],LISTADO_PRODUCTOS[#All],5)</f>
        <v>N/A</v>
      </c>
    </row>
    <row r="396" spans="1:4" ht="12" customHeight="1" x14ac:dyDescent="0.3">
      <c r="A396" s="4">
        <v>2064</v>
      </c>
      <c r="B396" s="6" t="str">
        <f>VLOOKUP(LISTADO_PRODUCTOS_LISTBOX[Código],LISTADO_PRODUCTOS[#All],3)</f>
        <v>PAPELERIA Y ARTISTICA</v>
      </c>
      <c r="C396" s="6" t="str">
        <f>VLOOKUP(LISTADO_PRODUCTOS_LISTBOX[Código],LISTADO_PRODUCTOS[#All],4)</f>
        <v>Cinta Scotch 12 mm x 30mt Cablefix</v>
      </c>
      <c r="D396" s="6" t="str">
        <f>VLOOKUP(LISTADO_PRODUCTOS_LISTBOX[Código],LISTADO_PRODUCTOS[#All],5)</f>
        <v>N/A</v>
      </c>
    </row>
    <row r="397" spans="1:4" ht="12" customHeight="1" x14ac:dyDescent="0.3">
      <c r="A397" s="4">
        <v>2065</v>
      </c>
      <c r="B397" s="6" t="str">
        <f>VLOOKUP(LISTADO_PRODUCTOS_LISTBOX[Código],LISTADO_PRODUCTOS[#All],3)</f>
        <v>PAPELERIA Y ARTISTICA</v>
      </c>
      <c r="C397" s="6" t="str">
        <f>VLOOKUP(LISTADO_PRODUCTOS_LISTBOX[Código],LISTADO_PRODUCTOS[#All],4)</f>
        <v>Banditas elasticas  caja x 250gr</v>
      </c>
      <c r="D397" s="6" t="str">
        <f>VLOOKUP(LISTADO_PRODUCTOS_LISTBOX[Código],LISTADO_PRODUCTOS[#All],5)</f>
        <v>N/A</v>
      </c>
    </row>
    <row r="398" spans="1:4" ht="12" customHeight="1" x14ac:dyDescent="0.3">
      <c r="A398" s="4">
        <v>2066</v>
      </c>
      <c r="B398" s="6" t="str">
        <f>VLOOKUP(LISTADO_PRODUCTOS_LISTBOX[Código],LISTADO_PRODUCTOS[#All],3)</f>
        <v>PAPELERIA Y ARTISTICA</v>
      </c>
      <c r="C398" s="6" t="str">
        <f>VLOOKUP(LISTADO_PRODUCTOS_LISTBOX[Código],LISTADO_PRODUCTOS[#All],4)</f>
        <v>Banditas elasticas caja x 50gr</v>
      </c>
      <c r="D398" s="6" t="str">
        <f>VLOOKUP(LISTADO_PRODUCTOS_LISTBOX[Código],LISTADO_PRODUCTOS[#All],5)</f>
        <v>N/A</v>
      </c>
    </row>
    <row r="399" spans="1:4" ht="12" customHeight="1" x14ac:dyDescent="0.3">
      <c r="A399" s="4">
        <v>2067</v>
      </c>
      <c r="B399" s="6" t="str">
        <f>VLOOKUP(LISTADO_PRODUCTOS_LISTBOX[Código],LISTADO_PRODUCTOS[#All],3)</f>
        <v>PAPELERIA Y ARTISTICA</v>
      </c>
      <c r="C399" s="6" t="str">
        <f>VLOOKUP(LISTADO_PRODUCTOS_LISTBOX[Código],LISTADO_PRODUCTOS[#All],4)</f>
        <v>Broche metalizado madera CBX m35mm x 25u</v>
      </c>
      <c r="D399" s="6" t="str">
        <f>VLOOKUP(LISTADO_PRODUCTOS_LISTBOX[Código],LISTADO_PRODUCTOS[#All],5)</f>
        <v>N/A</v>
      </c>
    </row>
    <row r="400" spans="1:4" ht="12" customHeight="1" x14ac:dyDescent="0.3">
      <c r="A400" s="4">
        <v>2072</v>
      </c>
      <c r="B400" s="6" t="str">
        <f>VLOOKUP(LISTADO_PRODUCTOS_LISTBOX[Código],LISTADO_PRODUCTOS[#All],3)</f>
        <v>PAPELERIA Y ARTISTICA</v>
      </c>
      <c r="C400" s="6" t="str">
        <f>VLOOKUP(LISTADO_PRODUCTOS_LISTBOX[Código],LISTADO_PRODUCTOS[#All],4)</f>
        <v>Plastilina Tintoretto x 10u</v>
      </c>
      <c r="D400" s="6" t="str">
        <f>VLOOKUP(LISTADO_PRODUCTOS_LISTBOX[Código],LISTADO_PRODUCTOS[#All],5)</f>
        <v>N/A</v>
      </c>
    </row>
    <row r="401" spans="1:4" ht="12" customHeight="1" x14ac:dyDescent="0.3">
      <c r="A401" s="4">
        <v>2075</v>
      </c>
      <c r="B401" s="6" t="str">
        <f>VLOOKUP(LISTADO_PRODUCTOS_LISTBOX[Código],LISTADO_PRODUCTOS[#All],3)</f>
        <v>PAPELERIA Y ARTISTICA</v>
      </c>
      <c r="C401" s="6" t="str">
        <f>VLOOKUP(LISTADO_PRODUCTOS_LISTBOX[Código],LISTADO_PRODUCTOS[#All],4)</f>
        <v>Plastilina Maped x 6u</v>
      </c>
      <c r="D401" s="6" t="str">
        <f>VLOOKUP(LISTADO_PRODUCTOS_LISTBOX[Código],LISTADO_PRODUCTOS[#All],5)</f>
        <v>N/A</v>
      </c>
    </row>
    <row r="402" spans="1:4" ht="12" customHeight="1" x14ac:dyDescent="0.3">
      <c r="A402" s="4">
        <v>2076</v>
      </c>
      <c r="B402" s="6" t="str">
        <f>VLOOKUP(LISTADO_PRODUCTOS_LISTBOX[Código],LISTADO_PRODUCTOS[#All],3)</f>
        <v>PAPELERIA Y ARTISTICA</v>
      </c>
      <c r="C402" s="6" t="str">
        <f>VLOOKUP(LISTADO_PRODUCTOS_LISTBOX[Código],LISTADO_PRODUCTOS[#All],4)</f>
        <v>Tempera Alba magic/Playcolor x10u</v>
      </c>
      <c r="D402" s="6" t="str">
        <f>VLOOKUP(LISTADO_PRODUCTOS_LISTBOX[Código],LISTADO_PRODUCTOS[#All],5)</f>
        <v>N/A</v>
      </c>
    </row>
    <row r="403" spans="1:4" ht="12" customHeight="1" x14ac:dyDescent="0.3">
      <c r="A403" s="4">
        <v>2079</v>
      </c>
      <c r="B403" s="6" t="str">
        <f>VLOOKUP(LISTADO_PRODUCTOS_LISTBOX[Código],LISTADO_PRODUCTOS[#All],3)</f>
        <v>PAPELERIA Y ARTISTICA</v>
      </c>
      <c r="C403" s="6" t="str">
        <f>VLOOKUP(LISTADO_PRODUCTOS_LISTBOX[Código],LISTADO_PRODUCTOS[#All],4)</f>
        <v>Tempera Alba x170gr</v>
      </c>
      <c r="D403" s="6" t="str">
        <f>VLOOKUP(LISTADO_PRODUCTOS_LISTBOX[Código],LISTADO_PRODUCTOS[#All],5)</f>
        <v>N/A</v>
      </c>
    </row>
    <row r="404" spans="1:4" ht="12" customHeight="1" x14ac:dyDescent="0.3">
      <c r="A404" s="4">
        <v>2089</v>
      </c>
      <c r="B404" s="6" t="str">
        <f>VLOOKUP(LISTADO_PRODUCTOS_LISTBOX[Código],LISTADO_PRODUCTOS[#All],3)</f>
        <v>PAPELERIA Y ARTISTICA</v>
      </c>
      <c r="C404" s="6" t="str">
        <f>VLOOKUP(LISTADO_PRODUCTOS_LISTBOX[Código],LISTADO_PRODUCTOS[#All],4)</f>
        <v>Pistolita de silicona Liggo garnde barra gruesa 40w</v>
      </c>
      <c r="D404" s="6" t="str">
        <f>VLOOKUP(LISTADO_PRODUCTOS_LISTBOX[Código],LISTADO_PRODUCTOS[#All],5)</f>
        <v>N/A</v>
      </c>
    </row>
    <row r="405" spans="1:4" ht="12" customHeight="1" x14ac:dyDescent="0.3">
      <c r="A405" s="4">
        <v>2091</v>
      </c>
      <c r="B405" s="6" t="str">
        <f>VLOOKUP(LISTADO_PRODUCTOS_LISTBOX[Código],LISTADO_PRODUCTOS[#All],3)</f>
        <v>PAPELERIA Y ARTISTICA</v>
      </c>
      <c r="C405" s="6" t="str">
        <f>VLOOKUP(LISTADO_PRODUCTOS_LISTBOX[Código],LISTADO_PRODUCTOS[#All],4)</f>
        <v>Pistolita encoladora chica 7mm LIGGO 10W</v>
      </c>
      <c r="D405" s="6" t="str">
        <f>VLOOKUP(LISTADO_PRODUCTOS_LISTBOX[Código],LISTADO_PRODUCTOS[#All],5)</f>
        <v>N/A</v>
      </c>
    </row>
    <row r="406" spans="1:4" ht="12" customHeight="1" x14ac:dyDescent="0.3">
      <c r="A406" s="4">
        <v>2093</v>
      </c>
      <c r="B406" s="6" t="str">
        <f>VLOOKUP(LISTADO_PRODUCTOS_LISTBOX[Código],LISTADO_PRODUCTOS[#All],3)</f>
        <v>PAPELERIA Y ARTISTICA</v>
      </c>
      <c r="C406" s="6" t="str">
        <f>VLOOKUP(LISTADO_PRODUCTOS_LISTBOX[Código],LISTADO_PRODUCTOS[#All],4)</f>
        <v>Pintura p/Tela</v>
      </c>
      <c r="D406" s="6" t="str">
        <f>VLOOKUP(LISTADO_PRODUCTOS_LISTBOX[Código],LISTADO_PRODUCTOS[#All],5)</f>
        <v>N/A</v>
      </c>
    </row>
    <row r="407" spans="1:4" ht="12" customHeight="1" x14ac:dyDescent="0.3">
      <c r="A407" s="4">
        <v>2094</v>
      </c>
      <c r="B407" s="6" t="str">
        <f>VLOOKUP(LISTADO_PRODUCTOS_LISTBOX[Código],LISTADO_PRODUCTOS[#All],3)</f>
        <v>PAPELERIA Y ARTISTICA</v>
      </c>
      <c r="C407" s="6" t="str">
        <f>VLOOKUP(LISTADO_PRODUCTOS_LISTBOX[Código],LISTADO_PRODUCTOS[#All],4)</f>
        <v>Acrilico EQ Arte 50cc</v>
      </c>
      <c r="D407" s="6" t="str">
        <f>VLOOKUP(LISTADO_PRODUCTOS_LISTBOX[Código],LISTADO_PRODUCTOS[#All],5)</f>
        <v>N/A</v>
      </c>
    </row>
    <row r="408" spans="1:4" ht="12" customHeight="1" x14ac:dyDescent="0.3">
      <c r="A408" s="4">
        <v>2096</v>
      </c>
      <c r="B408" s="6" t="str">
        <f>VLOOKUP(LISTADO_PRODUCTOS_LISTBOX[Código],LISTADO_PRODUCTOS[#All],3)</f>
        <v>PAPELERIA Y ARTISTICA</v>
      </c>
      <c r="C408" s="6" t="str">
        <f>VLOOKUP(LISTADO_PRODUCTOS_LISTBOX[Código],LISTADO_PRODUCTOS[#All],4)</f>
        <v>Brillo en tarro Sifap 25gr</v>
      </c>
      <c r="D408" s="6" t="str">
        <f>VLOOKUP(LISTADO_PRODUCTOS_LISTBOX[Código],LISTADO_PRODUCTOS[#All],5)</f>
        <v>N/A</v>
      </c>
    </row>
    <row r="409" spans="1:4" ht="12" customHeight="1" x14ac:dyDescent="0.3">
      <c r="A409" s="4">
        <v>2097</v>
      </c>
      <c r="B409" s="6" t="str">
        <f>VLOOKUP(LISTADO_PRODUCTOS_LISTBOX[Código],LISTADO_PRODUCTOS[#All],3)</f>
        <v>PAPELERIA Y ARTISTICA</v>
      </c>
      <c r="C409" s="6" t="str">
        <f>VLOOKUP(LISTADO_PRODUCTOS_LISTBOX[Código],LISTADO_PRODUCTOS[#All],4)</f>
        <v>Arcilla natural (color gris) Sifap x 300gr</v>
      </c>
      <c r="D409" s="6" t="str">
        <f>VLOOKUP(LISTADO_PRODUCTOS_LISTBOX[Código],LISTADO_PRODUCTOS[#All],5)</f>
        <v>N/A</v>
      </c>
    </row>
    <row r="410" spans="1:4" ht="12" customHeight="1" x14ac:dyDescent="0.3">
      <c r="A410" s="4">
        <v>2262</v>
      </c>
      <c r="B410" s="6" t="str">
        <f>VLOOKUP(LISTADO_PRODUCTOS_LISTBOX[Código],LISTADO_PRODUCTOS[#All],3)</f>
        <v>PAPELERIA Y ARTISTICA</v>
      </c>
      <c r="C410" s="6" t="str">
        <f>VLOOKUP(LISTADO_PRODUCTOS_LISTBOX[Código],LISTADO_PRODUCTOS[#All],4)</f>
        <v>Acuarela Filgo x 12u</v>
      </c>
      <c r="D410" s="6" t="str">
        <f>VLOOKUP(LISTADO_PRODUCTOS_LISTBOX[Código],LISTADO_PRODUCTOS[#All],5)</f>
        <v>N/A</v>
      </c>
    </row>
    <row r="411" spans="1:4" ht="12" customHeight="1" x14ac:dyDescent="0.3">
      <c r="A411" s="4">
        <v>2102</v>
      </c>
      <c r="B411" s="6" t="str">
        <f>VLOOKUP(LISTADO_PRODUCTOS_LISTBOX[Código],LISTADO_PRODUCTOS[#All],3)</f>
        <v>PAPELERIA Y ARTISTICA</v>
      </c>
      <c r="C411" s="6" t="str">
        <f>VLOOKUP(LISTADO_PRODUCTOS_LISTBOX[Código],LISTADO_PRODUCTOS[#All],4)</f>
        <v>Arcilla natural (color gris) Sifap x 300gr</v>
      </c>
      <c r="D411" s="6" t="str">
        <f>VLOOKUP(LISTADO_PRODUCTOS_LISTBOX[Código],LISTADO_PRODUCTOS[#All],5)</f>
        <v>N/A</v>
      </c>
    </row>
    <row r="412" spans="1:4" ht="12" customHeight="1" x14ac:dyDescent="0.3">
      <c r="A412" s="4">
        <v>2103</v>
      </c>
      <c r="B412" s="6" t="str">
        <f>VLOOKUP(LISTADO_PRODUCTOS_LISTBOX[Código],LISTADO_PRODUCTOS[#All],3)</f>
        <v>PAPELERIA Y ARTISTICA</v>
      </c>
      <c r="C412" s="6" t="str">
        <f>VLOOKUP(LISTADO_PRODUCTOS_LISTBOX[Código],LISTADO_PRODUCTOS[#All],4)</f>
        <v>Pistola para silicona fina Suprabond Hx-100 diseños especiales</v>
      </c>
      <c r="D412" s="6" t="str">
        <f>VLOOKUP(LISTADO_PRODUCTOS_LISTBOX[Código],LISTADO_PRODUCTOS[#All],5)</f>
        <v>N/A</v>
      </c>
    </row>
    <row r="413" spans="1:4" ht="12" customHeight="1" x14ac:dyDescent="0.3">
      <c r="A413" s="4">
        <v>2104</v>
      </c>
      <c r="B413" s="6" t="str">
        <f>VLOOKUP(LISTADO_PRODUCTOS_LISTBOX[Código],LISTADO_PRODUCTOS[#All],3)</f>
        <v>PAPELERIA Y ARTISTICA</v>
      </c>
      <c r="C413" s="6" t="str">
        <f>VLOOKUP(LISTADO_PRODUCTOS_LISTBOX[Código],LISTADO_PRODUCTOS[#All],4)</f>
        <v>Pistola para silicona gruesa Suprabond</v>
      </c>
      <c r="D413" s="6" t="str">
        <f>VLOOKUP(LISTADO_PRODUCTOS_LISTBOX[Código],LISTADO_PRODUCTOS[#All],5)</f>
        <v>N/A</v>
      </c>
    </row>
    <row r="414" spans="1:4" ht="12" customHeight="1" x14ac:dyDescent="0.3">
      <c r="A414" s="4">
        <v>2105</v>
      </c>
      <c r="B414" s="6" t="str">
        <f>VLOOKUP(LISTADO_PRODUCTOS_LISTBOX[Código],LISTADO_PRODUCTOS[#All],3)</f>
        <v>PAPELERIA Y ARTISTICA</v>
      </c>
      <c r="C414" s="6" t="str">
        <f>VLOOKUP(LISTADO_PRODUCTOS_LISTBOX[Código],LISTADO_PRODUCTOS[#All],4)</f>
        <v>Yeso Paris</v>
      </c>
      <c r="D414" s="6" t="str">
        <f>VLOOKUP(LISTADO_PRODUCTOS_LISTBOX[Código],LISTADO_PRODUCTOS[#All],5)</f>
        <v>N/A</v>
      </c>
    </row>
    <row r="415" spans="1:4" ht="12" customHeight="1" x14ac:dyDescent="0.3">
      <c r="A415" s="4">
        <v>2106</v>
      </c>
      <c r="B415" s="6" t="str">
        <f>VLOOKUP(LISTADO_PRODUCTOS_LISTBOX[Código],LISTADO_PRODUCTOS[#All],3)</f>
        <v>PAPELERIA Y ARTISTICA</v>
      </c>
      <c r="C415" s="6" t="str">
        <f>VLOOKUP(LISTADO_PRODUCTOS_LISTBOX[Código],LISTADO_PRODUCTOS[#All],4)</f>
        <v>Silicona Liquida Unipox ge 24ml</v>
      </c>
      <c r="D415" s="6" t="str">
        <f>VLOOKUP(LISTADO_PRODUCTOS_LISTBOX[Código],LISTADO_PRODUCTOS[#All],5)</f>
        <v>N/A</v>
      </c>
    </row>
    <row r="416" spans="1:4" ht="12" customHeight="1" x14ac:dyDescent="0.3">
      <c r="A416" s="4">
        <v>2108</v>
      </c>
      <c r="B416" s="6" t="str">
        <f>VLOOKUP(LISTADO_PRODUCTOS_LISTBOX[Código],LISTADO_PRODUCTOS[#All],3)</f>
        <v>PAPELERIA Y ARTISTICA</v>
      </c>
      <c r="C416" s="6" t="str">
        <f>VLOOKUP(LISTADO_PRODUCTOS_LISTBOX[Código],LISTADO_PRODUCTOS[#All],4)</f>
        <v>Brillantina Gibre Sifap blister x 5u</v>
      </c>
      <c r="D416" s="6" t="str">
        <f>VLOOKUP(LISTADO_PRODUCTOS_LISTBOX[Código],LISTADO_PRODUCTOS[#All],5)</f>
        <v>N/A</v>
      </c>
    </row>
    <row r="417" spans="1:4" ht="12" customHeight="1" x14ac:dyDescent="0.3">
      <c r="A417" s="4">
        <v>2109</v>
      </c>
      <c r="B417" s="6" t="str">
        <f>VLOOKUP(LISTADO_PRODUCTOS_LISTBOX[Código],LISTADO_PRODUCTOS[#All],3)</f>
        <v>PAPELERIA Y ARTISTICA</v>
      </c>
      <c r="C417" s="6" t="str">
        <f>VLOOKUP(LISTADO_PRODUCTOS_LISTBOX[Código],LISTADO_PRODUCTOS[#All],4)</f>
        <v>Chinche Forrada Sifap x 80u</v>
      </c>
      <c r="D417" s="6" t="str">
        <f>VLOOKUP(LISTADO_PRODUCTOS_LISTBOX[Código],LISTADO_PRODUCTOS[#All],5)</f>
        <v>N/A</v>
      </c>
    </row>
    <row r="418" spans="1:4" ht="12" customHeight="1" x14ac:dyDescent="0.3">
      <c r="A418" s="4">
        <v>2111</v>
      </c>
      <c r="B418" s="6" t="str">
        <f>VLOOKUP(LISTADO_PRODUCTOS_LISTBOX[Código],LISTADO_PRODUCTOS[#All],3)</f>
        <v>PAPELERIA Y ARTISTICA</v>
      </c>
      <c r="C418" s="6" t="str">
        <f>VLOOKUP(LISTADO_PRODUCTOS_LISTBOX[Código],LISTADO_PRODUCTOS[#All],4)</f>
        <v>Sobre carta chico blanco</v>
      </c>
      <c r="D418" s="6" t="str">
        <f>VLOOKUP(LISTADO_PRODUCTOS_LISTBOX[Código],LISTADO_PRODUCTOS[#All],5)</f>
        <v>N/A</v>
      </c>
    </row>
    <row r="419" spans="1:4" ht="12" customHeight="1" x14ac:dyDescent="0.3">
      <c r="A419" s="4">
        <v>2113</v>
      </c>
      <c r="B419" s="6" t="str">
        <f>VLOOKUP(LISTADO_PRODUCTOS_LISTBOX[Código],LISTADO_PRODUCTOS[#All],3)</f>
        <v>PAPELERIA Y ARTISTICA</v>
      </c>
      <c r="C419" s="6" t="str">
        <f>VLOOKUP(LISTADO_PRODUCTOS_LISTBOX[Código],LISTADO_PRODUCTOS[#All],4)</f>
        <v>Sobre Oficio ingles Blanco</v>
      </c>
      <c r="D419" s="6" t="str">
        <f>VLOOKUP(LISTADO_PRODUCTOS_LISTBOX[Código],LISTADO_PRODUCTOS[#All],5)</f>
        <v>N/A</v>
      </c>
    </row>
    <row r="420" spans="1:4" ht="12" customHeight="1" x14ac:dyDescent="0.3">
      <c r="A420" s="4">
        <v>2114</v>
      </c>
      <c r="B420" s="6" t="str">
        <f>VLOOKUP(LISTADO_PRODUCTOS_LISTBOX[Código],LISTADO_PRODUCTOS[#All],3)</f>
        <v>PAPELERIA Y ARTISTICA</v>
      </c>
      <c r="C420" s="6" t="str">
        <f>VLOOKUP(LISTADO_PRODUCTOS_LISTBOX[Código],LISTADO_PRODUCTOS[#All],4)</f>
        <v>Cinta de embalar 48mm x 100mts</v>
      </c>
      <c r="D420" s="6" t="str">
        <f>VLOOKUP(LISTADO_PRODUCTOS_LISTBOX[Código],LISTADO_PRODUCTOS[#All],5)</f>
        <v>N/A</v>
      </c>
    </row>
    <row r="421" spans="1:4" ht="12" customHeight="1" x14ac:dyDescent="0.3">
      <c r="A421" s="4">
        <v>2115</v>
      </c>
      <c r="B421" s="6" t="str">
        <f>VLOOKUP(LISTADO_PRODUCTOS_LISTBOX[Código],LISTADO_PRODUCTOS[#All],3)</f>
        <v>PAPELERIA Y ARTISTICA</v>
      </c>
      <c r="C421" s="6" t="str">
        <f>VLOOKUP(LISTADO_PRODUCTOS_LISTBOX[Código],LISTADO_PRODUCTOS[#All],4)</f>
        <v>Imanes Flexibles autoadhesivos A4 Sifap x plancha</v>
      </c>
      <c r="D421" s="6" t="str">
        <f>VLOOKUP(LISTADO_PRODUCTOS_LISTBOX[Código],LISTADO_PRODUCTOS[#All],5)</f>
        <v>N/A</v>
      </c>
    </row>
    <row r="422" spans="1:4" ht="12" customHeight="1" x14ac:dyDescent="0.3">
      <c r="A422" s="4">
        <v>2119</v>
      </c>
      <c r="B422" s="6" t="str">
        <f>VLOOKUP(LISTADO_PRODUCTOS_LISTBOX[Código],LISTADO_PRODUCTOS[#All],3)</f>
        <v>PAPELERIA Y ARTISTICA</v>
      </c>
      <c r="C422" s="6" t="str">
        <f>VLOOKUP(LISTADO_PRODUCTOS_LISTBOX[Código],LISTADO_PRODUCTOS[#All],4)</f>
        <v>Adhesivo en barra Ezco 21grs</v>
      </c>
      <c r="D422" s="6" t="str">
        <f>VLOOKUP(LISTADO_PRODUCTOS_LISTBOX[Código],LISTADO_PRODUCTOS[#All],5)</f>
        <v>N/A</v>
      </c>
    </row>
    <row r="423" spans="1:4" ht="12" customHeight="1" x14ac:dyDescent="0.3">
      <c r="A423" s="4">
        <v>2120</v>
      </c>
      <c r="B423" s="6" t="str">
        <f>VLOOKUP(LISTADO_PRODUCTOS_LISTBOX[Código],LISTADO_PRODUCTOS[#All],3)</f>
        <v>PAPELERIA Y ARTISTICA</v>
      </c>
      <c r="C423" s="6" t="str">
        <f>VLOOKUP(LISTADO_PRODUCTOS_LISTBOX[Código],LISTADO_PRODUCTOS[#All],4)</f>
        <v>Adhesivo en barra Giotto 36g</v>
      </c>
      <c r="D423" s="6" t="str">
        <f>VLOOKUP(LISTADO_PRODUCTOS_LISTBOX[Código],LISTADO_PRODUCTOS[#All],5)</f>
        <v>N/A</v>
      </c>
    </row>
    <row r="424" spans="1:4" ht="12" customHeight="1" x14ac:dyDescent="0.3">
      <c r="A424" s="4">
        <v>2200</v>
      </c>
      <c r="B424" s="6" t="str">
        <f>VLOOKUP(LISTADO_PRODUCTOS_LISTBOX[Código],LISTADO_PRODUCTOS[#All],3)</f>
        <v>PAPELERIA Y ARTISTICA</v>
      </c>
      <c r="C424" s="6" t="str">
        <f>VLOOKUP(LISTADO_PRODUCTOS_LISTBOX[Código],LISTADO_PRODUCTOS[#All],4)</f>
        <v>Cinta scotch transparente 18mm x 25mt</v>
      </c>
      <c r="D424" s="6" t="str">
        <f>VLOOKUP(LISTADO_PRODUCTOS_LISTBOX[Código],LISTADO_PRODUCTOS[#All],5)</f>
        <v>N/A</v>
      </c>
    </row>
    <row r="425" spans="1:4" ht="12" customHeight="1" x14ac:dyDescent="0.3">
      <c r="A425" s="4">
        <v>2220</v>
      </c>
      <c r="B425" s="6" t="str">
        <f>VLOOKUP(LISTADO_PRODUCTOS_LISTBOX[Código],LISTADO_PRODUCTOS[#All],3)</f>
        <v>PAPELERIA Y ARTISTICA</v>
      </c>
      <c r="C425" s="6" t="str">
        <f>VLOOKUP(LISTADO_PRODUCTOS_LISTBOX[Código],LISTADO_PRODUCTOS[#All],4)</f>
        <v>Cinta Scotch 18mm x 30m</v>
      </c>
      <c r="D425" s="6" t="str">
        <f>VLOOKUP(LISTADO_PRODUCTOS_LISTBOX[Código],LISTADO_PRODUCTOS[#All],5)</f>
        <v>N/A</v>
      </c>
    </row>
    <row r="426" spans="1:4" ht="12" customHeight="1" x14ac:dyDescent="0.3">
      <c r="A426" s="4">
        <v>2221</v>
      </c>
      <c r="B426" s="6" t="str">
        <f>VLOOKUP(LISTADO_PRODUCTOS_LISTBOX[Código],LISTADO_PRODUCTOS[#All],3)</f>
        <v>PAPELERIA Y ARTISTICA</v>
      </c>
      <c r="C426" s="6" t="str">
        <f>VLOOKUP(LISTADO_PRODUCTOS_LISTBOX[Código],LISTADO_PRODUCTOS[#All],4)</f>
        <v>Cinta confitera</v>
      </c>
      <c r="D426" s="6" t="str">
        <f>VLOOKUP(LISTADO_PRODUCTOS_LISTBOX[Código],LISTADO_PRODUCTOS[#All],5)</f>
        <v>N/A</v>
      </c>
    </row>
    <row r="427" spans="1:4" ht="12" customHeight="1" x14ac:dyDescent="0.3">
      <c r="A427" s="4">
        <v>2222</v>
      </c>
      <c r="B427" s="6" t="str">
        <f>VLOOKUP(LISTADO_PRODUCTOS_LISTBOX[Código],LISTADO_PRODUCTOS[#All],3)</f>
        <v>PAPELERIA Y ARTISTICA</v>
      </c>
      <c r="C427" s="6" t="str">
        <f>VLOOKUP(LISTADO_PRODUCTOS_LISTBOX[Código],LISTADO_PRODUCTOS[#All],4)</f>
        <v>Cinta embalar 48mm x 50m Stiko</v>
      </c>
      <c r="D427" s="6" t="str">
        <f>VLOOKUP(LISTADO_PRODUCTOS_LISTBOX[Código],LISTADO_PRODUCTOS[#All],5)</f>
        <v>N/A</v>
      </c>
    </row>
    <row r="428" spans="1:4" ht="12" customHeight="1" x14ac:dyDescent="0.3">
      <c r="A428" s="4">
        <v>2113</v>
      </c>
      <c r="B428" s="6" t="str">
        <f>VLOOKUP(LISTADO_PRODUCTOS_LISTBOX[Código],LISTADO_PRODUCTOS[#All],3)</f>
        <v>PAPELERIA Y ARTISTICA</v>
      </c>
      <c r="C428" s="6" t="str">
        <f>VLOOKUP(LISTADO_PRODUCTOS_LISTBOX[Código],LISTADO_PRODUCTOS[#All],4)</f>
        <v>Sobre Oficio ingles Blanco</v>
      </c>
      <c r="D428" s="6" t="str">
        <f>VLOOKUP(LISTADO_PRODUCTOS_LISTBOX[Código],LISTADO_PRODUCTOS[#All],5)</f>
        <v>N/A</v>
      </c>
    </row>
    <row r="429" spans="1:4" ht="12" customHeight="1" x14ac:dyDescent="0.3">
      <c r="A429" s="4">
        <v>2119</v>
      </c>
      <c r="B429" s="6" t="str">
        <f>VLOOKUP(LISTADO_PRODUCTOS_LISTBOX[Código],LISTADO_PRODUCTOS[#All],3)</f>
        <v>PAPELERIA Y ARTISTICA</v>
      </c>
      <c r="C429" s="6" t="str">
        <f>VLOOKUP(LISTADO_PRODUCTOS_LISTBOX[Código],LISTADO_PRODUCTOS[#All],4)</f>
        <v>Adhesivo en barra Ezco 21grs</v>
      </c>
      <c r="D429" s="6" t="str">
        <f>VLOOKUP(LISTADO_PRODUCTOS_LISTBOX[Código],LISTADO_PRODUCTOS[#All],5)</f>
        <v>N/A</v>
      </c>
    </row>
    <row r="430" spans="1:4" ht="12" customHeight="1" x14ac:dyDescent="0.3">
      <c r="A430" s="4">
        <v>2120</v>
      </c>
      <c r="B430" s="6" t="str">
        <f>VLOOKUP(LISTADO_PRODUCTOS_LISTBOX[Código],LISTADO_PRODUCTOS[#All],3)</f>
        <v>PAPELERIA Y ARTISTICA</v>
      </c>
      <c r="C430" s="6" t="str">
        <f>VLOOKUP(LISTADO_PRODUCTOS_LISTBOX[Código],LISTADO_PRODUCTOS[#All],4)</f>
        <v>Adhesivo en barra Giotto 36g</v>
      </c>
      <c r="D430" s="6" t="str">
        <f>VLOOKUP(LISTADO_PRODUCTOS_LISTBOX[Código],LISTADO_PRODUCTOS[#All],5)</f>
        <v>N/A</v>
      </c>
    </row>
    <row r="431" spans="1:4" ht="12" customHeight="1" x14ac:dyDescent="0.3">
      <c r="A431" s="4">
        <v>2127</v>
      </c>
      <c r="B431" s="6" t="str">
        <f>VLOOKUP(LISTADO_PRODUCTOS_LISTBOX[Código],LISTADO_PRODUCTOS[#All],3)</f>
        <v>PAPELERIA Y ARTISTICA</v>
      </c>
      <c r="C431" s="6" t="str">
        <f>VLOOKUP(LISTADO_PRODUCTOS_LISTBOX[Código],LISTADO_PRODUCTOS[#All],4)</f>
        <v>Adhesivo en barra Giotto 36g</v>
      </c>
      <c r="D431" s="6" t="str">
        <f>VLOOKUP(LISTADO_PRODUCTOS_LISTBOX[Código],LISTADO_PRODUCTOS[#All],5)</f>
        <v>N/A</v>
      </c>
    </row>
    <row r="432" spans="1:4" x14ac:dyDescent="0.3">
      <c r="A432" s="4">
        <v>2125</v>
      </c>
      <c r="B432" s="6" t="str">
        <f>VLOOKUP(LISTADO_PRODUCTOS_LISTBOX[Código],LISTADO_PRODUCTOS[#All],3)</f>
        <v>PAPELERIA Y ARTISTICA</v>
      </c>
      <c r="C432" s="6" t="str">
        <f>VLOOKUP(LISTADO_PRODUCTOS_LISTBOX[Código],LISTADO_PRODUCTOS[#All],4)</f>
        <v>Adhesivo en barra Giotto 36g</v>
      </c>
      <c r="D432" s="6" t="str">
        <f>VLOOKUP(LISTADO_PRODUCTOS_LISTBOX[Código],LISTADO_PRODUCTOS[#All],5)</f>
        <v>N/A</v>
      </c>
    </row>
    <row r="433" spans="1:4" x14ac:dyDescent="0.3">
      <c r="A433" s="4">
        <v>2226</v>
      </c>
      <c r="B433" s="6" t="str">
        <f>VLOOKUP(LISTADO_PRODUCTOS_LISTBOX[Código],LISTADO_PRODUCTOS[#All],3)</f>
        <v>PAPELERIA Y ARTISTICA</v>
      </c>
      <c r="C433" s="6" t="str">
        <f>VLOOKUP(LISTADO_PRODUCTOS_LISTBOX[Código],LISTADO_PRODUCTOS[#All],4)</f>
        <v>Tiza Giotto Color x 10</v>
      </c>
      <c r="D433" s="6" t="str">
        <f>VLOOKUP(LISTADO_PRODUCTOS_LISTBOX[Código],LISTADO_PRODUCTOS[#All],5)</f>
        <v>N/A</v>
      </c>
    </row>
    <row r="434" spans="1:4" x14ac:dyDescent="0.3">
      <c r="A434" s="4">
        <v>2227</v>
      </c>
      <c r="B434" s="6" t="str">
        <f>VLOOKUP(LISTADO_PRODUCTOS_LISTBOX[Código],LISTADO_PRODUCTOS[#All],3)</f>
        <v>PAPELERIA Y ARTISTICA</v>
      </c>
      <c r="C434" s="6" t="str">
        <f>VLOOKUP(LISTADO_PRODUCTOS_LISTBOX[Código],LISTADO_PRODUCTOS[#All],4)</f>
        <v>Tiza Playcolor/Giotto Blanca x 12</v>
      </c>
      <c r="D434" s="6" t="str">
        <f>VLOOKUP(LISTADO_PRODUCTOS_LISTBOX[Código],LISTADO_PRODUCTOS[#All],5)</f>
        <v>N/A</v>
      </c>
    </row>
    <row r="435" spans="1:4" x14ac:dyDescent="0.3">
      <c r="A435" s="4">
        <v>2228</v>
      </c>
      <c r="B435" s="6" t="str">
        <f>VLOOKUP(LISTADO_PRODUCTOS_LISTBOX[Código],LISTADO_PRODUCTOS[#All],3)</f>
        <v>PAPELERIA Y ARTISTICA</v>
      </c>
      <c r="C435" s="6" t="str">
        <f>VLOOKUP(LISTADO_PRODUCTOS_LISTBOX[Código],LISTADO_PRODUCTOS[#All],4)</f>
        <v>Palitos de helado natural x 50</v>
      </c>
      <c r="D435" s="6" t="str">
        <f>VLOOKUP(LISTADO_PRODUCTOS_LISTBOX[Código],LISTADO_PRODUCTOS[#All],5)</f>
        <v>N/A</v>
      </c>
    </row>
    <row r="436" spans="1:4" x14ac:dyDescent="0.3">
      <c r="A436" s="4">
        <v>2233</v>
      </c>
      <c r="B436" s="6" t="str">
        <f>VLOOKUP(LISTADO_PRODUCTOS_LISTBOX[Código],LISTADO_PRODUCTOS[#All],3)</f>
        <v>PAPELERIA Y ARTISTICA</v>
      </c>
      <c r="C436" s="6" t="str">
        <f>VLOOKUP(LISTADO_PRODUCTOS_LISTBOX[Código],LISTADO_PRODUCTOS[#All],4)</f>
        <v>Tiza Blanca Giotto x 100</v>
      </c>
      <c r="D436" s="6" t="str">
        <f>VLOOKUP(LISTADO_PRODUCTOS_LISTBOX[Código],LISTADO_PRODUCTOS[#All],5)</f>
        <v>N/A</v>
      </c>
    </row>
    <row r="437" spans="1:4" x14ac:dyDescent="0.3">
      <c r="A437" s="4">
        <v>2237</v>
      </c>
      <c r="B437" s="6" t="str">
        <f>VLOOKUP(LISTADO_PRODUCTOS_LISTBOX[Código],LISTADO_PRODUCTOS[#All],3)</f>
        <v>PAPELERIA Y ARTISTICA</v>
      </c>
      <c r="C437" s="6" t="str">
        <f>VLOOKUP(LISTADO_PRODUCTOS_LISTBOX[Código],LISTADO_PRODUCTOS[#All],4)</f>
        <v>Diamantina Maped</v>
      </c>
      <c r="D437" s="6" t="str">
        <f>VLOOKUP(LISTADO_PRODUCTOS_LISTBOX[Código],LISTADO_PRODUCTOS[#All],5)</f>
        <v>N/A</v>
      </c>
    </row>
    <row r="438" spans="1:4" x14ac:dyDescent="0.3">
      <c r="A438" s="4">
        <v>2238</v>
      </c>
      <c r="B438" s="6" t="str">
        <f>VLOOKUP(LISTADO_PRODUCTOS_LISTBOX[Código],LISTADO_PRODUCTOS[#All],3)</f>
        <v>PAPELERIA Y ARTISTICA</v>
      </c>
      <c r="C438" s="6" t="str">
        <f>VLOOKUP(LISTADO_PRODUCTOS_LISTBOX[Código],LISTADO_PRODUCTOS[#All],4)</f>
        <v>Tempera Señorita Comun x 250ml</v>
      </c>
      <c r="D438" s="6" t="str">
        <f>VLOOKUP(LISTADO_PRODUCTOS_LISTBOX[Código],LISTADO_PRODUCTOS[#All],5)</f>
        <v>N/A</v>
      </c>
    </row>
    <row r="439" spans="1:4" x14ac:dyDescent="0.3">
      <c r="A439" s="4">
        <v>2239</v>
      </c>
      <c r="B439" s="6" t="str">
        <f>VLOOKUP(LISTADO_PRODUCTOS_LISTBOX[Código],LISTADO_PRODUCTOS[#All],3)</f>
        <v>PAPELERIA Y ARTISTICA</v>
      </c>
      <c r="C439" s="6" t="str">
        <f>VLOOKUP(LISTADO_PRODUCTOS_LISTBOX[Código],LISTADO_PRODUCTOS[#All],4)</f>
        <v>Tempera Señorita FLUO x 250ml</v>
      </c>
      <c r="D439" s="6" t="str">
        <f>VLOOKUP(LISTADO_PRODUCTOS_LISTBOX[Código],LISTADO_PRODUCTOS[#All],5)</f>
        <v>N/A</v>
      </c>
    </row>
    <row r="440" spans="1:4" x14ac:dyDescent="0.3">
      <c r="A440" s="4">
        <v>2240</v>
      </c>
      <c r="B440" s="6" t="str">
        <f>VLOOKUP(LISTADO_PRODUCTOS_LISTBOX[Código],LISTADO_PRODUCTOS[#All],3)</f>
        <v>PAPELERIA Y ARTISTICA</v>
      </c>
      <c r="C440" s="6" t="str">
        <f>VLOOKUP(LISTADO_PRODUCTOS_LISTBOX[Código],LISTADO_PRODUCTOS[#All],4)</f>
        <v>Tempera Señorita Metalizado x 250ml</v>
      </c>
      <c r="D440" s="6" t="str">
        <f>VLOOKUP(LISTADO_PRODUCTOS_LISTBOX[Código],LISTADO_PRODUCTOS[#All],5)</f>
        <v>N/A</v>
      </c>
    </row>
    <row r="441" spans="1:4" x14ac:dyDescent="0.3">
      <c r="A441" s="4">
        <v>2255</v>
      </c>
      <c r="B441" s="6" t="str">
        <f>VLOOKUP(LISTADO_PRODUCTOS_LISTBOX[Código],LISTADO_PRODUCTOS[#All],3)</f>
        <v>PAPELERIA Y ARTISTICA</v>
      </c>
      <c r="C441" s="6" t="str">
        <f>VLOOKUP(LISTADO_PRODUCTOS_LISTBOX[Código],LISTADO_PRODUCTOS[#All],4)</f>
        <v>Acuarela Filgo x 12u</v>
      </c>
      <c r="D441" s="6" t="str">
        <f>VLOOKUP(LISTADO_PRODUCTOS_LISTBOX[Código],LISTADO_PRODUCTOS[#All],5)</f>
        <v>N/A</v>
      </c>
    </row>
    <row r="442" spans="1:4" x14ac:dyDescent="0.3">
      <c r="A442" s="4">
        <v>2311</v>
      </c>
      <c r="B442" s="6" t="str">
        <f>VLOOKUP(LISTADO_PRODUCTOS_LISTBOX[Código],LISTADO_PRODUCTOS[#All],3)</f>
        <v>PAPELERIA Y ARTISTICA</v>
      </c>
      <c r="C442" s="6" t="str">
        <f>VLOOKUP(LISTADO_PRODUCTOS_LISTBOX[Código],LISTADO_PRODUCTOS[#All],4)</f>
        <v>Lentejuelas sifap x9 surt</v>
      </c>
      <c r="D442" s="6" t="str">
        <f>VLOOKUP(LISTADO_PRODUCTOS_LISTBOX[Código],LISTADO_PRODUCTOS[#All],5)</f>
        <v>N/A</v>
      </c>
    </row>
    <row r="443" spans="1:4" x14ac:dyDescent="0.3">
      <c r="A443" s="4">
        <v>2315</v>
      </c>
      <c r="B443" s="6" t="str">
        <f>VLOOKUP(LISTADO_PRODUCTOS_LISTBOX[Código],LISTADO_PRODUCTOS[#All],3)</f>
        <v>PAPELERIA Y ARTISTICA</v>
      </c>
      <c r="C443" s="6" t="str">
        <f>VLOOKUP(LISTADO_PRODUCTOS_LISTBOX[Código],LISTADO_PRODUCTOS[#All],4)</f>
        <v xml:space="preserve">Pintura dimensional eterna colores </v>
      </c>
      <c r="D443" s="6" t="str">
        <f>VLOOKUP(LISTADO_PRODUCTOS_LISTBOX[Código],LISTADO_PRODUCTOS[#All],5)</f>
        <v>N/A</v>
      </c>
    </row>
    <row r="444" spans="1:4" x14ac:dyDescent="0.3">
      <c r="A444" s="4">
        <v>2317</v>
      </c>
      <c r="B444" s="6" t="str">
        <f>VLOOKUP(LISTADO_PRODUCTOS_LISTBOX[Código],LISTADO_PRODUCTOS[#All],3)</f>
        <v>PAPELERIA Y ARTISTICA</v>
      </c>
      <c r="C444" s="6" t="str">
        <f>VLOOKUP(LISTADO_PRODUCTOS_LISTBOX[Código],LISTADO_PRODUCTOS[#All],4)</f>
        <v>Anilina Yacolor</v>
      </c>
      <c r="D444" s="6" t="str">
        <f>VLOOKUP(LISTADO_PRODUCTOS_LISTBOX[Código],LISTADO_PRODUCTOS[#All],5)</f>
        <v>N/A</v>
      </c>
    </row>
    <row r="445" spans="1:4" x14ac:dyDescent="0.3">
      <c r="A445" s="4">
        <v>2318</v>
      </c>
      <c r="B445" s="6" t="str">
        <f>VLOOKUP(LISTADO_PRODUCTOS_LISTBOX[Código],LISTADO_PRODUCTOS[#All],3)</f>
        <v>PAPELERIA Y ARTISTICA</v>
      </c>
      <c r="C445" s="6" t="str">
        <f>VLOOKUP(LISTADO_PRODUCTOS_LISTBOX[Código],LISTADO_PRODUCTOS[#All],4)</f>
        <v>Block Nº6 Capitolio Fluo x 16h</v>
      </c>
      <c r="D445" s="6" t="str">
        <f>VLOOKUP(LISTADO_PRODUCTOS_LISTBOX[Código],LISTADO_PRODUCTOS[#All],5)</f>
        <v>N/A</v>
      </c>
    </row>
    <row r="446" spans="1:4" x14ac:dyDescent="0.3">
      <c r="A446" s="4">
        <v>2320</v>
      </c>
      <c r="B446" s="6" t="str">
        <f>VLOOKUP(LISTADO_PRODUCTOS_LISTBOX[Código],LISTADO_PRODUCTOS[#All],3)</f>
        <v>PAPELERIA Y ARTISTICA</v>
      </c>
      <c r="C446" s="6" t="str">
        <f>VLOOKUP(LISTADO_PRODUCTOS_LISTBOX[Código],LISTADO_PRODUCTOS[#All],4)</f>
        <v>Cutter Olami 18mm Mango de goma</v>
      </c>
      <c r="D446" s="6" t="str">
        <f>VLOOKUP(LISTADO_PRODUCTOS_LISTBOX[Código],LISTADO_PRODUCTOS[#All],5)</f>
        <v>N/A</v>
      </c>
    </row>
    <row r="447" spans="1:4" x14ac:dyDescent="0.3">
      <c r="A447" s="4">
        <v>2321</v>
      </c>
      <c r="B447" s="6" t="str">
        <f>VLOOKUP(LISTADO_PRODUCTOS_LISTBOX[Código],LISTADO_PRODUCTOS[#All],3)</f>
        <v>PAPELERIA Y ARTISTICA</v>
      </c>
      <c r="C447" s="6" t="str">
        <f>VLOOKUP(LISTADO_PRODUCTOS_LISTBOX[Código],LISTADO_PRODUCTOS[#All],4)</f>
        <v>Cutter Olami 9mm Guia metal Mango de Goma</v>
      </c>
      <c r="D447" s="6" t="str">
        <f>VLOOKUP(LISTADO_PRODUCTOS_LISTBOX[Código],LISTADO_PRODUCTOS[#All],5)</f>
        <v>N/A</v>
      </c>
    </row>
    <row r="448" spans="1:4" x14ac:dyDescent="0.3">
      <c r="A448" s="4">
        <v>2326</v>
      </c>
      <c r="B448" s="6" t="str">
        <f>VLOOKUP(LISTADO_PRODUCTOS_LISTBOX[Código],LISTADO_PRODUCTOS[#All],3)</f>
        <v>PAPELERIA Y ARTISTICA</v>
      </c>
      <c r="C448" s="6" t="str">
        <f>VLOOKUP(LISTADO_PRODUCTOS_LISTBOX[Código],LISTADO_PRODUCTOS[#All],4)</f>
        <v xml:space="preserve">Barrita de silicona fina Suprabond </v>
      </c>
      <c r="D448" s="6" t="str">
        <f>VLOOKUP(LISTADO_PRODUCTOS_LISTBOX[Código],LISTADO_PRODUCTOS[#All],5)</f>
        <v>N/A</v>
      </c>
    </row>
    <row r="449" spans="1:4" x14ac:dyDescent="0.3">
      <c r="A449" s="4">
        <v>2327</v>
      </c>
      <c r="B449" s="6" t="str">
        <f>VLOOKUP(LISTADO_PRODUCTOS_LISTBOX[Código],LISTADO_PRODUCTOS[#All],3)</f>
        <v>PAPELERIA Y ARTISTICA</v>
      </c>
      <c r="C449" s="6" t="str">
        <f>VLOOKUP(LISTADO_PRODUCTOS_LISTBOX[Código],LISTADO_PRODUCTOS[#All],4)</f>
        <v xml:space="preserve">Barrita de silicona Gruesa Suprabond </v>
      </c>
      <c r="D449" s="6" t="str">
        <f>VLOOKUP(LISTADO_PRODUCTOS_LISTBOX[Código],LISTADO_PRODUCTOS[#All],5)</f>
        <v>N/A</v>
      </c>
    </row>
    <row r="450" spans="1:4" x14ac:dyDescent="0.3">
      <c r="A450" s="4">
        <v>2330</v>
      </c>
      <c r="B450" s="6" t="str">
        <f>VLOOKUP(LISTADO_PRODUCTOS_LISTBOX[Código],LISTADO_PRODUCTOS[#All],3)</f>
        <v>PAPELERIA Y ARTISTICA</v>
      </c>
      <c r="C450" s="6" t="str">
        <f>VLOOKUP(LISTADO_PRODUCTOS_LISTBOX[Código],LISTADO_PRODUCTOS[#All],4)</f>
        <v>Palitos de helado colores surtidos x 50u</v>
      </c>
      <c r="D450" s="6" t="str">
        <f>VLOOKUP(LISTADO_PRODUCTOS_LISTBOX[Código],LISTADO_PRODUCTOS[#All],5)</f>
        <v>N/A</v>
      </c>
    </row>
    <row r="451" spans="1:4" x14ac:dyDescent="0.3">
      <c r="A451" s="4">
        <v>2332</v>
      </c>
      <c r="B451" s="6" t="str">
        <f>VLOOKUP(LISTADO_PRODUCTOS_LISTBOX[Código],LISTADO_PRODUCTOS[#All],3)</f>
        <v>PAPELERIA Y ARTISTICA</v>
      </c>
      <c r="C451" s="6" t="str">
        <f>VLOOKUP(LISTADO_PRODUCTOS_LISTBOX[Código],LISTADO_PRODUCTOS[#All],4)</f>
        <v>Block Origami El Nene x 24h bicolor</v>
      </c>
      <c r="D451" s="6" t="str">
        <f>VLOOKUP(LISTADO_PRODUCTOS_LISTBOX[Código],LISTADO_PRODUCTOS[#All],5)</f>
        <v>N/A</v>
      </c>
    </row>
    <row r="452" spans="1:4" x14ac:dyDescent="0.3">
      <c r="A452" s="4">
        <v>2336</v>
      </c>
      <c r="B452" s="6" t="str">
        <f>VLOOKUP(LISTADO_PRODUCTOS_LISTBOX[Código],LISTADO_PRODUCTOS[#All],3)</f>
        <v>PAPELERIA Y ARTISTICA</v>
      </c>
      <c r="C452" s="6" t="str">
        <f>VLOOKUP(LISTADO_PRODUCTOS_LISTBOX[Código],LISTADO_PRODUCTOS[#All],4)</f>
        <v>Palito de helado paleta/jumbo colores x 50u</v>
      </c>
      <c r="D452" s="6" t="str">
        <f>VLOOKUP(LISTADO_PRODUCTOS_LISTBOX[Código],LISTADO_PRODUCTOS[#All],5)</f>
        <v>N/A</v>
      </c>
    </row>
    <row r="453" spans="1:4" x14ac:dyDescent="0.3">
      <c r="A453" s="4">
        <v>2338</v>
      </c>
      <c r="B453" s="6" t="str">
        <f>VLOOKUP(LISTADO_PRODUCTOS_LISTBOX[Código],LISTADO_PRODUCTOS[#All],3)</f>
        <v>PAPELERIA Y ARTISTICA</v>
      </c>
      <c r="C453" s="6" t="str">
        <f>VLOOKUP(LISTADO_PRODUCTOS_LISTBOX[Código],LISTADO_PRODUCTOS[#All],4)</f>
        <v>Marcador Edding 4200 P/Porcelana x6u</v>
      </c>
      <c r="D453" s="6" t="str">
        <f>VLOOKUP(LISTADO_PRODUCTOS_LISTBOX[Código],LISTADO_PRODUCTOS[#All],5)</f>
        <v>N/A</v>
      </c>
    </row>
    <row r="454" spans="1:4" x14ac:dyDescent="0.3">
      <c r="A454" s="4">
        <v>2348</v>
      </c>
      <c r="B454" s="6" t="str">
        <f>VLOOKUP(LISTADO_PRODUCTOS_LISTBOX[Código],LISTADO_PRODUCTOS[#All],3)</f>
        <v>PAPELERIA Y ARTISTICA</v>
      </c>
      <c r="C454" s="6" t="str">
        <f>VLOOKUP(LISTADO_PRODUCTOS_LISTBOX[Código],LISTADO_PRODUCTOS[#All],4)</f>
        <v>Cutter Maped 9mm</v>
      </c>
      <c r="D454" s="6" t="str">
        <f>VLOOKUP(LISTADO_PRODUCTOS_LISTBOX[Código],LISTADO_PRODUCTOS[#All],5)</f>
        <v>N/A</v>
      </c>
    </row>
    <row r="455" spans="1:4" x14ac:dyDescent="0.3">
      <c r="A455" s="4">
        <v>2356</v>
      </c>
      <c r="B455" s="6" t="str">
        <f>VLOOKUP(LISTADO_PRODUCTOS_LISTBOX[Código],LISTADO_PRODUCTOS[#All],3)</f>
        <v>PAPELERIA Y ARTISTICA</v>
      </c>
      <c r="C455" s="6" t="str">
        <f>VLOOKUP(LISTADO_PRODUCTOS_LISTBOX[Código],LISTADO_PRODUCTOS[#All],4)</f>
        <v>Cutter Olami plastico en bolsa Hoja ancha</v>
      </c>
      <c r="D455" s="6" t="str">
        <f>VLOOKUP(LISTADO_PRODUCTOS_LISTBOX[Código],LISTADO_PRODUCTOS[#All],5)</f>
        <v>N/A</v>
      </c>
    </row>
    <row r="456" spans="1:4" x14ac:dyDescent="0.3">
      <c r="A456" s="4">
        <v>2357</v>
      </c>
      <c r="B456" s="6" t="str">
        <f>VLOOKUP(LISTADO_PRODUCTOS_LISTBOX[Código],LISTADO_PRODUCTOS[#All],3)</f>
        <v>PAPELERIA Y ARTISTICA</v>
      </c>
      <c r="C456" s="6" t="str">
        <f>VLOOKUP(LISTADO_PRODUCTOS_LISTBOX[Código],LISTADO_PRODUCTOS[#All],4)</f>
        <v>Cutter Olami c/freno plastico en bolsa hoja fina</v>
      </c>
      <c r="D456" s="6" t="str">
        <f>VLOOKUP(LISTADO_PRODUCTOS_LISTBOX[Código],LISTADO_PRODUCTOS[#All],5)</f>
        <v>N/A</v>
      </c>
    </row>
    <row r="457" spans="1:4" x14ac:dyDescent="0.3">
      <c r="A457" s="4">
        <v>2364</v>
      </c>
      <c r="B457" s="6" t="str">
        <f>VLOOKUP(LISTADO_PRODUCTOS_LISTBOX[Código],LISTADO_PRODUCTOS[#All],3)</f>
        <v>PAPELERIA Y ARTISTICA</v>
      </c>
      <c r="C457" s="6" t="str">
        <f>VLOOKUP(LISTADO_PRODUCTOS_LISTBOX[Código],LISTADO_PRODUCTOS[#All],4)</f>
        <v>Brillantina Stick/con formitas Sifap</v>
      </c>
      <c r="D457" s="6" t="str">
        <f>VLOOKUP(LISTADO_PRODUCTOS_LISTBOX[Código],LISTADO_PRODUCTOS[#All],5)</f>
        <v>N/A</v>
      </c>
    </row>
    <row r="458" spans="1:4" x14ac:dyDescent="0.3">
      <c r="A458" s="4">
        <v>2374</v>
      </c>
      <c r="B458" s="6" t="str">
        <f>VLOOKUP(LISTADO_PRODUCTOS_LISTBOX[Código],LISTADO_PRODUCTOS[#All],3)</f>
        <v>PAPELERIA Y ARTISTICA</v>
      </c>
      <c r="C458" s="6" t="str">
        <f>VLOOKUP(LISTADO_PRODUCTOS_LISTBOX[Código],LISTADO_PRODUCTOS[#All],4)</f>
        <v>Cinta Ribbonete lisa 11mm x 50m Azul/rosa/lila/verde/naranja</v>
      </c>
      <c r="D458" s="6" t="str">
        <f>VLOOKUP(LISTADO_PRODUCTOS_LISTBOX[Código],LISTADO_PRODUCTOS[#All],5)</f>
        <v>N/A</v>
      </c>
    </row>
    <row r="459" spans="1:4" x14ac:dyDescent="0.3">
      <c r="A459" s="4">
        <v>2380</v>
      </c>
      <c r="B459" s="6" t="str">
        <f>VLOOKUP(LISTADO_PRODUCTOS_LISTBOX[Código],LISTADO_PRODUCTOS[#All],3)</f>
        <v>PAPELERIA Y ARTISTICA</v>
      </c>
      <c r="C459" s="6" t="str">
        <f>VLOOKUP(LISTADO_PRODUCTOS_LISTBOX[Código],LISTADO_PRODUCTOS[#All],4)</f>
        <v>PVC contact Glitter x mt</v>
      </c>
      <c r="D459" s="6" t="str">
        <f>VLOOKUP(LISTADO_PRODUCTOS_LISTBOX[Código],LISTADO_PRODUCTOS[#All],5)</f>
        <v>N/A</v>
      </c>
    </row>
    <row r="460" spans="1:4" x14ac:dyDescent="0.3">
      <c r="A460" s="4">
        <v>2381</v>
      </c>
      <c r="B460" s="6" t="str">
        <f>VLOOKUP(LISTADO_PRODUCTOS_LISTBOX[Código],LISTADO_PRODUCTOS[#All],3)</f>
        <v>PAPELERIA Y ARTISTICA</v>
      </c>
      <c r="C460" s="6" t="str">
        <f>VLOOKUP(LISTADO_PRODUCTOS_LISTBOX[Código],LISTADO_PRODUCTOS[#All],4)</f>
        <v>PVC contact transparente x mt</v>
      </c>
      <c r="D460" s="6" t="str">
        <f>VLOOKUP(LISTADO_PRODUCTOS_LISTBOX[Código],LISTADO_PRODUCTOS[#All],5)</f>
        <v>N/A</v>
      </c>
    </row>
    <row r="461" spans="1:4" x14ac:dyDescent="0.3">
      <c r="A461" s="4">
        <v>2382</v>
      </c>
      <c r="B461" s="6" t="str">
        <f>VLOOKUP(LISTADO_PRODUCTOS_LISTBOX[Código],LISTADO_PRODUCTOS[#All],3)</f>
        <v>PAPELERIA Y ARTISTICA</v>
      </c>
      <c r="C461" s="6" t="str">
        <f>VLOOKUP(LISTADO_PRODUCTOS_LISTBOX[Código],LISTADO_PRODUCTOS[#All],4)</f>
        <v>PVC contact madera x mt</v>
      </c>
      <c r="D461" s="6" t="str">
        <f>VLOOKUP(LISTADO_PRODUCTOS_LISTBOX[Código],LISTADO_PRODUCTOS[#All],5)</f>
        <v>N/A</v>
      </c>
    </row>
    <row r="462" spans="1:4" x14ac:dyDescent="0.3">
      <c r="A462" s="4">
        <v>2383</v>
      </c>
      <c r="B462" s="6" t="str">
        <f>VLOOKUP(LISTADO_PRODUCTOS_LISTBOX[Código],LISTADO_PRODUCTOS[#All],3)</f>
        <v>PAPELERIA Y ARTISTICA</v>
      </c>
      <c r="C462" s="6" t="str">
        <f>VLOOKUP(LISTADO_PRODUCTOS_LISTBOX[Código],LISTADO_PRODUCTOS[#All],4)</f>
        <v>PVC contact color x mt</v>
      </c>
      <c r="D462" s="6" t="str">
        <f>VLOOKUP(LISTADO_PRODUCTOS_LISTBOX[Código],LISTADO_PRODUCTOS[#All],5)</f>
        <v>N/A</v>
      </c>
    </row>
    <row r="463" spans="1:4" x14ac:dyDescent="0.3">
      <c r="A463" s="4">
        <v>2384</v>
      </c>
      <c r="B463" s="6" t="str">
        <f>VLOOKUP(LISTADO_PRODUCTOS_LISTBOX[Código],LISTADO_PRODUCTOS[#All],3)</f>
        <v>PAPELERIA Y ARTISTICA</v>
      </c>
      <c r="C463" s="6" t="str">
        <f>VLOOKUP(LISTADO_PRODUCTOS_LISTBOX[Código],LISTADO_PRODUCTOS[#All],4)</f>
        <v>PVC holografiado x mt</v>
      </c>
      <c r="D463" s="6" t="str">
        <f>VLOOKUP(LISTADO_PRODUCTOS_LISTBOX[Código],LISTADO_PRODUCTOS[#All],5)</f>
        <v>N/A</v>
      </c>
    </row>
    <row r="464" spans="1:4" x14ac:dyDescent="0.3">
      <c r="A464" s="4">
        <v>2385</v>
      </c>
      <c r="B464" s="6" t="str">
        <f>VLOOKUP(LISTADO_PRODUCTOS_LISTBOX[Código],LISTADO_PRODUCTOS[#All],3)</f>
        <v>PAPELERIA Y ARTISTICA</v>
      </c>
      <c r="C464" s="6" t="str">
        <f>VLOOKUP(LISTADO_PRODUCTOS_LISTBOX[Código],LISTADO_PRODUCTOS[#All],4)</f>
        <v>PVC traslucido x mt</v>
      </c>
      <c r="D464" s="6" t="str">
        <f>VLOOKUP(LISTADO_PRODUCTOS_LISTBOX[Código],LISTADO_PRODUCTOS[#All],5)</f>
        <v>N/A</v>
      </c>
    </row>
    <row r="465" spans="1:4" x14ac:dyDescent="0.3">
      <c r="A465" s="4">
        <v>2386</v>
      </c>
      <c r="B465" s="6" t="str">
        <f>VLOOKUP(LISTADO_PRODUCTOS_LISTBOX[Código],LISTADO_PRODUCTOS[#All],3)</f>
        <v>PAPELERIA Y ARTISTICA</v>
      </c>
      <c r="C465" s="6" t="str">
        <f>VLOOKUP(LISTADO_PRODUCTOS_LISTBOX[Código],LISTADO_PRODUCTOS[#All],4)</f>
        <v>PVC contact ORO/PLATA x mt</v>
      </c>
      <c r="D465" s="6" t="str">
        <f>VLOOKUP(LISTADO_PRODUCTOS_LISTBOX[Código],LISTADO_PRODUCTOS[#All],5)</f>
        <v>N/A</v>
      </c>
    </row>
    <row r="466" spans="1:4" x14ac:dyDescent="0.3">
      <c r="A466" s="4">
        <v>2387</v>
      </c>
      <c r="B466" s="6" t="str">
        <f>VLOOKUP(LISTADO_PRODUCTOS_LISTBOX[Código],LISTADO_PRODUCTOS[#All],3)</f>
        <v>PAPELERIA Y ARTISTICA</v>
      </c>
      <c r="C466" s="6" t="str">
        <f>VLOOKUP(LISTADO_PRODUCTOS_LISTBOX[Código],LISTADO_PRODUCTOS[#All],4)</f>
        <v>PVC contact dibujos x mt</v>
      </c>
      <c r="D466" s="6" t="str">
        <f>VLOOKUP(LISTADO_PRODUCTOS_LISTBOX[Código],LISTADO_PRODUCTOS[#All],5)</f>
        <v>N/A</v>
      </c>
    </row>
    <row r="467" spans="1:4" x14ac:dyDescent="0.3">
      <c r="A467" s="4">
        <v>2388</v>
      </c>
      <c r="B467" s="6" t="str">
        <f>VLOOKUP(LISTADO_PRODUCTOS_LISTBOX[Código],LISTADO_PRODUCTOS[#All],3)</f>
        <v>PAPELERIA Y ARTISTICA</v>
      </c>
      <c r="C467" s="6" t="str">
        <f>VLOOKUP(LISTADO_PRODUCTOS_LISTBOX[Código],LISTADO_PRODUCTOS[#All],4)</f>
        <v>Cinta papel New-Tape 48mm x 40mts</v>
      </c>
      <c r="D467" s="6" t="str">
        <f>VLOOKUP(LISTADO_PRODUCTOS_LISTBOX[Código],LISTADO_PRODUCTOS[#All],5)</f>
        <v>N/A</v>
      </c>
    </row>
    <row r="468" spans="1:4" x14ac:dyDescent="0.3">
      <c r="A468" s="4">
        <v>2389</v>
      </c>
      <c r="B468" s="6" t="str">
        <f>VLOOKUP(LISTADO_PRODUCTOS_LISTBOX[Código],LISTADO_PRODUCTOS[#All],3)</f>
        <v>PAPELERIA Y ARTISTICA</v>
      </c>
      <c r="C468" s="6" t="str">
        <f>VLOOKUP(LISTADO_PRODUCTOS_LISTBOX[Código],LISTADO_PRODUCTOS[#All],4)</f>
        <v>Cinta Papel New-Tape/Stioko 36mm x 40mts</v>
      </c>
      <c r="D468" s="6" t="str">
        <f>VLOOKUP(LISTADO_PRODUCTOS_LISTBOX[Código],LISTADO_PRODUCTOS[#All],5)</f>
        <v>N/A</v>
      </c>
    </row>
    <row r="469" spans="1:4" x14ac:dyDescent="0.3">
      <c r="A469" s="4">
        <v>2390</v>
      </c>
      <c r="B469" s="6" t="str">
        <f>VLOOKUP(LISTADO_PRODUCTOS_LISTBOX[Código],LISTADO_PRODUCTOS[#All],3)</f>
        <v>PAPELERIA Y ARTISTICA</v>
      </c>
      <c r="C469" s="6" t="str">
        <f>VLOOKUP(LISTADO_PRODUCTOS_LISTBOX[Código],LISTADO_PRODUCTOS[#All],4)</f>
        <v>Cinta Papel New-Tape/Fijapel 24mm x 40mts</v>
      </c>
      <c r="D469" s="6" t="str">
        <f>VLOOKUP(LISTADO_PRODUCTOS_LISTBOX[Código],LISTADO_PRODUCTOS[#All],5)</f>
        <v>N/A</v>
      </c>
    </row>
    <row r="470" spans="1:4" x14ac:dyDescent="0.3">
      <c r="A470" s="4">
        <v>2391</v>
      </c>
      <c r="B470" s="6" t="str">
        <f>VLOOKUP(LISTADO_PRODUCTOS_LISTBOX[Código],LISTADO_PRODUCTOS[#All],3)</f>
        <v>PAPELERIA Y ARTISTICA</v>
      </c>
      <c r="C470" s="6" t="str">
        <f>VLOOKUP(LISTADO_PRODUCTOS_LISTBOX[Código],LISTADO_PRODUCTOS[#All],4)</f>
        <v>Sticker perritos goma eva</v>
      </c>
      <c r="D470" s="6" t="str">
        <f>VLOOKUP(LISTADO_PRODUCTOS_LISTBOX[Código],LISTADO_PRODUCTOS[#All],5)</f>
        <v>N/A</v>
      </c>
    </row>
    <row r="471" spans="1:4" x14ac:dyDescent="0.3">
      <c r="A471" s="4">
        <v>2394</v>
      </c>
      <c r="B471" s="6" t="str">
        <f>VLOOKUP(LISTADO_PRODUCTOS_LISTBOX[Código],LISTADO_PRODUCTOS[#All],3)</f>
        <v>PAPELERIA Y ARTISTICA</v>
      </c>
      <c r="C471" s="6" t="str">
        <f>VLOOKUP(LISTADO_PRODUCTOS_LISTBOX[Código],LISTADO_PRODUCTOS[#All],4)</f>
        <v>Repuesto cuchilla Cutter comun 18mm cuchilla ancha x10u $50 x u</v>
      </c>
      <c r="D471" s="6" t="str">
        <f>VLOOKUP(LISTADO_PRODUCTOS_LISTBOX[Código],LISTADO_PRODUCTOS[#All],5)</f>
        <v>N/A</v>
      </c>
    </row>
    <row r="472" spans="1:4" x14ac:dyDescent="0.3">
      <c r="A472" s="4">
        <v>2395</v>
      </c>
      <c r="B472" s="6" t="str">
        <f>VLOOKUP(LISTADO_PRODUCTOS_LISTBOX[Código],LISTADO_PRODUCTOS[#All],3)</f>
        <v>PAPELERIA Y ARTISTICA</v>
      </c>
      <c r="C472" s="6" t="str">
        <f>VLOOKUP(LISTADO_PRODUCTOS_LISTBOX[Código],LISTADO_PRODUCTOS[#All],4)</f>
        <v>Repuesto Cutter cuchilla SDI 18mm ancha x10u (la grande) $150 x u</v>
      </c>
      <c r="D472" s="6" t="str">
        <f>VLOOKUP(LISTADO_PRODUCTOS_LISTBOX[Código],LISTADO_PRODUCTOS[#All],5)</f>
        <v>N/A</v>
      </c>
    </row>
    <row r="473" spans="1:4" x14ac:dyDescent="0.3">
      <c r="A473" s="4">
        <v>2396</v>
      </c>
      <c r="B473" s="6" t="str">
        <f>VLOOKUP(LISTADO_PRODUCTOS_LISTBOX[Código],LISTADO_PRODUCTOS[#All],3)</f>
        <v>PAPELERIA Y ARTISTICA</v>
      </c>
      <c r="C473" s="6" t="str">
        <f>VLOOKUP(LISTADO_PRODUCTOS_LISTBOX[Código],LISTADO_PRODUCTOS[#All],4)</f>
        <v>Repuesto cuchilla Cutter x hoha 9mm (la chica) $50 x u</v>
      </c>
      <c r="D473" s="6" t="str">
        <f>VLOOKUP(LISTADO_PRODUCTOS_LISTBOX[Código],LISTADO_PRODUCTOS[#All],5)</f>
        <v>N/A</v>
      </c>
    </row>
    <row r="474" spans="1:4" x14ac:dyDescent="0.3">
      <c r="A474" s="4">
        <v>2398</v>
      </c>
      <c r="B474" s="6" t="str">
        <f>VLOOKUP(LISTADO_PRODUCTOS_LISTBOX[Código],LISTADO_PRODUCTOS[#All],3)</f>
        <v>PAPELERIA Y ARTISTICA</v>
      </c>
      <c r="C474" s="6" t="str">
        <f>VLOOKUP(LISTADO_PRODUCTOS_LISTBOX[Código],LISTADO_PRODUCTOS[#All],4)</f>
        <v>Pvc Contac Transparente x 2mt</v>
      </c>
      <c r="D474" s="6" t="str">
        <f>VLOOKUP(LISTADO_PRODUCTOS_LISTBOX[Código],LISTADO_PRODUCTOS[#All],5)</f>
        <v>N/A</v>
      </c>
    </row>
    <row r="475" spans="1:4" x14ac:dyDescent="0.3">
      <c r="A475" s="4">
        <v>2399</v>
      </c>
      <c r="B475" s="6" t="str">
        <f>VLOOKUP(LISTADO_PRODUCTOS_LISTBOX[Código],LISTADO_PRODUCTOS[#All],3)</f>
        <v>PAPELERIA Y ARTISTICA</v>
      </c>
      <c r="C475" s="6" t="str">
        <f>VLOOKUP(LISTADO_PRODUCTOS_LISTBOX[Código],LISTADO_PRODUCTOS[#All],4)</f>
        <v>Barrita de silicona Fina Liggo (85 x bolsa)</v>
      </c>
      <c r="D475" s="6" t="str">
        <f>VLOOKUP(LISTADO_PRODUCTOS_LISTBOX[Código],LISTADO_PRODUCTOS[#All],5)</f>
        <v>N/A</v>
      </c>
    </row>
    <row r="476" spans="1:4" x14ac:dyDescent="0.3">
      <c r="A476" s="4">
        <v>2400</v>
      </c>
      <c r="B476" s="6" t="str">
        <f>VLOOKUP(LISTADO_PRODUCTOS_LISTBOX[Código],LISTADO_PRODUCTOS[#All],3)</f>
        <v>PAPELERIA Y ARTISTICA</v>
      </c>
      <c r="C476" s="6" t="str">
        <f>VLOOKUP(LISTADO_PRODUCTOS_LISTBOX[Código],LISTADO_PRODUCTOS[#All],4)</f>
        <v xml:space="preserve">Barrita de silicona Gruesa Liggo </v>
      </c>
      <c r="D476" s="6" t="str">
        <f>VLOOKUP(LISTADO_PRODUCTOS_LISTBOX[Código],LISTADO_PRODUCTOS[#All],5)</f>
        <v>N/A</v>
      </c>
    </row>
    <row r="477" spans="1:4" x14ac:dyDescent="0.3">
      <c r="A477" s="4">
        <v>2401</v>
      </c>
      <c r="B477" s="6" t="str">
        <f>VLOOKUP(LISTADO_PRODUCTOS_LISTBOX[Código],LISTADO_PRODUCTOS[#All],3)</f>
        <v>PAPELERIA Y ARTISTICA</v>
      </c>
      <c r="C477" s="6" t="str">
        <f>VLOOKUP(LISTADO_PRODUCTOS_LISTBOX[Código],LISTADO_PRODUCTOS[#All],4)</f>
        <v>Tijera Maped Crea Cut 5 cortes</v>
      </c>
      <c r="D477" s="6" t="str">
        <f>VLOOKUP(LISTADO_PRODUCTOS_LISTBOX[Código],LISTADO_PRODUCTOS[#All],5)</f>
        <v>N/A</v>
      </c>
    </row>
    <row r="478" spans="1:4" x14ac:dyDescent="0.3">
      <c r="A478" s="4">
        <v>2402</v>
      </c>
      <c r="B478" s="6" t="str">
        <f>VLOOKUP(LISTADO_PRODUCTOS_LISTBOX[Código],LISTADO_PRODUCTOS[#All],3)</f>
        <v>PAPELERIA Y ARTISTICA</v>
      </c>
      <c r="C478" s="6" t="str">
        <f>VLOOKUP(LISTADO_PRODUCTOS_LISTBOX[Código],LISTADO_PRODUCTOS[#All],4)</f>
        <v>Tubo lanza papel</v>
      </c>
      <c r="D478" s="6" t="str">
        <f>VLOOKUP(LISTADO_PRODUCTOS_LISTBOX[Código],LISTADO_PRODUCTOS[#All],5)</f>
        <v>N/A</v>
      </c>
    </row>
    <row r="479" spans="1:4" x14ac:dyDescent="0.3">
      <c r="A479" s="4">
        <v>2405</v>
      </c>
      <c r="B479" s="6" t="str">
        <f>VLOOKUP(LISTADO_PRODUCTOS_LISTBOX[Código],LISTADO_PRODUCTOS[#All],3)</f>
        <v>PAPELERIA Y ARTISTICA</v>
      </c>
      <c r="C479" s="6" t="str">
        <f>VLOOKUP(LISTADO_PRODUCTOS_LISTBOX[Código],LISTADO_PRODUCTOS[#All],4)</f>
        <v>Tijera Ibi Craft corte con Formas</v>
      </c>
      <c r="D479" s="6" t="str">
        <f>VLOOKUP(LISTADO_PRODUCTOS_LISTBOX[Código],LISTADO_PRODUCTOS[#All],5)</f>
        <v>N/A</v>
      </c>
    </row>
    <row r="480" spans="1:4" x14ac:dyDescent="0.3">
      <c r="A480" s="4">
        <v>2421</v>
      </c>
      <c r="B480" s="6" t="str">
        <f>VLOOKUP(LISTADO_PRODUCTOS_LISTBOX[Código],LISTADO_PRODUCTOS[#All],3)</f>
        <v>PAPELERIA Y ARTISTICA</v>
      </c>
      <c r="C480" s="6" t="str">
        <f>VLOOKUP(LISTADO_PRODUCTOS_LISTBOX[Código],LISTADO_PRODUCTOS[#All],4)</f>
        <v>Cinta papel Enmascarar Stiko escolar Rollo chico 18mm x 20m</v>
      </c>
      <c r="D480" s="6" t="str">
        <f>VLOOKUP(LISTADO_PRODUCTOS_LISTBOX[Código],LISTADO_PRODUCTOS[#All],5)</f>
        <v>N/A</v>
      </c>
    </row>
    <row r="481" spans="1:4" x14ac:dyDescent="0.3">
      <c r="A481" s="4">
        <v>2422</v>
      </c>
      <c r="B481" s="6" t="str">
        <f>VLOOKUP(LISTADO_PRODUCTOS_LISTBOX[Código],LISTADO_PRODUCTOS[#All],3)</f>
        <v>PAPELERIA Y ARTISTICA</v>
      </c>
      <c r="C481" s="6" t="str">
        <f>VLOOKUP(LISTADO_PRODUCTOS_LISTBOX[Código],LISTADO_PRODUCTOS[#All],4)</f>
        <v>Stiker bien grande</v>
      </c>
      <c r="D481" s="6" t="str">
        <f>VLOOKUP(LISTADO_PRODUCTOS_LISTBOX[Código],LISTADO_PRODUCTOS[#All],5)</f>
        <v>N/A</v>
      </c>
    </row>
    <row r="482" spans="1:4" x14ac:dyDescent="0.3">
      <c r="A482" s="4">
        <v>2424</v>
      </c>
      <c r="B482" s="6" t="str">
        <f>VLOOKUP(LISTADO_PRODUCTOS_LISTBOX[Código],LISTADO_PRODUCTOS[#All],3)</f>
        <v>PAPELERIA Y ARTISTICA</v>
      </c>
      <c r="C482" s="6" t="str">
        <f>VLOOKUP(LISTADO_PRODUCTOS_LISTBOX[Código],LISTADO_PRODUCTOS[#All],4)</f>
        <v>Repuesto America x96h M/Ref. Rayado</v>
      </c>
      <c r="D482" s="6" t="str">
        <f>VLOOKUP(LISTADO_PRODUCTOS_LISTBOX[Código],LISTADO_PRODUCTOS[#All],5)</f>
        <v>N/A</v>
      </c>
    </row>
    <row r="483" spans="1:4" x14ac:dyDescent="0.3">
      <c r="A483" s="4">
        <v>2427</v>
      </c>
      <c r="B483" s="6" t="str">
        <f>VLOOKUP(LISTADO_PRODUCTOS_LISTBOX[Código],LISTADO_PRODUCTOS[#All],3)</f>
        <v>PAPELERIA Y ARTISTICA</v>
      </c>
      <c r="C483" s="6" t="str">
        <f>VLOOKUP(LISTADO_PRODUCTOS_LISTBOX[Código],LISTADO_PRODUCTOS[#All],4)</f>
        <v>Cinta New-tape enmascarar papel 18mm x 40mts</v>
      </c>
      <c r="D483" s="6" t="str">
        <f>VLOOKUP(LISTADO_PRODUCTOS_LISTBOX[Código],LISTADO_PRODUCTOS[#All],5)</f>
        <v>N/A</v>
      </c>
    </row>
    <row r="484" spans="1:4" x14ac:dyDescent="0.3">
      <c r="A484" s="4">
        <v>2428</v>
      </c>
      <c r="B484" s="6" t="str">
        <f>VLOOKUP(LISTADO_PRODUCTOS_LISTBOX[Código],LISTADO_PRODUCTOS[#All],3)</f>
        <v>PAPELERIA Y ARTISTICA</v>
      </c>
      <c r="C484" s="6" t="str">
        <f>VLOOKUP(LISTADO_PRODUCTOS_LISTBOX[Código],LISTADO_PRODUCTOS[#All],4)</f>
        <v>Cinta New-tape enmascarar papel 12mm x 40mts</v>
      </c>
      <c r="D484" s="6" t="str">
        <f>VLOOKUP(LISTADO_PRODUCTOS_LISTBOX[Código],LISTADO_PRODUCTOS[#All],5)</f>
        <v>N/A</v>
      </c>
    </row>
    <row r="485" spans="1:4" x14ac:dyDescent="0.3">
      <c r="A485" s="4">
        <v>2429</v>
      </c>
      <c r="B485" s="6" t="str">
        <f>VLOOKUP(LISTADO_PRODUCTOS_LISTBOX[Código],LISTADO_PRODUCTOS[#All],3)</f>
        <v>PAPELERIA Y ARTISTICA</v>
      </c>
      <c r="C485" s="6" t="str">
        <f>VLOOKUP(LISTADO_PRODUCTOS_LISTBOX[Código],LISTADO_PRODUCTOS[#All],4)</f>
        <v>Block/resma  A4 color Luma 100h 4 colores</v>
      </c>
      <c r="D485" s="6" t="str">
        <f>VLOOKUP(LISTADO_PRODUCTOS_LISTBOX[Código],LISTADO_PRODUCTOS[#All],5)</f>
        <v>N/A</v>
      </c>
    </row>
    <row r="486" spans="1:4" x14ac:dyDescent="0.3">
      <c r="A486" s="4">
        <v>2443</v>
      </c>
      <c r="B486" s="6" t="str">
        <f>VLOOKUP(LISTADO_PRODUCTOS_LISTBOX[Código],LISTADO_PRODUCTOS[#All],3)</f>
        <v>PAPELERIA Y ARTISTICA</v>
      </c>
      <c r="C486" s="6" t="str">
        <f>VLOOKUP(LISTADO_PRODUCTOS_LISTBOX[Código],LISTADO_PRODUCTOS[#All],4)</f>
        <v>Pinceleta N°4</v>
      </c>
      <c r="D486" s="6" t="str">
        <f>VLOOKUP(LISTADO_PRODUCTOS_LISTBOX[Código],LISTADO_PRODUCTOS[#All],5)</f>
        <v>N/A</v>
      </c>
    </row>
    <row r="487" spans="1:4" x14ac:dyDescent="0.3">
      <c r="A487" s="4">
        <v>2444</v>
      </c>
      <c r="B487" s="6" t="str">
        <f>VLOOKUP(LISTADO_PRODUCTOS_LISTBOX[Código],LISTADO_PRODUCTOS[#All],3)</f>
        <v>PAPELERIA Y ARTISTICA</v>
      </c>
      <c r="C487" s="6" t="str">
        <f>VLOOKUP(LISTADO_PRODUCTOS_LISTBOX[Código],LISTADO_PRODUCTOS[#All],4)</f>
        <v>Acuarela Trazos en caja plastica x12 + pincel</v>
      </c>
      <c r="D487" s="6" t="str">
        <f>VLOOKUP(LISTADO_PRODUCTOS_LISTBOX[Código],LISTADO_PRODUCTOS[#All],5)</f>
        <v>N/A</v>
      </c>
    </row>
    <row r="488" spans="1:4" x14ac:dyDescent="0.3">
      <c r="A488" s="4">
        <v>2451</v>
      </c>
      <c r="B488" s="6" t="str">
        <f>VLOOKUP(LISTADO_PRODUCTOS_LISTBOX[Código],LISTADO_PRODUCTOS[#All],3)</f>
        <v>PAPELERIA Y ARTISTICA</v>
      </c>
      <c r="C488" s="6" t="str">
        <f>VLOOKUP(LISTADO_PRODUCTOS_LISTBOX[Código],LISTADO_PRODUCTOS[#All],4)</f>
        <v xml:space="preserve">Porcelana Fria Nicronx 500gr </v>
      </c>
      <c r="D488" s="6" t="str">
        <f>VLOOKUP(LISTADO_PRODUCTOS_LISTBOX[Código],LISTADO_PRODUCTOS[#All],5)</f>
        <v>N/A</v>
      </c>
    </row>
    <row r="489" spans="1:4" x14ac:dyDescent="0.3">
      <c r="A489" s="4">
        <v>2458</v>
      </c>
      <c r="B489" s="6" t="str">
        <f>VLOOKUP(LISTADO_PRODUCTOS_LISTBOX[Código],LISTADO_PRODUCTOS[#All],3)</f>
        <v>PAPELERIA Y ARTISTICA</v>
      </c>
      <c r="C489" s="6" t="str">
        <f>VLOOKUP(LISTADO_PRODUCTOS_LISTBOX[Código],LISTADO_PRODUCTOS[#All],4)</f>
        <v>Tubo Pulceras luminicentes</v>
      </c>
      <c r="D489" s="6" t="str">
        <f>VLOOKUP(LISTADO_PRODUCTOS_LISTBOX[Código],LISTADO_PRODUCTOS[#All],5)</f>
        <v>N/A</v>
      </c>
    </row>
    <row r="490" spans="1:4" x14ac:dyDescent="0.3">
      <c r="A490" s="4">
        <v>2466</v>
      </c>
      <c r="B490" s="6" t="str">
        <f>VLOOKUP(LISTADO_PRODUCTOS_LISTBOX[Código],LISTADO_PRODUCTOS[#All],3)</f>
        <v>PAPELERIA Y ARTISTICA</v>
      </c>
      <c r="C490" s="6" t="str">
        <f>VLOOKUP(LISTADO_PRODUCTOS_LISTBOX[Código],LISTADO_PRODUCTOS[#All],4)</f>
        <v>Sobre polietileno grueso porta credencial</v>
      </c>
      <c r="D490" s="6" t="str">
        <f>VLOOKUP(LISTADO_PRODUCTOS_LISTBOX[Código],LISTADO_PRODUCTOS[#All],5)</f>
        <v>N/A</v>
      </c>
    </row>
    <row r="491" spans="1:4" x14ac:dyDescent="0.3">
      <c r="A491" s="4">
        <v>2468</v>
      </c>
      <c r="B491" s="6" t="str">
        <f>VLOOKUP(LISTADO_PRODUCTOS_LISTBOX[Código],LISTADO_PRODUCTOS[#All],3)</f>
        <v>PAPELERIA Y ARTISTICA</v>
      </c>
      <c r="C491" s="6" t="str">
        <f>VLOOKUP(LISTADO_PRODUCTOS_LISTBOX[Código],LISTADO_PRODUCTOS[#All],4)</f>
        <v>Papel metalizado Luma 5 mt X40cm / SE VENDE X METRO</v>
      </c>
      <c r="D491" s="6" t="str">
        <f>VLOOKUP(LISTADO_PRODUCTOS_LISTBOX[Código],LISTADO_PRODUCTOS[#All],5)</f>
        <v>N/A</v>
      </c>
    </row>
    <row r="492" spans="1:4" x14ac:dyDescent="0.3">
      <c r="A492" s="4">
        <v>2471</v>
      </c>
      <c r="B492" s="6" t="str">
        <f>VLOOKUP(LISTADO_PRODUCTOS_LISTBOX[Código],LISTADO_PRODUCTOS[#All],3)</f>
        <v>PAPELERIA Y ARTISTICA</v>
      </c>
      <c r="C492" s="6" t="str">
        <f>VLOOKUP(LISTADO_PRODUCTOS_LISTBOX[Código],LISTADO_PRODUCTOS[#All],4)</f>
        <v>Tempera Maped color peps x 12u</v>
      </c>
      <c r="D492" s="6" t="str">
        <f>VLOOKUP(LISTADO_PRODUCTOS_LISTBOX[Código],LISTADO_PRODUCTOS[#All],5)</f>
        <v>N/A</v>
      </c>
    </row>
    <row r="493" spans="1:4" x14ac:dyDescent="0.3">
      <c r="A493" s="4">
        <v>2472</v>
      </c>
      <c r="B493" s="6" t="str">
        <f>VLOOKUP(LISTADO_PRODUCTOS_LISTBOX[Código],LISTADO_PRODUCTOS[#All],3)</f>
        <v>PAPELERIA Y ARTISTICA</v>
      </c>
      <c r="C493" s="6" t="str">
        <f>VLOOKUP(LISTADO_PRODUCTOS_LISTBOX[Código],LISTADO_PRODUCTOS[#All],4)</f>
        <v>Hilo YUTE Natural ovillo x 20mts 2807</v>
      </c>
      <c r="D493" s="6" t="str">
        <f>VLOOKUP(LISTADO_PRODUCTOS_LISTBOX[Código],LISTADO_PRODUCTOS[#All],5)</f>
        <v>N/A</v>
      </c>
    </row>
    <row r="494" spans="1:4" x14ac:dyDescent="0.3">
      <c r="A494" s="4">
        <v>2477</v>
      </c>
      <c r="B494" s="6" t="str">
        <f>VLOOKUP(LISTADO_PRODUCTOS_LISTBOX[Código],LISTADO_PRODUCTOS[#All],3)</f>
        <v>PAPELERIA Y ARTISTICA</v>
      </c>
      <c r="C494" s="6" t="str">
        <f>VLOOKUP(LISTADO_PRODUCTOS_LISTBOX[Código],LISTADO_PRODUCTOS[#All],4)</f>
        <v>Pintura a la tiza 200cc EQ ARTE</v>
      </c>
      <c r="D494" s="6" t="str">
        <f>VLOOKUP(LISTADO_PRODUCTOS_LISTBOX[Código],LISTADO_PRODUCTOS[#All],5)</f>
        <v>N/A</v>
      </c>
    </row>
    <row r="495" spans="1:4" x14ac:dyDescent="0.3">
      <c r="A495" s="4">
        <v>2484</v>
      </c>
      <c r="B495" s="6" t="str">
        <f>VLOOKUP(LISTADO_PRODUCTOS_LISTBOX[Código],LISTADO_PRODUCTOS[#All],3)</f>
        <v>PAPELERIA Y ARTISTICA</v>
      </c>
      <c r="C495" s="6" t="str">
        <f>VLOOKUP(LISTADO_PRODUCTOS_LISTBOX[Código],LISTADO_PRODUCTOS[#All],4)</f>
        <v xml:space="preserve">Cinta regalo rollo (tipo ribbonete) 2cm x 50mt </v>
      </c>
      <c r="D495" s="6" t="str">
        <f>VLOOKUP(LISTADO_PRODUCTOS_LISTBOX[Código],LISTADO_PRODUCTOS[#All],5)</f>
        <v>N/A</v>
      </c>
    </row>
    <row r="496" spans="1:4" x14ac:dyDescent="0.3">
      <c r="A496" s="4">
        <v>2487</v>
      </c>
      <c r="B496" s="6" t="str">
        <f>VLOOKUP(LISTADO_PRODUCTOS_LISTBOX[Código],LISTADO_PRODUCTOS[#All],3)</f>
        <v>PAPELERIA Y ARTISTICA</v>
      </c>
      <c r="C496" s="6" t="str">
        <f>VLOOKUP(LISTADO_PRODUCTOS_LISTBOX[Código],LISTADO_PRODUCTOS[#All],4)</f>
        <v>Cinta Doble faz Motex 12mm x 10m</v>
      </c>
      <c r="D496" s="6" t="str">
        <f>VLOOKUP(LISTADO_PRODUCTOS_LISTBOX[Código],LISTADO_PRODUCTOS[#All],5)</f>
        <v>N/A</v>
      </c>
    </row>
    <row r="497" spans="1:4" x14ac:dyDescent="0.3">
      <c r="A497" s="4">
        <v>2488</v>
      </c>
      <c r="B497" s="6" t="str">
        <f>VLOOKUP(LISTADO_PRODUCTOS_LISTBOX[Código],LISTADO_PRODUCTOS[#All],3)</f>
        <v>PAPELERIA Y ARTISTICA</v>
      </c>
      <c r="C497" s="6" t="str">
        <f>VLOOKUP(LISTADO_PRODUCTOS_LISTBOX[Código],LISTADO_PRODUCTOS[#All],4)</f>
        <v>Broche Aprieta papel Sifap niquelado N°50 x unidad</v>
      </c>
      <c r="D497" s="6" t="str">
        <f>VLOOKUP(LISTADO_PRODUCTOS_LISTBOX[Código],LISTADO_PRODUCTOS[#All],5)</f>
        <v>N/A</v>
      </c>
    </row>
    <row r="498" spans="1:4" x14ac:dyDescent="0.3">
      <c r="A498" s="4">
        <v>2489</v>
      </c>
      <c r="B498" s="6" t="str">
        <f>VLOOKUP(LISTADO_PRODUCTOS_LISTBOX[Código],LISTADO_PRODUCTOS[#All],3)</f>
        <v>PAPELERIA Y ARTISTICA</v>
      </c>
      <c r="C498" s="6" t="str">
        <f>VLOOKUP(LISTADO_PRODUCTOS_LISTBOX[Código],LISTADO_PRODUCTOS[#All],4)</f>
        <v>Broche Aprieta papel N°75 niquelado Sifap x unidad</v>
      </c>
      <c r="D498" s="6" t="str">
        <f>VLOOKUP(LISTADO_PRODUCTOS_LISTBOX[Código],LISTADO_PRODUCTOS[#All],5)</f>
        <v>N/A</v>
      </c>
    </row>
    <row r="499" spans="1:4" x14ac:dyDescent="0.3">
      <c r="A499" s="4">
        <v>2495</v>
      </c>
      <c r="B499" s="6" t="str">
        <f>VLOOKUP(LISTADO_PRODUCTOS_LISTBOX[Código],LISTADO_PRODUCTOS[#All],3)</f>
        <v>PAPELERIA Y ARTISTICA</v>
      </c>
      <c r="C499" s="6" t="str">
        <f>VLOOKUP(LISTADO_PRODUCTOS_LISTBOX[Código],LISTADO_PRODUCTOS[#All],4)</f>
        <v>Plastilina Playcolor pastel x 6u</v>
      </c>
      <c r="D499" s="6" t="str">
        <f>VLOOKUP(LISTADO_PRODUCTOS_LISTBOX[Código],LISTADO_PRODUCTOS[#All],5)</f>
        <v>N/A</v>
      </c>
    </row>
    <row r="500" spans="1:4" x14ac:dyDescent="0.3">
      <c r="A500" s="4">
        <v>2498</v>
      </c>
      <c r="B500" s="6" t="str">
        <f>VLOOKUP(LISTADO_PRODUCTOS_LISTBOX[Código],LISTADO_PRODUCTOS[#All],3)</f>
        <v>PAPELERIA Y ARTISTICA</v>
      </c>
      <c r="C500" s="6" t="str">
        <f>VLOOKUP(LISTADO_PRODUCTOS_LISTBOX[Código],LISTADO_PRODUCTOS[#All],4)</f>
        <v>Tempera Playcolor Fluo x 6u</v>
      </c>
      <c r="D500" s="6" t="str">
        <f>VLOOKUP(LISTADO_PRODUCTOS_LISTBOX[Código],LISTADO_PRODUCTOS[#All],5)</f>
        <v>N/A</v>
      </c>
    </row>
    <row r="501" spans="1:4" x14ac:dyDescent="0.3">
      <c r="A501" s="4">
        <v>2499</v>
      </c>
      <c r="B501" s="6" t="str">
        <f>VLOOKUP(LISTADO_PRODUCTOS_LISTBOX[Código],LISTADO_PRODUCTOS[#All],3)</f>
        <v>PAPELERIA Y ARTISTICA</v>
      </c>
      <c r="C501" s="6" t="str">
        <f>VLOOKUP(LISTADO_PRODUCTOS_LISTBOX[Código],LISTADO_PRODUCTOS[#All],4)</f>
        <v>Cintas IBI CRAFT Glitter</v>
      </c>
      <c r="D501" s="6" t="str">
        <f>VLOOKUP(LISTADO_PRODUCTOS_LISTBOX[Código],LISTADO_PRODUCTOS[#All],5)</f>
        <v>N/A</v>
      </c>
    </row>
    <row r="502" spans="1:4" x14ac:dyDescent="0.3">
      <c r="A502" s="4">
        <v>2500</v>
      </c>
      <c r="B502" s="6" t="str">
        <f>VLOOKUP(LISTADO_PRODUCTOS_LISTBOX[Código],LISTADO_PRODUCTOS[#All],3)</f>
        <v>PAPELERIA Y ARTISTICA</v>
      </c>
      <c r="C502" s="6" t="str">
        <f>VLOOKUP(LISTADO_PRODUCTOS_LISTBOX[Código],LISTADO_PRODUCTOS[#All],4)</f>
        <v>Barrita de silicona fina c/brillo</v>
      </c>
      <c r="D502" s="6" t="str">
        <f>VLOOKUP(LISTADO_PRODUCTOS_LISTBOX[Código],LISTADO_PRODUCTOS[#All],5)</f>
        <v>N/A</v>
      </c>
    </row>
    <row r="503" spans="1:4" x14ac:dyDescent="0.3">
      <c r="A503" s="4">
        <v>2502</v>
      </c>
      <c r="B503" s="6" t="str">
        <f>VLOOKUP(LISTADO_PRODUCTOS_LISTBOX[Código],LISTADO_PRODUCTOS[#All],3)</f>
        <v>PAPELERIA Y ARTISTICA</v>
      </c>
      <c r="C503" s="6" t="str">
        <f>VLOOKUP(LISTADO_PRODUCTOS_LISTBOX[Código],LISTADO_PRODUCTOS[#All],4)</f>
        <v>Blister Pinceles Olami colores x 4</v>
      </c>
      <c r="D503" s="6" t="str">
        <f>VLOOKUP(LISTADO_PRODUCTOS_LISTBOX[Código],LISTADO_PRODUCTOS[#All],5)</f>
        <v>N/A</v>
      </c>
    </row>
    <row r="504" spans="1:4" x14ac:dyDescent="0.3">
      <c r="A504" s="4">
        <v>2503</v>
      </c>
      <c r="B504" s="6" t="str">
        <f>VLOOKUP(LISTADO_PRODUCTOS_LISTBOX[Código],LISTADO_PRODUCTOS[#All],3)</f>
        <v>PAPELERIA Y ARTISTICA</v>
      </c>
      <c r="C504" s="6" t="str">
        <f>VLOOKUP(LISTADO_PRODUCTOS_LISTBOX[Código],LISTADO_PRODUCTOS[#All],4)</f>
        <v>Papel Kraft x hoja</v>
      </c>
      <c r="D504" s="6" t="str">
        <f>VLOOKUP(LISTADO_PRODUCTOS_LISTBOX[Código],LISTADO_PRODUCTOS[#All],5)</f>
        <v>N/A</v>
      </c>
    </row>
    <row r="505" spans="1:4" x14ac:dyDescent="0.3">
      <c r="A505" s="4">
        <v>2504</v>
      </c>
      <c r="B505" s="6" t="str">
        <f>VLOOKUP(LISTADO_PRODUCTOS_LISTBOX[Código],LISTADO_PRODUCTOS[#All],3)</f>
        <v>PAPELERIA Y ARTISTICA</v>
      </c>
      <c r="C505" s="6" t="str">
        <f>VLOOKUP(LISTADO_PRODUCTOS_LISTBOX[Código],LISTADO_PRODUCTOS[#All],4)</f>
        <v>Alambre de aluminio CBX colores 1mm x 5mt</v>
      </c>
      <c r="D505" s="6" t="str">
        <f>VLOOKUP(LISTADO_PRODUCTOS_LISTBOX[Código],LISTADO_PRODUCTOS[#All],5)</f>
        <v>N/A</v>
      </c>
    </row>
    <row r="506" spans="1:4" x14ac:dyDescent="0.3">
      <c r="A506" s="4">
        <v>3000</v>
      </c>
      <c r="B506" s="6" t="str">
        <f>VLOOKUP(LISTADO_PRODUCTOS_LISTBOX[Código],LISTADO_PRODUCTOS[#All],3)</f>
        <v>MARROQUINERIA</v>
      </c>
      <c r="C506" s="6" t="str">
        <f>VLOOKUP(LISTADO_PRODUCTOS_LISTBOX[Código],LISTADO_PRODUCTOS[#All],4)</f>
        <v>Canopla cartuchera Mooving Como quieres que te quiera 1510136</v>
      </c>
      <c r="D506" s="6" t="str">
        <f>VLOOKUP(LISTADO_PRODUCTOS_LISTBOX[Código],LISTADO_PRODUCTOS[#All],5)</f>
        <v>N/A</v>
      </c>
    </row>
    <row r="507" spans="1:4" x14ac:dyDescent="0.3">
      <c r="A507" s="4">
        <v>3001</v>
      </c>
      <c r="B507" s="6" t="str">
        <f>VLOOKUP(LISTADO_PRODUCTOS_LISTBOX[Código],LISTADO_PRODUCTOS[#All],3)</f>
        <v>MARROQUINERIA</v>
      </c>
      <c r="C507" s="6" t="str">
        <f>VLOOKUP(LISTADO_PRODUCTOS_LISTBOX[Código],LISTADO_PRODUCTOS[#All],4)</f>
        <v>CANOPLA ALGAMA DOBLE CIERRE BRILLO/cuerina</v>
      </c>
      <c r="D507" s="6" t="str">
        <f>VLOOKUP(LISTADO_PRODUCTOS_LISTBOX[Código],LISTADO_PRODUCTOS[#All],5)</f>
        <v>N/A</v>
      </c>
    </row>
    <row r="508" spans="1:4" x14ac:dyDescent="0.3">
      <c r="A508" s="4">
        <v>3005</v>
      </c>
      <c r="B508" s="6" t="str">
        <f>VLOOKUP(LISTADO_PRODUCTOS_LISTBOX[Código],LISTADO_PRODUCTOS[#All],3)</f>
        <v>MARROQUINERIA</v>
      </c>
      <c r="C508" s="6" t="str">
        <f>VLOOKUP(LISTADO_PRODUCTOS_LISTBOX[Código],LISTADO_PRODUCTOS[#All],4)</f>
        <v>Mochila Fast Racing Art. No. 59060</v>
      </c>
      <c r="D508" s="6" t="str">
        <f>VLOOKUP(LISTADO_PRODUCTOS_LISTBOX[Código],LISTADO_PRODUCTOS[#All],5)</f>
        <v>N/A</v>
      </c>
    </row>
    <row r="509" spans="1:4" x14ac:dyDescent="0.3">
      <c r="A509" s="4">
        <v>3026</v>
      </c>
      <c r="B509" s="39" t="str">
        <f>VLOOKUP(LISTADO_PRODUCTOS_LISTBOX[Código],LISTADO_PRODUCTOS[#All],3)</f>
        <v>MARROQUINERIA</v>
      </c>
      <c r="C509" s="39" t="str">
        <f>VLOOKUP(LISTADO_PRODUCTOS_LISTBOX[Código],LISTADO_PRODUCTOS[#All],4)</f>
        <v>Canopla cartuchera FW con peluche organizador Fun Velvet</v>
      </c>
      <c r="D509" s="6" t="str">
        <f>VLOOKUP(LISTADO_PRODUCTOS_LISTBOX[Código],LISTADO_PRODUCTOS[#All],5)</f>
        <v>N/A</v>
      </c>
    </row>
    <row r="510" spans="1:4" x14ac:dyDescent="0.3">
      <c r="A510" s="4">
        <v>3038</v>
      </c>
      <c r="B510" s="6" t="str">
        <f>VLOOKUP(LISTADO_PRODUCTOS_LISTBOX[Código],LISTADO_PRODUCTOS[#All],3)</f>
        <v>MARROQUINERIA</v>
      </c>
      <c r="C510" s="6" t="str">
        <f>VLOOKUP(LISTADO_PRODUCTOS_LISTBOX[Código],LISTADO_PRODUCTOS[#All],4)</f>
        <v>Canopla Tubo LSyD dos cierres 97.3007.3</v>
      </c>
      <c r="D510" s="6" t="str">
        <f>VLOOKUP(LISTADO_PRODUCTOS_LISTBOX[Código],LISTADO_PRODUCTOS[#All],5)</f>
        <v>N/A</v>
      </c>
    </row>
    <row r="511" spans="1:4" x14ac:dyDescent="0.3">
      <c r="A511" s="4">
        <v>3077</v>
      </c>
      <c r="B511" s="6" t="str">
        <f>VLOOKUP(LISTADO_PRODUCTOS_LISTBOX[Código],LISTADO_PRODUCTOS[#All],3)</f>
        <v>MARROQUINERIA</v>
      </c>
      <c r="C511" s="6" t="str">
        <f>VLOOKUP(LISTADO_PRODUCTOS_LISTBOX[Código],LISTADO_PRODUCTOS[#All],4)</f>
        <v>Mochila LSyD Water War Art. No. 91.17800</v>
      </c>
      <c r="D511" s="6" t="str">
        <f>VLOOKUP(LISTADO_PRODUCTOS_LISTBOX[Código],LISTADO_PRODUCTOS[#All],5)</f>
        <v>N/A</v>
      </c>
    </row>
    <row r="512" spans="1:4" x14ac:dyDescent="0.3">
      <c r="A512" s="4">
        <v>3078</v>
      </c>
      <c r="B512" s="6" t="str">
        <f>VLOOKUP(LISTADO_PRODUCTOS_LISTBOX[Código],LISTADO_PRODUCTOS[#All],3)</f>
        <v>MARROQUINERIA</v>
      </c>
      <c r="C512" s="6" t="str">
        <f>VLOOKUP(LISTADO_PRODUCTOS_LISTBOX[Código],LISTADO_PRODUCTOS[#All],4)</f>
        <v>Mochila Disney Junior de Cresko</v>
      </c>
      <c r="D512" s="6" t="str">
        <f>VLOOKUP(LISTADO_PRODUCTOS_LISTBOX[Código],LISTADO_PRODUCTOS[#All],5)</f>
        <v>N/A</v>
      </c>
    </row>
    <row r="513" spans="1:4" x14ac:dyDescent="0.3">
      <c r="A513" s="4">
        <v>3211</v>
      </c>
      <c r="B513" s="6" t="str">
        <f>VLOOKUP(LISTADO_PRODUCTOS_LISTBOX[Código],LISTADO_PRODUCTOS[#All],3)</f>
        <v>MARROQUINERIA</v>
      </c>
      <c r="C513" s="6" t="str">
        <f>VLOOKUP(LISTADO_PRODUCTOS_LISTBOX[Código],LISTADO_PRODUCTOS[#All],4)</f>
        <v>Mochila IN Influencer Lesedife 68.3003</v>
      </c>
      <c r="D513" s="6" t="str">
        <f>VLOOKUP(LISTADO_PRODUCTOS_LISTBOX[Código],LISTADO_PRODUCTOS[#All],5)</f>
        <v>N/A</v>
      </c>
    </row>
    <row r="514" spans="1:4" x14ac:dyDescent="0.3">
      <c r="A514" s="4">
        <v>3212</v>
      </c>
      <c r="B514" s="6" t="str">
        <f>VLOOKUP(LISTADO_PRODUCTOS_LISTBOX[Código],LISTADO_PRODUCTOS[#All],3)</f>
        <v>MARROQUINERIA</v>
      </c>
      <c r="C514" s="6" t="str">
        <f>VLOOKUP(LISTADO_PRODUCTOS_LISTBOX[Código],LISTADO_PRODUCTOS[#All],4)</f>
        <v>Mochila LSyD BOMB Art. No. 91.1404</v>
      </c>
      <c r="D514" s="6" t="str">
        <f>VLOOKUP(LISTADO_PRODUCTOS_LISTBOX[Código],LISTADO_PRODUCTOS[#All],5)</f>
        <v>N/A</v>
      </c>
    </row>
    <row r="515" spans="1:4" x14ac:dyDescent="0.3">
      <c r="A515" s="4">
        <v>3214</v>
      </c>
      <c r="B515" s="6" t="str">
        <f>VLOOKUP(LISTADO_PRODUCTOS_LISTBOX[Código],LISTADO_PRODUCTOS[#All],3)</f>
        <v>MARROQUINERIA</v>
      </c>
      <c r="C515" s="6" t="str">
        <f>VLOOKUP(LISTADO_PRODUCTOS_LISTBOX[Código],LISTADO_PRODUCTOS[#All],4)</f>
        <v>Mochila LSyD Street Wear Art. No. 91.2805</v>
      </c>
      <c r="D515" s="6" t="str">
        <f>VLOOKUP(LISTADO_PRODUCTOS_LISTBOX[Código],LISTADO_PRODUCTOS[#All],5)</f>
        <v>N/A</v>
      </c>
    </row>
    <row r="516" spans="1:4" x14ac:dyDescent="0.3">
      <c r="A516" s="4">
        <v>4000</v>
      </c>
      <c r="B516" s="6" t="str">
        <f>VLOOKUP(LISTADO_PRODUCTOS_LISTBOX[Código],LISTADO_PRODUCTOS[#All],3)</f>
        <v xml:space="preserve">OFICINA </v>
      </c>
      <c r="C516" s="6" t="str">
        <f>VLOOKUP(LISTADO_PRODUCTOS_LISTBOX[Código],LISTADO_PRODUCTOS[#All],4)</f>
        <v>Borrador Sifap Goma eva</v>
      </c>
      <c r="D516" s="6" t="str">
        <f>VLOOKUP(LISTADO_PRODUCTOS_LISTBOX[Código],LISTADO_PRODUCTOS[#All],5)</f>
        <v>N/A</v>
      </c>
    </row>
    <row r="517" spans="1:4" x14ac:dyDescent="0.3">
      <c r="A517" s="4">
        <v>4001</v>
      </c>
      <c r="B517" s="6" t="str">
        <f>VLOOKUP(LISTADO_PRODUCTOS_LISTBOX[Código],LISTADO_PRODUCTOS[#All],3)</f>
        <v xml:space="preserve">OFICINA </v>
      </c>
      <c r="C517" s="6" t="str">
        <f>VLOOKUP(LISTADO_PRODUCTOS_LISTBOX[Código],LISTADO_PRODUCTOS[#All],4)</f>
        <v>Blister marcador de pizarra Filgo x 6u</v>
      </c>
      <c r="D517" s="6" t="str">
        <f>VLOOKUP(LISTADO_PRODUCTOS_LISTBOX[Código],LISTADO_PRODUCTOS[#All],5)</f>
        <v>N/A</v>
      </c>
    </row>
    <row r="518" spans="1:4" x14ac:dyDescent="0.3">
      <c r="A518" s="4">
        <v>4006</v>
      </c>
      <c r="B518" s="6" t="str">
        <f>VLOOKUP(LISTADO_PRODUCTOS_LISTBOX[Código],LISTADO_PRODUCTOS[#All],3)</f>
        <v xml:space="preserve">OFICINA </v>
      </c>
      <c r="C518" s="6" t="str">
        <f>VLOOKUP(LISTADO_PRODUCTOS_LISTBOX[Código],LISTADO_PRODUCTOS[#All],4)</f>
        <v>Repuesto Parker</v>
      </c>
      <c r="D518" s="6" t="str">
        <f>VLOOKUP(LISTADO_PRODUCTOS_LISTBOX[Código],LISTADO_PRODUCTOS[#All],5)</f>
        <v>N/A</v>
      </c>
    </row>
    <row r="519" spans="1:4" x14ac:dyDescent="0.3">
      <c r="A519" s="4">
        <v>4007</v>
      </c>
      <c r="B519" s="6" t="str">
        <f>VLOOKUP(LISTADO_PRODUCTOS_LISTBOX[Código],LISTADO_PRODUCTOS[#All],3)</f>
        <v xml:space="preserve">OFICINA </v>
      </c>
      <c r="C519" s="6" t="str">
        <f>VLOOKUP(LISTADO_PRODUCTOS_LISTBOX[Código],LISTADO_PRODUCTOS[#All],4)</f>
        <v>Abrochadora Maped Vivo Nº10</v>
      </c>
      <c r="D519" s="6" t="str">
        <f>VLOOKUP(LISTADO_PRODUCTOS_LISTBOX[Código],LISTADO_PRODUCTOS[#All],5)</f>
        <v>N/A</v>
      </c>
    </row>
    <row r="520" spans="1:4" x14ac:dyDescent="0.3">
      <c r="A520" s="4">
        <v>4008</v>
      </c>
      <c r="B520" s="6" t="str">
        <f>VLOOKUP(LISTADO_PRODUCTOS_LISTBOX[Código],LISTADO_PRODUCTOS[#All],3)</f>
        <v xml:space="preserve">OFICINA </v>
      </c>
      <c r="C520" s="6" t="str">
        <f>VLOOKUP(LISTADO_PRODUCTOS_LISTBOX[Código],LISTADO_PRODUCTOS[#All],4)</f>
        <v>Abrochadora General Office de bolsillo N°10 str-2102</v>
      </c>
      <c r="D520" s="6" t="str">
        <f>VLOOKUP(LISTADO_PRODUCTOS_LISTBOX[Código],LISTADO_PRODUCTOS[#All],5)</f>
        <v>N/A</v>
      </c>
    </row>
    <row r="521" spans="1:4" x14ac:dyDescent="0.3">
      <c r="A521" s="4">
        <v>4010</v>
      </c>
      <c r="B521" s="6" t="str">
        <f>VLOOKUP(LISTADO_PRODUCTOS_LISTBOX[Código],LISTADO_PRODUCTOS[#All],3)</f>
        <v xml:space="preserve">OFICINA </v>
      </c>
      <c r="C521" s="6" t="str">
        <f>VLOOKUP(LISTADO_PRODUCTOS_LISTBOX[Código],LISTADO_PRODUCTOS[#All],4)</f>
        <v>Abrochadora Maped Mini Office Nº10 metal</v>
      </c>
      <c r="D521" s="6" t="str">
        <f>VLOOKUP(LISTADO_PRODUCTOS_LISTBOX[Código],LISTADO_PRODUCTOS[#All],5)</f>
        <v>N/A</v>
      </c>
    </row>
    <row r="522" spans="1:4" x14ac:dyDescent="0.3">
      <c r="A522" s="4">
        <v>4014</v>
      </c>
      <c r="B522" s="6" t="str">
        <f>VLOOKUP(LISTADO_PRODUCTOS_LISTBOX[Código],LISTADO_PRODUCTOS[#All],3)</f>
        <v xml:space="preserve">OFICINA </v>
      </c>
      <c r="C522" s="6" t="str">
        <f>VLOOKUP(LISTADO_PRODUCTOS_LISTBOX[Código],LISTADO_PRODUCTOS[#All],4)</f>
        <v>Perforadora Kangaroo one hole</v>
      </c>
      <c r="D522" s="6" t="str">
        <f>VLOOKUP(LISTADO_PRODUCTOS_LISTBOX[Código],LISTADO_PRODUCTOS[#All],5)</f>
        <v>N/A</v>
      </c>
    </row>
    <row r="523" spans="1:4" x14ac:dyDescent="0.3">
      <c r="A523" s="4">
        <v>4017</v>
      </c>
      <c r="B523" s="6" t="str">
        <f>VLOOKUP(LISTADO_PRODUCTOS_LISTBOX[Código],LISTADO_PRODUCTOS[#All],3)</f>
        <v xml:space="preserve">OFICINA </v>
      </c>
      <c r="C523" s="6" t="str">
        <f>VLOOKUP(LISTADO_PRODUCTOS_LISTBOX[Código],LISTADO_PRODUCTOS[#All],4)</f>
        <v>Portarrollo Dispensador de cinta 30/60mm Olami MT903</v>
      </c>
      <c r="D523" s="6" t="str">
        <f>VLOOKUP(LISTADO_PRODUCTOS_LISTBOX[Código],LISTADO_PRODUCTOS[#All],5)</f>
        <v>N/A</v>
      </c>
    </row>
    <row r="524" spans="1:4" x14ac:dyDescent="0.3">
      <c r="A524" s="4">
        <v>4018</v>
      </c>
      <c r="B524" s="6" t="str">
        <f>VLOOKUP(LISTADO_PRODUCTOS_LISTBOX[Código],LISTADO_PRODUCTOS[#All],3)</f>
        <v xml:space="preserve">OFICINA </v>
      </c>
      <c r="C524" s="6" t="str">
        <f>VLOOKUP(LISTADO_PRODUCTOS_LISTBOX[Código],LISTADO_PRODUCTOS[#All],4)</f>
        <v>Tinta para sellos Negro Eureka</v>
      </c>
      <c r="D524" s="6" t="str">
        <f>VLOOKUP(LISTADO_PRODUCTOS_LISTBOX[Código],LISTADO_PRODUCTOS[#All],5)</f>
        <v>N/A</v>
      </c>
    </row>
    <row r="525" spans="1:4" x14ac:dyDescent="0.3">
      <c r="A525" s="4">
        <v>4020</v>
      </c>
      <c r="B525" s="6" t="str">
        <f>VLOOKUP(LISTADO_PRODUCTOS_LISTBOX[Código],LISTADO_PRODUCTOS[#All],3)</f>
        <v xml:space="preserve">OFICINA </v>
      </c>
      <c r="C525" s="6" t="str">
        <f>VLOOKUP(LISTADO_PRODUCTOS_LISTBOX[Código],LISTADO_PRODUCTOS[#All],4)</f>
        <v>Libro indice corona 2 manos</v>
      </c>
      <c r="D525" s="6" t="str">
        <f>VLOOKUP(LISTADO_PRODUCTOS_LISTBOX[Código],LISTADO_PRODUCTOS[#All],5)</f>
        <v>N/A</v>
      </c>
    </row>
    <row r="526" spans="1:4" x14ac:dyDescent="0.3">
      <c r="A526" s="4">
        <v>4021</v>
      </c>
      <c r="B526" s="6" t="str">
        <f>VLOOKUP(LISTADO_PRODUCTOS_LISTBOX[Código],LISTADO_PRODUCTOS[#All],3)</f>
        <v xml:space="preserve">OFICINA </v>
      </c>
      <c r="C526" s="6" t="str">
        <f>VLOOKUP(LISTADO_PRODUCTOS_LISTBOX[Código],LISTADO_PRODUCTOS[#All],4)</f>
        <v>Ficha Congreso- TRIUNFANTE x100 Nº3</v>
      </c>
      <c r="D526" s="6" t="str">
        <f>VLOOKUP(LISTADO_PRODUCTOS_LISTBOX[Código],LISTADO_PRODUCTOS[#All],5)</f>
        <v>N/A</v>
      </c>
    </row>
    <row r="527" spans="1:4" x14ac:dyDescent="0.3">
      <c r="A527" s="4">
        <v>4022</v>
      </c>
      <c r="B527" s="6" t="str">
        <f>VLOOKUP(LISTADO_PRODUCTOS_LISTBOX[Código],LISTADO_PRODUCTOS[#All],3)</f>
        <v xml:space="preserve">OFICINA </v>
      </c>
      <c r="C527" s="6" t="str">
        <f>VLOOKUP(LISTADO_PRODUCTOS_LISTBOX[Código],LISTADO_PRODUCTOS[#All],4)</f>
        <v>Ficha Triunfante x100 Nº2 - 7796569076114</v>
      </c>
      <c r="D527" s="6" t="str">
        <f>VLOOKUP(LISTADO_PRODUCTOS_LISTBOX[Código],LISTADO_PRODUCTOS[#All],5)</f>
        <v>N/A</v>
      </c>
    </row>
    <row r="528" spans="1:4" x14ac:dyDescent="0.3">
      <c r="A528" s="4">
        <v>4024</v>
      </c>
      <c r="B528" s="6" t="str">
        <f>VLOOKUP(LISTADO_PRODUCTOS_LISTBOX[Código],LISTADO_PRODUCTOS[#All],3)</f>
        <v xml:space="preserve">OFICINA </v>
      </c>
      <c r="C528" s="6" t="str">
        <f>VLOOKUP(LISTADO_PRODUCTOS_LISTBOX[Código],LISTADO_PRODUCTOS[#All],4)</f>
        <v>Pagare sin protesto Igneo pesos</v>
      </c>
      <c r="D528" s="6" t="str">
        <f>VLOOKUP(LISTADO_PRODUCTOS_LISTBOX[Código],LISTADO_PRODUCTOS[#All],5)</f>
        <v>N/A</v>
      </c>
    </row>
    <row r="529" spans="1:4" x14ac:dyDescent="0.3">
      <c r="A529" s="4">
        <v>4025</v>
      </c>
      <c r="B529" s="6" t="str">
        <f>VLOOKUP(LISTADO_PRODUCTOS_LISTBOX[Código],LISTADO_PRODUCTOS[#All],3)</f>
        <v xml:space="preserve">OFICINA </v>
      </c>
      <c r="C529" s="6" t="str">
        <f>VLOOKUP(LISTADO_PRODUCTOS_LISTBOX[Código],LISTADO_PRODUCTOS[#All],4)</f>
        <v>Recibo Husares Duplicado quimico</v>
      </c>
      <c r="D529" s="6" t="str">
        <f>VLOOKUP(LISTADO_PRODUCTOS_LISTBOX[Código],LISTADO_PRODUCTOS[#All],5)</f>
        <v>N/A</v>
      </c>
    </row>
    <row r="530" spans="1:4" x14ac:dyDescent="0.3">
      <c r="A530" s="4">
        <v>4027</v>
      </c>
      <c r="B530" s="6" t="str">
        <f>VLOOKUP(LISTADO_PRODUCTOS_LISTBOX[Código],LISTADO_PRODUCTOS[#All],3)</f>
        <v xml:space="preserve">OFICINA </v>
      </c>
      <c r="C530" s="6" t="str">
        <f>VLOOKUP(LISTADO_PRODUCTOS_LISTBOX[Código],LISTADO_PRODUCTOS[#All],4)</f>
        <v>Perforadora Kangaroo DP-280 - 376224</v>
      </c>
      <c r="D530" s="6" t="str">
        <f>VLOOKUP(LISTADO_PRODUCTOS_LISTBOX[Código],LISTADO_PRODUCTOS[#All],5)</f>
        <v>N/A</v>
      </c>
    </row>
    <row r="531" spans="1:4" x14ac:dyDescent="0.3">
      <c r="A531" s="4">
        <v>4028</v>
      </c>
      <c r="B531" s="6" t="str">
        <f>VLOOKUP(LISTADO_PRODUCTOS_LISTBOX[Código],LISTADO_PRODUCTOS[#All],3)</f>
        <v xml:space="preserve">OFICINA </v>
      </c>
      <c r="C531" s="6" t="str">
        <f>VLOOKUP(LISTADO_PRODUCTOS_LISTBOX[Código],LISTADO_PRODUCTOS[#All],4)</f>
        <v>Racionador de cinta de empaque metalico Liggo</v>
      </c>
      <c r="D531" s="6" t="str">
        <f>VLOOKUP(LISTADO_PRODUCTOS_LISTBOX[Código],LISTADO_PRODUCTOS[#All],5)</f>
        <v>N/A</v>
      </c>
    </row>
    <row r="532" spans="1:4" x14ac:dyDescent="0.3">
      <c r="A532" s="4">
        <v>4030</v>
      </c>
      <c r="B532" s="6" t="str">
        <f>VLOOKUP(LISTADO_PRODUCTOS_LISTBOX[Código],LISTADO_PRODUCTOS[#All],3)</f>
        <v xml:space="preserve">OFICINA </v>
      </c>
      <c r="C532" s="6" t="str">
        <f>VLOOKUP(LISTADO_PRODUCTOS_LISTBOX[Código],LISTADO_PRODUCTOS[#All],4)</f>
        <v>Chinche para dibujo  3 puntas Sifap 50u</v>
      </c>
      <c r="D532" s="6" t="str">
        <f>VLOOKUP(LISTADO_PRODUCTOS_LISTBOX[Código],LISTADO_PRODUCTOS[#All],5)</f>
        <v>N/A</v>
      </c>
    </row>
    <row r="533" spans="1:4" x14ac:dyDescent="0.3">
      <c r="A533" s="4">
        <v>4032</v>
      </c>
      <c r="B533" s="6" t="str">
        <f>VLOOKUP(LISTADO_PRODUCTOS_LISTBOX[Código],LISTADO_PRODUCTOS[#All],3)</f>
        <v xml:space="preserve">OFICINA </v>
      </c>
      <c r="C533" s="6" t="str">
        <f>VLOOKUP(LISTADO_PRODUCTOS_LISTBOX[Código],LISTADO_PRODUCTOS[#All],4)</f>
        <v>Tinta para Sellos Pelikan</v>
      </c>
      <c r="D533" s="6" t="str">
        <f>VLOOKUP(LISTADO_PRODUCTOS_LISTBOX[Código],LISTADO_PRODUCTOS[#All],5)</f>
        <v>N/A</v>
      </c>
    </row>
    <row r="534" spans="1:4" x14ac:dyDescent="0.3">
      <c r="A534" s="4">
        <v>4033</v>
      </c>
      <c r="B534" s="6" t="str">
        <f>VLOOKUP(LISTADO_PRODUCTOS_LISTBOX[Código],LISTADO_PRODUCTOS[#All],3)</f>
        <v xml:space="preserve">OFICINA </v>
      </c>
      <c r="C534" s="6" t="str">
        <f>VLOOKUP(LISTADO_PRODUCTOS_LISTBOX[Código],LISTADO_PRODUCTOS[#All],4)</f>
        <v>Tinta pàra Sellos Toyo</v>
      </c>
      <c r="D534" s="6" t="str">
        <f>VLOOKUP(LISTADO_PRODUCTOS_LISTBOX[Código],LISTADO_PRODUCTOS[#All],5)</f>
        <v>N/A</v>
      </c>
    </row>
    <row r="535" spans="1:4" x14ac:dyDescent="0.3">
      <c r="A535" s="4">
        <v>4036</v>
      </c>
      <c r="B535" s="6" t="str">
        <f>VLOOKUP(LISTADO_PRODUCTOS_LISTBOX[Código],LISTADO_PRODUCTOS[#All],3)</f>
        <v xml:space="preserve">OFICINA </v>
      </c>
      <c r="C535" s="6" t="str">
        <f>VLOOKUP(LISTADO_PRODUCTOS_LISTBOX[Código],LISTADO_PRODUCTOS[#All],4)</f>
        <v>Señalador Bolita SIFAP chico x 150u</v>
      </c>
      <c r="D535" s="6" t="str">
        <f>VLOOKUP(LISTADO_PRODUCTOS_LISTBOX[Código],LISTADO_PRODUCTOS[#All],5)</f>
        <v>N/A</v>
      </c>
    </row>
    <row r="536" spans="1:4" x14ac:dyDescent="0.3">
      <c r="A536" s="4">
        <v>4044</v>
      </c>
      <c r="B536" s="6" t="str">
        <f>VLOOKUP(LISTADO_PRODUCTOS_LISTBOX[Código],LISTADO_PRODUCTOS[#All],3)</f>
        <v xml:space="preserve">OFICINA </v>
      </c>
      <c r="C536" s="6" t="str">
        <f>VLOOKUP(LISTADO_PRODUCTOS_LISTBOX[Código],LISTADO_PRODUCTOS[#All],4)</f>
        <v>Broche Dorado Nº8 x100 Sifap 35mm</v>
      </c>
      <c r="D536" s="6" t="str">
        <f>VLOOKUP(LISTADO_PRODUCTOS_LISTBOX[Código],LISTADO_PRODUCTOS[#All],5)</f>
        <v>N/A</v>
      </c>
    </row>
    <row r="537" spans="1:4" x14ac:dyDescent="0.3">
      <c r="A537" s="4">
        <v>4047</v>
      </c>
      <c r="B537" s="6" t="str">
        <f>VLOOKUP(LISTADO_PRODUCTOS_LISTBOX[Código],LISTADO_PRODUCTOS[#All],3)</f>
        <v xml:space="preserve">OFICINA </v>
      </c>
      <c r="C537" s="6" t="str">
        <f>VLOOKUP(LISTADO_PRODUCTOS_LISTBOX[Código],LISTADO_PRODUCTOS[#All],4)</f>
        <v>Marcador Permanente Sharpie Negro Punta Fina</v>
      </c>
      <c r="D537" s="6" t="str">
        <f>VLOOKUP(LISTADO_PRODUCTOS_LISTBOX[Código],LISTADO_PRODUCTOS[#All],5)</f>
        <v>N/A</v>
      </c>
    </row>
    <row r="538" spans="1:4" x14ac:dyDescent="0.3">
      <c r="A538" s="4">
        <v>4049</v>
      </c>
      <c r="B538" s="6" t="str">
        <f>VLOOKUP(LISTADO_PRODUCTOS_LISTBOX[Código],LISTADO_PRODUCTOS[#All],3)</f>
        <v xml:space="preserve">OFICINA </v>
      </c>
      <c r="C538" s="6" t="str">
        <f>VLOOKUP(LISTADO_PRODUCTOS_LISTBOX[Código],LISTADO_PRODUCTOS[#All],4)</f>
        <v>Marcador sharpie Duo Color</v>
      </c>
      <c r="D538" s="6" t="str">
        <f>VLOOKUP(LISTADO_PRODUCTOS_LISTBOX[Código],LISTADO_PRODUCTOS[#All],5)</f>
        <v>N/A</v>
      </c>
    </row>
    <row r="539" spans="1:4" x14ac:dyDescent="0.3">
      <c r="A539" s="4">
        <v>4053</v>
      </c>
      <c r="B539" s="6" t="str">
        <f>VLOOKUP(LISTADO_PRODUCTOS_LISTBOX[Código],LISTADO_PRODUCTOS[#All],3)</f>
        <v xml:space="preserve">OFICINA </v>
      </c>
      <c r="C539" s="6" t="str">
        <f>VLOOKUP(LISTADO_PRODUCTOS_LISTBOX[Código],LISTADO_PRODUCTOS[#All],4)</f>
        <v>Tinta Trabí Permanente</v>
      </c>
      <c r="D539" s="6" t="str">
        <f>VLOOKUP(LISTADO_PRODUCTOS_LISTBOX[Código],LISTADO_PRODUCTOS[#All],5)</f>
        <v>N/A</v>
      </c>
    </row>
    <row r="540" spans="1:4" x14ac:dyDescent="0.3">
      <c r="A540" s="4">
        <v>4055</v>
      </c>
      <c r="B540" s="6" t="str">
        <f>VLOOKUP(LISTADO_PRODUCTOS_LISTBOX[Código],LISTADO_PRODUCTOS[#All],3)</f>
        <v xml:space="preserve">OFICINA </v>
      </c>
      <c r="C540" s="6" t="str">
        <f>VLOOKUP(LISTADO_PRODUCTOS_LISTBOX[Código],LISTADO_PRODUCTOS[#All],4)</f>
        <v>Banda elasticas Credencial x 100g</v>
      </c>
      <c r="D540" s="6" t="str">
        <f>VLOOKUP(LISTADO_PRODUCTOS_LISTBOX[Código],LISTADO_PRODUCTOS[#All],5)</f>
        <v>N/A</v>
      </c>
    </row>
    <row r="541" spans="1:4" x14ac:dyDescent="0.3">
      <c r="A541" s="4">
        <v>4058</v>
      </c>
      <c r="B541" s="6" t="str">
        <f>VLOOKUP(LISTADO_PRODUCTOS_LISTBOX[Código],LISTADO_PRODUCTOS[#All],3)</f>
        <v xml:space="preserve">OFICINA </v>
      </c>
      <c r="C541" s="6" t="str">
        <f>VLOOKUP(LISTADO_PRODUCTOS_LISTBOX[Código],LISTADO_PRODUCTOS[#All],4)</f>
        <v>Broche metalico con arandela tipo Binder 63mm</v>
      </c>
      <c r="D541" s="6" t="str">
        <f>VLOOKUP(LISTADO_PRODUCTOS_LISTBOX[Código],LISTADO_PRODUCTOS[#All],5)</f>
        <v>N/A</v>
      </c>
    </row>
    <row r="542" spans="1:4" x14ac:dyDescent="0.3">
      <c r="A542" s="4">
        <v>4059</v>
      </c>
      <c r="B542" s="6" t="str">
        <f>VLOOKUP(LISTADO_PRODUCTOS_LISTBOX[Código],LISTADO_PRODUCTOS[#All],3)</f>
        <v xml:space="preserve">OFICINA </v>
      </c>
      <c r="C542" s="6" t="str">
        <f>VLOOKUP(LISTADO_PRODUCTOS_LISTBOX[Código],LISTADO_PRODUCTOS[#All],4)</f>
        <v>Marcador de Billetes Trabi</v>
      </c>
      <c r="D542" s="6" t="str">
        <f>VLOOKUP(LISTADO_PRODUCTOS_LISTBOX[Código],LISTADO_PRODUCTOS[#All],5)</f>
        <v>N/A</v>
      </c>
    </row>
    <row r="543" spans="1:4" x14ac:dyDescent="0.3">
      <c r="A543" s="4">
        <v>4061</v>
      </c>
      <c r="B543" s="6" t="str">
        <f>VLOOKUP(LISTADO_PRODUCTOS_LISTBOX[Código],LISTADO_PRODUCTOS[#All],3)</f>
        <v xml:space="preserve">OFICINA </v>
      </c>
      <c r="C543" s="6" t="str">
        <f>VLOOKUP(LISTADO_PRODUCTOS_LISTBOX[Código],LISTADO_PRODUCTOS[#All],4)</f>
        <v>Borrador de Madera</v>
      </c>
      <c r="D543" s="6" t="str">
        <f>VLOOKUP(LISTADO_PRODUCTOS_LISTBOX[Código],LISTADO_PRODUCTOS[#All],5)</f>
        <v>N/A</v>
      </c>
    </row>
    <row r="544" spans="1:4" x14ac:dyDescent="0.3">
      <c r="A544" s="4">
        <v>4062</v>
      </c>
      <c r="B544" s="6" t="str">
        <f>VLOOKUP(LISTADO_PRODUCTOS_LISTBOX[Código],LISTADO_PRODUCTOS[#All],3)</f>
        <v xml:space="preserve">OFICINA </v>
      </c>
      <c r="C544" s="6" t="str">
        <f>VLOOKUP(LISTADO_PRODUCTOS_LISTBOX[Código],LISTADO_PRODUCTOS[#All],4)</f>
        <v>Plumines</v>
      </c>
      <c r="D544" s="6" t="str">
        <f>VLOOKUP(LISTADO_PRODUCTOS_LISTBOX[Código],LISTADO_PRODUCTOS[#All],5)</f>
        <v>N/A</v>
      </c>
    </row>
    <row r="545" spans="1:4" x14ac:dyDescent="0.3">
      <c r="A545" s="4">
        <v>4066</v>
      </c>
      <c r="B545" s="6" t="str">
        <f>VLOOKUP(LISTADO_PRODUCTOS_LISTBOX[Código],LISTADO_PRODUCTOS[#All],3)</f>
        <v xml:space="preserve">OFICINA </v>
      </c>
      <c r="C545" s="6" t="str">
        <f>VLOOKUP(LISTADO_PRODUCTOS_LISTBOX[Código],LISTADO_PRODUCTOS[#All],4)</f>
        <v>Broche doble clip Isofit 25mm</v>
      </c>
      <c r="D545" s="6" t="str">
        <f>VLOOKUP(LISTADO_PRODUCTOS_LISTBOX[Código],LISTADO_PRODUCTOS[#All],5)</f>
        <v>N/A</v>
      </c>
    </row>
    <row r="546" spans="1:4" x14ac:dyDescent="0.3">
      <c r="A546" s="4">
        <v>4067</v>
      </c>
      <c r="B546" s="6" t="str">
        <f>VLOOKUP(LISTADO_PRODUCTOS_LISTBOX[Código],LISTADO_PRODUCTOS[#All],3)</f>
        <v xml:space="preserve">OFICINA </v>
      </c>
      <c r="C546" s="6" t="str">
        <f>VLOOKUP(LISTADO_PRODUCTOS_LISTBOX[Código],LISTADO_PRODUCTOS[#All],4)</f>
        <v>Broche Doble Clip 40mm/51mm</v>
      </c>
      <c r="D546" s="6" t="str">
        <f>VLOOKUP(LISTADO_PRODUCTOS_LISTBOX[Código],LISTADO_PRODUCTOS[#All],5)</f>
        <v>N/A</v>
      </c>
    </row>
    <row r="547" spans="1:4" x14ac:dyDescent="0.3">
      <c r="A547" s="4">
        <v>4068</v>
      </c>
      <c r="B547" s="6" t="str">
        <f>VLOOKUP(LISTADO_PRODUCTOS_LISTBOX[Código],LISTADO_PRODUCTOS[#All],3)</f>
        <v xml:space="preserve">OFICINA </v>
      </c>
      <c r="C547" s="6" t="str">
        <f>VLOOKUP(LISTADO_PRODUCTOS_LISTBOX[Código],LISTADO_PRODUCTOS[#All],4)</f>
        <v>Tinta Trabi para pizarra blanca - 7790578034202</v>
      </c>
      <c r="D547" s="6" t="str">
        <f>VLOOKUP(LISTADO_PRODUCTOS_LISTBOX[Código],LISTADO_PRODUCTOS[#All],5)</f>
        <v>N/A</v>
      </c>
    </row>
    <row r="548" spans="1:4" x14ac:dyDescent="0.3">
      <c r="A548" s="4">
        <v>4073</v>
      </c>
      <c r="B548" s="6" t="str">
        <f>VLOOKUP(LISTADO_PRODUCTOS_LISTBOX[Código],LISTADO_PRODUCTOS[#All],3)</f>
        <v xml:space="preserve">OFICINA </v>
      </c>
      <c r="C548" s="6" t="str">
        <f>VLOOKUP(LISTADO_PRODUCTOS_LISTBOX[Código],LISTADO_PRODUCTOS[#All],4)</f>
        <v>Broche  Maped Nº 24/6 - 26/6 x1000</v>
      </c>
      <c r="D548" s="6" t="str">
        <f>VLOOKUP(LISTADO_PRODUCTOS_LISTBOX[Código],LISTADO_PRODUCTOS[#All],5)</f>
        <v>N/A</v>
      </c>
    </row>
    <row r="549" spans="1:4" x14ac:dyDescent="0.3">
      <c r="A549" s="4">
        <v>4075</v>
      </c>
      <c r="B549" s="6" t="str">
        <f>VLOOKUP(LISTADO_PRODUCTOS_LISTBOX[Código],LISTADO_PRODUCTOS[#All],3)</f>
        <v xml:space="preserve">OFICINA </v>
      </c>
      <c r="C549" s="6" t="str">
        <f>VLOOKUP(LISTADO_PRODUCTOS_LISTBOX[Código],LISTADO_PRODUCTOS[#All],4)</f>
        <v>Broche 21/6 x 1000</v>
      </c>
      <c r="D549" s="6" t="str">
        <f>VLOOKUP(LISTADO_PRODUCTOS_LISTBOX[Código],LISTADO_PRODUCTOS[#All],5)</f>
        <v>N/A</v>
      </c>
    </row>
    <row r="550" spans="1:4" x14ac:dyDescent="0.3">
      <c r="A550" s="4">
        <v>4077</v>
      </c>
      <c r="B550" s="6" t="str">
        <f>VLOOKUP(LISTADO_PRODUCTOS_LISTBOX[Código],LISTADO_PRODUCTOS[#All],3)</f>
        <v xml:space="preserve">OFICINA </v>
      </c>
      <c r="C550" s="6" t="str">
        <f>VLOOKUP(LISTADO_PRODUCTOS_LISTBOX[Código],LISTADO_PRODUCTOS[#All],4)</f>
        <v>Broche MIT N°64 x 1000</v>
      </c>
      <c r="D550" s="6" t="str">
        <f>VLOOKUP(LISTADO_PRODUCTOS_LISTBOX[Código],LISTADO_PRODUCTOS[#All],5)</f>
        <v>N/A</v>
      </c>
    </row>
    <row r="551" spans="1:4" x14ac:dyDescent="0.3">
      <c r="A551" s="4">
        <v>4078</v>
      </c>
      <c r="B551" s="6" t="str">
        <f>VLOOKUP(LISTADO_PRODUCTOS_LISTBOX[Código],LISTADO_PRODUCTOS[#All],3)</f>
        <v xml:space="preserve">OFICINA </v>
      </c>
      <c r="C551" s="6" t="str">
        <f>VLOOKUP(LISTADO_PRODUCTOS_LISTBOX[Código],LISTADO_PRODUCTOS[#All],4)</f>
        <v>Broche 50 x 1000 MIT</v>
      </c>
      <c r="D551" s="6" t="str">
        <f>VLOOKUP(LISTADO_PRODUCTOS_LISTBOX[Código],LISTADO_PRODUCTOS[#All],5)</f>
        <v>N/A</v>
      </c>
    </row>
    <row r="552" spans="1:4" x14ac:dyDescent="0.3">
      <c r="A552" s="4">
        <v>4080</v>
      </c>
      <c r="B552" s="6" t="str">
        <f>VLOOKUP(LISTADO_PRODUCTOS_LISTBOX[Código],LISTADO_PRODUCTOS[#All],3)</f>
        <v xml:space="preserve">OFICINA </v>
      </c>
      <c r="C552" s="6" t="str">
        <f>VLOOKUP(LISTADO_PRODUCTOS_LISTBOX[Código],LISTADO_PRODUCTOS[#All],4)</f>
        <v>Broche Mit Nº10 x 1000</v>
      </c>
      <c r="D552" s="6" t="str">
        <f>VLOOKUP(LISTADO_PRODUCTOS_LISTBOX[Código],LISTADO_PRODUCTOS[#All],5)</f>
        <v>N/A</v>
      </c>
    </row>
    <row r="553" spans="1:4" x14ac:dyDescent="0.3">
      <c r="A553" s="4">
        <v>4082</v>
      </c>
      <c r="B553" s="6" t="str">
        <f>VLOOKUP(LISTADO_PRODUCTOS_LISTBOX[Código],LISTADO_PRODUCTOS[#All],3)</f>
        <v xml:space="preserve">OFICINA </v>
      </c>
      <c r="C553" s="6" t="str">
        <f>VLOOKUP(LISTADO_PRODUCTOS_LISTBOX[Código],LISTADO_PRODUCTOS[#All],4)</f>
        <v xml:space="preserve">Bibliorato color </v>
      </c>
      <c r="D553" s="6" t="str">
        <f>VLOOKUP(LISTADO_PRODUCTOS_LISTBOX[Código],LISTADO_PRODUCTOS[#All],5)</f>
        <v>N/A</v>
      </c>
    </row>
    <row r="554" spans="1:4" x14ac:dyDescent="0.3">
      <c r="A554" s="4">
        <v>4083</v>
      </c>
      <c r="B554" s="6" t="str">
        <f>VLOOKUP(LISTADO_PRODUCTOS_LISTBOX[Código],LISTADO_PRODUCTOS[#All],3)</f>
        <v xml:space="preserve">OFICINA </v>
      </c>
      <c r="C554" s="6" t="str">
        <f>VLOOKUP(LISTADO_PRODUCTOS_LISTBOX[Código],LISTADO_PRODUCTOS[#All],4)</f>
        <v>Bilbliorato color A4 lomo Ancho</v>
      </c>
      <c r="D554" s="6" t="str">
        <f>VLOOKUP(LISTADO_PRODUCTOS_LISTBOX[Código],LISTADO_PRODUCTOS[#All],5)</f>
        <v>N/A</v>
      </c>
    </row>
    <row r="555" spans="1:4" x14ac:dyDescent="0.3">
      <c r="A555" s="4">
        <v>4084</v>
      </c>
      <c r="B555" s="6" t="str">
        <f>VLOOKUP(LISTADO_PRODUCTOS_LISTBOX[Código],LISTADO_PRODUCTOS[#All],3)</f>
        <v xml:space="preserve">OFICINA </v>
      </c>
      <c r="C555" s="6" t="str">
        <f>VLOOKUP(LISTADO_PRODUCTOS_LISTBOX[Código],LISTADO_PRODUCTOS[#All],4)</f>
        <v>Bibliorato Color Oficio Lomo Angosto</v>
      </c>
      <c r="D555" s="6" t="str">
        <f>VLOOKUP(LISTADO_PRODUCTOS_LISTBOX[Código],LISTADO_PRODUCTOS[#All],5)</f>
        <v>N/A</v>
      </c>
    </row>
    <row r="556" spans="1:4" x14ac:dyDescent="0.3">
      <c r="A556" s="4">
        <v>4085</v>
      </c>
      <c r="B556" s="6" t="str">
        <f>VLOOKUP(LISTADO_PRODUCTOS_LISTBOX[Código],LISTADO_PRODUCTOS[#All],3)</f>
        <v xml:space="preserve">OFICINA </v>
      </c>
      <c r="C556" s="6" t="str">
        <f>VLOOKUP(LISTADO_PRODUCTOS_LISTBOX[Código],LISTADO_PRODUCTOS[#All],4)</f>
        <v>Bibliorato Color Oficio Lomo Ancho</v>
      </c>
      <c r="D556" s="6" t="str">
        <f>VLOOKUP(LISTADO_PRODUCTOS_LISTBOX[Código],LISTADO_PRODUCTOS[#All],5)</f>
        <v>N/A</v>
      </c>
    </row>
    <row r="557" spans="1:4" x14ac:dyDescent="0.3">
      <c r="A557" s="4">
        <v>4086</v>
      </c>
      <c r="B557" s="6" t="str">
        <f>VLOOKUP(LISTADO_PRODUCTOS_LISTBOX[Código],LISTADO_PRODUCTOS[#All],3)</f>
        <v xml:space="preserve">OFICINA </v>
      </c>
      <c r="C557" s="6" t="str">
        <f>VLOOKUP(LISTADO_PRODUCTOS_LISTBOX[Código],LISTADO_PRODUCTOS[#All],4)</f>
        <v>Bibliorato Marmolado A4</v>
      </c>
      <c r="D557" s="6" t="str">
        <f>VLOOKUP(LISTADO_PRODUCTOS_LISTBOX[Código],LISTADO_PRODUCTOS[#All],5)</f>
        <v>N/A</v>
      </c>
    </row>
    <row r="558" spans="1:4" x14ac:dyDescent="0.3">
      <c r="A558" s="4">
        <v>4087</v>
      </c>
      <c r="B558" s="6" t="str">
        <f>VLOOKUP(LISTADO_PRODUCTOS_LISTBOX[Código],LISTADO_PRODUCTOS[#All],3)</f>
        <v xml:space="preserve">OFICINA </v>
      </c>
      <c r="C558" s="6" t="str">
        <f>VLOOKUP(LISTADO_PRODUCTOS_LISTBOX[Código],LISTADO_PRODUCTOS[#All],4)</f>
        <v>Bibliorato Marmolado Oficio</v>
      </c>
      <c r="D558" s="6" t="str">
        <f>VLOOKUP(LISTADO_PRODUCTOS_LISTBOX[Código],LISTADO_PRODUCTOS[#All],5)</f>
        <v>N/A</v>
      </c>
    </row>
    <row r="559" spans="1:4" x14ac:dyDescent="0.3">
      <c r="A559" s="4">
        <v>4088</v>
      </c>
      <c r="B559" s="6" t="str">
        <f>VLOOKUP(LISTADO_PRODUCTOS_LISTBOX[Código],LISTADO_PRODUCTOS[#All],3)</f>
        <v xml:space="preserve">OFICINA </v>
      </c>
      <c r="C559" s="6" t="str">
        <f>VLOOKUP(LISTADO_PRODUCTOS_LISTBOX[Código],LISTADO_PRODUCTOS[#All],4)</f>
        <v>Papel Carbonico Pelikan x u</v>
      </c>
      <c r="D559" s="6" t="str">
        <f>VLOOKUP(LISTADO_PRODUCTOS_LISTBOX[Código],LISTADO_PRODUCTOS[#All],5)</f>
        <v>N/A</v>
      </c>
    </row>
    <row r="560" spans="1:4" x14ac:dyDescent="0.3">
      <c r="A560" s="4">
        <v>4089</v>
      </c>
      <c r="B560" s="6" t="str">
        <f>VLOOKUP(LISTADO_PRODUCTOS_LISTBOX[Código],LISTADO_PRODUCTOS[#All],3)</f>
        <v xml:space="preserve">OFICINA </v>
      </c>
      <c r="C560" s="6" t="str">
        <f>VLOOKUP(LISTADO_PRODUCTOS_LISTBOX[Código],LISTADO_PRODUCTOS[#All],4)</f>
        <v>Papel Carbonico Coxi x u</v>
      </c>
      <c r="D560" s="6" t="str">
        <f>VLOOKUP(LISTADO_PRODUCTOS_LISTBOX[Código],LISTADO_PRODUCTOS[#All],5)</f>
        <v>N/A</v>
      </c>
    </row>
    <row r="561" spans="1:4" x14ac:dyDescent="0.3">
      <c r="A561" s="4">
        <v>4090</v>
      </c>
      <c r="B561" s="6" t="str">
        <f>VLOOKUP(LISTADO_PRODUCTOS_LISTBOX[Código],LISTADO_PRODUCTOS[#All],3)</f>
        <v xml:space="preserve">OFICINA </v>
      </c>
      <c r="C561" s="6" t="str">
        <f>VLOOKUP(LISTADO_PRODUCTOS_LISTBOX[Código],LISTADO_PRODUCTOS[#All],4)</f>
        <v>Caja Archivo plastica grande c/tapa</v>
      </c>
      <c r="D561" s="6" t="str">
        <f>VLOOKUP(LISTADO_PRODUCTOS_LISTBOX[Código],LISTADO_PRODUCTOS[#All],5)</f>
        <v>N/A</v>
      </c>
    </row>
    <row r="562" spans="1:4" x14ac:dyDescent="0.3">
      <c r="A562" s="4">
        <v>4092</v>
      </c>
      <c r="B562" s="6" t="str">
        <f>VLOOKUP(LISTADO_PRODUCTOS_LISTBOX[Código],LISTADO_PRODUCTOS[#All],3)</f>
        <v xml:space="preserve">OFICINA </v>
      </c>
      <c r="C562" s="6" t="str">
        <f>VLOOKUP(LISTADO_PRODUCTOS_LISTBOX[Código],LISTADO_PRODUCTOS[#All],4)</f>
        <v>Marcador Bic Marking Pizarra</v>
      </c>
      <c r="D562" s="6" t="str">
        <f>VLOOKUP(LISTADO_PRODUCTOS_LISTBOX[Código],LISTADO_PRODUCTOS[#All],5)</f>
        <v>N/A</v>
      </c>
    </row>
    <row r="563" spans="1:4" x14ac:dyDescent="0.3">
      <c r="A563" s="4">
        <v>4094</v>
      </c>
      <c r="B563" s="6" t="str">
        <f>VLOOKUP(LISTADO_PRODUCTOS_LISTBOX[Código],LISTADO_PRODUCTOS[#All],3)</f>
        <v xml:space="preserve">OFICINA </v>
      </c>
      <c r="C563" s="6" t="str">
        <f>VLOOKUP(LISTADO_PRODUCTOS_LISTBOX[Código],LISTADO_PRODUCTOS[#All],4)</f>
        <v>Talonario Neutro duplicado Alianza - Grande</v>
      </c>
      <c r="D563" s="6" t="str">
        <f>VLOOKUP(LISTADO_PRODUCTOS_LISTBOX[Código],LISTADO_PRODUCTOS[#All],5)</f>
        <v>N/A</v>
      </c>
    </row>
    <row r="564" spans="1:4" x14ac:dyDescent="0.3">
      <c r="A564" s="4">
        <v>4095</v>
      </c>
      <c r="B564" s="6" t="str">
        <f>VLOOKUP(LISTADO_PRODUCTOS_LISTBOX[Código],LISTADO_PRODUCTOS[#All],3)</f>
        <v xml:space="preserve">OFICINA </v>
      </c>
      <c r="C564" s="6" t="str">
        <f>VLOOKUP(LISTADO_PRODUCTOS_LISTBOX[Código],LISTADO_PRODUCTOS[#All],4)</f>
        <v>Broche Kangaroo/buffalo Nº10 - 793600660100</v>
      </c>
      <c r="D564" s="6" t="str">
        <f>VLOOKUP(LISTADO_PRODUCTOS_LISTBOX[Código],LISTADO_PRODUCTOS[#All],5)</f>
        <v>N/A</v>
      </c>
    </row>
    <row r="565" spans="1:4" x14ac:dyDescent="0.3">
      <c r="A565" s="4">
        <v>4096</v>
      </c>
      <c r="B565" s="6" t="str">
        <f>VLOOKUP(LISTADO_PRODUCTOS_LISTBOX[Código],LISTADO_PRODUCTOS[#All],3)</f>
        <v xml:space="preserve">OFICINA </v>
      </c>
      <c r="C565" s="6" t="str">
        <f>VLOOKUP(LISTADO_PRODUCTOS_LISTBOX[Código],LISTADO_PRODUCTOS[#All],4)</f>
        <v>Talonario contado Husares N 1831</v>
      </c>
      <c r="D565" s="6" t="str">
        <f>VLOOKUP(LISTADO_PRODUCTOS_LISTBOX[Código],LISTADO_PRODUCTOS[#All],5)</f>
        <v>N/A</v>
      </c>
    </row>
    <row r="566" spans="1:4" x14ac:dyDescent="0.3">
      <c r="A566" s="4">
        <v>4097</v>
      </c>
      <c r="B566" s="6" t="str">
        <f>VLOOKUP(LISTADO_PRODUCTOS_LISTBOX[Código],LISTADO_PRODUCTOS[#All],3)</f>
        <v xml:space="preserve">OFICINA </v>
      </c>
      <c r="C566" s="6" t="str">
        <f>VLOOKUP(LISTADO_PRODUCTOS_LISTBOX[Código],LISTADO_PRODUCTOS[#All],4)</f>
        <v>Talonario Husares duplicado multiuso N1929</v>
      </c>
      <c r="D566" s="6" t="str">
        <f>VLOOKUP(LISTADO_PRODUCTOS_LISTBOX[Código],LISTADO_PRODUCTOS[#All],5)</f>
        <v>N/A</v>
      </c>
    </row>
    <row r="567" spans="1:4" x14ac:dyDescent="0.3">
      <c r="A567" s="4">
        <v>4098</v>
      </c>
      <c r="B567" s="6" t="str">
        <f>VLOOKUP(LISTADO_PRODUCTOS_LISTBOX[Código],LISTADO_PRODUCTOS[#All],3)</f>
        <v xml:space="preserve">OFICINA </v>
      </c>
      <c r="C567" s="6" t="str">
        <f>VLOOKUP(LISTADO_PRODUCTOS_LISTBOX[Código],LISTADO_PRODUCTOS[#All],4)</f>
        <v>Banda elasticas Flexiband x 50gr</v>
      </c>
      <c r="D567" s="6" t="str">
        <f>VLOOKUP(LISTADO_PRODUCTOS_LISTBOX[Código],LISTADO_PRODUCTOS[#All],5)</f>
        <v>N/A</v>
      </c>
    </row>
    <row r="568" spans="1:4" x14ac:dyDescent="0.3">
      <c r="A568" s="4">
        <v>4101</v>
      </c>
      <c r="B568" s="6" t="str">
        <f>VLOOKUP(LISTADO_PRODUCTOS_LISTBOX[Código],LISTADO_PRODUCTOS[#All],3)</f>
        <v xml:space="preserve">OFICINA </v>
      </c>
      <c r="C568" s="6" t="str">
        <f>VLOOKUP(LISTADO_PRODUCTOS_LISTBOX[Código],LISTADO_PRODUCTOS[#All],4)</f>
        <v>Folio Oficio Micro/LUMA x100 x bolsa completa $2750 - 7796893002148</v>
      </c>
      <c r="D568" s="6" t="str">
        <f>VLOOKUP(LISTADO_PRODUCTOS_LISTBOX[Código],LISTADO_PRODUCTOS[#All],5)</f>
        <v>N/A</v>
      </c>
    </row>
    <row r="569" spans="1:4" x14ac:dyDescent="0.3">
      <c r="A569" s="4">
        <v>4102</v>
      </c>
      <c r="B569" s="6" t="str">
        <f>VLOOKUP(LISTADO_PRODUCTOS_LISTBOX[Código],LISTADO_PRODUCTOS[#All],3)</f>
        <v xml:space="preserve">OFICINA </v>
      </c>
      <c r="C569" s="6" t="str">
        <f>VLOOKUP(LISTADO_PRODUCTOS_LISTBOX[Código],LISTADO_PRODUCTOS[#All],4)</f>
        <v>Folio A4 Micro/LUMA x100 x bolsa completa $2300- 7796893002124</v>
      </c>
      <c r="D569" s="6" t="str">
        <f>VLOOKUP(LISTADO_PRODUCTOS_LISTBOX[Código],LISTADO_PRODUCTOS[#All],5)</f>
        <v>N/A</v>
      </c>
    </row>
    <row r="570" spans="1:4" x14ac:dyDescent="0.3">
      <c r="A570" s="4">
        <v>4105</v>
      </c>
      <c r="B570" s="6" t="str">
        <f>VLOOKUP(LISTADO_PRODUCTOS_LISTBOX[Código],LISTADO_PRODUCTOS[#All],3)</f>
        <v xml:space="preserve">OFICINA </v>
      </c>
      <c r="C570" s="6" t="str">
        <f>VLOOKUP(LISTADO_PRODUCTOS_LISTBOX[Código],LISTADO_PRODUCTOS[#All],4)</f>
        <v>Folio Nº3 Luma/Liggo Comun x100 - Pack $1260</v>
      </c>
      <c r="D570" s="6" t="str">
        <f>VLOOKUP(LISTADO_PRODUCTOS_LISTBOX[Código],LISTADO_PRODUCTOS[#All],5)</f>
        <v>N/A</v>
      </c>
    </row>
    <row r="571" spans="1:4" x14ac:dyDescent="0.3">
      <c r="A571" s="4">
        <v>4108</v>
      </c>
      <c r="B571" s="6" t="str">
        <f>VLOOKUP(LISTADO_PRODUCTOS_LISTBOX[Código],LISTADO_PRODUCTOS[#All],3)</f>
        <v xml:space="preserve">OFICINA </v>
      </c>
      <c r="C571" s="6" t="str">
        <f>VLOOKUP(LISTADO_PRODUCTOS_LISTBOX[Código],LISTADO_PRODUCTOS[#All],4)</f>
        <v>Broche GRAP N°65 x 1000u</v>
      </c>
      <c r="D571" s="6" t="str">
        <f>VLOOKUP(LISTADO_PRODUCTOS_LISTBOX[Código],LISTADO_PRODUCTOS[#All],5)</f>
        <v>N/A</v>
      </c>
    </row>
    <row r="572" spans="1:4" x14ac:dyDescent="0.3">
      <c r="A572" s="4">
        <v>4109</v>
      </c>
      <c r="B572" s="6" t="str">
        <f>VLOOKUP(LISTADO_PRODUCTOS_LISTBOX[Código],LISTADO_PRODUCTOS[#All],3)</f>
        <v xml:space="preserve">OFICINA </v>
      </c>
      <c r="C572" s="6" t="str">
        <f>VLOOKUP(LISTADO_PRODUCTOS_LISTBOX[Código],LISTADO_PRODUCTOS[#All],4)</f>
        <v>Chinche dorado Sifap</v>
      </c>
      <c r="D572" s="6" t="str">
        <f>VLOOKUP(LISTADO_PRODUCTOS_LISTBOX[Código],LISTADO_PRODUCTOS[#All],5)</f>
        <v>N/A</v>
      </c>
    </row>
    <row r="573" spans="1:4" x14ac:dyDescent="0.3">
      <c r="A573" s="4">
        <v>4127</v>
      </c>
      <c r="B573" s="6" t="str">
        <f>VLOOKUP(LISTADO_PRODUCTOS_LISTBOX[Código],LISTADO_PRODUCTOS[#All],3)</f>
        <v xml:space="preserve">OFICINA </v>
      </c>
      <c r="C573" s="6" t="str">
        <f>VLOOKUP(LISTADO_PRODUCTOS_LISTBOX[Código],LISTADO_PRODUCTOS[#All],4)</f>
        <v>Alfiler SIFAP CX 50gr</v>
      </c>
      <c r="D573" s="6" t="str">
        <f>VLOOKUP(LISTADO_PRODUCTOS_LISTBOX[Código],LISTADO_PRODUCTOS[#All],5)</f>
        <v>N/A</v>
      </c>
    </row>
    <row r="574" spans="1:4" x14ac:dyDescent="0.3">
      <c r="A574" s="4">
        <v>4129</v>
      </c>
      <c r="B574" s="6" t="str">
        <f>VLOOKUP(LISTADO_PRODUCTOS_LISTBOX[Código],LISTADO_PRODUCTOS[#All],3)</f>
        <v xml:space="preserve">OFICINA </v>
      </c>
      <c r="C574" s="6" t="str">
        <f>VLOOKUP(LISTADO_PRODUCTOS_LISTBOX[Código],LISTADO_PRODUCTOS[#All],4)</f>
        <v>Alfiler SIFAP CX 50gr</v>
      </c>
      <c r="D574" s="6" t="str">
        <f>VLOOKUP(LISTADO_PRODUCTOS_LISTBOX[Código],LISTADO_PRODUCTOS[#All],5)</f>
        <v>N/A</v>
      </c>
    </row>
    <row r="575" spans="1:4" x14ac:dyDescent="0.3">
      <c r="A575" s="4">
        <v>4133</v>
      </c>
      <c r="B575" s="6" t="str">
        <f>VLOOKUP(LISTADO_PRODUCTOS_LISTBOX[Código],LISTADO_PRODUCTOS[#All],3)</f>
        <v xml:space="preserve">OFICINA </v>
      </c>
      <c r="C575" s="6" t="str">
        <f>VLOOKUP(LISTADO_PRODUCTOS_LISTBOX[Código],LISTADO_PRODUCTOS[#All],4)</f>
        <v>Alfiler SIFAP CX 50gr</v>
      </c>
      <c r="D575" s="6" t="str">
        <f>VLOOKUP(LISTADO_PRODUCTOS_LISTBOX[Código],LISTADO_PRODUCTOS[#All],5)</f>
        <v>N/A</v>
      </c>
    </row>
    <row r="576" spans="1:4" x14ac:dyDescent="0.3">
      <c r="A576" s="4">
        <v>4207</v>
      </c>
      <c r="B576" s="6" t="str">
        <f>VLOOKUP(LISTADO_PRODUCTOS_LISTBOX[Código],LISTADO_PRODUCTOS[#All],3)</f>
        <v xml:space="preserve">OFICINA </v>
      </c>
      <c r="C576" s="6" t="str">
        <f>VLOOKUP(LISTADO_PRODUCTOS_LISTBOX[Código],LISTADO_PRODUCTOS[#All],4)</f>
        <v>Libro de Actas Potosi 2 manos Clochet</v>
      </c>
      <c r="D576" s="6" t="str">
        <f>VLOOKUP(LISTADO_PRODUCTOS_LISTBOX[Código],LISTADO_PRODUCTOS[#All],5)</f>
        <v>N/A</v>
      </c>
    </row>
    <row r="577" spans="1:4" x14ac:dyDescent="0.3">
      <c r="A577" s="4">
        <v>4117</v>
      </c>
      <c r="B577" s="6" t="str">
        <f>VLOOKUP(LISTADO_PRODUCTOS_LISTBOX[Código],LISTADO_PRODUCTOS[#All],3)</f>
        <v xml:space="preserve">OFICINA </v>
      </c>
      <c r="C577" s="6" t="str">
        <f>VLOOKUP(LISTADO_PRODUCTOS_LISTBOX[Código],LISTADO_PRODUCTOS[#All],4)</f>
        <v>Carpeta Foliada x20 f util-off/display - 7794765003668</v>
      </c>
      <c r="D577" s="6" t="str">
        <f>VLOOKUP(LISTADO_PRODUCTOS_LISTBOX[Código],LISTADO_PRODUCTOS[#All],5)</f>
        <v>N/A</v>
      </c>
    </row>
    <row r="578" spans="1:4" x14ac:dyDescent="0.3">
      <c r="A578" s="4">
        <v>4120</v>
      </c>
      <c r="B578" s="6" t="str">
        <f>VLOOKUP(LISTADO_PRODUCTOS_LISTBOX[Código],LISTADO_PRODUCTOS[#All],3)</f>
        <v xml:space="preserve">OFICINA </v>
      </c>
      <c r="C578" s="6" t="str">
        <f>VLOOKUP(LISTADO_PRODUCTOS_LISTBOX[Código],LISTADO_PRODUCTOS[#All],4)</f>
        <v>Alfiler SIFAP CX 50gr</v>
      </c>
      <c r="D578" s="6" t="str">
        <f>VLOOKUP(LISTADO_PRODUCTOS_LISTBOX[Código],LISTADO_PRODUCTOS[#All],5)</f>
        <v>N/A</v>
      </c>
    </row>
    <row r="579" spans="1:4" x14ac:dyDescent="0.3">
      <c r="A579" s="4">
        <v>4143</v>
      </c>
      <c r="B579" s="6" t="str">
        <f>VLOOKUP(LISTADO_PRODUCTOS_LISTBOX[Código],LISTADO_PRODUCTOS[#All],3)</f>
        <v xml:space="preserve">OFICINA </v>
      </c>
      <c r="C579" s="6" t="str">
        <f>VLOOKUP(LISTADO_PRODUCTOS_LISTBOX[Código],LISTADO_PRODUCTOS[#All],4)</f>
        <v>Rollo Motex Blanco P/maquina</v>
      </c>
      <c r="D579" s="6" t="str">
        <f>VLOOKUP(LISTADO_PRODUCTOS_LISTBOX[Código],LISTADO_PRODUCTOS[#All],5)</f>
        <v>N/A</v>
      </c>
    </row>
    <row r="580" spans="1:4" x14ac:dyDescent="0.3">
      <c r="A580" s="4">
        <v>4146</v>
      </c>
      <c r="B580" s="6" t="str">
        <f>VLOOKUP(LISTADO_PRODUCTOS_LISTBOX[Código],LISTADO_PRODUCTOS[#All],3)</f>
        <v xml:space="preserve">OFICINA </v>
      </c>
      <c r="C580" s="6" t="str">
        <f>VLOOKUP(LISTADO_PRODUCTOS_LISTBOX[Código],LISTADO_PRODUCTOS[#All],4)</f>
        <v>Fichero Metallico Nº2 300 fichas</v>
      </c>
      <c r="D580" s="6" t="str">
        <f>VLOOKUP(LISTADO_PRODUCTOS_LISTBOX[Código],LISTADO_PRODUCTOS[#All],5)</f>
        <v>N/A</v>
      </c>
    </row>
    <row r="581" spans="1:4" x14ac:dyDescent="0.3">
      <c r="A581" s="4">
        <v>4147</v>
      </c>
      <c r="B581" s="6" t="str">
        <f>VLOOKUP(LISTADO_PRODUCTOS_LISTBOX[Código],LISTADO_PRODUCTOS[#All],3)</f>
        <v xml:space="preserve">OFICINA </v>
      </c>
      <c r="C581" s="6" t="str">
        <f>VLOOKUP(LISTADO_PRODUCTOS_LISTBOX[Código],LISTADO_PRODUCTOS[#All],4)</f>
        <v>Fichero Metallico Nº3 300 fichas</v>
      </c>
      <c r="D581" s="6" t="str">
        <f>VLOOKUP(LISTADO_PRODUCTOS_LISTBOX[Código],LISTADO_PRODUCTOS[#All],5)</f>
        <v>N/A</v>
      </c>
    </row>
    <row r="582" spans="1:4" x14ac:dyDescent="0.3">
      <c r="A582" s="4">
        <v>4148</v>
      </c>
      <c r="B582" s="6" t="str">
        <f>VLOOKUP(LISTADO_PRODUCTOS_LISTBOX[Código],LISTADO_PRODUCTOS[#All],3)</f>
        <v xml:space="preserve">OFICINA </v>
      </c>
      <c r="C582" s="6" t="str">
        <f>VLOOKUP(LISTADO_PRODUCTOS_LISTBOX[Código],LISTADO_PRODUCTOS[#All],4)</f>
        <v>Notas adhesivas Mooving Tropical 45x 50 x 20hj</v>
      </c>
      <c r="D582" s="6" t="str">
        <f>VLOOKUP(LISTADO_PRODUCTOS_LISTBOX[Código],LISTADO_PRODUCTOS[#All],5)</f>
        <v>N/A</v>
      </c>
    </row>
    <row r="583" spans="1:4" x14ac:dyDescent="0.3">
      <c r="A583" s="4">
        <v>4150</v>
      </c>
      <c r="B583" s="6" t="str">
        <f>VLOOKUP(LISTADO_PRODUCTOS_LISTBOX[Código],LISTADO_PRODUCTOS[#All],3)</f>
        <v xml:space="preserve">OFICINA </v>
      </c>
      <c r="C583" s="6" t="str">
        <f>VLOOKUP(LISTADO_PRODUCTOS_LISTBOX[Código],LISTADO_PRODUCTOS[#All],4)</f>
        <v>Banderitas Ezco FLUO</v>
      </c>
      <c r="D583" s="6" t="str">
        <f>VLOOKUP(LISTADO_PRODUCTOS_LISTBOX[Código],LISTADO_PRODUCTOS[#All],5)</f>
        <v>N/A</v>
      </c>
    </row>
    <row r="584" spans="1:4" x14ac:dyDescent="0.3">
      <c r="A584" s="4">
        <v>4154</v>
      </c>
      <c r="B584" s="6" t="str">
        <f>VLOOKUP(LISTADO_PRODUCTOS_LISTBOX[Código],LISTADO_PRODUCTOS[#All],3)</f>
        <v xml:space="preserve">OFICINA </v>
      </c>
      <c r="C584" s="6" t="str">
        <f>VLOOKUP(LISTADO_PRODUCTOS_LISTBOX[Código],LISTADO_PRODUCTOS[#All],4)</f>
        <v>Carpeta fondo base opaca Oficio T/T</v>
      </c>
      <c r="D584" s="6" t="str">
        <f>VLOOKUP(LISTADO_PRODUCTOS_LISTBOX[Código],LISTADO_PRODUCTOS[#All],5)</f>
        <v>N/A</v>
      </c>
    </row>
    <row r="585" spans="1:4" x14ac:dyDescent="0.3">
      <c r="A585" s="4">
        <v>4155</v>
      </c>
      <c r="B585" s="6" t="str">
        <f>VLOOKUP(LISTADO_PRODUCTOS_LISTBOX[Código],LISTADO_PRODUCTOS[#All],3)</f>
        <v xml:space="preserve">OFICINA </v>
      </c>
      <c r="C585" s="6" t="str">
        <f>VLOOKUP(LISTADO_PRODUCTOS_LISTBOX[Código],LISTADO_PRODUCTOS[#All],4)</f>
        <v>Carpeta Fondo base Opaca A4</v>
      </c>
      <c r="D585" s="6" t="str">
        <f>VLOOKUP(LISTADO_PRODUCTOS_LISTBOX[Código],LISTADO_PRODUCTOS[#All],5)</f>
        <v>N/A</v>
      </c>
    </row>
    <row r="586" spans="1:4" x14ac:dyDescent="0.3">
      <c r="A586" s="4">
        <v>4157</v>
      </c>
      <c r="B586" s="6" t="str">
        <f>VLOOKUP(LISTADO_PRODUCTOS_LISTBOX[Código],LISTADO_PRODUCTOS[#All],3)</f>
        <v xml:space="preserve">OFICINA </v>
      </c>
      <c r="C586" s="6" t="str">
        <f>VLOOKUP(LISTADO_PRODUCTOS_LISTBOX[Código],LISTADO_PRODUCTOS[#All],4)</f>
        <v>Carpeta C/Vaina Oficio</v>
      </c>
      <c r="D586" s="6" t="str">
        <f>VLOOKUP(LISTADO_PRODUCTOS_LISTBOX[Código],LISTADO_PRODUCTOS[#All],5)</f>
        <v>N/A</v>
      </c>
    </row>
    <row r="587" spans="1:4" x14ac:dyDescent="0.3">
      <c r="A587" s="4">
        <v>4158</v>
      </c>
      <c r="B587" s="6" t="str">
        <f>VLOOKUP(LISTADO_PRODUCTOS_LISTBOX[Código],LISTADO_PRODUCTOS[#All],3)</f>
        <v xml:space="preserve">OFICINA </v>
      </c>
      <c r="C587" s="6" t="str">
        <f>VLOOKUP(LISTADO_PRODUCTOS_LISTBOX[Código],LISTADO_PRODUCTOS[#All],4)</f>
        <v>Carpeta c/Vaina A4</v>
      </c>
      <c r="D587" s="6" t="str">
        <f>VLOOKUP(LISTADO_PRODUCTOS_LISTBOX[Código],LISTADO_PRODUCTOS[#All],5)</f>
        <v>N/A</v>
      </c>
    </row>
    <row r="588" spans="1:4" x14ac:dyDescent="0.3">
      <c r="A588" s="4">
        <v>4159</v>
      </c>
      <c r="B588" s="6" t="str">
        <f>VLOOKUP(LISTADO_PRODUCTOS_LISTBOX[Código],LISTADO_PRODUCTOS[#All],3)</f>
        <v xml:space="preserve">OFICINA </v>
      </c>
      <c r="C588" s="6" t="str">
        <f>VLOOKUP(LISTADO_PRODUCTOS_LISTBOX[Código],LISTADO_PRODUCTOS[#All],4)</f>
        <v>Carpeta Veloz</v>
      </c>
      <c r="D588" s="6" t="str">
        <f>VLOOKUP(LISTADO_PRODUCTOS_LISTBOX[Código],LISTADO_PRODUCTOS[#All],5)</f>
        <v>N/A</v>
      </c>
    </row>
    <row r="589" spans="1:4" x14ac:dyDescent="0.3">
      <c r="A589" s="4">
        <v>4160</v>
      </c>
      <c r="B589" s="6" t="str">
        <f>VLOOKUP(LISTADO_PRODUCTOS_LISTBOX[Código],LISTADO_PRODUCTOS[#All],3)</f>
        <v xml:space="preserve">OFICINA </v>
      </c>
      <c r="C589" s="6" t="str">
        <f>VLOOKUP(LISTADO_PRODUCTOS_LISTBOX[Código],LISTADO_PRODUCTOS[#All],4)</f>
        <v>Carpeta c/vaina color</v>
      </c>
      <c r="D589" s="6" t="str">
        <f>VLOOKUP(LISTADO_PRODUCTOS_LISTBOX[Código],LISTADO_PRODUCTOS[#All],5)</f>
        <v>N/A</v>
      </c>
    </row>
    <row r="590" spans="1:4" x14ac:dyDescent="0.3">
      <c r="A590" s="4">
        <v>4166</v>
      </c>
      <c r="B590" s="6" t="str">
        <f>VLOOKUP(LISTADO_PRODUCTOS_LISTBOX[Código],LISTADO_PRODUCTOS[#All],3)</f>
        <v xml:space="preserve">OFICINA </v>
      </c>
      <c r="C590" s="6" t="str">
        <f>VLOOKUP(LISTADO_PRODUCTOS_LISTBOX[Código],LISTADO_PRODUCTOS[#All],4)</f>
        <v>Carpeta foliada Lama 100f A4</v>
      </c>
      <c r="D590" s="6" t="str">
        <f>VLOOKUP(LISTADO_PRODUCTOS_LISTBOX[Código],LISTADO_PRODUCTOS[#All],5)</f>
        <v>N/A</v>
      </c>
    </row>
    <row r="591" spans="1:4" x14ac:dyDescent="0.3">
      <c r="A591" s="4">
        <v>4167</v>
      </c>
      <c r="B591" s="6" t="str">
        <f>VLOOKUP(LISTADO_PRODUCTOS_LISTBOX[Código],LISTADO_PRODUCTOS[#All],3)</f>
        <v xml:space="preserve">OFICINA </v>
      </c>
      <c r="C591" s="6" t="str">
        <f>VLOOKUP(LISTADO_PRODUCTOS_LISTBOX[Código],LISTADO_PRODUCTOS[#All],4)</f>
        <v>Cartuchera para cuaderno/agenda FW A5</v>
      </c>
      <c r="D591" s="6" t="str">
        <f>VLOOKUP(LISTADO_PRODUCTOS_LISTBOX[Código],LISTADO_PRODUCTOS[#All],5)</f>
        <v>N/A</v>
      </c>
    </row>
    <row r="592" spans="1:4" x14ac:dyDescent="0.3">
      <c r="A592" s="4">
        <v>4207</v>
      </c>
      <c r="B592" s="6" t="str">
        <f>VLOOKUP(LISTADO_PRODUCTOS_LISTBOX[Código],LISTADO_PRODUCTOS[#All],3)</f>
        <v xml:space="preserve">OFICINA </v>
      </c>
      <c r="C592" s="6" t="str">
        <f>VLOOKUP(LISTADO_PRODUCTOS_LISTBOX[Código],LISTADO_PRODUCTOS[#All],4)</f>
        <v>Libro de Actas Potosi 2 manos Clochet</v>
      </c>
      <c r="D592" s="6" t="str">
        <f>VLOOKUP(LISTADO_PRODUCTOS_LISTBOX[Código],LISTADO_PRODUCTOS[#All],5)</f>
        <v>N/A</v>
      </c>
    </row>
    <row r="593" spans="1:4" x14ac:dyDescent="0.3">
      <c r="A593" s="4">
        <v>4208</v>
      </c>
      <c r="B593" s="6" t="str">
        <f>VLOOKUP(LISTADO_PRODUCTOS_LISTBOX[Código],LISTADO_PRODUCTOS[#All],3)</f>
        <v xml:space="preserve">OFICINA </v>
      </c>
      <c r="C593" s="6" t="str">
        <f>VLOOKUP(LISTADO_PRODUCTOS_LISTBOX[Código],LISTADO_PRODUCTOS[#All],4)</f>
        <v>Libro de Actas Oficio Potosi Corona 2 manos</v>
      </c>
      <c r="D593" s="6" t="str">
        <f>VLOOKUP(LISTADO_PRODUCTOS_LISTBOX[Código],LISTADO_PRODUCTOS[#All],5)</f>
        <v>N/A</v>
      </c>
    </row>
    <row r="594" spans="1:4" x14ac:dyDescent="0.3">
      <c r="A594" s="4">
        <v>4209</v>
      </c>
      <c r="B594" s="6" t="str">
        <f>VLOOKUP(LISTADO_PRODUCTOS_LISTBOX[Código],LISTADO_PRODUCTOS[#All],3)</f>
        <v xml:space="preserve">OFICINA </v>
      </c>
      <c r="C594" s="6" t="str">
        <f>VLOOKUP(LISTADO_PRODUCTOS_LISTBOX[Código],LISTADO_PRODUCTOS[#All],4)</f>
        <v>Tinta BIC para marcador de Pizarra Blanca</v>
      </c>
      <c r="D594" s="6" t="str">
        <f>VLOOKUP(LISTADO_PRODUCTOS_LISTBOX[Código],LISTADO_PRODUCTOS[#All],5)</f>
        <v>N/A</v>
      </c>
    </row>
    <row r="595" spans="1:4" x14ac:dyDescent="0.3">
      <c r="A595" s="4">
        <v>4211</v>
      </c>
      <c r="B595" s="6" t="str">
        <f>VLOOKUP(LISTADO_PRODUCTOS_LISTBOX[Código],LISTADO_PRODUCTOS[#All],3)</f>
        <v xml:space="preserve">OFICINA </v>
      </c>
      <c r="C595" s="6" t="str">
        <f>VLOOKUP(LISTADO_PRODUCTOS_LISTBOX[Código],LISTADO_PRODUCTOS[#All],4)</f>
        <v>Clasificador A4 LAMA EF202NE</v>
      </c>
      <c r="D595" s="6" t="str">
        <f>VLOOKUP(LISTADO_PRODUCTOS_LISTBOX[Código],LISTADO_PRODUCTOS[#All],5)</f>
        <v>N/A</v>
      </c>
    </row>
    <row r="596" spans="1:4" x14ac:dyDescent="0.3">
      <c r="A596" s="4">
        <v>4301</v>
      </c>
      <c r="B596" s="6" t="str">
        <f>VLOOKUP(LISTADO_PRODUCTOS_LISTBOX[Código],LISTADO_PRODUCTOS[#All],3)</f>
        <v xml:space="preserve">OFICINA </v>
      </c>
      <c r="C596" s="6" t="str">
        <f>VLOOKUP(LISTADO_PRODUCTOS_LISTBOX[Código],LISTADO_PRODUCTOS[#All],4)</f>
        <v>Broche Clip Sifap Forrado Color Nº6</v>
      </c>
      <c r="D596" s="6" t="str">
        <f>VLOOKUP(LISTADO_PRODUCTOS_LISTBOX[Código],LISTADO_PRODUCTOS[#All],5)</f>
        <v>N/A</v>
      </c>
    </row>
    <row r="597" spans="1:4" x14ac:dyDescent="0.3">
      <c r="A597" s="4">
        <v>4302</v>
      </c>
      <c r="B597" s="6" t="str">
        <f>VLOOKUP(LISTADO_PRODUCTOS_LISTBOX[Código],LISTADO_PRODUCTOS[#All],3)</f>
        <v xml:space="preserve">OFICINA </v>
      </c>
      <c r="C597" s="6" t="str">
        <f>VLOOKUP(LISTADO_PRODUCTOS_LISTBOX[Código],LISTADO_PRODUCTOS[#All],4)</f>
        <v>Marcador Sharpie Metal plateado/rojo/azul/verde</v>
      </c>
      <c r="D597" s="6" t="str">
        <f>VLOOKUP(LISTADO_PRODUCTOS_LISTBOX[Código],LISTADO_PRODUCTOS[#All],5)</f>
        <v>N/A</v>
      </c>
    </row>
    <row r="598" spans="1:4" x14ac:dyDescent="0.3">
      <c r="A598" s="4">
        <v>4305</v>
      </c>
      <c r="B598" s="6" t="str">
        <f>VLOOKUP(LISTADO_PRODUCTOS_LISTBOX[Código],LISTADO_PRODUCTOS[#All],3)</f>
        <v xml:space="preserve">OFICINA </v>
      </c>
      <c r="C598" s="6" t="str">
        <f>VLOOKUP(LISTADO_PRODUCTOS_LISTBOX[Código],LISTADO_PRODUCTOS[#All],4)</f>
        <v>Banderitas flecha Mooving Pastel</v>
      </c>
      <c r="D598" s="6" t="str">
        <f>VLOOKUP(LISTADO_PRODUCTOS_LISTBOX[Código],LISTADO_PRODUCTOS[#All],5)</f>
        <v>N/A</v>
      </c>
    </row>
    <row r="599" spans="1:4" x14ac:dyDescent="0.3">
      <c r="A599" s="4">
        <v>4308</v>
      </c>
      <c r="B599" s="6" t="str">
        <f>VLOOKUP(LISTADO_PRODUCTOS_LISTBOX[Código],LISTADO_PRODUCTOS[#All],3)</f>
        <v xml:space="preserve">OFICINA </v>
      </c>
      <c r="C599" s="6" t="str">
        <f>VLOOKUP(LISTADO_PRODUCTOS_LISTBOX[Código],LISTADO_PRODUCTOS[#All],4)</f>
        <v>Clip Sifap N°8 78mm</v>
      </c>
      <c r="D599" s="6" t="str">
        <f>VLOOKUP(LISTADO_PRODUCTOS_LISTBOX[Código],LISTADO_PRODUCTOS[#All],5)</f>
        <v>N/A</v>
      </c>
    </row>
    <row r="600" spans="1:4" x14ac:dyDescent="0.3">
      <c r="A600" s="4">
        <v>4322</v>
      </c>
      <c r="B600" s="6" t="str">
        <f>VLOOKUP(LISTADO_PRODUCTOS_LISTBOX[Código],LISTADO_PRODUCTOS[#All],3)</f>
        <v xml:space="preserve">OFICINA </v>
      </c>
      <c r="C600" s="6" t="str">
        <f>VLOOKUP(LISTADO_PRODUCTOS_LISTBOX[Código],LISTADO_PRODUCTOS[#All],4)</f>
        <v>Clip 50mm Trazos</v>
      </c>
      <c r="D600" s="6" t="str">
        <f>VLOOKUP(LISTADO_PRODUCTOS_LISTBOX[Código],LISTADO_PRODUCTOS[#All],5)</f>
        <v>N/A</v>
      </c>
    </row>
    <row r="601" spans="1:4" x14ac:dyDescent="0.3">
      <c r="A601" s="4">
        <v>4323</v>
      </c>
      <c r="B601" s="6" t="str">
        <f>VLOOKUP(LISTADO_PRODUCTOS_LISTBOX[Código],LISTADO_PRODUCTOS[#All],3)</f>
        <v xml:space="preserve">OFICINA </v>
      </c>
      <c r="C601" s="6" t="str">
        <f>VLOOKUP(LISTADO_PRODUCTOS_LISTBOX[Código],LISTADO_PRODUCTOS[#All],4)</f>
        <v>Libro Recibos expediente Potosi</v>
      </c>
      <c r="D601" s="6" t="str">
        <f>VLOOKUP(LISTADO_PRODUCTOS_LISTBOX[Código],LISTADO_PRODUCTOS[#All],5)</f>
        <v>N/A</v>
      </c>
    </row>
    <row r="602" spans="1:4" x14ac:dyDescent="0.3">
      <c r="A602" s="4">
        <v>4325</v>
      </c>
      <c r="B602" s="6" t="str">
        <f>VLOOKUP(LISTADO_PRODUCTOS_LISTBOX[Código],LISTADO_PRODUCTOS[#All],3)</f>
        <v xml:space="preserve">OFICINA </v>
      </c>
      <c r="C602" s="6" t="str">
        <f>VLOOKUP(LISTADO_PRODUCTOS_LISTBOX[Código],LISTADO_PRODUCTOS[#All],4)</f>
        <v>Carpeta foliada Oficio Util-off 60f - 7794765003712</v>
      </c>
      <c r="D602" s="6" t="str">
        <f>VLOOKUP(LISTADO_PRODUCTOS_LISTBOX[Código],LISTADO_PRODUCTOS[#All],5)</f>
        <v>N/A</v>
      </c>
    </row>
    <row r="603" spans="1:4" x14ac:dyDescent="0.3">
      <c r="A603" s="4">
        <v>4328</v>
      </c>
      <c r="B603" s="6" t="str">
        <f>VLOOKUP(LISTADO_PRODUCTOS_LISTBOX[Código],LISTADO_PRODUCTOS[#All],3)</f>
        <v xml:space="preserve">OFICINA </v>
      </c>
      <c r="C603" s="6" t="str">
        <f>VLOOKUP(LISTADO_PRODUCTOS_LISTBOX[Código],LISTADO_PRODUCTOS[#All],4)</f>
        <v>Broche Clip Sifap metal Nº5 / Nº6</v>
      </c>
      <c r="D603" s="6" t="str">
        <f>VLOOKUP(LISTADO_PRODUCTOS_LISTBOX[Código],LISTADO_PRODUCTOS[#All],5)</f>
        <v>N/A</v>
      </c>
    </row>
    <row r="604" spans="1:4" x14ac:dyDescent="0.3">
      <c r="A604" s="4">
        <v>4332</v>
      </c>
      <c r="B604" s="6" t="str">
        <f>VLOOKUP(LISTADO_PRODUCTOS_LISTBOX[Código],LISTADO_PRODUCTOS[#All],3)</f>
        <v xml:space="preserve">OFICINA </v>
      </c>
      <c r="C604" s="6" t="str">
        <f>VLOOKUP(LISTADO_PRODUCTOS_LISTBOX[Código],LISTADO_PRODUCTOS[#All],4)</f>
        <v>Carpeta colgante nepaco delta</v>
      </c>
      <c r="D604" s="6" t="str">
        <f>VLOOKUP(LISTADO_PRODUCTOS_LISTBOX[Código],LISTADO_PRODUCTOS[#All],5)</f>
        <v>N/A</v>
      </c>
    </row>
    <row r="605" spans="1:4" x14ac:dyDescent="0.3">
      <c r="A605" s="4">
        <v>4335</v>
      </c>
      <c r="B605" s="6" t="str">
        <f>VLOOKUP(LISTADO_PRODUCTOS_LISTBOX[Código],LISTADO_PRODUCTOS[#All],3)</f>
        <v xml:space="preserve">OFICINA </v>
      </c>
      <c r="C605" s="6" t="str">
        <f>VLOOKUP(LISTADO_PRODUCTOS_LISTBOX[Código],LISTADO_PRODUCTOS[#All],4)</f>
        <v>Carpeta foliada 10f util-off oficio - 7794765003644</v>
      </c>
      <c r="D605" s="6" t="str">
        <f>VLOOKUP(LISTADO_PRODUCTOS_LISTBOX[Código],LISTADO_PRODUCTOS[#All],5)</f>
        <v>N/A</v>
      </c>
    </row>
    <row r="606" spans="1:4" x14ac:dyDescent="0.3">
      <c r="A606" s="4">
        <v>4336</v>
      </c>
      <c r="B606" s="6" t="str">
        <f>VLOOKUP(LISTADO_PRODUCTOS_LISTBOX[Código],LISTADO_PRODUCTOS[#All],3)</f>
        <v xml:space="preserve">OFICINA </v>
      </c>
      <c r="C606" s="6" t="str">
        <f>VLOOKUP(LISTADO_PRODUCTOS_LISTBOX[Código],LISTADO_PRODUCTOS[#All],4)</f>
        <v>Plancha de ojalillos Ori-Tec C/U</v>
      </c>
      <c r="D606" s="6" t="str">
        <f>VLOOKUP(LISTADO_PRODUCTOS_LISTBOX[Código],LISTADO_PRODUCTOS[#All],5)</f>
        <v>N/A</v>
      </c>
    </row>
    <row r="607" spans="1:4" x14ac:dyDescent="0.3">
      <c r="A607" s="4">
        <v>4337</v>
      </c>
      <c r="B607" s="6" t="str">
        <f>VLOOKUP(LISTADO_PRODUCTOS_LISTBOX[Código],LISTADO_PRODUCTOS[#All],3)</f>
        <v xml:space="preserve">OFICINA </v>
      </c>
      <c r="C607" s="6" t="str">
        <f>VLOOKUP(LISTADO_PRODUCTOS_LISTBOX[Código],LISTADO_PRODUCTOS[#All],4)</f>
        <v>Banderitas Mickey de Mooving</v>
      </c>
      <c r="D607" s="6" t="str">
        <f>VLOOKUP(LISTADO_PRODUCTOS_LISTBOX[Código],LISTADO_PRODUCTOS[#All],5)</f>
        <v>N/A</v>
      </c>
    </row>
    <row r="608" spans="1:4" x14ac:dyDescent="0.3">
      <c r="A608" s="4">
        <v>4338</v>
      </c>
      <c r="B608" s="6" t="str">
        <f>VLOOKUP(LISTADO_PRODUCTOS_LISTBOX[Código],LISTADO_PRODUCTOS[#All],3)</f>
        <v xml:space="preserve">OFICINA </v>
      </c>
      <c r="C608" s="6" t="str">
        <f>VLOOKUP(LISTADO_PRODUCTOS_LISTBOX[Código],LISTADO_PRODUCTOS[#All],4)</f>
        <v>Banderitas mooving 2100203 / 2</v>
      </c>
      <c r="D608" s="6" t="str">
        <f>VLOOKUP(LISTADO_PRODUCTOS_LISTBOX[Código],LISTADO_PRODUCTOS[#All],5)</f>
        <v>N/A</v>
      </c>
    </row>
    <row r="609" spans="1:4" x14ac:dyDescent="0.3">
      <c r="A609" s="4">
        <v>4340</v>
      </c>
      <c r="B609" s="6" t="str">
        <f>VLOOKUP(LISTADO_PRODUCTOS_LISTBOX[Código],LISTADO_PRODUCTOS[#All],3)</f>
        <v xml:space="preserve">OFICINA </v>
      </c>
      <c r="C609" s="6" t="str">
        <f>VLOOKUP(LISTADO_PRODUCTOS_LISTBOX[Código],LISTADO_PRODUCTOS[#All],4)</f>
        <v>banderitas mooving 2100207</v>
      </c>
      <c r="D609" s="6" t="str">
        <f>VLOOKUP(LISTADO_PRODUCTOS_LISTBOX[Código],LISTADO_PRODUCTOS[#All],5)</f>
        <v>N/A</v>
      </c>
    </row>
    <row r="610" spans="1:4" x14ac:dyDescent="0.3">
      <c r="A610" s="4">
        <v>4341</v>
      </c>
      <c r="B610" s="6" t="str">
        <f>VLOOKUP(LISTADO_PRODUCTOS_LISTBOX[Código],LISTADO_PRODUCTOS[#All],3)</f>
        <v xml:space="preserve">OFICINA </v>
      </c>
      <c r="C610" s="6" t="str">
        <f>VLOOKUP(LISTADO_PRODUCTOS_LISTBOX[Código],LISTADO_PRODUCTOS[#All],4)</f>
        <v>banderitas mooving 2100402</v>
      </c>
      <c r="D610" s="6" t="str">
        <f>VLOOKUP(LISTADO_PRODUCTOS_LISTBOX[Código],LISTADO_PRODUCTOS[#All],5)</f>
        <v>N/A</v>
      </c>
    </row>
    <row r="611" spans="1:4" x14ac:dyDescent="0.3">
      <c r="A611" s="4">
        <v>4342</v>
      </c>
      <c r="B611" s="6" t="str">
        <f>VLOOKUP(LISTADO_PRODUCTOS_LISTBOX[Código],LISTADO_PRODUCTOS[#All],3)</f>
        <v xml:space="preserve">OFICINA </v>
      </c>
      <c r="C611" s="6" t="str">
        <f>VLOOKUP(LISTADO_PRODUCTOS_LISTBOX[Código],LISTADO_PRODUCTOS[#All],4)</f>
        <v>Flechas Adhesivas Mooving pastel</v>
      </c>
      <c r="D611" s="6" t="str">
        <f>VLOOKUP(LISTADO_PRODUCTOS_LISTBOX[Código],LISTADO_PRODUCTOS[#All],5)</f>
        <v>N/A</v>
      </c>
    </row>
    <row r="612" spans="1:4" x14ac:dyDescent="0.3">
      <c r="A612" s="4">
        <v>4345</v>
      </c>
      <c r="B612" s="6" t="str">
        <f>VLOOKUP(LISTADO_PRODUCTOS_LISTBOX[Código],LISTADO_PRODUCTOS[#All],3)</f>
        <v xml:space="preserve">OFICINA </v>
      </c>
      <c r="C612" s="6" t="str">
        <f>VLOOKUP(LISTADO_PRODUCTOS_LISTBOX[Código],LISTADO_PRODUCTOS[#All],4)</f>
        <v>Banderitas mooving 2100205</v>
      </c>
      <c r="D612" s="6" t="str">
        <f>VLOOKUP(LISTADO_PRODUCTOS_LISTBOX[Código],LISTADO_PRODUCTOS[#All],5)</f>
        <v>N/A</v>
      </c>
    </row>
    <row r="613" spans="1:4" x14ac:dyDescent="0.3">
      <c r="A613" s="4">
        <v>4346</v>
      </c>
      <c r="B613" s="6" t="str">
        <f>VLOOKUP(LISTADO_PRODUCTOS_LISTBOX[Código],LISTADO_PRODUCTOS[#All],3)</f>
        <v xml:space="preserve">OFICINA </v>
      </c>
      <c r="C613" s="6" t="str">
        <f>VLOOKUP(LISTADO_PRODUCTOS_LISTBOX[Código],LISTADO_PRODUCTOS[#All],4)</f>
        <v>Carpeta catalogo foliada 10F General Office A4</v>
      </c>
      <c r="D613" s="6" t="str">
        <f>VLOOKUP(LISTADO_PRODUCTOS_LISTBOX[Código],LISTADO_PRODUCTOS[#All],5)</f>
        <v>N/A</v>
      </c>
    </row>
    <row r="614" spans="1:4" x14ac:dyDescent="0.3">
      <c r="A614" s="4">
        <v>4354</v>
      </c>
      <c r="B614" s="6" t="str">
        <f>VLOOKUP(LISTADO_PRODUCTOS_LISTBOX[Código],LISTADO_PRODUCTOS[#All],3)</f>
        <v xml:space="preserve">OFICINA </v>
      </c>
      <c r="C614" s="6" t="str">
        <f>VLOOKUP(LISTADO_PRODUCTOS_LISTBOX[Código],LISTADO_PRODUCTOS[#All],4)</f>
        <v>Marcador SHARPIE STAINED P/TELA PUNTA PINCEL blister x8u</v>
      </c>
      <c r="D614" s="6" t="str">
        <f>VLOOKUP(LISTADO_PRODUCTOS_LISTBOX[Código],LISTADO_PRODUCTOS[#All],5)</f>
        <v>N/A</v>
      </c>
    </row>
    <row r="615" spans="1:4" x14ac:dyDescent="0.3">
      <c r="A615" s="4">
        <v>4362</v>
      </c>
      <c r="B615" s="6" t="str">
        <f>VLOOKUP(LISTADO_PRODUCTOS_LISTBOX[Código],LISTADO_PRODUCTOS[#All],3)</f>
        <v xml:space="preserve">OFICINA </v>
      </c>
      <c r="C615" s="6" t="str">
        <f>VLOOKUP(LISTADO_PRODUCTOS_LISTBOX[Código],LISTADO_PRODUCTOS[#All],4)</f>
        <v>Abrochadora brazo largo 31cm + 1000 broche 26/6</v>
      </c>
      <c r="D615" s="6" t="str">
        <f>VLOOKUP(LISTADO_PRODUCTOS_LISTBOX[Código],LISTADO_PRODUCTOS[#All],5)</f>
        <v>N/A</v>
      </c>
    </row>
    <row r="616" spans="1:4" x14ac:dyDescent="0.3">
      <c r="A616" s="4">
        <v>4363</v>
      </c>
      <c r="B616" s="6" t="str">
        <f>VLOOKUP(LISTADO_PRODUCTOS_LISTBOX[Código],LISTADO_PRODUCTOS[#All],3)</f>
        <v xml:space="preserve">OFICINA </v>
      </c>
      <c r="C616" s="6" t="str">
        <f>VLOOKUP(LISTADO_PRODUCTOS_LISTBOX[Código],LISTADO_PRODUCTOS[#All],4)</f>
        <v>Almohadilla Pelikan N°0</v>
      </c>
      <c r="D616" s="6" t="str">
        <f>VLOOKUP(LISTADO_PRODUCTOS_LISTBOX[Código],LISTADO_PRODUCTOS[#All],5)</f>
        <v>N/A</v>
      </c>
    </row>
    <row r="617" spans="1:4" x14ac:dyDescent="0.3">
      <c r="A617" s="4">
        <v>4364</v>
      </c>
      <c r="B617" s="6" t="str">
        <f>VLOOKUP(LISTADO_PRODUCTOS_LISTBOX[Código],LISTADO_PRODUCTOS[#All],3)</f>
        <v xml:space="preserve">OFICINA </v>
      </c>
      <c r="C617" s="6" t="str">
        <f>VLOOKUP(LISTADO_PRODUCTOS_LISTBOX[Código],LISTADO_PRODUCTOS[#All],4)</f>
        <v>Almohadilla Pelikan N°1</v>
      </c>
      <c r="D617" s="6" t="str">
        <f>VLOOKUP(LISTADO_PRODUCTOS_LISTBOX[Código],LISTADO_PRODUCTOS[#All],5)</f>
        <v>N/A</v>
      </c>
    </row>
    <row r="618" spans="1:4" x14ac:dyDescent="0.3">
      <c r="A618" s="4">
        <v>4366</v>
      </c>
      <c r="B618" s="6" t="str">
        <f>VLOOKUP(LISTADO_PRODUCTOS_LISTBOX[Código],LISTADO_PRODUCTOS[#All],3)</f>
        <v xml:space="preserve">OFICINA </v>
      </c>
      <c r="C618" s="6" t="str">
        <f>VLOOKUP(LISTADO_PRODUCTOS_LISTBOX[Código],LISTADO_PRODUCTOS[#All],4)</f>
        <v>Marcador Simball metaizado doble punta pinta 2</v>
      </c>
      <c r="D618" s="6" t="str">
        <f>VLOOKUP(LISTADO_PRODUCTOS_LISTBOX[Código],LISTADO_PRODUCTOS[#All],5)</f>
        <v>N/A</v>
      </c>
    </row>
    <row r="619" spans="1:4" x14ac:dyDescent="0.3">
      <c r="A619" s="4">
        <v>4367</v>
      </c>
      <c r="B619" s="6" t="str">
        <f>VLOOKUP(LISTADO_PRODUCTOS_LISTBOX[Código],LISTADO_PRODUCTOS[#All],3)</f>
        <v xml:space="preserve">OFICINA </v>
      </c>
      <c r="C619" s="6" t="str">
        <f>VLOOKUP(LISTADO_PRODUCTOS_LISTBOX[Código],LISTADO_PRODUCTOS[#All],4)</f>
        <v>Abrochadora huvito Eagle Omax Mini N°10 s-5150D</v>
      </c>
      <c r="D619" s="6" t="str">
        <f>VLOOKUP(LISTADO_PRODUCTOS_LISTBOX[Código],LISTADO_PRODUCTOS[#All],5)</f>
        <v>N/A</v>
      </c>
    </row>
    <row r="620" spans="1:4" x14ac:dyDescent="0.3">
      <c r="A620" s="4">
        <v>4368</v>
      </c>
      <c r="B620" s="6" t="str">
        <f>VLOOKUP(LISTADO_PRODUCTOS_LISTBOX[Código],LISTADO_PRODUCTOS[#All],3)</f>
        <v xml:space="preserve">OFICINA </v>
      </c>
      <c r="C620" s="6" t="str">
        <f>VLOOKUP(LISTADO_PRODUCTOS_LISTBOX[Código],LISTADO_PRODUCTOS[#All],4)</f>
        <v>Abrochadora Deli Animalitos + broches</v>
      </c>
      <c r="D620" s="6" t="str">
        <f>VLOOKUP(LISTADO_PRODUCTOS_LISTBOX[Código],LISTADO_PRODUCTOS[#All],5)</f>
        <v>N/A</v>
      </c>
    </row>
    <row r="621" spans="1:4" x14ac:dyDescent="0.3">
      <c r="A621" s="4">
        <v>4369</v>
      </c>
      <c r="B621" s="6" t="str">
        <f>VLOOKUP(LISTADO_PRODUCTOS_LISTBOX[Código],LISTADO_PRODUCTOS[#All],3)</f>
        <v xml:space="preserve">OFICINA </v>
      </c>
      <c r="C621" s="6" t="str">
        <f>VLOOKUP(LISTADO_PRODUCTOS_LISTBOX[Código],LISTADO_PRODUCTOS[#All],4)</f>
        <v>Abrochadora Metal Kangaroo HP-10 Pinza</v>
      </c>
      <c r="D621" s="6" t="str">
        <f>VLOOKUP(LISTADO_PRODUCTOS_LISTBOX[Código],LISTADO_PRODUCTOS[#All],5)</f>
        <v>N/A</v>
      </c>
    </row>
    <row r="622" spans="1:4" x14ac:dyDescent="0.3">
      <c r="A622" s="4">
        <v>4372</v>
      </c>
      <c r="B622" s="6" t="str">
        <f>VLOOKUP(LISTADO_PRODUCTOS_LISTBOX[Código],LISTADO_PRODUCTOS[#All],3)</f>
        <v xml:space="preserve">OFICINA </v>
      </c>
      <c r="C622" s="6" t="str">
        <f>VLOOKUP(LISTADO_PRODUCTOS_LISTBOX[Código],LISTADO_PRODUCTOS[#All],4)</f>
        <v>Broche dorado Sifap en bolsa N°14 63mm</v>
      </c>
      <c r="D622" s="6" t="str">
        <f>VLOOKUP(LISTADO_PRODUCTOS_LISTBOX[Código],LISTADO_PRODUCTOS[#All],5)</f>
        <v>N/A</v>
      </c>
    </row>
    <row r="623" spans="1:4" x14ac:dyDescent="0.3">
      <c r="A623" s="4">
        <v>4377</v>
      </c>
      <c r="B623" s="6" t="str">
        <f>VLOOKUP(LISTADO_PRODUCTOS_LISTBOX[Código],LISTADO_PRODUCTOS[#All],3)</f>
        <v xml:space="preserve">OFICINA </v>
      </c>
      <c r="C623" s="6" t="str">
        <f>VLOOKUP(LISTADO_PRODUCTOS_LISTBOX[Código],LISTADO_PRODUCTOS[#All],4)</f>
        <v>Resaltador Trabí Pastel/FLUO High Texter</v>
      </c>
      <c r="D623" s="6" t="str">
        <f>VLOOKUP(LISTADO_PRODUCTOS_LISTBOX[Código],LISTADO_PRODUCTOS[#All],5)</f>
        <v>N/A</v>
      </c>
    </row>
    <row r="624" spans="1:4" x14ac:dyDescent="0.3">
      <c r="A624" s="4">
        <v>4382</v>
      </c>
      <c r="B624" s="6" t="str">
        <f>VLOOKUP(LISTADO_PRODUCTOS_LISTBOX[Código],LISTADO_PRODUCTOS[#All],3)</f>
        <v xml:space="preserve">OFICINA </v>
      </c>
      <c r="C624" s="6" t="str">
        <f>VLOOKUP(LISTADO_PRODUCTOS_LISTBOX[Código],LISTADO_PRODUCTOS[#All],4)</f>
        <v>Notas adhesivas traslucidas extra fuerte super adhesiva</v>
      </c>
      <c r="D624" s="6" t="str">
        <f>VLOOKUP(LISTADO_PRODUCTOS_LISTBOX[Código],LISTADO_PRODUCTOS[#All],5)</f>
        <v>N/A</v>
      </c>
    </row>
    <row r="625" spans="1:4" x14ac:dyDescent="0.3">
      <c r="A625" s="4">
        <v>4384</v>
      </c>
      <c r="B625" s="6" t="str">
        <f>VLOOKUP(LISTADO_PRODUCTOS_LISTBOX[Código],LISTADO_PRODUCTOS[#All],3)</f>
        <v xml:space="preserve">OFICINA </v>
      </c>
      <c r="C625" s="6" t="str">
        <f>VLOOKUP(LISTADO_PRODUCTOS_LISTBOX[Código],LISTADO_PRODUCTOS[#All],4)</f>
        <v>Resaltador Pelikan textmarker Flash</v>
      </c>
      <c r="D625" s="6" t="str">
        <f>VLOOKUP(LISTADO_PRODUCTOS_LISTBOX[Código],LISTADO_PRODUCTOS[#All],5)</f>
        <v>N/A</v>
      </c>
    </row>
    <row r="626" spans="1:4" x14ac:dyDescent="0.3">
      <c r="A626" s="4">
        <v>4391</v>
      </c>
      <c r="B626" s="6" t="str">
        <f>VLOOKUP(LISTADO_PRODUCTOS_LISTBOX[Código],LISTADO_PRODUCTOS[#All],3)</f>
        <v xml:space="preserve">OFICINA </v>
      </c>
      <c r="C626" s="6" t="str">
        <f>VLOOKUP(LISTADO_PRODUCTOS_LISTBOX[Código],LISTADO_PRODUCTOS[#All],4)</f>
        <v>Anotador MEMO FIX formas varias Pastel</v>
      </c>
      <c r="D626" s="6" t="str">
        <f>VLOOKUP(LISTADO_PRODUCTOS_LISTBOX[Código],LISTADO_PRODUCTOS[#All],5)</f>
        <v>N/A</v>
      </c>
    </row>
    <row r="627" spans="1:4" x14ac:dyDescent="0.3">
      <c r="A627" s="4">
        <v>4392</v>
      </c>
      <c r="B627" s="6" t="str">
        <f>VLOOKUP(LISTADO_PRODUCTOS_LISTBOX[Código],LISTADO_PRODUCTOS[#All],3)</f>
        <v xml:space="preserve">OFICINA </v>
      </c>
      <c r="C627" s="6" t="str">
        <f>VLOOKUP(LISTADO_PRODUCTOS_LISTBOX[Código],LISTADO_PRODUCTOS[#All],4)</f>
        <v>Notas MEMO FIX Phantone 25x74</v>
      </c>
      <c r="D627" s="6" t="str">
        <f>VLOOKUP(LISTADO_PRODUCTOS_LISTBOX[Código],LISTADO_PRODUCTOS[#All],5)</f>
        <v>N/A</v>
      </c>
    </row>
    <row r="628" spans="1:4" x14ac:dyDescent="0.3">
      <c r="A628" s="4">
        <v>4393</v>
      </c>
      <c r="B628" s="6" t="str">
        <f>VLOOKUP(LISTADO_PRODUCTOS_LISTBOX[Código],LISTADO_PRODUCTOS[#All],3)</f>
        <v xml:space="preserve">OFICINA </v>
      </c>
      <c r="C628" s="6" t="str">
        <f>VLOOKUP(LISTADO_PRODUCTOS_LISTBOX[Código],LISTADO_PRODUCTOS[#All],4)</f>
        <v>Mini cubo notas pastel Memo Fix200h 74x74</v>
      </c>
      <c r="D628" s="6" t="str">
        <f>VLOOKUP(LISTADO_PRODUCTOS_LISTBOX[Código],LISTADO_PRODUCTOS[#All],5)</f>
        <v>N/A</v>
      </c>
    </row>
    <row r="629" spans="1:4" x14ac:dyDescent="0.3">
      <c r="A629" s="4">
        <v>4395</v>
      </c>
      <c r="B629" s="6" t="str">
        <f>VLOOKUP(LISTADO_PRODUCTOS_LISTBOX[Código],LISTADO_PRODUCTOS[#All],3)</f>
        <v xml:space="preserve">OFICINA </v>
      </c>
      <c r="C629" s="6" t="str">
        <f>VLOOKUP(LISTADO_PRODUCTOS_LISTBOX[Código],LISTADO_PRODUCTOS[#All],4)</f>
        <v>Clasificador LAMA Oficio colores vivos y negro EF202FCR</v>
      </c>
      <c r="D629" s="6" t="str">
        <f>VLOOKUP(LISTADO_PRODUCTOS_LISTBOX[Código],LISTADO_PRODUCTOS[#All],5)</f>
        <v>N/A</v>
      </c>
    </row>
    <row r="630" spans="1:4" x14ac:dyDescent="0.3">
      <c r="A630" s="4">
        <v>4399</v>
      </c>
      <c r="B630" s="6" t="str">
        <f>VLOOKUP(LISTADO_PRODUCTOS_LISTBOX[Código],LISTADO_PRODUCTOS[#All],3)</f>
        <v xml:space="preserve">OFICINA </v>
      </c>
      <c r="C630" s="6" t="str">
        <f>VLOOKUP(LISTADO_PRODUCTOS_LISTBOX[Código],LISTADO_PRODUCTOS[#All],4)</f>
        <v>Taco MEMOFIX CUBO 200h 50x50 PASTEL surt-226</v>
      </c>
      <c r="D630" s="6" t="str">
        <f>VLOOKUP(LISTADO_PRODUCTOS_LISTBOX[Código],LISTADO_PRODUCTOS[#All],5)</f>
        <v>N/A</v>
      </c>
    </row>
    <row r="631" spans="1:4" x14ac:dyDescent="0.3">
      <c r="A631" s="4">
        <v>4405</v>
      </c>
      <c r="B631" s="6" t="str">
        <f>VLOOKUP(LISTADO_PRODUCTOS_LISTBOX[Código],LISTADO_PRODUCTOS[#All],3)</f>
        <v xml:space="preserve">OFICINA </v>
      </c>
      <c r="C631" s="6" t="str">
        <f>VLOOKUP(LISTADO_PRODUCTOS_LISTBOX[Código],LISTADO_PRODUCTOS[#All],4)</f>
        <v>Taco Notas adhesivas NEON Ezco</v>
      </c>
      <c r="D631" s="6" t="str">
        <f>VLOOKUP(LISTADO_PRODUCTOS_LISTBOX[Código],LISTADO_PRODUCTOS[#All],5)</f>
        <v>N/A</v>
      </c>
    </row>
    <row r="632" spans="1:4" x14ac:dyDescent="0.3">
      <c r="A632" s="4">
        <v>4407</v>
      </c>
      <c r="B632" s="6" t="str">
        <f>VLOOKUP(LISTADO_PRODUCTOS_LISTBOX[Código],LISTADO_PRODUCTOS[#All],3)</f>
        <v xml:space="preserve">OFICINA </v>
      </c>
      <c r="C632" s="6" t="str">
        <f>VLOOKUP(LISTADO_PRODUCTOS_LISTBOX[Código],LISTADO_PRODUCTOS[#All],4)</f>
        <v>Adaptador OTG USB</v>
      </c>
      <c r="D632" s="6" t="str">
        <f>VLOOKUP(LISTADO_PRODUCTOS_LISTBOX[Código],LISTADO_PRODUCTOS[#All],5)</f>
        <v>N/A</v>
      </c>
    </row>
    <row r="633" spans="1:4" x14ac:dyDescent="0.3">
      <c r="A633" s="4">
        <v>4408</v>
      </c>
      <c r="B633" s="6" t="str">
        <f>VLOOKUP(LISTADO_PRODUCTOS_LISTBOX[Código],LISTADO_PRODUCTOS[#All],3)</f>
        <v xml:space="preserve">OFICINA </v>
      </c>
      <c r="C633" s="6" t="str">
        <f>VLOOKUP(LISTADO_PRODUCTOS_LISTBOX[Código],LISTADO_PRODUCTOS[#All],4)</f>
        <v>Cable HDMI Apro</v>
      </c>
      <c r="D633" s="6" t="str">
        <f>VLOOKUP(LISTADO_PRODUCTOS_LISTBOX[Código],LISTADO_PRODUCTOS[#All],5)</f>
        <v>N/A</v>
      </c>
    </row>
    <row r="634" spans="1:4" x14ac:dyDescent="0.3">
      <c r="A634" s="4">
        <v>4410</v>
      </c>
      <c r="B634" s="6" t="str">
        <f>VLOOKUP(LISTADO_PRODUCTOS_LISTBOX[Código],LISTADO_PRODUCTOS[#All],3)</f>
        <v xml:space="preserve">OFICINA </v>
      </c>
      <c r="C634" s="6" t="str">
        <f>VLOOKUP(LISTADO_PRODUCTOS_LISTBOX[Código],LISTADO_PRODUCTOS[#All],4)</f>
        <v>Notas adhesivas Util-of 76x127 amarillo 100h</v>
      </c>
      <c r="D634" s="6" t="str">
        <f>VLOOKUP(LISTADO_PRODUCTOS_LISTBOX[Código],LISTADO_PRODUCTOS[#All],5)</f>
        <v>N/A</v>
      </c>
    </row>
    <row r="635" spans="1:4" x14ac:dyDescent="0.3">
      <c r="A635" s="4">
        <v>4411</v>
      </c>
      <c r="B635" s="6" t="str">
        <f>VLOOKUP(LISTADO_PRODUCTOS_LISTBOX[Código],LISTADO_PRODUCTOS[#All],3)</f>
        <v xml:space="preserve">OFICINA </v>
      </c>
      <c r="C635" s="6" t="str">
        <f>VLOOKUP(LISTADO_PRODUCTOS_LISTBOX[Código],LISTADO_PRODUCTOS[#All],4)</f>
        <v>Notas adhesivas Util-of 76x102 amarilla 100h</v>
      </c>
      <c r="D635" s="6" t="str">
        <f>VLOOKUP(LISTADO_PRODUCTOS_LISTBOX[Código],LISTADO_PRODUCTOS[#All],5)</f>
        <v>N/A</v>
      </c>
    </row>
    <row r="636" spans="1:4" x14ac:dyDescent="0.3">
      <c r="A636" s="4">
        <v>4414</v>
      </c>
      <c r="B636" s="6" t="str">
        <f>VLOOKUP(LISTADO_PRODUCTOS_LISTBOX[Código],LISTADO_PRODUCTOS[#All],3)</f>
        <v xml:space="preserve">OFICINA </v>
      </c>
      <c r="C636" s="6" t="str">
        <f>VLOOKUP(LISTADO_PRODUCTOS_LISTBOX[Código],LISTADO_PRODUCTOS[#All],4)</f>
        <v xml:space="preserve">Abrochadora MIT 24/6 Pintada </v>
      </c>
      <c r="D636" s="6" t="str">
        <f>VLOOKUP(LISTADO_PRODUCTOS_LISTBOX[Código],LISTADO_PRODUCTOS[#All],5)</f>
        <v>N/A</v>
      </c>
    </row>
    <row r="637" spans="1:4" x14ac:dyDescent="0.3">
      <c r="A637" s="4">
        <v>4415</v>
      </c>
      <c r="B637" s="6" t="str">
        <f>VLOOKUP(LISTADO_PRODUCTOS_LISTBOX[Código],LISTADO_PRODUCTOS[#All],3)</f>
        <v xml:space="preserve">OFICINA </v>
      </c>
      <c r="C637" s="6" t="str">
        <f>VLOOKUP(LISTADO_PRODUCTOS_LISTBOX[Código],LISTADO_PRODUCTOS[#All],4)</f>
        <v xml:space="preserve">Perforador MIT Mediano Pintado </v>
      </c>
      <c r="D637" s="6" t="str">
        <f>VLOOKUP(LISTADO_PRODUCTOS_LISTBOX[Código],LISTADO_PRODUCTOS[#All],5)</f>
        <v>N/A</v>
      </c>
    </row>
    <row r="638" spans="1:4" x14ac:dyDescent="0.3">
      <c r="A638" s="4">
        <v>4416</v>
      </c>
      <c r="B638" s="6" t="str">
        <f>VLOOKUP(LISTADO_PRODUCTOS_LISTBOX[Código],LISTADO_PRODUCTOS[#All],3)</f>
        <v xml:space="preserve">OFICINA </v>
      </c>
      <c r="C638" s="6" t="str">
        <f>VLOOKUP(LISTADO_PRODUCTOS_LISTBOX[Código],LISTADO_PRODUCTOS[#All],4)</f>
        <v>Pizarra Blanca C/Iman alto impacto N°7 61*91</v>
      </c>
      <c r="D638" s="6" t="str">
        <f>VLOOKUP(LISTADO_PRODUCTOS_LISTBOX[Código],LISTADO_PRODUCTOS[#All],5)</f>
        <v>N/A</v>
      </c>
    </row>
    <row r="639" spans="1:4" x14ac:dyDescent="0.3">
      <c r="A639" s="4">
        <v>4417</v>
      </c>
      <c r="B639" s="6" t="str">
        <f>VLOOKUP(LISTADO_PRODUCTOS_LISTBOX[Código],LISTADO_PRODUCTOS[#All],3)</f>
        <v xml:space="preserve">OFICINA </v>
      </c>
      <c r="C639" s="6" t="str">
        <f>VLOOKUP(LISTADO_PRODUCTOS_LISTBOX[Código],LISTADO_PRODUCTOS[#All],4)</f>
        <v>Pizarra Blanca C/Iman Alto Impacto N°9 91*123</v>
      </c>
      <c r="D639" s="6" t="str">
        <f>VLOOKUP(LISTADO_PRODUCTOS_LISTBOX[Código],LISTADO_PRODUCTOS[#All],5)</f>
        <v>N/A</v>
      </c>
    </row>
    <row r="640" spans="1:4" x14ac:dyDescent="0.3">
      <c r="A640" s="4">
        <v>4418</v>
      </c>
      <c r="B640" s="6" t="str">
        <f>VLOOKUP(LISTADO_PRODUCTOS_LISTBOX[Código],LISTADO_PRODUCTOS[#All],3)</f>
        <v xml:space="preserve">OFICINA </v>
      </c>
      <c r="C640" s="6" t="str">
        <f>VLOOKUP(LISTADO_PRODUCTOS_LISTBOX[Código],LISTADO_PRODUCTOS[#All],4)</f>
        <v>Pizarra Blanca N°8 Alto Impacto 70*123</v>
      </c>
      <c r="D640" s="6" t="str">
        <f>VLOOKUP(LISTADO_PRODUCTOS_LISTBOX[Código],LISTADO_PRODUCTOS[#All],5)</f>
        <v>N/A</v>
      </c>
    </row>
    <row r="641" spans="1:4" x14ac:dyDescent="0.3">
      <c r="A641" s="4">
        <v>4419</v>
      </c>
      <c r="B641" s="6" t="str">
        <f>VLOOKUP(LISTADO_PRODUCTOS_LISTBOX[Código],LISTADO_PRODUCTOS[#All],3)</f>
        <v xml:space="preserve">OFICINA </v>
      </c>
      <c r="C641" s="6" t="str">
        <f>VLOOKUP(LISTADO_PRODUCTOS_LISTBOX[Código],LISTADO_PRODUCTOS[#All],4)</f>
        <v>Notas Adhesivas Deli animales</v>
      </c>
      <c r="D641" s="6" t="str">
        <f>VLOOKUP(LISTADO_PRODUCTOS_LISTBOX[Código],LISTADO_PRODUCTOS[#All],5)</f>
        <v>N/A</v>
      </c>
    </row>
    <row r="642" spans="1:4" x14ac:dyDescent="0.3">
      <c r="A642" s="4">
        <v>4420</v>
      </c>
      <c r="B642" s="6" t="str">
        <f>VLOOKUP(LISTADO_PRODUCTOS_LISTBOX[Código],LISTADO_PRODUCTOS[#All],3)</f>
        <v xml:space="preserve">OFICINA </v>
      </c>
      <c r="C642" s="6" t="str">
        <f>VLOOKUP(LISTADO_PRODUCTOS_LISTBOX[Código],LISTADO_PRODUCTOS[#All],4)</f>
        <v>Notas adhesivas Memo Fix 74x74 8h  decoradas</v>
      </c>
      <c r="D642" s="6" t="str">
        <f>VLOOKUP(LISTADO_PRODUCTOS_LISTBOX[Código],LISTADO_PRODUCTOS[#All],5)</f>
        <v>N/A</v>
      </c>
    </row>
    <row r="643" spans="1:4" x14ac:dyDescent="0.3">
      <c r="A643" s="4">
        <v>4421</v>
      </c>
      <c r="B643" s="6" t="str">
        <f>VLOOKUP(LISTADO_PRODUCTOS_LISTBOX[Código],LISTADO_PRODUCTOS[#All],3)</f>
        <v xml:space="preserve">OFICINA </v>
      </c>
      <c r="C643" s="6" t="str">
        <f>VLOOKUP(LISTADO_PRODUCTOS_LISTBOX[Código],LISTADO_PRODUCTOS[#All],4)</f>
        <v>Pizarra Blanca N°9 Alto Impacto 91*123</v>
      </c>
      <c r="D643" s="6" t="str">
        <f>VLOOKUP(LISTADO_PRODUCTOS_LISTBOX[Código],LISTADO_PRODUCTOS[#All],5)</f>
        <v>N/A</v>
      </c>
    </row>
    <row r="644" spans="1:4" x14ac:dyDescent="0.3">
      <c r="A644" s="4">
        <v>4422</v>
      </c>
      <c r="B644" s="6" t="str">
        <f>VLOOKUP(LISTADO_PRODUCTOS_LISTBOX[Código],LISTADO_PRODUCTOS[#All],3)</f>
        <v xml:space="preserve">OFICINA </v>
      </c>
      <c r="C644" s="6" t="str">
        <f>VLOOKUP(LISTADO_PRODUCTOS_LISTBOX[Código],LISTADO_PRODUCTOS[#All],4)</f>
        <v>Clasificador Oficio Avios Combinado</v>
      </c>
      <c r="D644" s="6" t="str">
        <f>VLOOKUP(LISTADO_PRODUCTOS_LISTBOX[Código],LISTADO_PRODUCTOS[#All],5)</f>
        <v>N/A</v>
      </c>
    </row>
    <row r="645" spans="1:4" x14ac:dyDescent="0.3">
      <c r="A645" s="4">
        <v>4423</v>
      </c>
      <c r="B645" s="6" t="str">
        <f>VLOOKUP(LISTADO_PRODUCTOS_LISTBOX[Código],LISTADO_PRODUCTOS[#All],3)</f>
        <v xml:space="preserve">OFICINA </v>
      </c>
      <c r="C645" s="6" t="str">
        <f>VLOOKUP(LISTADO_PRODUCTOS_LISTBOX[Código],LISTADO_PRODUCTOS[#All],4)</f>
        <v>Marcador de pizarra Simball</v>
      </c>
      <c r="D645" s="6" t="str">
        <f>VLOOKUP(LISTADO_PRODUCTOS_LISTBOX[Código],LISTADO_PRODUCTOS[#All],5)</f>
        <v>N/A</v>
      </c>
    </row>
    <row r="646" spans="1:4" x14ac:dyDescent="0.3">
      <c r="A646" s="4">
        <v>4424</v>
      </c>
      <c r="B646" s="6" t="str">
        <f>VLOOKUP(LISTADO_PRODUCTOS_LISTBOX[Código],LISTADO_PRODUCTOS[#All],3)</f>
        <v xml:space="preserve">OFICINA </v>
      </c>
      <c r="C646" s="6" t="str">
        <f>VLOOKUP(LISTADO_PRODUCTOS_LISTBOX[Código],LISTADO_PRODUCTOS[#All],4)</f>
        <v>Taco color FLUO Simball Office 75x75 80h</v>
      </c>
      <c r="D646" s="6" t="str">
        <f>VLOOKUP(LISTADO_PRODUCTOS_LISTBOX[Código],LISTADO_PRODUCTOS[#All],5)</f>
        <v>N/A</v>
      </c>
    </row>
    <row r="647" spans="1:4" x14ac:dyDescent="0.3">
      <c r="A647" s="4">
        <v>4425</v>
      </c>
      <c r="B647" s="6" t="str">
        <f>VLOOKUP(LISTADO_PRODUCTOS_LISTBOX[Código],LISTADO_PRODUCTOS[#All],3)</f>
        <v xml:space="preserve">OFICINA </v>
      </c>
      <c r="C647" s="6" t="str">
        <f>VLOOKUP(LISTADO_PRODUCTOS_LISTBOX[Código],LISTADO_PRODUCTOS[#All],4)</f>
        <v>Pizarra Blanca Magnetica OLAMI 35 x 43</v>
      </c>
      <c r="D647" s="6" t="str">
        <f>VLOOKUP(LISTADO_PRODUCTOS_LISTBOX[Código],LISTADO_PRODUCTOS[#All],5)</f>
        <v>N/A</v>
      </c>
    </row>
    <row r="648" spans="1:4" x14ac:dyDescent="0.3">
      <c r="A648" s="4">
        <v>4426</v>
      </c>
      <c r="B648" s="6" t="str">
        <f>VLOOKUP(LISTADO_PRODUCTOS_LISTBOX[Código],LISTADO_PRODUCTOS[#All],3)</f>
        <v xml:space="preserve">OFICINA </v>
      </c>
      <c r="C648" s="6" t="str">
        <f>VLOOKUP(LISTADO_PRODUCTOS_LISTBOX[Código],LISTADO_PRODUCTOS[#All],4)</f>
        <v>Pizarra Blanca Magnetica OLAMI 43 x 58</v>
      </c>
      <c r="D648" s="6" t="str">
        <f>VLOOKUP(LISTADO_PRODUCTOS_LISTBOX[Código],LISTADO_PRODUCTOS[#All],5)</f>
        <v>N/A</v>
      </c>
    </row>
    <row r="649" spans="1:4" x14ac:dyDescent="0.3">
      <c r="A649" s="4">
        <v>4428</v>
      </c>
      <c r="B649" s="6" t="str">
        <f>VLOOKUP(LISTADO_PRODUCTOS_LISTBOX[Código],LISTADO_PRODUCTOS[#All],3)</f>
        <v xml:space="preserve">OFICINA </v>
      </c>
      <c r="C649" s="6" t="str">
        <f>VLOOKUP(LISTADO_PRODUCTOS_LISTBOX[Código],LISTADO_PRODUCTOS[#All],4)</f>
        <v>Notas Adhesivas BOHO FW 17 stick notes distintas</v>
      </c>
      <c r="D649" s="6" t="str">
        <f>VLOOKUP(LISTADO_PRODUCTOS_LISTBOX[Código],LISTADO_PRODUCTOS[#All],5)</f>
        <v>N/A</v>
      </c>
    </row>
    <row r="650" spans="1:4" x14ac:dyDescent="0.3">
      <c r="A650" s="4">
        <v>4431</v>
      </c>
      <c r="B650" s="6" t="str">
        <f>VLOOKUP(LISTADO_PRODUCTOS_LISTBOX[Código],LISTADO_PRODUCTOS[#All],3)</f>
        <v xml:space="preserve">OFICINA </v>
      </c>
      <c r="C650" s="6" t="str">
        <f>VLOOKUP(LISTADO_PRODUCTOS_LISTBOX[Código],LISTADO_PRODUCTOS[#All],4)</f>
        <v>Blister Marcadores Permanentes NEON Sharpie x 5</v>
      </c>
      <c r="D650" s="6" t="str">
        <f>VLOOKUP(LISTADO_PRODUCTOS_LISTBOX[Código],LISTADO_PRODUCTOS[#All],5)</f>
        <v>N/A</v>
      </c>
    </row>
    <row r="651" spans="1:4" x14ac:dyDescent="0.3">
      <c r="A651" s="4">
        <v>5001</v>
      </c>
      <c r="B651" s="6" t="str">
        <f>VLOOKUP(LISTADO_PRODUCTOS_LISTBOX[Código],LISTADO_PRODUCTOS[#All],3)</f>
        <v>COMPUTACION</v>
      </c>
      <c r="C651" s="6" t="str">
        <f>VLOOKUP(LISTADO_PRODUCTOS_LISTBOX[Código],LISTADO_PRODUCTOS[#All],4)</f>
        <v>Pen Drive Verbatim 32GB Pin Stripe</v>
      </c>
      <c r="D651" s="6" t="str">
        <f>VLOOKUP(LISTADO_PRODUCTOS_LISTBOX[Código],LISTADO_PRODUCTOS[#All],5)</f>
        <v>N/A</v>
      </c>
    </row>
    <row r="652" spans="1:4" x14ac:dyDescent="0.3">
      <c r="A652" s="4">
        <v>5002</v>
      </c>
      <c r="B652" s="6" t="str">
        <f>VLOOKUP(LISTADO_PRODUCTOS_LISTBOX[Código],LISTADO_PRODUCTOS[#All],3)</f>
        <v>COMPUTACION</v>
      </c>
      <c r="C652" s="6" t="str">
        <f>VLOOKUP(LISTADO_PRODUCTOS_LISTBOX[Código],LISTADO_PRODUCTOS[#All],4)</f>
        <v>Pen Drive Verbatim 16GB Store n Go</v>
      </c>
      <c r="D652" s="6" t="str">
        <f>VLOOKUP(LISTADO_PRODUCTOS_LISTBOX[Código],LISTADO_PRODUCTOS[#All],5)</f>
        <v>N/A</v>
      </c>
    </row>
    <row r="653" spans="1:4" x14ac:dyDescent="0.3">
      <c r="A653" s="4">
        <v>5003</v>
      </c>
      <c r="B653" s="6" t="str">
        <f>VLOOKUP(LISTADO_PRODUCTOS_LISTBOX[Código],LISTADO_PRODUCTOS[#All],3)</f>
        <v>COMPUTACION</v>
      </c>
      <c r="C653" s="6" t="str">
        <f>VLOOKUP(LISTADO_PRODUCTOS_LISTBOX[Código],LISTADO_PRODUCTOS[#All],4)</f>
        <v>Pen drive Vervatim 64gb 2.0 Microban Pin Strip</v>
      </c>
      <c r="D653" s="6" t="str">
        <f>VLOOKUP(LISTADO_PRODUCTOS_LISTBOX[Código],LISTADO_PRODUCTOS[#All],5)</f>
        <v>N/A</v>
      </c>
    </row>
    <row r="654" spans="1:4" x14ac:dyDescent="0.3">
      <c r="A654" s="4">
        <v>5009</v>
      </c>
      <c r="B654" s="6" t="str">
        <f>VLOOKUP(LISTADO_PRODUCTOS_LISTBOX[Código],LISTADO_PRODUCTOS[#All],3)</f>
        <v>COMPUTACION</v>
      </c>
      <c r="C654" s="6" t="str">
        <f>VLOOKUP(LISTADO_PRODUCTOS_LISTBOX[Código],LISTADO_PRODUCTOS[#All],4)</f>
        <v>Clasificador 5 divisiones Pastel</v>
      </c>
      <c r="D654" s="6" t="str">
        <f>VLOOKUP(LISTADO_PRODUCTOS_LISTBOX[Código],LISTADO_PRODUCTOS[#All],5)</f>
        <v>N/A</v>
      </c>
    </row>
    <row r="655" spans="1:4" x14ac:dyDescent="0.3">
      <c r="A655" s="4">
        <v>5010</v>
      </c>
      <c r="B655" s="6" t="str">
        <f>VLOOKUP(LISTADO_PRODUCTOS_LISTBOX[Código],LISTADO_PRODUCTOS[#All],3)</f>
        <v>COMPUTACION</v>
      </c>
      <c r="C655" s="6" t="str">
        <f>VLOOKUP(LISTADO_PRODUCTOS_LISTBOX[Código],LISTADO_PRODUCTOS[#All],4)</f>
        <v>Auricular economico</v>
      </c>
      <c r="D655" s="6" t="str">
        <f>VLOOKUP(LISTADO_PRODUCTOS_LISTBOX[Código],LISTADO_PRODUCTOS[#All],5)</f>
        <v>N/A</v>
      </c>
    </row>
    <row r="656" spans="1:4" x14ac:dyDescent="0.3">
      <c r="A656" s="4">
        <v>5013</v>
      </c>
      <c r="B656" s="6" t="str">
        <f>VLOOKUP(LISTADO_PRODUCTOS_LISTBOX[Código],LISTADO_PRODUCTOS[#All],3)</f>
        <v>COMPUTACION</v>
      </c>
      <c r="C656" s="6" t="str">
        <f>VLOOKUP(LISTADO_PRODUCTOS_LISTBOX[Código],LISTADO_PRODUCTOS[#All],4)</f>
        <v>Disco externo Seagate 2tb</v>
      </c>
      <c r="D656" s="6" t="str">
        <f>VLOOKUP(LISTADO_PRODUCTOS_LISTBOX[Código],LISTADO_PRODUCTOS[#All],5)</f>
        <v>N/A</v>
      </c>
    </row>
    <row r="657" spans="1:4" x14ac:dyDescent="0.3">
      <c r="A657" s="4">
        <v>5018</v>
      </c>
      <c r="B657" s="6" t="str">
        <f>VLOOKUP(LISTADO_PRODUCTOS_LISTBOX[Código],LISTADO_PRODUCTOS[#All],3)</f>
        <v>COMPUTACION</v>
      </c>
      <c r="C657" s="6" t="str">
        <f>VLOOKUP(LISTADO_PRODUCTOS_LISTBOX[Código],LISTADO_PRODUCTOS[#All],4)</f>
        <v>Consola ALIEN PRO 2 videojuegos</v>
      </c>
      <c r="D657" s="6" t="str">
        <f>VLOOKUP(LISTADO_PRODUCTOS_LISTBOX[Código],LISTADO_PRODUCTOS[#All],5)</f>
        <v>N/A</v>
      </c>
    </row>
    <row r="658" spans="1:4" x14ac:dyDescent="0.3">
      <c r="A658" s="4">
        <v>5108</v>
      </c>
      <c r="B658" s="6" t="str">
        <f>VLOOKUP(LISTADO_PRODUCTOS_LISTBOX[Código],LISTADO_PRODUCTOS[#All],3)</f>
        <v>COMPUTACION</v>
      </c>
      <c r="C658" s="6" t="str">
        <f>VLOOKUP(LISTADO_PRODUCTOS_LISTBOX[Código],LISTADO_PRODUCTOS[#All],4)</f>
        <v>Calculadora Kenko de Bolsillo KK-402</v>
      </c>
      <c r="D658" s="6" t="str">
        <f>VLOOKUP(LISTADO_PRODUCTOS_LISTBOX[Código],LISTADO_PRODUCTOS[#All],5)</f>
        <v>N/A</v>
      </c>
    </row>
    <row r="659" spans="1:4" x14ac:dyDescent="0.3">
      <c r="A659" s="4">
        <v>5109</v>
      </c>
      <c r="B659" s="6" t="str">
        <f>VLOOKUP(LISTADO_PRODUCTOS_LISTBOX[Código],LISTADO_PRODUCTOS[#All],3)</f>
        <v>COMPUTACION</v>
      </c>
      <c r="C659" s="6" t="str">
        <f>VLOOKUP(LISTADO_PRODUCTOS_LISTBOX[Código],LISTADO_PRODUCTOS[#All],4)</f>
        <v>Calculadora Ecal TC37</v>
      </c>
      <c r="D659" s="6" t="str">
        <f>VLOOKUP(LISTADO_PRODUCTOS_LISTBOX[Código],LISTADO_PRODUCTOS[#All],5)</f>
        <v>N/A</v>
      </c>
    </row>
    <row r="660" spans="1:4" x14ac:dyDescent="0.3">
      <c r="A660" s="4">
        <v>5111</v>
      </c>
      <c r="B660" s="6" t="str">
        <f>VLOOKUP(LISTADO_PRODUCTOS_LISTBOX[Código],LISTADO_PRODUCTOS[#All],3)</f>
        <v>COMPUTACION</v>
      </c>
      <c r="C660" s="6" t="str">
        <f>VLOOKUP(LISTADO_PRODUCTOS_LISTBOX[Código],LISTADO_PRODUCTOS[#All],4)</f>
        <v>Calculadora Casio Fx-82 cientifica</v>
      </c>
      <c r="D660" s="6" t="str">
        <f>VLOOKUP(LISTADO_PRODUCTOS_LISTBOX[Código],LISTADO_PRODUCTOS[#All],5)</f>
        <v>N/A</v>
      </c>
    </row>
    <row r="661" spans="1:4" x14ac:dyDescent="0.3">
      <c r="A661" s="4">
        <v>5113</v>
      </c>
      <c r="B661" s="6" t="str">
        <f>VLOOKUP(LISTADO_PRODUCTOS_LISTBOX[Código],LISTADO_PRODUCTOS[#All],3)</f>
        <v>COMPUTACION</v>
      </c>
      <c r="C661" s="6" t="str">
        <f>VLOOKUP(LISTADO_PRODUCTOS_LISTBOX[Código],LISTADO_PRODUCTOS[#All],4)</f>
        <v>Calculadora Ecal TC 95 MS</v>
      </c>
      <c r="D661" s="6" t="str">
        <f>VLOOKUP(LISTADO_PRODUCTOS_LISTBOX[Código],LISTADO_PRODUCTOS[#All],5)</f>
        <v>N/A</v>
      </c>
    </row>
    <row r="662" spans="1:4" x14ac:dyDescent="0.3">
      <c r="A662" s="4">
        <v>5114</v>
      </c>
      <c r="B662" s="6" t="str">
        <f>VLOOKUP(LISTADO_PRODUCTOS_LISTBOX[Código],LISTADO_PRODUCTOS[#All],3)</f>
        <v>COMPUTACION</v>
      </c>
      <c r="C662" s="6" t="str">
        <f>VLOOKUP(LISTADO_PRODUCTOS_LISTBOX[Código],LISTADO_PRODUCTOS[#All],4)</f>
        <v>Calculadora Casio HL-820LV</v>
      </c>
      <c r="D662" s="6" t="str">
        <f>VLOOKUP(LISTADO_PRODUCTOS_LISTBOX[Código],LISTADO_PRODUCTOS[#All],5)</f>
        <v>N/A</v>
      </c>
    </row>
    <row r="663" spans="1:4" x14ac:dyDescent="0.3">
      <c r="A663" s="4">
        <v>5115</v>
      </c>
      <c r="B663" s="6" t="str">
        <f>VLOOKUP(LISTADO_PRODUCTOS_LISTBOX[Código],LISTADO_PRODUCTOS[#All],3)</f>
        <v>COMPUTACION</v>
      </c>
      <c r="C663" s="6" t="str">
        <f>VLOOKUP(LISTADO_PRODUCTOS_LISTBOX[Código],LISTADO_PRODUCTOS[#All],4)</f>
        <v>Calculadora Ecal TC 82</v>
      </c>
      <c r="D663" s="6" t="str">
        <f>VLOOKUP(LISTADO_PRODUCTOS_LISTBOX[Código],LISTADO_PRODUCTOS[#All],5)</f>
        <v>N/A</v>
      </c>
    </row>
    <row r="664" spans="1:4" x14ac:dyDescent="0.3">
      <c r="A664" s="4">
        <v>5118</v>
      </c>
      <c r="B664" s="6" t="str">
        <f>VLOOKUP(LISTADO_PRODUCTOS_LISTBOX[Código],LISTADO_PRODUCTOS[#All],3)</f>
        <v>COMPUTACION</v>
      </c>
      <c r="C664" s="6" t="str">
        <f>VLOOKUP(LISTADO_PRODUCTOS_LISTBOX[Código],LISTADO_PRODUCTOS[#All],4)</f>
        <v>Mouse Genius retractil</v>
      </c>
      <c r="D664" s="6" t="str">
        <f>VLOOKUP(LISTADO_PRODUCTOS_LISTBOX[Código],LISTADO_PRODUCTOS[#All],5)</f>
        <v>N/A</v>
      </c>
    </row>
    <row r="665" spans="1:4" x14ac:dyDescent="0.3">
      <c r="A665" s="4">
        <v>5120</v>
      </c>
      <c r="B665" s="6" t="str">
        <f>VLOOKUP(LISTADO_PRODUCTOS_LISTBOX[Código],LISTADO_PRODUCTOS[#All],3)</f>
        <v>COMPUTACION</v>
      </c>
      <c r="C665" s="6" t="str">
        <f>VLOOKUP(LISTADO_PRODUCTOS_LISTBOX[Código],LISTADO_PRODUCTOS[#All],4)</f>
        <v>Mouse Gamer GX AMMOX X1-400</v>
      </c>
      <c r="D665" s="6" t="str">
        <f>VLOOKUP(LISTADO_PRODUCTOS_LISTBOX[Código],LISTADO_PRODUCTOS[#All],5)</f>
        <v>N/A</v>
      </c>
    </row>
    <row r="666" spans="1:4" x14ac:dyDescent="0.3">
      <c r="A666" s="4">
        <v>5129</v>
      </c>
      <c r="B666" s="6" t="str">
        <f>VLOOKUP(LISTADO_PRODUCTOS_LISTBOX[Código],LISTADO_PRODUCTOS[#All],3)</f>
        <v>COMPUTACION</v>
      </c>
      <c r="C666" s="6" t="str">
        <f>VLOOKUP(LISTADO_PRODUCTOS_LISTBOX[Código],LISTADO_PRODUCTOS[#All],4)</f>
        <v>Mouse FLICA Diseños especiales inalambrico</v>
      </c>
      <c r="D666" s="6" t="str">
        <f>VLOOKUP(LISTADO_PRODUCTOS_LISTBOX[Código],LISTADO_PRODUCTOS[#All],5)</f>
        <v>N/A</v>
      </c>
    </row>
    <row r="667" spans="1:4" x14ac:dyDescent="0.3">
      <c r="A667" s="4">
        <v>5133</v>
      </c>
      <c r="B667" s="6" t="str">
        <f>VLOOKUP(LISTADO_PRODUCTOS_LISTBOX[Código],LISTADO_PRODUCTOS[#All],3)</f>
        <v>COMPUTACION</v>
      </c>
      <c r="C667" s="6" t="str">
        <f>VLOOKUP(LISTADO_PRODUCTOS_LISTBOX[Código],LISTADO_PRODUCTOS[#All],4)</f>
        <v>Brick Game 9999 in 1</v>
      </c>
      <c r="D667" s="6" t="str">
        <f>VLOOKUP(LISTADO_PRODUCTOS_LISTBOX[Código],LISTADO_PRODUCTOS[#All],5)</f>
        <v>N/A</v>
      </c>
    </row>
    <row r="668" spans="1:4" x14ac:dyDescent="0.3">
      <c r="A668" s="4">
        <v>5134</v>
      </c>
      <c r="B668" s="6" t="str">
        <f>VLOOKUP(LISTADO_PRODUCTOS_LISTBOX[Código],LISTADO_PRODUCTOS[#All],3)</f>
        <v>COMPUTACION</v>
      </c>
      <c r="C668" s="6" t="str">
        <f>VLOOKUP(LISTADO_PRODUCTOS_LISTBOX[Código],LISTADO_PRODUCTOS[#All],4)</f>
        <v>Pad Mouse FLICA Eco Cuero</v>
      </c>
      <c r="D668" s="6" t="str">
        <f>VLOOKUP(LISTADO_PRODUCTOS_LISTBOX[Código],LISTADO_PRODUCTOS[#All],5)</f>
        <v>N/A</v>
      </c>
    </row>
    <row r="669" spans="1:4" x14ac:dyDescent="0.3">
      <c r="A669" s="4">
        <v>5140</v>
      </c>
      <c r="B669" s="6" t="str">
        <f>VLOOKUP(LISTADO_PRODUCTOS_LISTBOX[Código],LISTADO_PRODUCTOS[#All],3)</f>
        <v>COMPUTACION</v>
      </c>
      <c r="C669" s="6" t="str">
        <f>VLOOKUP(LISTADO_PRODUCTOS_LISTBOX[Código],LISTADO_PRODUCTOS[#All],4)</f>
        <v>Funda tablet 7" NOGA</v>
      </c>
      <c r="D669" s="6" t="str">
        <f>VLOOKUP(LISTADO_PRODUCTOS_LISTBOX[Código],LISTADO_PRODUCTOS[#All],5)</f>
        <v>N/A</v>
      </c>
    </row>
    <row r="670" spans="1:4" x14ac:dyDescent="0.3">
      <c r="A670" s="4">
        <v>5143</v>
      </c>
      <c r="B670" s="6" t="str">
        <f>VLOOKUP(LISTADO_PRODUCTOS_LISTBOX[Código],LISTADO_PRODUCTOS[#All],3)</f>
        <v>COMPUTACION</v>
      </c>
      <c r="C670" s="6" t="str">
        <f>VLOOKUP(LISTADO_PRODUCTOS_LISTBOX[Código],LISTADO_PRODUCTOS[#All],4)</f>
        <v>Parlante Genius SP-HF180 6wRMS</v>
      </c>
      <c r="D670" s="6" t="str">
        <f>VLOOKUP(LISTADO_PRODUCTOS_LISTBOX[Código],LISTADO_PRODUCTOS[#All],5)</f>
        <v>N/A</v>
      </c>
    </row>
    <row r="671" spans="1:4" x14ac:dyDescent="0.3">
      <c r="A671" s="4">
        <v>5146</v>
      </c>
      <c r="B671" s="6" t="str">
        <f>VLOOKUP(LISTADO_PRODUCTOS_LISTBOX[Código],LISTADO_PRODUCTOS[#All],3)</f>
        <v>COMPUTACION</v>
      </c>
      <c r="C671" s="6" t="str">
        <f>VLOOKUP(LISTADO_PRODUCTOS_LISTBOX[Código],LISTADO_PRODUCTOS[#All],4)</f>
        <v>Auricular Genius sobre oreja HS-M270</v>
      </c>
      <c r="D671" s="6" t="str">
        <f>VLOOKUP(LISTADO_PRODUCTOS_LISTBOX[Código],LISTADO_PRODUCTOS[#All],5)</f>
        <v>N/A</v>
      </c>
    </row>
    <row r="672" spans="1:4" x14ac:dyDescent="0.3">
      <c r="A672" s="4">
        <v>5148</v>
      </c>
      <c r="B672" s="6" t="str">
        <f>VLOOKUP(LISTADO_PRODUCTOS_LISTBOX[Código],LISTADO_PRODUCTOS[#All],3)</f>
        <v>COMPUTACION</v>
      </c>
      <c r="C672" s="6" t="str">
        <f>VLOOKUP(LISTADO_PRODUCTOS_LISTBOX[Código],LISTADO_PRODUCTOS[#All],4)</f>
        <v>Teclado inalambrico compacto LOGITECH K230</v>
      </c>
      <c r="D672" s="6" t="str">
        <f>VLOOKUP(LISTADO_PRODUCTOS_LISTBOX[Código],LISTADO_PRODUCTOS[#All],5)</f>
        <v>N/A</v>
      </c>
    </row>
    <row r="673" spans="1:4" x14ac:dyDescent="0.3">
      <c r="A673" s="4">
        <v>5167</v>
      </c>
      <c r="B673" s="6" t="str">
        <f>VLOOKUP(LISTADO_PRODUCTOS_LISTBOX[Código],LISTADO_PRODUCTOS[#All],3)</f>
        <v>COMPUTACION</v>
      </c>
      <c r="C673" s="6" t="str">
        <f>VLOOKUP(LISTADO_PRODUCTOS_LISTBOX[Código],LISTADO_PRODUCTOS[#All],4)</f>
        <v>Mini teclado numerico NETMAK NM KB240</v>
      </c>
      <c r="D673" s="6" t="str">
        <f>VLOOKUP(LISTADO_PRODUCTOS_LISTBOX[Código],LISTADO_PRODUCTOS[#All],5)</f>
        <v>N/A</v>
      </c>
    </row>
    <row r="674" spans="1:4" x14ac:dyDescent="0.3">
      <c r="A674" s="4">
        <v>5170</v>
      </c>
      <c r="B674" s="6" t="str">
        <f>VLOOKUP(LISTADO_PRODUCTOS_LISTBOX[Código],LISTADO_PRODUCTOS[#All],3)</f>
        <v>COMPUTACION</v>
      </c>
      <c r="C674" s="6" t="str">
        <f>VLOOKUP(LISTADO_PRODUCTOS_LISTBOX[Código],LISTADO_PRODUCTOS[#All],4)</f>
        <v>Cargador USB Energizer</v>
      </c>
      <c r="D674" s="6" t="str">
        <f>VLOOKUP(LISTADO_PRODUCTOS_LISTBOX[Código],LISTADO_PRODUCTOS[#All],5)</f>
        <v>N/A</v>
      </c>
    </row>
    <row r="675" spans="1:4" x14ac:dyDescent="0.3">
      <c r="A675" s="4">
        <v>5189</v>
      </c>
      <c r="B675" s="6" t="str">
        <f>VLOOKUP(LISTADO_PRODUCTOS_LISTBOX[Código],LISTADO_PRODUCTOS[#All],3)</f>
        <v>COMPUTACION</v>
      </c>
      <c r="C675" s="6" t="str">
        <f>VLOOKUP(LISTADO_PRODUCTOS_LISTBOX[Código],LISTADO_PRODUCTOS[#All],4)</f>
        <v>Cable audio Mini plug - mini plug (Rojo)</v>
      </c>
      <c r="D675" s="6" t="str">
        <f>VLOOKUP(LISTADO_PRODUCTOS_LISTBOX[Código],LISTADO_PRODUCTOS[#All],5)</f>
        <v>N/A</v>
      </c>
    </row>
    <row r="676" spans="1:4" x14ac:dyDescent="0.3">
      <c r="A676" s="4">
        <v>5192</v>
      </c>
      <c r="B676" s="6" t="str">
        <f>VLOOKUP(LISTADO_PRODUCTOS_LISTBOX[Código],LISTADO_PRODUCTOS[#All],3)</f>
        <v>COMPUTACION</v>
      </c>
      <c r="C676" s="6" t="str">
        <f>VLOOKUP(LISTADO_PRODUCTOS_LISTBOX[Código],LISTADO_PRODUCTOS[#All],4)</f>
        <v>Equipo de audio para motos</v>
      </c>
      <c r="D676" s="6" t="str">
        <f>VLOOKUP(LISTADO_PRODUCTOS_LISTBOX[Código],LISTADO_PRODUCTOS[#All],5)</f>
        <v>N/A</v>
      </c>
    </row>
    <row r="677" spans="1:4" x14ac:dyDescent="0.3">
      <c r="A677" s="4">
        <v>5194</v>
      </c>
      <c r="B677" s="6" t="str">
        <f>VLOOKUP(LISTADO_PRODUCTOS_LISTBOX[Código],LISTADO_PRODUCTOS[#All],3)</f>
        <v>COMPUTACION</v>
      </c>
      <c r="C677" s="6" t="str">
        <f>VLOOKUP(LISTADO_PRODUCTOS_LISTBOX[Código],LISTADO_PRODUCTOS[#All],4)</f>
        <v>Mouse inalambrico Genius NX-7000</v>
      </c>
      <c r="D677" s="6" t="str">
        <f>VLOOKUP(LISTADO_PRODUCTOS_LISTBOX[Código],LISTADO_PRODUCTOS[#All],5)</f>
        <v>N/A</v>
      </c>
    </row>
    <row r="678" spans="1:4" x14ac:dyDescent="0.3">
      <c r="A678" s="4">
        <v>5202</v>
      </c>
      <c r="B678" s="6" t="str">
        <f>VLOOKUP(LISTADO_PRODUCTOS_LISTBOX[Código],LISTADO_PRODUCTOS[#All],3)</f>
        <v>COMPUTACION</v>
      </c>
      <c r="C678" s="6" t="str">
        <f>VLOOKUP(LISTADO_PRODUCTOS_LISTBOX[Código],LISTADO_PRODUCTOS[#All],4)</f>
        <v>Joestick para Celu</v>
      </c>
      <c r="D678" s="6" t="str">
        <f>VLOOKUP(LISTADO_PRODUCTOS_LISTBOX[Código],LISTADO_PRODUCTOS[#All],5)</f>
        <v>N/A</v>
      </c>
    </row>
    <row r="679" spans="1:4" x14ac:dyDescent="0.3">
      <c r="A679" s="4">
        <v>5204</v>
      </c>
      <c r="B679" s="6" t="str">
        <f>VLOOKUP(LISTADO_PRODUCTOS_LISTBOX[Código],LISTADO_PRODUCTOS[#All],3)</f>
        <v>COMPUTACION</v>
      </c>
      <c r="C679" s="6" t="str">
        <f>VLOOKUP(LISTADO_PRODUCTOS_LISTBOX[Código],LISTADO_PRODUCTOS[#All],4)</f>
        <v>Reposa celular piramide soporte diferentes angulos 228747</v>
      </c>
      <c r="D679" s="6" t="str">
        <f>VLOOKUP(LISTADO_PRODUCTOS_LISTBOX[Código],LISTADO_PRODUCTOS[#All],5)</f>
        <v>N/A</v>
      </c>
    </row>
    <row r="680" spans="1:4" x14ac:dyDescent="0.3">
      <c r="A680" s="4">
        <v>5207</v>
      </c>
      <c r="B680" s="6" t="str">
        <f>VLOOKUP(LISTADO_PRODUCTOS_LISTBOX[Código],LISTADO_PRODUCTOS[#All],3)</f>
        <v>COMPUTACION</v>
      </c>
      <c r="C680" s="6" t="str">
        <f>VLOOKUP(LISTADO_PRODUCTOS_LISTBOX[Código],LISTADO_PRODUCTOS[#All],4)</f>
        <v>Cable iphone en bolsita suelto</v>
      </c>
      <c r="D680" s="6" t="str">
        <f>VLOOKUP(LISTADO_PRODUCTOS_LISTBOX[Código],LISTADO_PRODUCTOS[#All],5)</f>
        <v>N/A</v>
      </c>
    </row>
    <row r="681" spans="1:4" x14ac:dyDescent="0.3">
      <c r="A681" s="4">
        <v>5213</v>
      </c>
      <c r="B681" s="6" t="str">
        <f>VLOOKUP(LISTADO_PRODUCTOS_LISTBOX[Código],LISTADO_PRODUCTOS[#All],3)</f>
        <v>COMPUTACION</v>
      </c>
      <c r="C681" s="6" t="str">
        <f>VLOOKUP(LISTADO_PRODUCTOS_LISTBOX[Código],LISTADO_PRODUCTOS[#All],4)</f>
        <v>Auricular sobre oreja</v>
      </c>
      <c r="D681" s="6" t="str">
        <f>VLOOKUP(LISTADO_PRODUCTOS_LISTBOX[Código],LISTADO_PRODUCTOS[#All],5)</f>
        <v>N/A</v>
      </c>
    </row>
    <row r="682" spans="1:4" x14ac:dyDescent="0.3">
      <c r="A682" s="4">
        <v>5219</v>
      </c>
      <c r="B682" s="6" t="str">
        <f>VLOOKUP(LISTADO_PRODUCTOS_LISTBOX[Código],LISTADO_PRODUCTOS[#All],3)</f>
        <v>COMPUTACION</v>
      </c>
      <c r="C682" s="6" t="str">
        <f>VLOOKUP(LISTADO_PRODUCTOS_LISTBOX[Código],LISTADO_PRODUCTOS[#All],4)</f>
        <v>Calculadora ECAL TC63</v>
      </c>
      <c r="D682" s="6" t="str">
        <f>VLOOKUP(LISTADO_PRODUCTOS_LISTBOX[Código],LISTADO_PRODUCTOS[#All],5)</f>
        <v>N/A</v>
      </c>
    </row>
    <row r="683" spans="1:4" x14ac:dyDescent="0.3">
      <c r="A683" s="4">
        <v>5226</v>
      </c>
      <c r="B683" s="6" t="str">
        <f>VLOOKUP(LISTADO_PRODUCTOS_LISTBOX[Código],LISTADO_PRODUCTOS[#All],3)</f>
        <v>COMPUTACION</v>
      </c>
      <c r="C683" s="6" t="str">
        <f>VLOOKUP(LISTADO_PRODUCTOS_LISTBOX[Código],LISTADO_PRODUCTOS[#All],4)</f>
        <v>Bateria cargador  Power Bank chato</v>
      </c>
      <c r="D683" s="6" t="str">
        <f>VLOOKUP(LISTADO_PRODUCTOS_LISTBOX[Código],LISTADO_PRODUCTOS[#All],5)</f>
        <v>N/A</v>
      </c>
    </row>
    <row r="684" spans="1:4" x14ac:dyDescent="0.3">
      <c r="A684" s="4">
        <v>5227</v>
      </c>
      <c r="B684" s="6" t="str">
        <f>VLOOKUP(LISTADO_PRODUCTOS_LISTBOX[Código],LISTADO_PRODUCTOS[#All],3)</f>
        <v>COMPUTACION</v>
      </c>
      <c r="C684" s="6" t="str">
        <f>VLOOKUP(LISTADO_PRODUCTOS_LISTBOX[Código],LISTADO_PRODUCTOS[#All],4)</f>
        <v>Teclado + mouse IBEK BK-811</v>
      </c>
      <c r="D684" s="6" t="str">
        <f>VLOOKUP(LISTADO_PRODUCTOS_LISTBOX[Código],LISTADO_PRODUCTOS[#All],5)</f>
        <v>N/A</v>
      </c>
    </row>
    <row r="685" spans="1:4" x14ac:dyDescent="0.3">
      <c r="A685" s="4">
        <v>5228</v>
      </c>
      <c r="B685" s="6" t="str">
        <f>VLOOKUP(LISTADO_PRODUCTOS_LISTBOX[Código],LISTADO_PRODUCTOS[#All],3)</f>
        <v>COMPUTACION</v>
      </c>
      <c r="C685" s="6" t="str">
        <f>VLOOKUP(LISTADO_PRODUCTOS_LISTBOX[Código],LISTADO_PRODUCTOS[#All],4)</f>
        <v>Calculadora Motex doble visor KK-8585-12</v>
      </c>
      <c r="D685" s="6" t="str">
        <f>VLOOKUP(LISTADO_PRODUCTOS_LISTBOX[Código],LISTADO_PRODUCTOS[#All],5)</f>
        <v>N/A</v>
      </c>
    </row>
    <row r="686" spans="1:4" x14ac:dyDescent="0.3">
      <c r="A686" s="4">
        <v>5229</v>
      </c>
      <c r="B686" s="6" t="str">
        <f>VLOOKUP(LISTADO_PRODUCTOS_LISTBOX[Código],LISTADO_PRODUCTOS[#All],3)</f>
        <v>COMPUTACION</v>
      </c>
      <c r="C686" s="6" t="str">
        <f>VLOOKUP(LISTADO_PRODUCTOS_LISTBOX[Código],LISTADO_PRODUCTOS[#All],4)</f>
        <v>Cable Samsung USB - Type C</v>
      </c>
      <c r="D686" s="6" t="str">
        <f>VLOOKUP(LISTADO_PRODUCTOS_LISTBOX[Código],LISTADO_PRODUCTOS[#All],5)</f>
        <v>N/A</v>
      </c>
    </row>
    <row r="687" spans="1:4" x14ac:dyDescent="0.3">
      <c r="A687" s="4">
        <v>5230</v>
      </c>
      <c r="B687" s="6" t="str">
        <f>VLOOKUP(LISTADO_PRODUCTOS_LISTBOX[Código],LISTADO_PRODUCTOS[#All],3)</f>
        <v>COMPUTACION</v>
      </c>
      <c r="C687" s="6" t="str">
        <f>VLOOKUP(LISTADO_PRODUCTOS_LISTBOX[Código],LISTADO_PRODUCTOS[#All],4)</f>
        <v>Calculadora Casio MW-5V-WE</v>
      </c>
      <c r="D687" s="6" t="str">
        <f>VLOOKUP(LISTADO_PRODUCTOS_LISTBOX[Código],LISTADO_PRODUCTOS[#All],5)</f>
        <v>N/A</v>
      </c>
    </row>
    <row r="688" spans="1:4" x14ac:dyDescent="0.3">
      <c r="A688" s="4">
        <v>5231</v>
      </c>
      <c r="B688" s="6" t="str">
        <f>VLOOKUP(LISTADO_PRODUCTOS_LISTBOX[Código],LISTADO_PRODUCTOS[#All],3)</f>
        <v>COMPUTACION</v>
      </c>
      <c r="C688" s="6" t="str">
        <f>VLOOKUP(LISTADO_PRODUCTOS_LISTBOX[Código],LISTADO_PRODUCTOS[#All],4)</f>
        <v>Cable Fast Charging Samsung Galaxy Note</v>
      </c>
      <c r="D688" s="6" t="str">
        <f>VLOOKUP(LISTADO_PRODUCTOS_LISTBOX[Código],LISTADO_PRODUCTOS[#All],5)</f>
        <v>N/A</v>
      </c>
    </row>
    <row r="689" spans="1:4" x14ac:dyDescent="0.3">
      <c r="A689" s="4">
        <v>5233</v>
      </c>
      <c r="B689" s="6" t="str">
        <f>VLOOKUP(LISTADO_PRODUCTOS_LISTBOX[Código],LISTADO_PRODUCTOS[#All],3)</f>
        <v>COMPUTACION</v>
      </c>
      <c r="C689" s="6" t="str">
        <f>VLOOKUP(LISTADO_PRODUCTOS_LISTBOX[Código],LISTADO_PRODUCTOS[#All],4)</f>
        <v>Toner Global para Xerox Phaser 3020</v>
      </c>
      <c r="D689" s="6" t="str">
        <f>VLOOKUP(LISTADO_PRODUCTOS_LISTBOX[Código],LISTADO_PRODUCTOS[#All],5)</f>
        <v>N/A</v>
      </c>
    </row>
    <row r="690" spans="1:4" x14ac:dyDescent="0.3">
      <c r="A690" s="4">
        <v>6100</v>
      </c>
      <c r="B690" s="6" t="str">
        <f>VLOOKUP(LISTADO_PRODUCTOS_LISTBOX[Código],LISTADO_PRODUCTOS[#All],3)</f>
        <v>LIBROS</v>
      </c>
      <c r="C690" s="6" t="str">
        <f>VLOOKUP(LISTADO_PRODUCTOS_LISTBOX[Código],LISTADO_PRODUCTOS[#All],4)</f>
        <v>El Principito Catapulta Junior</v>
      </c>
      <c r="D690" s="6" t="str">
        <f>VLOOKUP(LISTADO_PRODUCTOS_LISTBOX[Código],LISTADO_PRODUCTOS[#All],5)</f>
        <v>N/A</v>
      </c>
    </row>
    <row r="691" spans="1:4" x14ac:dyDescent="0.3">
      <c r="A691" s="4">
        <v>6101</v>
      </c>
      <c r="B691" s="6" t="str">
        <f>VLOOKUP(LISTADO_PRODUCTOS_LISTBOX[Código],LISTADO_PRODUCTOS[#All],3)</f>
        <v>LIBROS</v>
      </c>
      <c r="C691" s="6" t="str">
        <f>VLOOKUP(LISTADO_PRODUCTOS_LISTBOX[Código],LISTADO_PRODUCTOS[#All],4)</f>
        <v>Set Mi primer libro de actividades + 24 colores Filgo</v>
      </c>
      <c r="D691" s="6" t="str">
        <f>VLOOKUP(LISTADO_PRODUCTOS_LISTBOX[Código],LISTADO_PRODUCTOS[#All],5)</f>
        <v>N/A</v>
      </c>
    </row>
    <row r="692" spans="1:4" x14ac:dyDescent="0.3">
      <c r="A692" s="4">
        <v>6102</v>
      </c>
      <c r="B692" s="6" t="str">
        <f>VLOOKUP(LISTADO_PRODUCTOS_LISTBOX[Código],LISTADO_PRODUCTOS[#All],3)</f>
        <v>LIBROS</v>
      </c>
      <c r="C692" s="6" t="str">
        <f>VLOOKUP(LISTADO_PRODUCTOS_LISTBOX[Código],LISTADO_PRODUCTOS[#All],4)</f>
        <v xml:space="preserve">Libro Paleta Magica de colores (12 Posters con acuarelas en cada pagina) </v>
      </c>
      <c r="D692" s="6" t="str">
        <f>VLOOKUP(LISTADO_PRODUCTOS_LISTBOX[Código],LISTADO_PRODUCTOS[#All],5)</f>
        <v>N/A</v>
      </c>
    </row>
    <row r="693" spans="1:4" x14ac:dyDescent="0.3">
      <c r="A693" s="4">
        <v>6105</v>
      </c>
      <c r="B693" s="6" t="str">
        <f>VLOOKUP(LISTADO_PRODUCTOS_LISTBOX[Código],LISTADO_PRODUCTOS[#All],3)</f>
        <v>LIBROS</v>
      </c>
      <c r="C693" s="6" t="str">
        <f>VLOOKUP(LISTADO_PRODUCTOS_LISTBOX[Código],LISTADO_PRODUCTOS[#All],4)</f>
        <v>Largo petalo de mar- Isabel Allende</v>
      </c>
      <c r="D693" s="6" t="str">
        <f>VLOOKUP(LISTADO_PRODUCTOS_LISTBOX[Código],LISTADO_PRODUCTOS[#All],5)</f>
        <v>N/A</v>
      </c>
    </row>
    <row r="694" spans="1:4" x14ac:dyDescent="0.3">
      <c r="A694" s="4">
        <v>6106</v>
      </c>
      <c r="B694" s="6" t="str">
        <f>VLOOKUP(LISTADO_PRODUCTOS_LISTBOX[Código],LISTADO_PRODUCTOS[#All],3)</f>
        <v>LIBROS</v>
      </c>
      <c r="C694" s="6" t="str">
        <f>VLOOKUP(LISTADO_PRODUCTOS_LISTBOX[Código],LISTADO_PRODUCTOS[#All],4)</f>
        <v>Las neuronas de dios de Diego Golombek</v>
      </c>
      <c r="D694" s="6" t="str">
        <f>VLOOKUP(LISTADO_PRODUCTOS_LISTBOX[Código],LISTADO_PRODUCTOS[#All],5)</f>
        <v>N/A</v>
      </c>
    </row>
    <row r="695" spans="1:4" x14ac:dyDescent="0.3">
      <c r="A695" s="4">
        <v>6107</v>
      </c>
      <c r="B695" s="6" t="str">
        <f>VLOOKUP(LISTADO_PRODUCTOS_LISTBOX[Código],LISTADO_PRODUCTOS[#All],3)</f>
        <v>LIBROS</v>
      </c>
      <c r="C695" s="6" t="str">
        <f>VLOOKUP(LISTADO_PRODUCTOS_LISTBOX[Código],LISTADO_PRODUCTOS[#All],4)</f>
        <v>Cruzar la noche de Alicia Barberis</v>
      </c>
      <c r="D695" s="6" t="str">
        <f>VLOOKUP(LISTADO_PRODUCTOS_LISTBOX[Código],LISTADO_PRODUCTOS[#All],5)</f>
        <v>N/A</v>
      </c>
    </row>
    <row r="696" spans="1:4" x14ac:dyDescent="0.3">
      <c r="A696" s="4">
        <v>6108</v>
      </c>
      <c r="B696" s="6" t="str">
        <f>VLOOKUP(LISTADO_PRODUCTOS_LISTBOX[Código],LISTADO_PRODUCTOS[#All],3)</f>
        <v>LIBROS</v>
      </c>
      <c r="C696" s="6" t="str">
        <f>VLOOKUP(LISTADO_PRODUCTOS_LISTBOX[Código],LISTADO_PRODUCTOS[#All],4)</f>
        <v>Una caza de secretos de paula bombara</v>
      </c>
      <c r="D696" s="6" t="str">
        <f>VLOOKUP(LISTADO_PRODUCTOS_LISTBOX[Código],LISTADO_PRODUCTOS[#All],5)</f>
        <v>N/A</v>
      </c>
    </row>
    <row r="697" spans="1:4" x14ac:dyDescent="0.3">
      <c r="A697" s="4">
        <v>6109</v>
      </c>
      <c r="B697" s="6" t="str">
        <f>VLOOKUP(LISTADO_PRODUCTOS_LISTBOX[Código],LISTADO_PRODUCTOS[#All],3)</f>
        <v>LIBROS</v>
      </c>
      <c r="C697" s="6" t="str">
        <f>VLOOKUP(LISTADO_PRODUCTOS_LISTBOX[Código],LISTADO_PRODUCTOS[#All],4)</f>
        <v>Cuando me muera quiero que me toquen cumbia de cristian alarcon</v>
      </c>
      <c r="D697" s="6" t="str">
        <f>VLOOKUP(LISTADO_PRODUCTOS_LISTBOX[Código],LISTADO_PRODUCTOS[#All],5)</f>
        <v>N/A</v>
      </c>
    </row>
    <row r="698" spans="1:4" x14ac:dyDescent="0.3">
      <c r="A698" s="4">
        <v>6110</v>
      </c>
      <c r="B698" s="6" t="str">
        <f>VLOOKUP(LISTADO_PRODUCTOS_LISTBOX[Código],LISTADO_PRODUCTOS[#All],3)</f>
        <v>LIBROS</v>
      </c>
      <c r="C698" s="6" t="str">
        <f>VLOOKUP(LISTADO_PRODUCTOS_LISTBOX[Código],LISTADO_PRODUCTOS[#All],4)</f>
        <v>La chica pajaro de paula bombara</v>
      </c>
      <c r="D698" s="6" t="str">
        <f>VLOOKUP(LISTADO_PRODUCTOS_LISTBOX[Código],LISTADO_PRODUCTOS[#All],5)</f>
        <v>N/A</v>
      </c>
    </row>
    <row r="699" spans="1:4" x14ac:dyDescent="0.3">
      <c r="A699" s="4">
        <v>6149</v>
      </c>
      <c r="B699" s="6" t="str">
        <f>VLOOKUP(LISTADO_PRODUCTOS_LISTBOX[Código],LISTADO_PRODUCTOS[#All],3)</f>
        <v>LIBROS</v>
      </c>
      <c r="C699" s="6" t="str">
        <f>VLOOKUP(LISTADO_PRODUCTOS_LISTBOX[Código],LISTADO_PRODUCTOS[#All],4)</f>
        <v>Libritos Mandalitas Ed. Betina</v>
      </c>
      <c r="D699" s="6" t="str">
        <f>VLOOKUP(LISTADO_PRODUCTOS_LISTBOX[Código],LISTADO_PRODUCTOS[#All],5)</f>
        <v>N/A</v>
      </c>
    </row>
    <row r="700" spans="1:4" x14ac:dyDescent="0.3">
      <c r="A700" s="4">
        <v>6165</v>
      </c>
      <c r="B700" s="6" t="str">
        <f>VLOOKUP(LISTADO_PRODUCTOS_LISTBOX[Código],LISTADO_PRODUCTOS[#All],3)</f>
        <v>LIBROS</v>
      </c>
      <c r="C700" s="6" t="str">
        <f>VLOOKUP(LISTADO_PRODUCTOS_LISTBOX[Código],LISTADO_PRODUCTOS[#All],4)</f>
        <v>El Retrato de Doria Grey</v>
      </c>
      <c r="D700" s="6" t="str">
        <f>VLOOKUP(LISTADO_PRODUCTOS_LISTBOX[Código],LISTADO_PRODUCTOS[#All],5)</f>
        <v>N/A</v>
      </c>
    </row>
    <row r="701" spans="1:4" x14ac:dyDescent="0.3">
      <c r="A701" s="4">
        <v>6166</v>
      </c>
      <c r="B701" s="6" t="str">
        <f>VLOOKUP(LISTADO_PRODUCTOS_LISTBOX[Código],LISTADO_PRODUCTOS[#All],3)</f>
        <v>LIBROS</v>
      </c>
      <c r="C701" s="6" t="str">
        <f>VLOOKUP(LISTADO_PRODUCTOS_LISTBOX[Código],LISTADO_PRODUCTOS[#All],4)</f>
        <v>La Gitanilla</v>
      </c>
      <c r="D701" s="6" t="str">
        <f>VLOOKUP(LISTADO_PRODUCTOS_LISTBOX[Código],LISTADO_PRODUCTOS[#All],5)</f>
        <v>N/A</v>
      </c>
    </row>
    <row r="702" spans="1:4" x14ac:dyDescent="0.3">
      <c r="A702" s="4">
        <v>6167</v>
      </c>
      <c r="B702" s="6" t="str">
        <f>VLOOKUP(LISTADO_PRODUCTOS_LISTBOX[Código],LISTADO_PRODUCTOS[#All],3)</f>
        <v>LIBROS</v>
      </c>
      <c r="C702" s="6" t="str">
        <f>VLOOKUP(LISTADO_PRODUCTOS_LISTBOX[Código],LISTADO_PRODUCTOS[#All],4)</f>
        <v>La Isla del Tesoro</v>
      </c>
      <c r="D702" s="6" t="str">
        <f>VLOOKUP(LISTADO_PRODUCTOS_LISTBOX[Código],LISTADO_PRODUCTOS[#All],5)</f>
        <v>N/A</v>
      </c>
    </row>
    <row r="703" spans="1:4" x14ac:dyDescent="0.3">
      <c r="A703" s="4">
        <v>6180</v>
      </c>
      <c r="B703" s="6" t="str">
        <f>VLOOKUP(LISTADO_PRODUCTOS_LISTBOX[Código],LISTADO_PRODUCTOS[#All],3)</f>
        <v>LIBROS</v>
      </c>
      <c r="C703" s="6" t="str">
        <f>VLOOKUP(LISTADO_PRODUCTOS_LISTBOX[Código],LISTADO_PRODUCTOS[#All],4)</f>
        <v>Diccionario de sinonimos y antonimos Estrada</v>
      </c>
      <c r="D703" s="6" t="str">
        <f>VLOOKUP(LISTADO_PRODUCTOS_LISTBOX[Código],LISTADO_PRODUCTOS[#All],5)</f>
        <v>N/A</v>
      </c>
    </row>
    <row r="704" spans="1:4" x14ac:dyDescent="0.3">
      <c r="A704" s="4">
        <v>6185</v>
      </c>
      <c r="B704" s="6" t="str">
        <f>VLOOKUP(LISTADO_PRODUCTOS_LISTBOX[Código],LISTADO_PRODUCTOS[#All],3)</f>
        <v>LIBROS</v>
      </c>
      <c r="C704" s="6" t="str">
        <f>VLOOKUP(LISTADO_PRODUCTOS_LISTBOX[Código],LISTADO_PRODUCTOS[#All],4)</f>
        <v>Juega y Colorea (Libro para pintar+ Stikers + crayones)</v>
      </c>
      <c r="D704" s="6" t="str">
        <f>VLOOKUP(LISTADO_PRODUCTOS_LISTBOX[Código],LISTADO_PRODUCTOS[#All],5)</f>
        <v>N/A</v>
      </c>
    </row>
    <row r="705" spans="1:4" x14ac:dyDescent="0.3">
      <c r="A705" s="4">
        <v>6187</v>
      </c>
      <c r="B705" s="6" t="str">
        <f>VLOOKUP(LISTADO_PRODUCTOS_LISTBOX[Código],LISTADO_PRODUCTOS[#All],3)</f>
        <v>LIBROS</v>
      </c>
      <c r="C705" s="6" t="str">
        <f>VLOOKUP(LISTADO_PRODUCTOS_LISTBOX[Código],LISTADO_PRODUCTOS[#All],4)</f>
        <v>Mamá gracias por tu amor VyR</v>
      </c>
      <c r="D705" s="6" t="str">
        <f>VLOOKUP(LISTADO_PRODUCTOS_LISTBOX[Código],LISTADO_PRODUCTOS[#All],5)</f>
        <v>N/A</v>
      </c>
    </row>
    <row r="706" spans="1:4" x14ac:dyDescent="0.3">
      <c r="A706" s="4">
        <v>6190</v>
      </c>
      <c r="B706" s="6" t="str">
        <f>VLOOKUP(LISTADO_PRODUCTOS_LISTBOX[Código],LISTADO_PRODUCTOS[#All],3)</f>
        <v>LIBROS</v>
      </c>
      <c r="C706" s="6" t="str">
        <f>VLOOKUP(LISTADO_PRODUCTOS_LISTBOX[Código],LISTADO_PRODUCTOS[#All],4)</f>
        <v>Premio a la mejor Madre VyR</v>
      </c>
      <c r="D706" s="6" t="str">
        <f>VLOOKUP(LISTADO_PRODUCTOS_LISTBOX[Código],LISTADO_PRODUCTOS[#All],5)</f>
        <v>N/A</v>
      </c>
    </row>
    <row r="707" spans="1:4" x14ac:dyDescent="0.3">
      <c r="A707" s="4">
        <v>6191</v>
      </c>
      <c r="B707" s="6" t="str">
        <f>VLOOKUP(LISTADO_PRODUCTOS_LISTBOX[Código],LISTADO_PRODUCTOS[#All],3)</f>
        <v>LIBROS</v>
      </c>
      <c r="C707" s="6" t="str">
        <f>VLOOKUP(LISTADO_PRODUCTOS_LISTBOX[Código],LISTADO_PRODUCTOS[#All],4)</f>
        <v>Querida Mama VyR</v>
      </c>
      <c r="D707" s="6" t="str">
        <f>VLOOKUP(LISTADO_PRODUCTOS_LISTBOX[Código],LISTADO_PRODUCTOS[#All],5)</f>
        <v>N/A</v>
      </c>
    </row>
    <row r="708" spans="1:4" x14ac:dyDescent="0.3">
      <c r="A708" s="4">
        <v>6193</v>
      </c>
      <c r="B708" s="6" t="str">
        <f>VLOOKUP(LISTADO_PRODUCTOS_LISTBOX[Código],LISTADO_PRODUCTOS[#All],3)</f>
        <v>LIBROS</v>
      </c>
      <c r="C708" s="6" t="str">
        <f>VLOOKUP(LISTADO_PRODUCTOS_LISTBOX[Código],LISTADO_PRODUCTOS[#All],4)</f>
        <v>cuento uno y cuento dos</v>
      </c>
      <c r="D708" s="6" t="str">
        <f>VLOOKUP(LISTADO_PRODUCTOS_LISTBOX[Código],LISTADO_PRODUCTOS[#All],5)</f>
        <v>N/A</v>
      </c>
    </row>
    <row r="709" spans="1:4" x14ac:dyDescent="0.3">
      <c r="A709" s="4">
        <v>6209</v>
      </c>
      <c r="B709" s="6" t="str">
        <f>VLOOKUP(LISTADO_PRODUCTOS_LISTBOX[Código],LISTADO_PRODUCTOS[#All],3)</f>
        <v>LIBROS</v>
      </c>
      <c r="C709" s="6" t="str">
        <f>VLOOKUP(LISTADO_PRODUCTOS_LISTBOX[Código],LISTADO_PRODUCTOS[#All],4)</f>
        <v>Libro Biblia para niños de Giuseppino de Roma</v>
      </c>
      <c r="D709" s="6" t="str">
        <f>VLOOKUP(LISTADO_PRODUCTOS_LISTBOX[Código],LISTADO_PRODUCTOS[#All],5)</f>
        <v>N/A</v>
      </c>
    </row>
    <row r="710" spans="1:4" x14ac:dyDescent="0.3">
      <c r="A710" s="4">
        <v>6220</v>
      </c>
      <c r="B710" s="6" t="str">
        <f>VLOOKUP(LISTADO_PRODUCTOS_LISTBOX[Código],LISTADO_PRODUCTOS[#All],3)</f>
        <v>LIBROS</v>
      </c>
      <c r="C710" s="6" t="str">
        <f>VLOOKUP(LISTADO_PRODUCTOS_LISTBOX[Código],LISTADO_PRODUCTOS[#All],4)</f>
        <v>Diccionario escolar Rivadavia</v>
      </c>
      <c r="D710" s="6" t="str">
        <f>VLOOKUP(LISTADO_PRODUCTOS_LISTBOX[Código],LISTADO_PRODUCTOS[#All],5)</f>
        <v>N/A</v>
      </c>
    </row>
    <row r="711" spans="1:4" x14ac:dyDescent="0.3">
      <c r="A711" s="4">
        <v>6226</v>
      </c>
      <c r="B711" s="6" t="str">
        <f>VLOOKUP(LISTADO_PRODUCTOS_LISTBOX[Código],LISTADO_PRODUCTOS[#All],3)</f>
        <v>LIBROS</v>
      </c>
      <c r="C711" s="6" t="str">
        <f>VLOOKUP(LISTADO_PRODUCTOS_LISTBOX[Código],LISTADO_PRODUCTOS[#All],4)</f>
        <v>Stiker grande</v>
      </c>
      <c r="D711" s="6" t="str">
        <f>VLOOKUP(LISTADO_PRODUCTOS_LISTBOX[Código],LISTADO_PRODUCTOS[#All],5)</f>
        <v>N/A</v>
      </c>
    </row>
    <row r="712" spans="1:4" x14ac:dyDescent="0.3">
      <c r="A712" s="4">
        <v>6235</v>
      </c>
      <c r="B712" s="6" t="str">
        <f>VLOOKUP(LISTADO_PRODUCTOS_LISTBOX[Código],LISTADO_PRODUCTOS[#All],3)</f>
        <v>LIBROS</v>
      </c>
      <c r="C712" s="6" t="str">
        <f>VLOOKUP(LISTADO_PRODUCTOS_LISTBOX[Código],LISTADO_PRODUCTOS[#All],4)</f>
        <v>DESAPARECIDA de Gabriel Barnes</v>
      </c>
      <c r="D712" s="6" t="str">
        <f>VLOOKUP(LISTADO_PRODUCTOS_LISTBOX[Código],LISTADO_PRODUCTOS[#All],5)</f>
        <v>N/A</v>
      </c>
    </row>
    <row r="713" spans="1:4" x14ac:dyDescent="0.3">
      <c r="A713" s="4">
        <v>6240</v>
      </c>
      <c r="B713" s="6" t="str">
        <f>VLOOKUP(LISTADO_PRODUCTOS_LISTBOX[Código],LISTADO_PRODUCTOS[#All],3)</f>
        <v>LIBROS</v>
      </c>
      <c r="C713" s="6" t="str">
        <f>VLOOKUP(LISTADO_PRODUCTOS_LISTBOX[Código],LISTADO_PRODUCTOS[#All],4)</f>
        <v>PROHIBIDO SOÑAR Carlos Marianidis</v>
      </c>
      <c r="D713" s="6" t="str">
        <f>VLOOKUP(LISTADO_PRODUCTOS_LISTBOX[Código],LISTADO_PRODUCTOS[#All],5)</f>
        <v>N/A</v>
      </c>
    </row>
    <row r="714" spans="1:4" x14ac:dyDescent="0.3">
      <c r="A714" s="4">
        <v>6251</v>
      </c>
      <c r="B714" s="6" t="str">
        <f>VLOOKUP(LISTADO_PRODUCTOS_LISTBOX[Código],LISTADO_PRODUCTOS[#All],3)</f>
        <v>LIBROS</v>
      </c>
      <c r="C714" s="6" t="str">
        <f>VLOOKUP(LISTADO_PRODUCTOS_LISTBOX[Código],LISTADO_PRODUCTOS[#All],4)</f>
        <v>QUIEN SE ANIMA A BAJAR AL SOTANO</v>
      </c>
      <c r="D714" s="6" t="str">
        <f>VLOOKUP(LISTADO_PRODUCTOS_LISTBOX[Código],LISTADO_PRODUCTOS[#All],5)</f>
        <v>N/A</v>
      </c>
    </row>
    <row r="715" spans="1:4" x14ac:dyDescent="0.3">
      <c r="A715" s="4">
        <v>6257</v>
      </c>
      <c r="B715" s="6" t="str">
        <f>VLOOKUP(LISTADO_PRODUCTOS_LISTBOX[Código],LISTADO_PRODUCTOS[#All],3)</f>
        <v>LIBROS</v>
      </c>
      <c r="C715" s="6" t="str">
        <f>VLOOKUP(LISTADO_PRODUCTOS_LISTBOX[Código],LISTADO_PRODUCTOS[#All],4)</f>
        <v>LA PUERTA SECRETA</v>
      </c>
      <c r="D715" s="6" t="str">
        <f>VLOOKUP(LISTADO_PRODUCTOS_LISTBOX[Código],LISTADO_PRODUCTOS[#All],5)</f>
        <v>N/A</v>
      </c>
    </row>
    <row r="716" spans="1:4" x14ac:dyDescent="0.3">
      <c r="A716" s="4">
        <v>6268</v>
      </c>
      <c r="B716" s="6" t="str">
        <f>VLOOKUP(LISTADO_PRODUCTOS_LISTBOX[Código],LISTADO_PRODUCTOS[#All],3)</f>
        <v>LIBROS</v>
      </c>
      <c r="C716" s="6" t="str">
        <f>VLOOKUP(LISTADO_PRODUCTOS_LISTBOX[Código],LISTADO_PRODUCTOS[#All],4)</f>
        <v>LA FAMA ES PURO CUENTO</v>
      </c>
      <c r="D716" s="6" t="str">
        <f>VLOOKUP(LISTADO_PRODUCTOS_LISTBOX[Código],LISTADO_PRODUCTOS[#All],5)</f>
        <v>N/A</v>
      </c>
    </row>
    <row r="717" spans="1:4" x14ac:dyDescent="0.3">
      <c r="A717" s="4">
        <v>6272</v>
      </c>
      <c r="B717" s="6" t="str">
        <f>VLOOKUP(LISTADO_PRODUCTOS_LISTBOX[Código],LISTADO_PRODUCTOS[#All],3)</f>
        <v>LIBROS</v>
      </c>
      <c r="C717" s="6" t="str">
        <f>VLOOKUP(LISTADO_PRODUCTOS_LISTBOX[Código],LISTADO_PRODUCTOS[#All],4)</f>
        <v>Elegi el nombre para tu bebe</v>
      </c>
      <c r="D717" s="6" t="str">
        <f>VLOOKUP(LISTADO_PRODUCTOS_LISTBOX[Código],LISTADO_PRODUCTOS[#All],5)</f>
        <v>N/A</v>
      </c>
    </row>
    <row r="718" spans="1:4" x14ac:dyDescent="0.3">
      <c r="A718" s="4">
        <v>6274</v>
      </c>
      <c r="B718" s="6" t="str">
        <f>VLOOKUP(LISTADO_PRODUCTOS_LISTBOX[Código],LISTADO_PRODUCTOS[#All],3)</f>
        <v>LIBROS</v>
      </c>
      <c r="C718" s="6" t="str">
        <f>VLOOKUP(LISTADO_PRODUCTOS_LISTBOX[Código],LISTADO_PRODUCTOS[#All],4)</f>
        <v>Libro Busca y Encuentra</v>
      </c>
      <c r="D718" s="6" t="str">
        <f>VLOOKUP(LISTADO_PRODUCTOS_LISTBOX[Código],LISTADO_PRODUCTOS[#All],5)</f>
        <v>N/A</v>
      </c>
    </row>
    <row r="719" spans="1:4" x14ac:dyDescent="0.3">
      <c r="A719" s="4">
        <v>6286</v>
      </c>
      <c r="B719" s="6" t="str">
        <f>VLOOKUP(LISTADO_PRODUCTOS_LISTBOX[Código],LISTADO_PRODUCTOS[#All],3)</f>
        <v>LIBROS</v>
      </c>
      <c r="C719" s="6" t="str">
        <f>VLOOKUP(LISTADO_PRODUCTOS_LISTBOX[Código],LISTADO_PRODUCTOS[#All],4)</f>
        <v>Libro colección bilingüe latinbooks Toco y aprendo colección x 4</v>
      </c>
      <c r="D719" s="6" t="str">
        <f>VLOOKUP(LISTADO_PRODUCTOS_LISTBOX[Código],LISTADO_PRODUCTOS[#All],5)</f>
        <v>N/A</v>
      </c>
    </row>
    <row r="720" spans="1:4" x14ac:dyDescent="0.3">
      <c r="A720" s="4">
        <v>6290</v>
      </c>
      <c r="B720" s="6" t="str">
        <f>VLOOKUP(LISTADO_PRODUCTOS_LISTBOX[Código],LISTADO_PRODUCTOS[#All],3)</f>
        <v>LIBROS</v>
      </c>
      <c r="C720" s="6" t="str">
        <f>VLOOKUP(LISTADO_PRODUCTOS_LISTBOX[Código],LISTADO_PRODUCTOS[#All],4)</f>
        <v>Cuerpos que importan de Judith Butler</v>
      </c>
      <c r="D720" s="6" t="str">
        <f>VLOOKUP(LISTADO_PRODUCTOS_LISTBOX[Código],LISTADO_PRODUCTOS[#All],5)</f>
        <v>N/A</v>
      </c>
    </row>
    <row r="721" spans="1:4" x14ac:dyDescent="0.3">
      <c r="A721" s="4">
        <v>7001</v>
      </c>
      <c r="B721" s="6" t="str">
        <f>VLOOKUP(LISTADO_PRODUCTOS_LISTBOX[Código],LISTADO_PRODUCTOS[#All],3)</f>
        <v>REGALERIA</v>
      </c>
      <c r="C721" s="6" t="str">
        <f>VLOOKUP(LISTADO_PRODUCTOS_LISTBOX[Código],LISTADO_PRODUCTOS[#All],4)</f>
        <v>Cuaderno FW Travel Journal Colección Feel Cuero Buffalo</v>
      </c>
      <c r="D721" s="6" t="str">
        <f>VLOOKUP(LISTADO_PRODUCTOS_LISTBOX[Código],LISTADO_PRODUCTOS[#All],5)</f>
        <v>N/A</v>
      </c>
    </row>
    <row r="722" spans="1:4" x14ac:dyDescent="0.3">
      <c r="A722" s="4">
        <v>7002</v>
      </c>
      <c r="B722" s="6" t="str">
        <f>VLOOKUP(LISTADO_PRODUCTOS_LISTBOX[Código],LISTADO_PRODUCTOS[#All],3)</f>
        <v>REGALERIA</v>
      </c>
      <c r="C722" s="6" t="str">
        <f>VLOOKUP(LISTADO_PRODUCTOS_LISTBOX[Código],LISTADO_PRODUCTOS[#All],4)</f>
        <v>Cuaderno FW Sketch Book Colección Feel Tela Texturada</v>
      </c>
      <c r="D722" s="6" t="str">
        <f>VLOOKUP(LISTADO_PRODUCTOS_LISTBOX[Código],LISTADO_PRODUCTOS[#All],5)</f>
        <v>N/A</v>
      </c>
    </row>
    <row r="723" spans="1:4" x14ac:dyDescent="0.3">
      <c r="A723" s="4">
        <v>7003</v>
      </c>
      <c r="B723" s="6" t="str">
        <f>VLOOKUP(LISTADO_PRODUCTOS_LISTBOX[Código],LISTADO_PRODUCTOS[#All],3)</f>
        <v>REGALERIA</v>
      </c>
      <c r="C723" s="6" t="str">
        <f>VLOOKUP(LISTADO_PRODUCTOS_LISTBOX[Código],LISTADO_PRODUCTOS[#All],4)</f>
        <v>Cuaderno Fw Love Journal Feel Tela Satinada</v>
      </c>
      <c r="D723" s="6" t="str">
        <f>VLOOKUP(LISTADO_PRODUCTOS_LISTBOX[Código],LISTADO_PRODUCTOS[#All],5)</f>
        <v>N/A</v>
      </c>
    </row>
    <row r="724" spans="1:4" x14ac:dyDescent="0.3">
      <c r="A724" s="4">
        <v>7004</v>
      </c>
      <c r="B724" s="6" t="str">
        <f>VLOOKUP(LISTADO_PRODUCTOS_LISTBOX[Código],LISTADO_PRODUCTOS[#All],3)</f>
        <v>REGALERIA</v>
      </c>
      <c r="C724" s="6" t="str">
        <f>VLOOKUP(LISTADO_PRODUCTOS_LISTBOX[Código],LISTADO_PRODUCTOS[#All],4)</f>
        <v>Cuaderno Onix 16.21 anillado 120h T/C</v>
      </c>
      <c r="D724" s="6" t="str">
        <f>VLOOKUP(LISTADO_PRODUCTOS_LISTBOX[Código],LISTADO_PRODUCTOS[#All],5)</f>
        <v>N/A</v>
      </c>
    </row>
    <row r="725" spans="1:4" x14ac:dyDescent="0.3">
      <c r="A725" s="4">
        <v>7005</v>
      </c>
      <c r="B725" s="6" t="str">
        <f>VLOOKUP(LISTADO_PRODUCTOS_LISTBOX[Código],LISTADO_PRODUCTOS[#All],3)</f>
        <v>REGALERIA</v>
      </c>
      <c r="C725" s="6" t="str">
        <f>VLOOKUP(LISTADO_PRODUCTOS_LISTBOX[Código],LISTADO_PRODUCTOS[#All],4)</f>
        <v>Cuaderno Onix 16.21 anillado 96hs T/C Hojas decoradas</v>
      </c>
      <c r="D725" s="6" t="str">
        <f>VLOOKUP(LISTADO_PRODUCTOS_LISTBOX[Código],LISTADO_PRODUCTOS[#All],5)</f>
        <v>N/A</v>
      </c>
    </row>
    <row r="726" spans="1:4" x14ac:dyDescent="0.3">
      <c r="A726" s="4">
        <v>7006</v>
      </c>
      <c r="B726" s="6" t="str">
        <f>VLOOKUP(LISTADO_PRODUCTOS_LISTBOX[Código],LISTADO_PRODUCTOS[#All],3)</f>
        <v>REGALERIA</v>
      </c>
      <c r="C726" s="6" t="str">
        <f>VLOOKUP(LISTADO_PRODUCTOS_LISTBOX[Código],LISTADO_PRODUCTOS[#All],4)</f>
        <v>Cuaderno Onix 16.21 anillado 120hs T/C hojas decoradas</v>
      </c>
      <c r="D726" s="6" t="str">
        <f>VLOOKUP(LISTADO_PRODUCTOS_LISTBOX[Código],LISTADO_PRODUCTOS[#All],5)</f>
        <v>N/A</v>
      </c>
    </row>
    <row r="727" spans="1:4" x14ac:dyDescent="0.3">
      <c r="A727" s="4">
        <v>7007</v>
      </c>
      <c r="B727" s="6" t="str">
        <f>VLOOKUP(LISTADO_PRODUCTOS_LISTBOX[Código],LISTADO_PRODUCTOS[#All],3)</f>
        <v>REGALERIA</v>
      </c>
      <c r="C727" s="6" t="str">
        <f>VLOOKUP(LISTADO_PRODUCTOS_LISTBOX[Código],LISTADO_PRODUCTOS[#All],4)</f>
        <v>Agenda FW 12x17 Diaria Linea Travel Marmol</v>
      </c>
      <c r="D727" s="6" t="str">
        <f>VLOOKUP(LISTADO_PRODUCTOS_LISTBOX[Código],LISTADO_PRODUCTOS[#All],5)</f>
        <v>N/A</v>
      </c>
    </row>
    <row r="728" spans="1:4" x14ac:dyDescent="0.3">
      <c r="A728" s="4">
        <v>7008</v>
      </c>
      <c r="B728" s="6" t="str">
        <f>VLOOKUP(LISTADO_PRODUCTOS_LISTBOX[Código],LISTADO_PRODUCTOS[#All],3)</f>
        <v>REGALERIA</v>
      </c>
      <c r="C728" s="6" t="str">
        <f>VLOOKUP(LISTADO_PRODUCTOS_LISTBOX[Código],LISTADO_PRODUCTOS[#All],4)</f>
        <v>Agenda 12x17 dos dias x pagina Linea Universo</v>
      </c>
      <c r="D728" s="6" t="str">
        <f>VLOOKUP(LISTADO_PRODUCTOS_LISTBOX[Código],LISTADO_PRODUCTOS[#All],5)</f>
        <v>N/A</v>
      </c>
    </row>
    <row r="729" spans="1:4" x14ac:dyDescent="0.3">
      <c r="A729" s="4">
        <v>7009</v>
      </c>
      <c r="B729" s="6" t="str">
        <f>VLOOKUP(LISTADO_PRODUCTOS_LISTBOX[Código],LISTADO_PRODUCTOS[#All],3)</f>
        <v>REGALERIA</v>
      </c>
      <c r="C729" s="6" t="str">
        <f>VLOOKUP(LISTADO_PRODUCTOS_LISTBOX[Código],LISTADO_PRODUCTOS[#All],4)</f>
        <v>Agenda Onix Batik 16 x 22 352 paginas 1dia x pag</v>
      </c>
      <c r="D729" s="6" t="str">
        <f>VLOOKUP(LISTADO_PRODUCTOS_LISTBOX[Código],LISTADO_PRODUCTOS[#All],5)</f>
        <v>N/A</v>
      </c>
    </row>
    <row r="730" spans="1:4" x14ac:dyDescent="0.3">
      <c r="A730" s="4">
        <v>7071</v>
      </c>
      <c r="B730" s="6" t="str">
        <f>VLOOKUP(LISTADO_PRODUCTOS_LISTBOX[Código],LISTADO_PRODUCTOS[#All],3)</f>
        <v>REGALERIA</v>
      </c>
      <c r="C730" s="6" t="str">
        <f>VLOOKUP(LISTADO_PRODUCTOS_LISTBOX[Código],LISTADO_PRODUCTOS[#All],4)</f>
        <v>Cuaderno anillado Bookcel ahuesado Ediciones de la Montaña 80h 80gr</v>
      </c>
      <c r="D730" s="6" t="str">
        <f>VLOOKUP(LISTADO_PRODUCTOS_LISTBOX[Código],LISTADO_PRODUCTOS[#All],5)</f>
        <v>N/A</v>
      </c>
    </row>
    <row r="731" spans="1:4" x14ac:dyDescent="0.3">
      <c r="A731" s="4">
        <v>7072</v>
      </c>
      <c r="B731" s="6" t="str">
        <f>VLOOKUP(LISTADO_PRODUCTOS_LISTBOX[Código],LISTADO_PRODUCTOS[#All],3)</f>
        <v>REGALERIA</v>
      </c>
      <c r="C731" s="6" t="str">
        <f>VLOOKUP(LISTADO_PRODUCTOS_LISTBOX[Código],LISTADO_PRODUCTOS[#All],4)</f>
        <v>Libreta Ediciones de la Montaña 64 hojas lisas Bookcel ahuesado 80gr</v>
      </c>
      <c r="D731" s="6" t="str">
        <f>VLOOKUP(LISTADO_PRODUCTOS_LISTBOX[Código],LISTADO_PRODUCTOS[#All],5)</f>
        <v>N/A</v>
      </c>
    </row>
    <row r="732" spans="1:4" x14ac:dyDescent="0.3">
      <c r="A732" s="4">
        <v>7073</v>
      </c>
      <c r="B732" s="6" t="str">
        <f>VLOOKUP(LISTADO_PRODUCTOS_LISTBOX[Código],LISTADO_PRODUCTOS[#All],3)</f>
        <v>REGALERIA</v>
      </c>
      <c r="C732" s="6" t="str">
        <f>VLOOKUP(LISTADO_PRODUCTOS_LISTBOX[Código],LISTADO_PRODUCTOS[#All],4)</f>
        <v>Notepad Block de notas con imán 50h</v>
      </c>
      <c r="D732" s="6" t="str">
        <f>VLOOKUP(LISTADO_PRODUCTOS_LISTBOX[Código],LISTADO_PRODUCTOS[#All],5)</f>
        <v>N/A</v>
      </c>
    </row>
    <row r="733" spans="1:4" x14ac:dyDescent="0.3">
      <c r="A733" s="4">
        <v>7075</v>
      </c>
      <c r="B733" s="6" t="str">
        <f>VLOOKUP(LISTADO_PRODUCTOS_LISTBOX[Código],LISTADO_PRODUCTOS[#All],3)</f>
        <v>REGALERIA</v>
      </c>
      <c r="C733" s="6" t="str">
        <f>VLOOKUP(LISTADO_PRODUCTOS_LISTBOX[Código],LISTADO_PRODUCTOS[#All],4)</f>
        <v>Libro de recetas y paisajes del sur</v>
      </c>
      <c r="D733" s="6" t="str">
        <f>VLOOKUP(LISTADO_PRODUCTOS_LISTBOX[Código],LISTADO_PRODUCTOS[#All],5)</f>
        <v>N/A</v>
      </c>
    </row>
    <row r="734" spans="1:4" x14ac:dyDescent="0.3">
      <c r="A734" s="4">
        <v>7076</v>
      </c>
      <c r="B734" s="6" t="str">
        <f>VLOOKUP(LISTADO_PRODUCTOS_LISTBOX[Código],LISTADO_PRODUCTOS[#All],3)</f>
        <v>REGALERIA</v>
      </c>
      <c r="C734" s="6" t="str">
        <f>VLOOKUP(LISTADO_PRODUCTOS_LISTBOX[Código],LISTADO_PRODUCTOS[#All],4)</f>
        <v>Taza de Genko grande</v>
      </c>
      <c r="D734" s="6" t="str">
        <f>VLOOKUP(LISTADO_PRODUCTOS_LISTBOX[Código],LISTADO_PRODUCTOS[#All],5)</f>
        <v>N/A</v>
      </c>
    </row>
    <row r="735" spans="1:4" x14ac:dyDescent="0.3">
      <c r="A735" s="4">
        <v>7077</v>
      </c>
      <c r="B735" s="6" t="str">
        <f>VLOOKUP(LISTADO_PRODUCTOS_LISTBOX[Código],LISTADO_PRODUCTOS[#All],3)</f>
        <v>REGALERIA</v>
      </c>
      <c r="C735" s="6" t="str">
        <f>VLOOKUP(LISTADO_PRODUCTOS_LISTBOX[Código],LISTADO_PRODUCTOS[#All],4)</f>
        <v>Taza de Genko chica</v>
      </c>
      <c r="D735" s="6" t="str">
        <f>VLOOKUP(LISTADO_PRODUCTOS_LISTBOX[Código],LISTADO_PRODUCTOS[#All],5)</f>
        <v>N/A</v>
      </c>
    </row>
    <row r="736" spans="1:4" x14ac:dyDescent="0.3">
      <c r="A736" s="4">
        <v>7078</v>
      </c>
      <c r="B736" s="6" t="str">
        <f>VLOOKUP(LISTADO_PRODUCTOS_LISTBOX[Código],LISTADO_PRODUCTOS[#All],3)</f>
        <v>REGALERIA</v>
      </c>
      <c r="C736" s="6" t="str">
        <f>VLOOKUP(LISTADO_PRODUCTOS_LISTBOX[Código],LISTADO_PRODUCTOS[#All],4)</f>
        <v>Boligrafo Vaquita Vaca Wero</v>
      </c>
      <c r="D736" s="6" t="str">
        <f>VLOOKUP(LISTADO_PRODUCTOS_LISTBOX[Código],LISTADO_PRODUCTOS[#All],5)</f>
        <v>N/A</v>
      </c>
    </row>
    <row r="737" spans="1:4" x14ac:dyDescent="0.3">
      <c r="A737" s="4">
        <v>7080</v>
      </c>
      <c r="B737" s="6" t="str">
        <f>VLOOKUP(LISTADO_PRODUCTOS_LISTBOX[Código],LISTADO_PRODUCTOS[#All],3)</f>
        <v>REGALERIA</v>
      </c>
      <c r="C737" s="6" t="str">
        <f>VLOOKUP(LISTADO_PRODUCTOS_LISTBOX[Código],LISTADO_PRODUCTOS[#All],4)</f>
        <v>MAPED Creativ PAT DOUGH Masas c/ extrusor</v>
      </c>
      <c r="D737" s="6" t="str">
        <f>VLOOKUP(LISTADO_PRODUCTOS_LISTBOX[Código],LISTADO_PRODUCTOS[#All],5)</f>
        <v>N/A</v>
      </c>
    </row>
    <row r="738" spans="1:4" x14ac:dyDescent="0.3">
      <c r="A738" s="4">
        <v>7081</v>
      </c>
      <c r="B738" s="6" t="str">
        <f>VLOOKUP(LISTADO_PRODUCTOS_LISTBOX[Código],LISTADO_PRODUCTOS[#All],3)</f>
        <v>REGALERIA</v>
      </c>
      <c r="C738" s="6" t="str">
        <f>VLOOKUP(LISTADO_PRODUCTOS_LISTBOX[Código],LISTADO_PRODUCTOS[#All],4)</f>
        <v>Maped Creativ 50 Pieces Kit para colorear</v>
      </c>
      <c r="D738" s="6" t="str">
        <f>VLOOKUP(LISTADO_PRODUCTOS_LISTBOX[Código],LISTADO_PRODUCTOS[#All],5)</f>
        <v>N/A</v>
      </c>
    </row>
    <row r="739" spans="1:4" x14ac:dyDescent="0.3">
      <c r="A739" s="4">
        <v>7082</v>
      </c>
      <c r="B739" s="6" t="str">
        <f>VLOOKUP(LISTADO_PRODUCTOS_LISTBOX[Código],LISTADO_PRODUCTOS[#All],3)</f>
        <v>REGALERIA</v>
      </c>
      <c r="C739" s="6" t="str">
        <f>VLOOKUP(LISTADO_PRODUCTOS_LISTBOX[Código],LISTADO_PRODUCTOS[#All],4)</f>
        <v>Maped Creativ VELVET MOSAICS</v>
      </c>
      <c r="D739" s="6" t="str">
        <f>VLOOKUP(LISTADO_PRODUCTOS_LISTBOX[Código],LISTADO_PRODUCTOS[#All],5)</f>
        <v>N/A</v>
      </c>
    </row>
    <row r="740" spans="1:4" x14ac:dyDescent="0.3">
      <c r="A740" s="4">
        <v>7094</v>
      </c>
      <c r="B740" s="6" t="str">
        <f>VLOOKUP(LISTADO_PRODUCTOS_LISTBOX[Código],LISTADO_PRODUCTOS[#All],3)</f>
        <v>REGALERIA</v>
      </c>
      <c r="C740" s="6" t="str">
        <f>VLOOKUP(LISTADO_PRODUCTOS_LISTBOX[Código],LISTADO_PRODUCTOS[#All],4)</f>
        <v>Plasticlips crea sin limites 40 piezas</v>
      </c>
      <c r="D740" s="6" t="str">
        <f>VLOOKUP(LISTADO_PRODUCTOS_LISTBOX[Código],LISTADO_PRODUCTOS[#All],5)</f>
        <v>N/A</v>
      </c>
    </row>
    <row r="741" spans="1:4" x14ac:dyDescent="0.3">
      <c r="A741" s="4">
        <v>7100</v>
      </c>
      <c r="B741" s="6" t="str">
        <f>VLOOKUP(LISTADO_PRODUCTOS_LISTBOX[Código],LISTADO_PRODUCTOS[#All],3)</f>
        <v>REGALERIA</v>
      </c>
      <c r="C741" s="6" t="str">
        <f>VLOOKUP(LISTADO_PRODUCTOS_LISTBOX[Código],LISTADO_PRODUCTOS[#All],4)</f>
        <v>Cartelito de puerta infantil colours</v>
      </c>
      <c r="D741" s="6" t="str">
        <f>VLOOKUP(LISTADO_PRODUCTOS_LISTBOX[Código],LISTADO_PRODUCTOS[#All],5)</f>
        <v>N/A</v>
      </c>
    </row>
    <row r="742" spans="1:4" x14ac:dyDescent="0.3">
      <c r="A742" s="4">
        <v>7103</v>
      </c>
      <c r="B742" s="6" t="str">
        <f>VLOOKUP(LISTADO_PRODUCTOS_LISTBOX[Código],LISTADO_PRODUCTOS[#All],3)</f>
        <v>REGALERIA</v>
      </c>
      <c r="C742" s="6" t="str">
        <f>VLOOKUP(LISTADO_PRODUCTOS_LISTBOX[Código],LISTADO_PRODUCTOS[#All],4)</f>
        <v>Porta lapices para Cuadernos / Agendas Para 1 Lapicera FW Metal</v>
      </c>
      <c r="D742" s="6" t="str">
        <f>VLOOKUP(LISTADO_PRODUCTOS_LISTBOX[Código],LISTADO_PRODUCTOS[#All],5)</f>
        <v>N/A</v>
      </c>
    </row>
    <row r="743" spans="1:4" x14ac:dyDescent="0.3">
      <c r="A743" s="4">
        <v>9000</v>
      </c>
      <c r="B743" s="6" t="str">
        <f>VLOOKUP(LISTADO_PRODUCTOS_LISTBOX[Código],LISTADO_PRODUCTOS[#All],3)</f>
        <v>JUGUETERIA</v>
      </c>
      <c r="C743" s="6" t="str">
        <f>VLOOKUP(LISTADO_PRODUCTOS_LISTBOX[Código],LISTADO_PRODUCTOS[#All],4)</f>
        <v>Masas con cortante Dido</v>
      </c>
      <c r="D743" s="6" t="str">
        <f>VLOOKUP(LISTADO_PRODUCTOS_LISTBOX[Código],LISTADO_PRODUCTOS[#All],5)</f>
        <v>N/A</v>
      </c>
    </row>
    <row r="744" spans="1:4" x14ac:dyDescent="0.3">
      <c r="A744" s="4">
        <v>9001</v>
      </c>
      <c r="B744" s="6" t="str">
        <f>VLOOKUP(LISTADO_PRODUCTOS_LISTBOX[Código],LISTADO_PRODUCTOS[#All],3)</f>
        <v>JUGUETERIA</v>
      </c>
      <c r="C744" s="6" t="str">
        <f>VLOOKUP(LISTADO_PRODUCTOS_LISTBOX[Código],LISTADO_PRODUCTOS[#All],4)</f>
        <v>Masas Maped Creativ Pote x 114gr</v>
      </c>
      <c r="D744" s="6" t="str">
        <f>VLOOKUP(LISTADO_PRODUCTOS_LISTBOX[Código],LISTADO_PRODUCTOS[#All],5)</f>
        <v>N/A</v>
      </c>
    </row>
    <row r="745" spans="1:4" x14ac:dyDescent="0.3">
      <c r="A745" s="4">
        <v>9006</v>
      </c>
      <c r="B745" s="6" t="str">
        <f>VLOOKUP(LISTADO_PRODUCTOS_LISTBOX[Código],LISTADO_PRODUCTOS[#All],3)</f>
        <v>JUGUETERIA</v>
      </c>
      <c r="C745" s="6" t="str">
        <f>VLOOKUP(LISTADO_PRODUCTOS_LISTBOX[Código],LISTADO_PRODUCTOS[#All],4)</f>
        <v>Cerebronia conexión mental</v>
      </c>
      <c r="D745" s="6" t="str">
        <f>VLOOKUP(LISTADO_PRODUCTOS_LISTBOX[Código],LISTADO_PRODUCTOS[#All],5)</f>
        <v>N/A</v>
      </c>
    </row>
    <row r="746" spans="1:4" x14ac:dyDescent="0.3">
      <c r="A746" s="4">
        <v>9010</v>
      </c>
      <c r="B746" s="6" t="str">
        <f>VLOOKUP(LISTADO_PRODUCTOS_LISTBOX[Código],LISTADO_PRODUCTOS[#All],3)</f>
        <v>JUGUETERIA</v>
      </c>
      <c r="C746" s="6" t="str">
        <f>VLOOKUP(LISTADO_PRODUCTOS_LISTBOX[Código],LISTADO_PRODUCTOS[#All],4)</f>
        <v>Cartas Naipes Truco Habana Plastificadas x 40c</v>
      </c>
      <c r="D746" s="6" t="str">
        <f>VLOOKUP(LISTADO_PRODUCTOS_LISTBOX[Código],LISTADO_PRODUCTOS[#All],5)</f>
        <v>N/A</v>
      </c>
    </row>
    <row r="747" spans="1:4" x14ac:dyDescent="0.3">
      <c r="A747" s="4">
        <v>9012</v>
      </c>
      <c r="B747" s="6" t="str">
        <f>VLOOKUP(LISTADO_PRODUCTOS_LISTBOX[Código],LISTADO_PRODUCTOS[#All],3)</f>
        <v>JUGUETERIA</v>
      </c>
      <c r="C747" s="6" t="str">
        <f>VLOOKUP(LISTADO_PRODUCTOS_LISTBOX[Código],LISTADO_PRODUCTOS[#All],4)</f>
        <v>Agenda FW Inspire Diaria Batik</v>
      </c>
      <c r="D747" s="6" t="str">
        <f>VLOOKUP(LISTADO_PRODUCTOS_LISTBOX[Código],LISTADO_PRODUCTOS[#All],5)</f>
        <v>N/A</v>
      </c>
    </row>
    <row r="748" spans="1:4" x14ac:dyDescent="0.3">
      <c r="A748" s="4">
        <v>9014</v>
      </c>
      <c r="B748" s="6" t="str">
        <f>VLOOKUP(LISTADO_PRODUCTOS_LISTBOX[Código],LISTADO_PRODUCTOS[#All],3)</f>
        <v>JUGUETERIA</v>
      </c>
      <c r="C748" s="6" t="str">
        <f>VLOOKUP(LISTADO_PRODUCTOS_LISTBOX[Código],LISTADO_PRODUCTOS[#All],4)</f>
        <v>Set regadera con pala y rastrillo chico</v>
      </c>
      <c r="D748" s="6" t="str">
        <f>VLOOKUP(LISTADO_PRODUCTOS_LISTBOX[Código],LISTADO_PRODUCTOS[#All],5)</f>
        <v>N/A</v>
      </c>
    </row>
    <row r="749" spans="1:4" x14ac:dyDescent="0.3">
      <c r="A749" s="4">
        <v>9023</v>
      </c>
      <c r="B749" s="6" t="str">
        <f>VLOOKUP(LISTADO_PRODUCTOS_LISTBOX[Código],LISTADO_PRODUCTOS[#All],3)</f>
        <v>JUGUETERIA</v>
      </c>
      <c r="C749" s="6" t="str">
        <f>VLOOKUP(LISTADO_PRODUCTOS_LISTBOX[Código],LISTADO_PRODUCTOS[#All],4)</f>
        <v>Set DURAVIT PALITA RASTRILLO Y MOLDES</v>
      </c>
      <c r="D749" s="6" t="str">
        <f>VLOOKUP(LISTADO_PRODUCTOS_LISTBOX[Código],LISTADO_PRODUCTOS[#All],5)</f>
        <v>N/A</v>
      </c>
    </row>
    <row r="750" spans="1:4" x14ac:dyDescent="0.3">
      <c r="A750" s="4">
        <v>9028</v>
      </c>
      <c r="B750" s="6" t="str">
        <f>VLOOKUP(LISTADO_PRODUCTOS_LISTBOX[Código],LISTADO_PRODUCTOS[#All],3)</f>
        <v>JUGUETERIA</v>
      </c>
      <c r="C750" s="6" t="str">
        <f>VLOOKUP(LISTADO_PRODUCTOS_LISTBOX[Código],LISTADO_PRODUCTOS[#All],4)</f>
        <v>Juego de mesa LA GRANJA MILLONARIA 3200 RUIBAL</v>
      </c>
      <c r="D750" s="6" t="str">
        <f>VLOOKUP(LISTADO_PRODUCTOS_LISTBOX[Código],LISTADO_PRODUCTOS[#All],5)</f>
        <v>N/A</v>
      </c>
    </row>
    <row r="751" spans="1:4" x14ac:dyDescent="0.3">
      <c r="A751" s="4">
        <v>9040</v>
      </c>
      <c r="B751" s="6" t="str">
        <f>VLOOKUP(LISTADO_PRODUCTOS_LISTBOX[Código],LISTADO_PRODUCTOS[#All],3)</f>
        <v>JUGUETERIA</v>
      </c>
      <c r="C751" s="6" t="str">
        <f>VLOOKUP(LISTADO_PRODUCTOS_LISTBOX[Código],LISTADO_PRODUCTOS[#All],4)</f>
        <v>Juego de mesa Conquista del Mundo</v>
      </c>
      <c r="D751" s="6" t="str">
        <f>VLOOKUP(LISTADO_PRODUCTOS_LISTBOX[Código],LISTADO_PRODUCTOS[#All],5)</f>
        <v>N/A</v>
      </c>
    </row>
    <row r="752" spans="1:4" x14ac:dyDescent="0.3">
      <c r="A752" s="4">
        <v>9078</v>
      </c>
      <c r="B752" s="6" t="str">
        <f>VLOOKUP(LISTADO_PRODUCTOS_LISTBOX[Código],LISTADO_PRODUCTOS[#All],3)</f>
        <v>JUGUETERIA</v>
      </c>
      <c r="C752" s="6" t="str">
        <f>VLOOKUP(LISTADO_PRODUCTOS_LISTBOX[Código],LISTADO_PRODUCTOS[#All],4)</f>
        <v>Set balde con rastrillo y pala mediano Luni/Duravit</v>
      </c>
      <c r="D752" s="6" t="str">
        <f>VLOOKUP(LISTADO_PRODUCTOS_LISTBOX[Código],LISTADO_PRODUCTOS[#All],5)</f>
        <v>N/A</v>
      </c>
    </row>
    <row r="753" spans="1:4" x14ac:dyDescent="0.3">
      <c r="A753" s="4">
        <v>9100</v>
      </c>
      <c r="B753" s="6" t="str">
        <f>VLOOKUP(LISTADO_PRODUCTOS_LISTBOX[Código],LISTADO_PRODUCTOS[#All],3)</f>
        <v>JUGUETERIA</v>
      </c>
      <c r="C753" s="6" t="str">
        <f>VLOOKUP(LISTADO_PRODUCTOS_LISTBOX[Código],LISTADO_PRODUCTOS[#All],4)</f>
        <v>Rompecabezas c/iman grande PIPI KUKU</v>
      </c>
      <c r="D753" s="6" t="str">
        <f>VLOOKUP(LISTADO_PRODUCTOS_LISTBOX[Código],LISTADO_PRODUCTOS[#All],5)</f>
        <v>N/A</v>
      </c>
    </row>
    <row r="754" spans="1:4" x14ac:dyDescent="0.3">
      <c r="A754" s="4">
        <v>9101</v>
      </c>
      <c r="B754" s="6" t="str">
        <f>VLOOKUP(LISTADO_PRODUCTOS_LISTBOX[Código],LISTADO_PRODUCTOS[#All],3)</f>
        <v>JUGUETERIA</v>
      </c>
      <c r="C754" s="6" t="str">
        <f>VLOOKUP(LISTADO_PRODUCTOS_LISTBOX[Código],LISTADO_PRODUCTOS[#All],4)</f>
        <v>Rompecabezas inicial de PIPIKUKU madera c/iman 4 piezas</v>
      </c>
      <c r="D754" s="6" t="str">
        <f>VLOOKUP(LISTADO_PRODUCTOS_LISTBOX[Código],LISTADO_PRODUCTOS[#All],5)</f>
        <v>N/A</v>
      </c>
    </row>
    <row r="755" spans="1:4" x14ac:dyDescent="0.3">
      <c r="A755" s="4">
        <v>9102</v>
      </c>
      <c r="B755" s="6" t="str">
        <f>VLOOKUP(LISTADO_PRODUCTOS_LISTBOX[Código],LISTADO_PRODUCTOS[#All],3)</f>
        <v>JUGUETERIA</v>
      </c>
      <c r="C755" s="6" t="str">
        <f>VLOOKUP(LISTADO_PRODUCTOS_LISTBOX[Código],LISTADO_PRODUCTOS[#All],4)</f>
        <v>Rompecabezas de en plancha de encastre PIPIU KUKU 36 piezas madera</v>
      </c>
      <c r="D755" s="6" t="str">
        <f>VLOOKUP(LISTADO_PRODUCTOS_LISTBOX[Código],LISTADO_PRODUCTOS[#All],5)</f>
        <v>N/A</v>
      </c>
    </row>
    <row r="756" spans="1:4" x14ac:dyDescent="0.3">
      <c r="A756" s="4">
        <v>9103</v>
      </c>
      <c r="B756" s="6" t="str">
        <f>VLOOKUP(LISTADO_PRODUCTOS_LISTBOX[Código],LISTADO_PRODUCTOS[#All],3)</f>
        <v>JUGUETERIA</v>
      </c>
      <c r="C756" s="6" t="str">
        <f>VLOOKUP(LISTADO_PRODUCTOS_LISTBOX[Código],LISTADO_PRODUCTOS[#All],4)</f>
        <v xml:space="preserve">Arrastre madera </v>
      </c>
      <c r="D756" s="6" t="str">
        <f>VLOOKUP(LISTADO_PRODUCTOS_LISTBOX[Código],LISTADO_PRODUCTOS[#All],5)</f>
        <v>N/A</v>
      </c>
    </row>
    <row r="757" spans="1:4" x14ac:dyDescent="0.3">
      <c r="A757" s="4">
        <v>9104</v>
      </c>
      <c r="B757" s="6" t="str">
        <f>VLOOKUP(LISTADO_PRODUCTOS_LISTBOX[Código],LISTADO_PRODUCTOS[#All],3)</f>
        <v>JUGUETERIA</v>
      </c>
      <c r="C757" s="6" t="str">
        <f>VLOOKUP(LISTADO_PRODUCTOS_LISTBOX[Código],LISTADO_PRODUCTOS[#All],4)</f>
        <v>Memo test madera PIPI KUKU</v>
      </c>
      <c r="D757" s="6" t="str">
        <f>VLOOKUP(LISTADO_PRODUCTOS_LISTBOX[Código],LISTADO_PRODUCTOS[#All],5)</f>
        <v>N/A</v>
      </c>
    </row>
    <row r="758" spans="1:4" x14ac:dyDescent="0.3">
      <c r="A758" s="4">
        <v>9105</v>
      </c>
      <c r="B758" s="6" t="str">
        <f>VLOOKUP(LISTADO_PRODUCTOS_LISTBOX[Código],LISTADO_PRODUCTOS[#All],3)</f>
        <v>JUGUETERIA</v>
      </c>
      <c r="C758" s="6" t="str">
        <f>VLOOKUP(LISTADO_PRODUCTOS_LISTBOX[Código],LISTADO_PRODUCTOS[#All],4)</f>
        <v>Piezas de madera Aprendiendo PIPI KUKU 48 piezas</v>
      </c>
      <c r="D758" s="6" t="str">
        <f>VLOOKUP(LISTADO_PRODUCTOS_LISTBOX[Código],LISTADO_PRODUCTOS[#All],5)</f>
        <v>N/A</v>
      </c>
    </row>
    <row r="759" spans="1:4" x14ac:dyDescent="0.3">
      <c r="A759" s="4">
        <v>9113</v>
      </c>
      <c r="B759" s="6" t="str">
        <f>VLOOKUP(LISTADO_PRODUCTOS_LISTBOX[Código],LISTADO_PRODUCTOS[#All],3)</f>
        <v>JUGUETERIA</v>
      </c>
      <c r="C759" s="6" t="str">
        <f>VLOOKUP(LISTADO_PRODUCTOS_LISTBOX[Código],LISTADO_PRODUCTOS[#All],4)</f>
        <v>Juego de cartas CONQUISTA DEL MUNDO</v>
      </c>
      <c r="D759" s="6" t="str">
        <f>VLOOKUP(LISTADO_PRODUCTOS_LISTBOX[Código],LISTADO_PRODUCTOS[#All],5)</f>
        <v>N/A</v>
      </c>
    </row>
    <row r="760" spans="1:4" x14ac:dyDescent="0.3">
      <c r="A760" s="4">
        <v>9114</v>
      </c>
      <c r="B760" s="6" t="str">
        <f>VLOOKUP(LISTADO_PRODUCTOS_LISTBOX[Código],LISTADO_PRODUCTOS[#All],3)</f>
        <v>JUGUETERIA</v>
      </c>
      <c r="C760" s="6" t="str">
        <f>VLOOKUP(LISTADO_PRODUCTOS_LISTBOX[Código],LISTADO_PRODUCTOS[#All],4)</f>
        <v>Juego de bolsillo LA CASA DE LOS FANTASMAS 506</v>
      </c>
      <c r="D760" s="6" t="str">
        <f>VLOOKUP(LISTADO_PRODUCTOS_LISTBOX[Código],LISTADO_PRODUCTOS[#All],5)</f>
        <v>N/A</v>
      </c>
    </row>
    <row r="761" spans="1:4" x14ac:dyDescent="0.3">
      <c r="A761" s="4">
        <v>9120</v>
      </c>
      <c r="B761" s="6" t="str">
        <f>VLOOKUP(LISTADO_PRODUCTOS_LISTBOX[Código],LISTADO_PRODUCTOS[#All],3)</f>
        <v>JUGUETERIA</v>
      </c>
      <c r="C761" s="6" t="str">
        <f>VLOOKUP(LISTADO_PRODUCTOS_LISTBOX[Código],LISTADO_PRODUCTOS[#All],4)</f>
        <v>Duravit</v>
      </c>
      <c r="D761" s="6" t="str">
        <f>VLOOKUP(LISTADO_PRODUCTOS_LISTBOX[Código],LISTADO_PRODUCTOS[#All],5)</f>
        <v>N/A</v>
      </c>
    </row>
    <row r="762" spans="1:4" x14ac:dyDescent="0.3">
      <c r="A762" s="4">
        <v>9246</v>
      </c>
      <c r="B762" s="6" t="str">
        <f>VLOOKUP(LISTADO_PRODUCTOS_LISTBOX[Código],LISTADO_PRODUCTOS[#All],3)</f>
        <v>JUGUETERIA</v>
      </c>
      <c r="C762" s="6" t="str">
        <f>VLOOKUP(LISTADO_PRODUCTOS_LISTBOX[Código],LISTADO_PRODUCTOS[#All],4)</f>
        <v>Porta mfoto PIPI KUKU</v>
      </c>
      <c r="D762" s="6" t="str">
        <f>VLOOKUP(LISTADO_PRODUCTOS_LISTBOX[Código],LISTADO_PRODUCTOS[#All],5)</f>
        <v>N/A</v>
      </c>
    </row>
    <row r="763" spans="1:4" x14ac:dyDescent="0.3">
      <c r="A763" s="4">
        <v>9298</v>
      </c>
      <c r="B763" s="6" t="str">
        <f>VLOOKUP(LISTADO_PRODUCTOS_LISTBOX[Código],LISTADO_PRODUCTOS[#All],3)</f>
        <v>JUGUETERIA</v>
      </c>
      <c r="C763" s="6" t="str">
        <f>VLOOKUP(LISTADO_PRODUCTOS_LISTBOX[Código],LISTADO_PRODUCTOS[#All],4)</f>
        <v>Trencito Feliz JNG Childy plast Art. 012193</v>
      </c>
      <c r="D763" s="6" t="str">
        <f>VLOOKUP(LISTADO_PRODUCTOS_LISTBOX[Código],LISTADO_PRODUCTOS[#All],5)</f>
        <v>N/A</v>
      </c>
    </row>
    <row r="764" spans="1:4" x14ac:dyDescent="0.3">
      <c r="A764" s="4">
        <v>9303</v>
      </c>
      <c r="B764" s="6" t="str">
        <f>VLOOKUP(LISTADO_PRODUCTOS_LISTBOX[Código],LISTADO_PRODUCTOS[#All],3)</f>
        <v>JUGUETERIA</v>
      </c>
      <c r="C764" s="6" t="str">
        <f>VLOOKUP(LISTADO_PRODUCTOS_LISTBOX[Código],LISTADO_PRODUCTOS[#All],4)</f>
        <v>Masa perfumada en Pote Expresa Emocion</v>
      </c>
      <c r="D764" s="6" t="str">
        <f>VLOOKUP(LISTADO_PRODUCTOS_LISTBOX[Código],LISTADO_PRODUCTOS[#All],5)</f>
        <v>N/A</v>
      </c>
    </row>
    <row r="765" spans="1:4" x14ac:dyDescent="0.3">
      <c r="A765" s="4">
        <v>9322</v>
      </c>
      <c r="B765" s="6" t="str">
        <f>VLOOKUP(LISTADO_PRODUCTOS_LISTBOX[Código],LISTADO_PRODUCTOS[#All],3)</f>
        <v>JUGUETERIA</v>
      </c>
      <c r="C765" s="6" t="str">
        <f>VLOOKUP(LISTADO_PRODUCTOS_LISTBOX[Código],LISTADO_PRODUCTOS[#All],4)</f>
        <v>Bitacora La cuadra/animalitos imantados</v>
      </c>
      <c r="D765" s="6" t="str">
        <f>VLOOKUP(LISTADO_PRODUCTOS_LISTBOX[Código],LISTADO_PRODUCTOS[#All],5)</f>
        <v>N/A</v>
      </c>
    </row>
    <row r="766" spans="1:4" x14ac:dyDescent="0.3">
      <c r="A766" s="4">
        <v>9331</v>
      </c>
      <c r="B766" s="6" t="str">
        <f>VLOOKUP(LISTADO_PRODUCTOS_LISTBOX[Código],LISTADO_PRODUCTOS[#All],3)</f>
        <v>JUGUETERIA</v>
      </c>
      <c r="C766" s="6" t="str">
        <f>VLOOKUP(LISTADO_PRODUCTOS_LISTBOX[Código],LISTADO_PRODUCTOS[#All],4)</f>
        <v>Veo veo El Espacio - 50 personajes del espacio para buscarlos por el tablero</v>
      </c>
      <c r="D766" s="6" t="str">
        <f>VLOOKUP(LISTADO_PRODUCTOS_LISTBOX[Código],LISTADO_PRODUCTOS[#All],5)</f>
        <v>N/A</v>
      </c>
    </row>
    <row r="767" spans="1:4" x14ac:dyDescent="0.3">
      <c r="A767" s="4">
        <v>9353</v>
      </c>
      <c r="B767" s="6" t="str">
        <f>VLOOKUP(LISTADO_PRODUCTOS_LISTBOX[Código],LISTADO_PRODUCTOS[#All],3)</f>
        <v>JUGUETERIA</v>
      </c>
      <c r="C767" s="6" t="str">
        <f>VLOOKUP(LISTADO_PRODUCTOS_LISTBOX[Código],LISTADO_PRODUCTOS[#All],4)</f>
        <v>Caja sorpresa x bolsa</v>
      </c>
      <c r="D767" s="6" t="str">
        <f>VLOOKUP(LISTADO_PRODUCTOS_LISTBOX[Código],LISTADO_PRODUCTOS[#All],5)</f>
        <v>N/A</v>
      </c>
    </row>
    <row r="768" spans="1:4" x14ac:dyDescent="0.3">
      <c r="A768" s="4">
        <v>9358</v>
      </c>
      <c r="B768" s="6" t="str">
        <f>VLOOKUP(LISTADO_PRODUCTOS_LISTBOX[Código],LISTADO_PRODUCTOS[#All],3)</f>
        <v>JUGUETERIA</v>
      </c>
      <c r="C768" s="6" t="str">
        <f>VLOOKUP(LISTADO_PRODUCTOS_LISTBOX[Código],LISTADO_PRODUCTOS[#All],4)</f>
        <v>Pistola de agua Lyon Toys modelo 912-2</v>
      </c>
      <c r="D768" s="6" t="str">
        <f>VLOOKUP(LISTADO_PRODUCTOS_LISTBOX[Código],LISTADO_PRODUCTOS[#All],5)</f>
        <v>N/A</v>
      </c>
    </row>
    <row r="769" spans="1:4" x14ac:dyDescent="0.3">
      <c r="A769" s="4">
        <v>9359</v>
      </c>
      <c r="B769" s="6" t="str">
        <f>VLOOKUP(LISTADO_PRODUCTOS_LISTBOX[Código],LISTADO_PRODUCTOS[#All],3)</f>
        <v xml:space="preserve">OFICINA </v>
      </c>
      <c r="C769" s="6">
        <f>VLOOKUP(LISTADO_PRODUCTOS_LISTBOX[Código],LISTADO_PRODUCTOS[#All],4)</f>
        <v>0</v>
      </c>
      <c r="D769" s="6">
        <f>VLOOKUP(LISTADO_PRODUCTOS_LISTBOX[Código],LISTADO_PRODUCTOS[#All],5)</f>
        <v>0</v>
      </c>
    </row>
    <row r="770" spans="1:4" x14ac:dyDescent="0.3">
      <c r="A770" s="4"/>
      <c r="B770" s="4"/>
      <c r="C770" s="4"/>
      <c r="D770" s="4"/>
    </row>
    <row r="771" spans="1:4" x14ac:dyDescent="0.3">
      <c r="A771" s="5"/>
      <c r="B771" s="5"/>
      <c r="C771" s="4"/>
      <c r="D771" s="4"/>
    </row>
    <row r="772" spans="1:4" x14ac:dyDescent="0.3">
      <c r="A772" s="5"/>
      <c r="B772" s="5"/>
      <c r="C772" s="4"/>
      <c r="D772" s="4"/>
    </row>
    <row r="773" spans="1:4" x14ac:dyDescent="0.3">
      <c r="A773" s="5"/>
      <c r="B773" s="5"/>
      <c r="C773" s="4"/>
      <c r="D773" s="4"/>
    </row>
    <row r="774" spans="1:4" x14ac:dyDescent="0.3">
      <c r="A774" s="5"/>
      <c r="B774" s="5"/>
      <c r="C774" s="4"/>
      <c r="D774" s="4"/>
    </row>
    <row r="775" spans="1:4" x14ac:dyDescent="0.3">
      <c r="A775" s="5"/>
      <c r="B775" s="5"/>
      <c r="C775" s="4"/>
      <c r="D775" s="4"/>
    </row>
    <row r="776" spans="1:4" x14ac:dyDescent="0.3">
      <c r="A776" s="5"/>
      <c r="B776" s="5"/>
      <c r="C776" s="4"/>
      <c r="D776" s="4"/>
    </row>
    <row r="777" spans="1:4" x14ac:dyDescent="0.3">
      <c r="A777" s="5"/>
      <c r="B777" s="5"/>
      <c r="C777" s="4"/>
      <c r="D777" s="4"/>
    </row>
    <row r="778" spans="1:4" x14ac:dyDescent="0.3">
      <c r="A778" s="5"/>
      <c r="B778" s="5"/>
      <c r="C778" s="4"/>
      <c r="D778" s="4"/>
    </row>
    <row r="779" spans="1:4" x14ac:dyDescent="0.3">
      <c r="A779" s="5"/>
      <c r="B779" s="5"/>
      <c r="C779" s="4"/>
      <c r="D779" s="4"/>
    </row>
    <row r="780" spans="1:4" x14ac:dyDescent="0.3">
      <c r="A780" s="5"/>
      <c r="B780" s="5"/>
      <c r="C780" s="4"/>
      <c r="D780" s="4"/>
    </row>
    <row r="781" spans="1:4" x14ac:dyDescent="0.3">
      <c r="A781" s="5"/>
      <c r="B781" s="5"/>
      <c r="C781" s="5"/>
      <c r="D781" s="4"/>
    </row>
    <row r="782" spans="1:4" x14ac:dyDescent="0.3">
      <c r="A782" s="5"/>
      <c r="B782" s="5"/>
      <c r="C782" s="5"/>
      <c r="D782" s="4"/>
    </row>
    <row r="783" spans="1:4" x14ac:dyDescent="0.3">
      <c r="A783" s="5"/>
      <c r="B783" s="5"/>
      <c r="C783" s="5"/>
      <c r="D783" s="4"/>
    </row>
    <row r="784" spans="1:4" x14ac:dyDescent="0.3">
      <c r="A784" s="5"/>
      <c r="B784" s="5"/>
      <c r="C784" s="4"/>
      <c r="D784" s="4"/>
    </row>
    <row r="785" spans="1:4" x14ac:dyDescent="0.3">
      <c r="A785" s="5"/>
      <c r="B785" s="5"/>
      <c r="C785" s="4"/>
      <c r="D785" s="4"/>
    </row>
    <row r="786" spans="1:4" x14ac:dyDescent="0.3">
      <c r="A786" s="5"/>
      <c r="B786" s="5"/>
      <c r="C786" s="4"/>
      <c r="D786" s="4"/>
    </row>
    <row r="787" spans="1:4" x14ac:dyDescent="0.3">
      <c r="A787" s="5"/>
      <c r="B787" s="5"/>
      <c r="C787" s="4"/>
      <c r="D787" s="4"/>
    </row>
    <row r="788" spans="1:4" x14ac:dyDescent="0.3">
      <c r="A788" s="5"/>
      <c r="B788" s="5"/>
      <c r="C788" s="4"/>
      <c r="D788" s="4"/>
    </row>
    <row r="789" spans="1:4" x14ac:dyDescent="0.3">
      <c r="A789" s="5"/>
      <c r="B789" s="5"/>
      <c r="C789" s="4"/>
      <c r="D789" s="4"/>
    </row>
    <row r="790" spans="1:4" x14ac:dyDescent="0.3">
      <c r="A790" s="5"/>
      <c r="B790" s="5"/>
      <c r="C790" s="4"/>
      <c r="D790" s="4"/>
    </row>
    <row r="791" spans="1:4" x14ac:dyDescent="0.3">
      <c r="A791" s="5"/>
      <c r="B791" s="5"/>
      <c r="C791" s="4"/>
      <c r="D791" s="4"/>
    </row>
    <row r="792" spans="1:4" x14ac:dyDescent="0.3">
      <c r="A792" s="5"/>
      <c r="B792" s="5"/>
      <c r="C792" s="4"/>
      <c r="D792" s="4"/>
    </row>
    <row r="793" spans="1:4" x14ac:dyDescent="0.3">
      <c r="A793" s="4"/>
      <c r="B793" s="4"/>
      <c r="C793" s="4"/>
      <c r="D793" s="4"/>
    </row>
    <row r="794" spans="1:4" x14ac:dyDescent="0.3">
      <c r="A794" s="4"/>
      <c r="B794" s="4"/>
      <c r="C794" s="4"/>
      <c r="D794" s="4"/>
    </row>
    <row r="795" spans="1:4" x14ac:dyDescent="0.3">
      <c r="A795" s="4"/>
      <c r="B795" s="4"/>
      <c r="C795" s="4"/>
      <c r="D795" s="4"/>
    </row>
    <row r="796" spans="1:4" x14ac:dyDescent="0.3">
      <c r="A796" s="4"/>
      <c r="B796" s="4"/>
      <c r="C796" s="4"/>
      <c r="D796" s="4"/>
    </row>
    <row r="797" spans="1:4" x14ac:dyDescent="0.3">
      <c r="A797" s="4"/>
      <c r="B797" s="4"/>
      <c r="C797" s="4"/>
      <c r="D797" s="4"/>
    </row>
    <row r="798" spans="1:4" x14ac:dyDescent="0.3">
      <c r="A798" s="4"/>
      <c r="B798" s="4"/>
      <c r="C798" s="4"/>
      <c r="D798" s="4"/>
    </row>
    <row r="799" spans="1:4" x14ac:dyDescent="0.3">
      <c r="A799" s="4"/>
      <c r="B799" s="4"/>
      <c r="C799" s="4"/>
      <c r="D799" s="4"/>
    </row>
    <row r="800" spans="1:4" x14ac:dyDescent="0.3">
      <c r="A800" s="4"/>
      <c r="B800" s="4"/>
      <c r="C800" s="4"/>
      <c r="D800" s="4"/>
    </row>
    <row r="801" spans="1:4" x14ac:dyDescent="0.3">
      <c r="A801" s="4"/>
      <c r="B801" s="4"/>
      <c r="C801" s="4"/>
      <c r="D801" s="4"/>
    </row>
    <row r="802" spans="1:4" x14ac:dyDescent="0.3">
      <c r="A802" s="4"/>
      <c r="B802" s="4"/>
      <c r="C802" s="4"/>
      <c r="D802" s="4"/>
    </row>
    <row r="803" spans="1:4" x14ac:dyDescent="0.3">
      <c r="A803" s="4"/>
      <c r="B803" s="4"/>
      <c r="C803" s="4"/>
      <c r="D803" s="4"/>
    </row>
    <row r="804" spans="1:4" x14ac:dyDescent="0.3">
      <c r="A804" s="4"/>
      <c r="B804" s="4"/>
      <c r="C804" s="4"/>
      <c r="D804" s="4"/>
    </row>
    <row r="805" spans="1:4" x14ac:dyDescent="0.3">
      <c r="A805" s="4"/>
      <c r="B805" s="4"/>
      <c r="C805" s="4"/>
      <c r="D805" s="4"/>
    </row>
    <row r="806" spans="1:4" x14ac:dyDescent="0.3">
      <c r="A806" s="4"/>
      <c r="B806" s="4"/>
      <c r="C806" s="4"/>
      <c r="D806" s="4"/>
    </row>
    <row r="807" spans="1:4" x14ac:dyDescent="0.3">
      <c r="A807" s="4"/>
      <c r="B807" s="4"/>
      <c r="C807" s="4"/>
      <c r="D807" s="4"/>
    </row>
    <row r="808" spans="1:4" x14ac:dyDescent="0.3">
      <c r="A808" s="4"/>
      <c r="B808" s="4"/>
      <c r="C808" s="4"/>
      <c r="D808" s="4"/>
    </row>
    <row r="809" spans="1:4" x14ac:dyDescent="0.3">
      <c r="A809" s="4"/>
      <c r="B809" s="4"/>
      <c r="C809" s="4"/>
      <c r="D809" s="4"/>
    </row>
    <row r="810" spans="1:4" x14ac:dyDescent="0.3">
      <c r="A810" s="4"/>
      <c r="B810" s="4"/>
      <c r="C810" s="4"/>
      <c r="D810" s="4"/>
    </row>
    <row r="811" spans="1:4" x14ac:dyDescent="0.3">
      <c r="A811" s="4"/>
      <c r="B811" s="4"/>
      <c r="C811" s="4"/>
      <c r="D811" s="4"/>
    </row>
    <row r="812" spans="1:4" x14ac:dyDescent="0.3">
      <c r="A812" s="4"/>
      <c r="B812" s="4"/>
      <c r="C812" s="4"/>
      <c r="D812" s="4"/>
    </row>
    <row r="813" spans="1:4" x14ac:dyDescent="0.3">
      <c r="A813" s="4"/>
      <c r="B813" s="4"/>
      <c r="C813" s="4"/>
      <c r="D813" s="4"/>
    </row>
    <row r="814" spans="1:4" x14ac:dyDescent="0.3">
      <c r="A814" s="4"/>
      <c r="B814" s="4"/>
      <c r="C814" s="4"/>
      <c r="D814" s="4"/>
    </row>
    <row r="815" spans="1:4" x14ac:dyDescent="0.3">
      <c r="A815" s="4"/>
      <c r="B815" s="4"/>
      <c r="C815" s="4"/>
      <c r="D815" s="4"/>
    </row>
    <row r="816" spans="1:4" x14ac:dyDescent="0.3">
      <c r="A816" s="4"/>
      <c r="B816" s="4"/>
      <c r="C816" s="4"/>
      <c r="D816" s="4"/>
    </row>
    <row r="817" spans="1:4" x14ac:dyDescent="0.3">
      <c r="A817" s="4"/>
      <c r="B817" s="4"/>
      <c r="C817" s="4"/>
      <c r="D817" s="4"/>
    </row>
    <row r="818" spans="1:4" x14ac:dyDescent="0.3">
      <c r="A818" s="4"/>
      <c r="B818" s="4"/>
      <c r="C818" s="4"/>
      <c r="D818" s="4"/>
    </row>
    <row r="819" spans="1:4" x14ac:dyDescent="0.3">
      <c r="A819" s="4"/>
      <c r="B819" s="4"/>
      <c r="C819" s="4"/>
      <c r="D819" s="4"/>
    </row>
    <row r="820" spans="1:4" x14ac:dyDescent="0.3">
      <c r="A820" s="4"/>
      <c r="B820" s="4"/>
      <c r="C820" s="4"/>
      <c r="D820" s="4"/>
    </row>
    <row r="821" spans="1:4" x14ac:dyDescent="0.3">
      <c r="A821" s="4"/>
      <c r="B821" s="4"/>
      <c r="C821" s="4"/>
      <c r="D821" s="4"/>
    </row>
    <row r="822" spans="1:4" x14ac:dyDescent="0.3">
      <c r="A822" s="4"/>
      <c r="B822" s="4"/>
      <c r="C822" s="4"/>
      <c r="D822" s="4"/>
    </row>
    <row r="823" spans="1:4" x14ac:dyDescent="0.3">
      <c r="A823" s="4"/>
      <c r="B823" s="4"/>
      <c r="C823" s="4"/>
      <c r="D823" s="4"/>
    </row>
    <row r="824" spans="1:4" x14ac:dyDescent="0.3">
      <c r="A824" s="4"/>
      <c r="B824" s="4"/>
      <c r="C824" s="4"/>
      <c r="D824" s="4"/>
    </row>
    <row r="825" spans="1:4" x14ac:dyDescent="0.3">
      <c r="A825" s="4"/>
      <c r="B825" s="4"/>
      <c r="C825" s="4"/>
      <c r="D825" s="4"/>
    </row>
    <row r="826" spans="1:4" x14ac:dyDescent="0.3">
      <c r="A826" s="4"/>
      <c r="B826" s="4"/>
      <c r="C826" s="4"/>
      <c r="D826" s="4"/>
    </row>
    <row r="827" spans="1:4" x14ac:dyDescent="0.3">
      <c r="A827" s="4"/>
      <c r="B827" s="4"/>
      <c r="C827" s="4"/>
      <c r="D827" s="4"/>
    </row>
    <row r="828" spans="1:4" x14ac:dyDescent="0.3">
      <c r="A828" s="4"/>
      <c r="B828" s="4"/>
      <c r="C828" s="4"/>
      <c r="D828" s="4"/>
    </row>
    <row r="829" spans="1:4" x14ac:dyDescent="0.3">
      <c r="A829" s="4"/>
      <c r="B829" s="4"/>
      <c r="C829" s="4"/>
      <c r="D829" s="4"/>
    </row>
    <row r="830" spans="1:4" x14ac:dyDescent="0.3">
      <c r="A830" s="4"/>
      <c r="B830" s="4"/>
      <c r="C830" s="4"/>
      <c r="D830" s="4"/>
    </row>
    <row r="831" spans="1:4" x14ac:dyDescent="0.3">
      <c r="A831" s="4"/>
      <c r="B831" s="4"/>
      <c r="C831" s="4"/>
      <c r="D831" s="4"/>
    </row>
    <row r="832" spans="1:4" x14ac:dyDescent="0.3">
      <c r="A832" s="4"/>
      <c r="B832" s="4"/>
      <c r="C832" s="4"/>
      <c r="D832" s="4"/>
    </row>
    <row r="833" spans="1:4" x14ac:dyDescent="0.3">
      <c r="A833" s="4"/>
      <c r="B833" s="4"/>
      <c r="C833" s="4"/>
      <c r="D833" s="4"/>
    </row>
    <row r="834" spans="1:4" x14ac:dyDescent="0.3">
      <c r="A834" s="4"/>
      <c r="B834" s="4"/>
      <c r="C834" s="4"/>
      <c r="D834" s="4"/>
    </row>
    <row r="835" spans="1:4" x14ac:dyDescent="0.3">
      <c r="A835" s="4"/>
      <c r="B835" s="4"/>
      <c r="C835" s="4"/>
      <c r="D835" s="4"/>
    </row>
    <row r="836" spans="1:4" x14ac:dyDescent="0.3">
      <c r="A836" s="4"/>
      <c r="B836" s="4"/>
      <c r="C836" s="4"/>
      <c r="D836" s="4"/>
    </row>
    <row r="837" spans="1:4" x14ac:dyDescent="0.3">
      <c r="A837" s="4"/>
      <c r="B837" s="4"/>
      <c r="C837" s="4"/>
      <c r="D837" s="4"/>
    </row>
    <row r="838" spans="1:4" x14ac:dyDescent="0.3">
      <c r="A838" s="4"/>
      <c r="B838" s="4"/>
      <c r="C838" s="4"/>
      <c r="D838" s="4"/>
    </row>
    <row r="839" spans="1:4" x14ac:dyDescent="0.3">
      <c r="A839" s="4"/>
      <c r="B839" s="4"/>
      <c r="C839" s="4"/>
      <c r="D839" s="4"/>
    </row>
    <row r="840" spans="1:4" x14ac:dyDescent="0.3">
      <c r="A840" s="4"/>
      <c r="B840" s="4"/>
      <c r="C840" s="4"/>
      <c r="D840" s="4"/>
    </row>
    <row r="841" spans="1:4" x14ac:dyDescent="0.3">
      <c r="A841" s="4"/>
      <c r="B841" s="4"/>
      <c r="C841" s="4"/>
      <c r="D841" s="4"/>
    </row>
    <row r="842" spans="1:4" x14ac:dyDescent="0.3">
      <c r="A842" s="4"/>
      <c r="B842" s="4"/>
      <c r="C842" s="4"/>
      <c r="D842" s="4"/>
    </row>
    <row r="843" spans="1:4" x14ac:dyDescent="0.3">
      <c r="A843" s="4"/>
      <c r="B843" s="4"/>
      <c r="C843" s="4"/>
      <c r="D843" s="4"/>
    </row>
    <row r="844" spans="1:4" x14ac:dyDescent="0.3">
      <c r="A844" s="4"/>
      <c r="B844" s="4"/>
      <c r="C844" s="4"/>
      <c r="D844" s="4"/>
    </row>
    <row r="845" spans="1:4" x14ac:dyDescent="0.3">
      <c r="A845" s="4"/>
      <c r="B845" s="4"/>
      <c r="C845" s="4"/>
      <c r="D845" s="4"/>
    </row>
    <row r="846" spans="1:4" x14ac:dyDescent="0.3">
      <c r="A846" s="4"/>
      <c r="B846" s="4"/>
      <c r="C846" s="4"/>
      <c r="D846" s="4"/>
    </row>
    <row r="847" spans="1:4" x14ac:dyDescent="0.3">
      <c r="A847" s="4"/>
      <c r="B847" s="4"/>
      <c r="C847" s="4"/>
      <c r="D847" s="4"/>
    </row>
    <row r="848" spans="1:4" x14ac:dyDescent="0.3">
      <c r="A848" s="4"/>
      <c r="B848" s="4"/>
      <c r="C848" s="4"/>
      <c r="D848" s="4"/>
    </row>
    <row r="849" spans="1:4" x14ac:dyDescent="0.3">
      <c r="A849" s="4"/>
      <c r="B849" s="4"/>
      <c r="C849" s="4"/>
      <c r="D849" s="4"/>
    </row>
    <row r="850" spans="1:4" x14ac:dyDescent="0.3">
      <c r="A850" s="4"/>
      <c r="B850" s="4"/>
      <c r="C850" s="4"/>
      <c r="D850" s="4"/>
    </row>
    <row r="851" spans="1:4" x14ac:dyDescent="0.3">
      <c r="A851" s="4"/>
      <c r="B851" s="4"/>
      <c r="C851" s="4"/>
      <c r="D851" s="4"/>
    </row>
    <row r="852" spans="1:4" x14ac:dyDescent="0.3">
      <c r="A852" s="4"/>
      <c r="B852" s="4"/>
      <c r="C852" s="4"/>
      <c r="D852" s="4"/>
    </row>
    <row r="853" spans="1:4" x14ac:dyDescent="0.3">
      <c r="A853" s="4"/>
      <c r="B853" s="4"/>
      <c r="C853" s="4"/>
      <c r="D853" s="4"/>
    </row>
    <row r="854" spans="1:4" x14ac:dyDescent="0.3">
      <c r="A854" s="4"/>
      <c r="B854" s="4"/>
      <c r="C854" s="4"/>
      <c r="D854" s="4"/>
    </row>
    <row r="855" spans="1:4" x14ac:dyDescent="0.3">
      <c r="A855" s="4"/>
      <c r="B855" s="4"/>
      <c r="C855" s="4"/>
      <c r="D855" s="4"/>
    </row>
    <row r="856" spans="1:4" x14ac:dyDescent="0.3">
      <c r="A856" s="4"/>
      <c r="B856" s="4"/>
      <c r="C856" s="4"/>
      <c r="D856" s="4"/>
    </row>
    <row r="857" spans="1:4" x14ac:dyDescent="0.3">
      <c r="A857" s="4"/>
      <c r="B857" s="4"/>
      <c r="C857" s="4"/>
      <c r="D857" s="4"/>
    </row>
    <row r="858" spans="1:4" x14ac:dyDescent="0.3">
      <c r="A858" s="4"/>
      <c r="B858" s="4"/>
      <c r="C858" s="4"/>
      <c r="D858" s="4"/>
    </row>
    <row r="859" spans="1:4" x14ac:dyDescent="0.3">
      <c r="A859" s="4"/>
      <c r="B859" s="4"/>
      <c r="C859" s="4"/>
      <c r="D859" s="4"/>
    </row>
    <row r="860" spans="1:4" x14ac:dyDescent="0.3">
      <c r="A860" s="4"/>
      <c r="B860" s="4"/>
      <c r="C860" s="4"/>
      <c r="D860" s="4"/>
    </row>
    <row r="861" spans="1:4" x14ac:dyDescent="0.3">
      <c r="A861" s="4"/>
      <c r="B861" s="4"/>
      <c r="C861" s="4"/>
      <c r="D861" s="4"/>
    </row>
    <row r="862" spans="1:4" x14ac:dyDescent="0.3">
      <c r="A862" s="4"/>
      <c r="B862" s="4"/>
      <c r="C862" s="4"/>
      <c r="D862" s="4"/>
    </row>
    <row r="863" spans="1:4" x14ac:dyDescent="0.3">
      <c r="A863" s="4"/>
      <c r="B863" s="4"/>
      <c r="C863" s="4"/>
      <c r="D863" s="4"/>
    </row>
    <row r="864" spans="1:4" x14ac:dyDescent="0.3">
      <c r="A864" s="4"/>
      <c r="B864" s="4"/>
      <c r="C864" s="4"/>
      <c r="D864" s="4"/>
    </row>
    <row r="865" spans="1:4" x14ac:dyDescent="0.3">
      <c r="A865" s="4"/>
      <c r="B865" s="4"/>
      <c r="C865" s="4"/>
      <c r="D865" s="4"/>
    </row>
    <row r="866" spans="1:4" x14ac:dyDescent="0.3">
      <c r="A866" s="4"/>
      <c r="B866" s="4"/>
      <c r="C866" s="4"/>
      <c r="D866" s="4"/>
    </row>
    <row r="867" spans="1:4" x14ac:dyDescent="0.3">
      <c r="A867" s="4"/>
      <c r="B867" s="4"/>
      <c r="C867" s="4"/>
      <c r="D867" s="4"/>
    </row>
    <row r="868" spans="1:4" x14ac:dyDescent="0.3">
      <c r="A868" s="4"/>
      <c r="B868" s="4"/>
      <c r="C868" s="4"/>
      <c r="D868" s="4"/>
    </row>
    <row r="869" spans="1:4" x14ac:dyDescent="0.3">
      <c r="A869" s="4"/>
      <c r="B869" s="4"/>
      <c r="C869" s="4"/>
      <c r="D869" s="4"/>
    </row>
    <row r="870" spans="1:4" x14ac:dyDescent="0.3">
      <c r="A870" s="4"/>
      <c r="B870" s="4"/>
      <c r="C870" s="4"/>
      <c r="D870" s="4"/>
    </row>
    <row r="871" spans="1:4" x14ac:dyDescent="0.3">
      <c r="A871" s="4"/>
      <c r="B871" s="4"/>
      <c r="C871" s="4"/>
      <c r="D871" s="4"/>
    </row>
    <row r="872" spans="1:4" x14ac:dyDescent="0.3">
      <c r="A872" s="4"/>
      <c r="B872" s="4"/>
      <c r="C872" s="4"/>
      <c r="D872" s="4"/>
    </row>
    <row r="873" spans="1:4" x14ac:dyDescent="0.3">
      <c r="A873" s="4"/>
      <c r="B873" s="4"/>
      <c r="C873" s="4"/>
      <c r="D873" s="4"/>
    </row>
    <row r="874" spans="1:4" x14ac:dyDescent="0.3">
      <c r="A874" s="4"/>
      <c r="B874" s="4"/>
      <c r="C874" s="4"/>
      <c r="D874" s="4"/>
    </row>
    <row r="875" spans="1:4" x14ac:dyDescent="0.3">
      <c r="A875" s="4"/>
      <c r="B875" s="4"/>
      <c r="C875" s="4"/>
      <c r="D875" s="4"/>
    </row>
    <row r="876" spans="1:4" x14ac:dyDescent="0.3">
      <c r="A876" s="4"/>
      <c r="B876" s="4"/>
      <c r="C876" s="4"/>
      <c r="D876" s="4"/>
    </row>
    <row r="877" spans="1:4" x14ac:dyDescent="0.3">
      <c r="A877" s="4"/>
      <c r="B877" s="4"/>
      <c r="C877" s="4"/>
      <c r="D877" s="4"/>
    </row>
    <row r="878" spans="1:4" x14ac:dyDescent="0.3">
      <c r="A878" s="4"/>
      <c r="B878" s="4"/>
      <c r="C878" s="4"/>
      <c r="D878" s="4"/>
    </row>
    <row r="879" spans="1:4" x14ac:dyDescent="0.3">
      <c r="A879" s="4"/>
      <c r="B879" s="4"/>
      <c r="C879" s="4"/>
      <c r="D879" s="4"/>
    </row>
    <row r="880" spans="1:4" x14ac:dyDescent="0.3">
      <c r="A880" s="4"/>
      <c r="B880" s="4"/>
      <c r="C880" s="4"/>
      <c r="D880" s="4"/>
    </row>
    <row r="881" spans="1:4" x14ac:dyDescent="0.3">
      <c r="A881" s="4"/>
      <c r="B881" s="4"/>
      <c r="C881" s="4"/>
      <c r="D881" s="4"/>
    </row>
    <row r="882" spans="1:4" x14ac:dyDescent="0.3">
      <c r="A882" s="4"/>
      <c r="B882" s="4"/>
      <c r="C882" s="4"/>
      <c r="D882" s="4"/>
    </row>
    <row r="883" spans="1:4" x14ac:dyDescent="0.3">
      <c r="A883" s="4"/>
      <c r="B883" s="4"/>
      <c r="C883" s="4"/>
      <c r="D883" s="4"/>
    </row>
    <row r="884" spans="1:4" x14ac:dyDescent="0.3">
      <c r="A884" s="4"/>
      <c r="B884" s="4"/>
      <c r="C884" s="4"/>
      <c r="D884" s="4"/>
    </row>
    <row r="885" spans="1:4" x14ac:dyDescent="0.3">
      <c r="A885" s="4"/>
      <c r="B885" s="4"/>
      <c r="C885" s="4"/>
      <c r="D885" s="4"/>
    </row>
    <row r="886" spans="1:4" x14ac:dyDescent="0.3">
      <c r="A886" s="4"/>
      <c r="B886" s="4"/>
      <c r="C886" s="4"/>
      <c r="D886" s="4"/>
    </row>
    <row r="887" spans="1:4" x14ac:dyDescent="0.3">
      <c r="A887" s="4"/>
      <c r="B887" s="4"/>
      <c r="C887" s="4"/>
      <c r="D887" s="4"/>
    </row>
    <row r="888" spans="1:4" x14ac:dyDescent="0.3">
      <c r="A888" s="4"/>
      <c r="B888" s="4"/>
      <c r="C888" s="4"/>
      <c r="D888" s="4"/>
    </row>
    <row r="889" spans="1:4" x14ac:dyDescent="0.3">
      <c r="A889" s="4"/>
      <c r="B889" s="4"/>
      <c r="C889" s="4"/>
      <c r="D889" s="4"/>
    </row>
    <row r="890" spans="1:4" x14ac:dyDescent="0.3">
      <c r="A890" s="4"/>
      <c r="B890" s="4"/>
      <c r="C890" s="4"/>
      <c r="D890" s="4"/>
    </row>
    <row r="891" spans="1:4" x14ac:dyDescent="0.3">
      <c r="A891" s="4"/>
      <c r="B891" s="4"/>
      <c r="C891" s="4"/>
      <c r="D891" s="4"/>
    </row>
    <row r="892" spans="1:4" x14ac:dyDescent="0.3">
      <c r="A892" s="4"/>
      <c r="B892" s="4"/>
      <c r="C892" s="4"/>
      <c r="D892" s="4"/>
    </row>
    <row r="893" spans="1:4" x14ac:dyDescent="0.3">
      <c r="A893" s="4"/>
      <c r="B893" s="4"/>
      <c r="C893" s="4"/>
      <c r="D893" s="4"/>
    </row>
    <row r="894" spans="1:4" x14ac:dyDescent="0.3">
      <c r="A894" s="4"/>
      <c r="B894" s="4"/>
      <c r="C894" s="4"/>
      <c r="D894" s="4"/>
    </row>
    <row r="895" spans="1:4" x14ac:dyDescent="0.3">
      <c r="A895" s="4"/>
      <c r="B895" s="4"/>
      <c r="C895" s="4"/>
      <c r="D895" s="4"/>
    </row>
    <row r="896" spans="1:4" x14ac:dyDescent="0.3">
      <c r="A896" s="4"/>
      <c r="B896" s="4"/>
      <c r="C896" s="4"/>
      <c r="D896" s="4"/>
    </row>
    <row r="897" spans="1:4" x14ac:dyDescent="0.3">
      <c r="A897" s="4"/>
      <c r="B897" s="4"/>
      <c r="C897" s="4"/>
      <c r="D897" s="4"/>
    </row>
    <row r="898" spans="1:4" x14ac:dyDescent="0.3">
      <c r="A898" s="4"/>
      <c r="B898" s="4"/>
      <c r="C898" s="4"/>
      <c r="D898" s="4"/>
    </row>
    <row r="899" spans="1:4" x14ac:dyDescent="0.3">
      <c r="A899" s="4"/>
      <c r="B899" s="4"/>
      <c r="C899" s="4"/>
      <c r="D899" s="4"/>
    </row>
    <row r="900" spans="1:4" x14ac:dyDescent="0.3">
      <c r="A900" s="4"/>
      <c r="B900" s="4"/>
      <c r="C900" s="4"/>
      <c r="D900" s="4"/>
    </row>
    <row r="901" spans="1:4" x14ac:dyDescent="0.3">
      <c r="A901" s="4"/>
      <c r="B901" s="4"/>
      <c r="C901" s="4"/>
      <c r="D901" s="4"/>
    </row>
    <row r="902" spans="1:4" x14ac:dyDescent="0.3">
      <c r="A902" s="4"/>
      <c r="B902" s="4"/>
      <c r="C902" s="4"/>
      <c r="D902" s="4"/>
    </row>
    <row r="903" spans="1:4" x14ac:dyDescent="0.3">
      <c r="A903" s="4"/>
      <c r="B903" s="4"/>
      <c r="C903" s="4"/>
      <c r="D903" s="4"/>
    </row>
    <row r="904" spans="1:4" x14ac:dyDescent="0.3">
      <c r="A904" s="4"/>
      <c r="B904" s="4"/>
      <c r="C904" s="4"/>
      <c r="D904" s="4"/>
    </row>
    <row r="905" spans="1:4" x14ac:dyDescent="0.3">
      <c r="A905" s="4"/>
      <c r="B905" s="4"/>
      <c r="C905" s="4"/>
      <c r="D905" s="4"/>
    </row>
    <row r="906" spans="1:4" x14ac:dyDescent="0.3">
      <c r="A906" s="4"/>
      <c r="B906" s="4"/>
      <c r="C906" s="4"/>
      <c r="D906" s="4"/>
    </row>
    <row r="907" spans="1:4" x14ac:dyDescent="0.3">
      <c r="A907" s="4"/>
      <c r="B907" s="4"/>
      <c r="C907" s="4"/>
      <c r="D907" s="4"/>
    </row>
    <row r="908" spans="1:4" x14ac:dyDescent="0.3">
      <c r="A908" s="4"/>
      <c r="B908" s="4"/>
      <c r="C908" s="4"/>
      <c r="D908" s="4"/>
    </row>
    <row r="909" spans="1:4" x14ac:dyDescent="0.3">
      <c r="A909" s="4"/>
      <c r="B909" s="4"/>
      <c r="C909" s="4"/>
      <c r="D909" s="4"/>
    </row>
    <row r="910" spans="1:4" x14ac:dyDescent="0.3">
      <c r="A910" s="4"/>
      <c r="B910" s="4"/>
      <c r="C910" s="4"/>
      <c r="D910" s="4"/>
    </row>
    <row r="911" spans="1:4" x14ac:dyDescent="0.3">
      <c r="A911" s="4"/>
      <c r="B911" s="4"/>
      <c r="C911" s="4"/>
      <c r="D911" s="4"/>
    </row>
    <row r="912" spans="1:4" x14ac:dyDescent="0.3">
      <c r="A912" s="4"/>
      <c r="B912" s="4"/>
      <c r="C912" s="4"/>
      <c r="D912" s="4"/>
    </row>
    <row r="913" spans="1:4" x14ac:dyDescent="0.3">
      <c r="A913" s="4"/>
      <c r="B913" s="4"/>
      <c r="C913" s="4"/>
      <c r="D913" s="4"/>
    </row>
    <row r="914" spans="1:4" x14ac:dyDescent="0.3">
      <c r="A914" s="4"/>
      <c r="B914" s="4"/>
      <c r="C914" s="4"/>
      <c r="D914" s="4"/>
    </row>
    <row r="915" spans="1:4" x14ac:dyDescent="0.3">
      <c r="A915" s="4"/>
      <c r="B915" s="4"/>
      <c r="C915" s="4"/>
      <c r="D915" s="4"/>
    </row>
    <row r="916" spans="1:4" x14ac:dyDescent="0.3">
      <c r="A916" s="4"/>
      <c r="B916" s="4"/>
      <c r="C916" s="4"/>
      <c r="D916" s="4"/>
    </row>
    <row r="917" spans="1:4" x14ac:dyDescent="0.3">
      <c r="A917" s="4"/>
      <c r="B917" s="4"/>
      <c r="C917" s="4"/>
      <c r="D917" s="4"/>
    </row>
    <row r="918" spans="1:4" x14ac:dyDescent="0.3">
      <c r="A918" s="4"/>
      <c r="B918" s="4"/>
      <c r="C918" s="4"/>
      <c r="D918" s="4"/>
    </row>
    <row r="919" spans="1:4" x14ac:dyDescent="0.3">
      <c r="A919" s="4"/>
      <c r="B919" s="4"/>
      <c r="C919" s="4"/>
      <c r="D919" s="4"/>
    </row>
    <row r="920" spans="1:4" x14ac:dyDescent="0.3">
      <c r="A920" s="4"/>
      <c r="B920" s="4"/>
      <c r="C920" s="4"/>
      <c r="D920" s="4"/>
    </row>
    <row r="921" spans="1:4" x14ac:dyDescent="0.3">
      <c r="A921" s="4"/>
      <c r="B921" s="4"/>
      <c r="C921" s="4"/>
      <c r="D921" s="4"/>
    </row>
    <row r="922" spans="1:4" x14ac:dyDescent="0.3">
      <c r="A922" s="4"/>
      <c r="B922" s="4"/>
      <c r="C922" s="4"/>
      <c r="D922" s="4"/>
    </row>
    <row r="923" spans="1:4" x14ac:dyDescent="0.3">
      <c r="A923" s="4"/>
      <c r="B923" s="4"/>
      <c r="C923" s="4"/>
      <c r="D923" s="4"/>
    </row>
    <row r="924" spans="1:4" x14ac:dyDescent="0.3">
      <c r="A924" s="4"/>
      <c r="B924" s="4"/>
      <c r="C924" s="4"/>
      <c r="D924" s="4"/>
    </row>
    <row r="925" spans="1:4" x14ac:dyDescent="0.3">
      <c r="A925" s="4"/>
      <c r="B925" s="4"/>
      <c r="C925" s="4"/>
      <c r="D925" s="4"/>
    </row>
    <row r="926" spans="1:4" x14ac:dyDescent="0.3">
      <c r="A926" s="4"/>
      <c r="B926" s="4"/>
      <c r="C926" s="4"/>
      <c r="D926" s="4"/>
    </row>
    <row r="927" spans="1:4" x14ac:dyDescent="0.3">
      <c r="A927" s="4"/>
      <c r="B927" s="4"/>
      <c r="C927" s="4"/>
      <c r="D927" s="4"/>
    </row>
    <row r="928" spans="1:4" x14ac:dyDescent="0.3">
      <c r="A928" s="4"/>
      <c r="B928" s="4"/>
      <c r="C928" s="4"/>
      <c r="D928" s="4"/>
    </row>
    <row r="929" spans="1:4" x14ac:dyDescent="0.3">
      <c r="A929" s="4"/>
      <c r="B929" s="4"/>
      <c r="C929" s="4"/>
      <c r="D929" s="4"/>
    </row>
    <row r="930" spans="1:4" x14ac:dyDescent="0.3">
      <c r="A930" s="4"/>
      <c r="B930" s="4"/>
      <c r="C930" s="4"/>
      <c r="D930" s="4"/>
    </row>
    <row r="931" spans="1:4" x14ac:dyDescent="0.3">
      <c r="A931" s="4"/>
      <c r="B931" s="4"/>
      <c r="C931" s="4"/>
      <c r="D931" s="4"/>
    </row>
    <row r="932" spans="1:4" x14ac:dyDescent="0.3">
      <c r="A932" s="4"/>
      <c r="B932" s="4"/>
      <c r="C932" s="4"/>
      <c r="D932" s="4"/>
    </row>
    <row r="933" spans="1:4" x14ac:dyDescent="0.3">
      <c r="A933" s="4"/>
      <c r="B933" s="4"/>
      <c r="C933" s="4"/>
      <c r="D933" s="4"/>
    </row>
    <row r="934" spans="1:4" x14ac:dyDescent="0.3">
      <c r="A934" s="4"/>
      <c r="B934" s="4"/>
      <c r="C934" s="4"/>
      <c r="D934" s="4"/>
    </row>
    <row r="935" spans="1:4" x14ac:dyDescent="0.3">
      <c r="A935" s="4"/>
      <c r="B935" s="4"/>
      <c r="C935" s="4"/>
      <c r="D935" s="4"/>
    </row>
    <row r="936" spans="1:4" x14ac:dyDescent="0.3">
      <c r="A936" s="4"/>
      <c r="B936" s="4"/>
      <c r="C936" s="4"/>
      <c r="D936" s="4"/>
    </row>
    <row r="937" spans="1:4" x14ac:dyDescent="0.3">
      <c r="A937" s="4"/>
      <c r="B937" s="4"/>
      <c r="C937" s="4"/>
      <c r="D937" s="4"/>
    </row>
    <row r="938" spans="1:4" x14ac:dyDescent="0.3">
      <c r="A938" s="4"/>
      <c r="B938" s="4"/>
      <c r="C938" s="4"/>
      <c r="D938" s="4"/>
    </row>
    <row r="939" spans="1:4" x14ac:dyDescent="0.3">
      <c r="A939" s="4"/>
      <c r="B939" s="4"/>
      <c r="C939" s="4"/>
      <c r="D939" s="4"/>
    </row>
    <row r="940" spans="1:4" x14ac:dyDescent="0.3">
      <c r="A940" s="4"/>
      <c r="B940" s="4"/>
      <c r="C940" s="4"/>
      <c r="D940" s="4"/>
    </row>
    <row r="941" spans="1:4" x14ac:dyDescent="0.3">
      <c r="A941" s="4"/>
      <c r="B941" s="4"/>
      <c r="C941" s="4"/>
      <c r="D941" s="4"/>
    </row>
    <row r="942" spans="1:4" x14ac:dyDescent="0.3">
      <c r="A942" s="4"/>
      <c r="B942" s="4"/>
      <c r="C942" s="4"/>
      <c r="D942" s="4"/>
    </row>
    <row r="943" spans="1:4" x14ac:dyDescent="0.3">
      <c r="A943" s="4"/>
      <c r="B943" s="4"/>
      <c r="C943" s="4"/>
      <c r="D943" s="4"/>
    </row>
    <row r="944" spans="1:4" x14ac:dyDescent="0.3">
      <c r="A944" s="4"/>
      <c r="B944" s="4"/>
      <c r="C944" s="4"/>
      <c r="D944" s="4"/>
    </row>
    <row r="945" spans="1:4" x14ac:dyDescent="0.3">
      <c r="A945" s="4"/>
      <c r="B945" s="4"/>
      <c r="C945" s="4"/>
      <c r="D945" s="4"/>
    </row>
    <row r="946" spans="1:4" x14ac:dyDescent="0.3">
      <c r="A946" s="4"/>
      <c r="B946" s="4"/>
      <c r="C946" s="4"/>
      <c r="D946" s="4"/>
    </row>
    <row r="947" spans="1:4" x14ac:dyDescent="0.3">
      <c r="A947" s="4"/>
      <c r="B947" s="4"/>
      <c r="C947" s="4"/>
      <c r="D947" s="4"/>
    </row>
    <row r="948" spans="1:4" x14ac:dyDescent="0.3">
      <c r="A948" s="4"/>
      <c r="B948" s="4"/>
      <c r="C948" s="4"/>
      <c r="D948" s="4"/>
    </row>
    <row r="949" spans="1:4" x14ac:dyDescent="0.3">
      <c r="A949" s="4"/>
      <c r="B949" s="4"/>
      <c r="C949" s="4"/>
      <c r="D949" s="4"/>
    </row>
    <row r="950" spans="1:4" x14ac:dyDescent="0.3">
      <c r="A950" s="4"/>
      <c r="B950" s="4"/>
      <c r="C950" s="4"/>
      <c r="D950" s="4"/>
    </row>
    <row r="951" spans="1:4" x14ac:dyDescent="0.3">
      <c r="A951" s="4"/>
      <c r="B951" s="4"/>
      <c r="C951" s="4"/>
      <c r="D951" s="4"/>
    </row>
    <row r="952" spans="1:4" x14ac:dyDescent="0.3">
      <c r="A952" s="4"/>
      <c r="B952" s="4"/>
      <c r="C952" s="4"/>
      <c r="D952" s="4"/>
    </row>
    <row r="953" spans="1:4" x14ac:dyDescent="0.3">
      <c r="A953" s="4"/>
      <c r="B953" s="4"/>
      <c r="C953" s="4"/>
      <c r="D953" s="4"/>
    </row>
    <row r="954" spans="1:4" x14ac:dyDescent="0.3">
      <c r="A954" s="4"/>
      <c r="B954" s="4"/>
      <c r="C954" s="4"/>
      <c r="D954" s="4"/>
    </row>
    <row r="955" spans="1:4" x14ac:dyDescent="0.3">
      <c r="A955" s="4"/>
      <c r="B955" s="4"/>
      <c r="C955" s="4"/>
      <c r="D955" s="4"/>
    </row>
    <row r="956" spans="1:4" x14ac:dyDescent="0.3">
      <c r="A956" s="4"/>
      <c r="B956" s="4"/>
      <c r="C956" s="4"/>
      <c r="D956" s="4"/>
    </row>
    <row r="957" spans="1:4" x14ac:dyDescent="0.3">
      <c r="A957" s="4"/>
      <c r="B957" s="4"/>
      <c r="C957" s="4"/>
      <c r="D957" s="4"/>
    </row>
    <row r="958" spans="1:4" x14ac:dyDescent="0.3">
      <c r="A958" s="4"/>
      <c r="B958" s="4"/>
      <c r="C958" s="4"/>
      <c r="D958" s="4"/>
    </row>
    <row r="959" spans="1:4" x14ac:dyDescent="0.3">
      <c r="A959" s="4"/>
      <c r="B959" s="4"/>
      <c r="C959" s="4"/>
      <c r="D959" s="4"/>
    </row>
    <row r="960" spans="1:4" x14ac:dyDescent="0.3">
      <c r="A960" s="4"/>
      <c r="B960" s="4"/>
      <c r="C960" s="4"/>
      <c r="D960" s="4"/>
    </row>
    <row r="961" spans="1:4" x14ac:dyDescent="0.3">
      <c r="A961" s="4"/>
      <c r="B961" s="4"/>
      <c r="C961" s="4"/>
      <c r="D961" s="4"/>
    </row>
    <row r="962" spans="1:4" x14ac:dyDescent="0.3">
      <c r="A962" s="4"/>
      <c r="B962" s="4"/>
      <c r="C962" s="4"/>
      <c r="D962" s="4"/>
    </row>
    <row r="963" spans="1:4" x14ac:dyDescent="0.3">
      <c r="A963" s="4"/>
      <c r="B963" s="4"/>
      <c r="C963" s="4"/>
      <c r="D963" s="4"/>
    </row>
    <row r="964" spans="1:4" x14ac:dyDescent="0.3">
      <c r="A964" s="4"/>
      <c r="B964" s="4"/>
      <c r="C964" s="4"/>
      <c r="D964" s="4"/>
    </row>
    <row r="965" spans="1:4" x14ac:dyDescent="0.3">
      <c r="A965" s="4"/>
      <c r="B965" s="4"/>
      <c r="C965" s="4"/>
      <c r="D965" s="4"/>
    </row>
    <row r="966" spans="1:4" x14ac:dyDescent="0.3">
      <c r="A966" s="4"/>
      <c r="B966" s="4"/>
      <c r="C966" s="4"/>
      <c r="D966" s="4"/>
    </row>
    <row r="967" spans="1:4" x14ac:dyDescent="0.3">
      <c r="A967" s="4"/>
      <c r="B967" s="4"/>
      <c r="C967" s="4"/>
      <c r="D967" s="4"/>
    </row>
    <row r="968" spans="1:4" x14ac:dyDescent="0.3">
      <c r="A968" s="4"/>
      <c r="B968" s="4"/>
      <c r="C968" s="4"/>
      <c r="D968" s="4"/>
    </row>
    <row r="969" spans="1:4" x14ac:dyDescent="0.3">
      <c r="A969" s="4"/>
      <c r="B969" s="4"/>
      <c r="C969" s="4"/>
      <c r="D969" s="4"/>
    </row>
    <row r="970" spans="1:4" x14ac:dyDescent="0.3">
      <c r="A970" s="4"/>
      <c r="B970" s="4"/>
      <c r="C970" s="4"/>
      <c r="D970" s="4"/>
    </row>
    <row r="971" spans="1:4" x14ac:dyDescent="0.3">
      <c r="A971" s="4"/>
      <c r="B971" s="4"/>
      <c r="C971" s="4"/>
      <c r="D971" s="4"/>
    </row>
    <row r="972" spans="1:4" x14ac:dyDescent="0.3">
      <c r="A972" s="4"/>
      <c r="B972" s="4"/>
      <c r="C972" s="4"/>
      <c r="D972" s="4"/>
    </row>
    <row r="973" spans="1:4" x14ac:dyDescent="0.3">
      <c r="A973" s="4"/>
      <c r="B973" s="4"/>
      <c r="C973" s="4"/>
      <c r="D973" s="4"/>
    </row>
    <row r="974" spans="1:4" x14ac:dyDescent="0.3">
      <c r="A974" s="4"/>
      <c r="B974" s="4"/>
      <c r="C974" s="4"/>
      <c r="D974" s="4"/>
    </row>
    <row r="975" spans="1:4" x14ac:dyDescent="0.3">
      <c r="A975" s="4"/>
      <c r="B975" s="4"/>
      <c r="C975" s="4"/>
      <c r="D975" s="4"/>
    </row>
    <row r="976" spans="1:4" x14ac:dyDescent="0.3">
      <c r="A976" s="4"/>
      <c r="B976" s="4"/>
      <c r="C976" s="4"/>
      <c r="D976" s="4"/>
    </row>
    <row r="977" spans="1:4" x14ac:dyDescent="0.3">
      <c r="A977" s="4"/>
      <c r="B977" s="4"/>
      <c r="C977" s="4"/>
      <c r="D977" s="4"/>
    </row>
    <row r="978" spans="1:4" x14ac:dyDescent="0.3">
      <c r="A978" s="4"/>
      <c r="B978" s="4"/>
      <c r="C978" s="4"/>
      <c r="D978" s="4"/>
    </row>
    <row r="979" spans="1:4" x14ac:dyDescent="0.3">
      <c r="A979" s="4"/>
      <c r="B979" s="4"/>
      <c r="C979" s="4"/>
      <c r="D979" s="4"/>
    </row>
    <row r="980" spans="1:4" x14ac:dyDescent="0.3">
      <c r="A980" s="4"/>
      <c r="B980" s="4"/>
      <c r="C980" s="4"/>
      <c r="D980" s="4"/>
    </row>
    <row r="981" spans="1:4" x14ac:dyDescent="0.3">
      <c r="A981" s="4"/>
      <c r="B981" s="4"/>
      <c r="C981" s="4"/>
      <c r="D981" s="4"/>
    </row>
    <row r="982" spans="1:4" x14ac:dyDescent="0.3">
      <c r="A982" s="4"/>
      <c r="B982" s="4"/>
      <c r="C982" s="4"/>
      <c r="D982" s="4"/>
    </row>
    <row r="983" spans="1:4" x14ac:dyDescent="0.3">
      <c r="A983" s="4"/>
      <c r="B983" s="4"/>
      <c r="C983" s="4"/>
      <c r="D983" s="4"/>
    </row>
    <row r="984" spans="1:4" x14ac:dyDescent="0.3">
      <c r="A984" s="4"/>
      <c r="B984" s="4"/>
      <c r="C984" s="4"/>
      <c r="D984" s="4"/>
    </row>
    <row r="985" spans="1:4" x14ac:dyDescent="0.3">
      <c r="A985" s="4"/>
      <c r="B985" s="4"/>
      <c r="C985" s="4"/>
      <c r="D985" s="4"/>
    </row>
    <row r="986" spans="1:4" x14ac:dyDescent="0.3">
      <c r="A986" s="4"/>
      <c r="B986" s="4"/>
      <c r="C986" s="4"/>
      <c r="D986" s="4"/>
    </row>
    <row r="987" spans="1:4" x14ac:dyDescent="0.3">
      <c r="A987" s="4"/>
      <c r="B987" s="4"/>
      <c r="C987" s="4"/>
      <c r="D987" s="4"/>
    </row>
    <row r="988" spans="1:4" x14ac:dyDescent="0.3">
      <c r="A988" s="4"/>
      <c r="B988" s="4"/>
      <c r="C988" s="4"/>
      <c r="D988" s="4"/>
    </row>
    <row r="989" spans="1:4" x14ac:dyDescent="0.3">
      <c r="A989" s="4"/>
      <c r="B989" s="4"/>
      <c r="C989" s="4"/>
      <c r="D989" s="4"/>
    </row>
    <row r="990" spans="1:4" x14ac:dyDescent="0.3">
      <c r="A990" s="4"/>
      <c r="B990" s="4"/>
      <c r="C990" s="4"/>
      <c r="D990" s="4"/>
    </row>
    <row r="991" spans="1:4" x14ac:dyDescent="0.3">
      <c r="A991" s="4"/>
      <c r="B991" s="4"/>
      <c r="C991" s="4"/>
      <c r="D991" s="4"/>
    </row>
    <row r="992" spans="1:4" x14ac:dyDescent="0.3">
      <c r="A992" s="4"/>
      <c r="B992" s="4"/>
      <c r="C992" s="4"/>
      <c r="D992" s="4"/>
    </row>
    <row r="993" spans="1:4" x14ac:dyDescent="0.3">
      <c r="A993" s="4"/>
      <c r="B993" s="4"/>
      <c r="C993" s="4"/>
      <c r="D993" s="4"/>
    </row>
    <row r="994" spans="1:4" x14ac:dyDescent="0.3">
      <c r="A994" s="4"/>
      <c r="B994" s="4"/>
      <c r="C994" s="4"/>
      <c r="D994" s="4"/>
    </row>
    <row r="995" spans="1:4" x14ac:dyDescent="0.3">
      <c r="A995" s="4"/>
      <c r="B995" s="4"/>
      <c r="C995" s="4"/>
      <c r="D995" s="4"/>
    </row>
    <row r="996" spans="1:4" x14ac:dyDescent="0.3">
      <c r="A996" s="4"/>
      <c r="B996" s="4"/>
      <c r="C996" s="4"/>
      <c r="D996" s="4"/>
    </row>
    <row r="997" spans="1:4" x14ac:dyDescent="0.3">
      <c r="A997" s="4"/>
      <c r="B997" s="4"/>
      <c r="C997" s="4"/>
      <c r="D997" s="4"/>
    </row>
    <row r="998" spans="1:4" x14ac:dyDescent="0.3">
      <c r="A998" s="4"/>
      <c r="B998" s="4"/>
      <c r="C998" s="4"/>
      <c r="D998" s="4"/>
    </row>
    <row r="999" spans="1:4" x14ac:dyDescent="0.3">
      <c r="A999" s="4"/>
      <c r="B999" s="4"/>
      <c r="C999" s="4"/>
      <c r="D999" s="4"/>
    </row>
    <row r="1000" spans="1:4" x14ac:dyDescent="0.3">
      <c r="A1000" s="4"/>
      <c r="B1000" s="4"/>
      <c r="C1000" s="4"/>
      <c r="D1000" s="4"/>
    </row>
    <row r="1001" spans="1:4" x14ac:dyDescent="0.3">
      <c r="A1001" s="4"/>
      <c r="B1001" s="4"/>
      <c r="C1001" s="4"/>
      <c r="D1001" s="4"/>
    </row>
    <row r="1002" spans="1:4" x14ac:dyDescent="0.3">
      <c r="A1002" s="4"/>
      <c r="B1002" s="4"/>
      <c r="C1002" s="4"/>
      <c r="D1002" s="4"/>
    </row>
    <row r="1003" spans="1:4" x14ac:dyDescent="0.3">
      <c r="A1003" s="4"/>
      <c r="B1003" s="4"/>
      <c r="C1003" s="4"/>
      <c r="D1003" s="4"/>
    </row>
    <row r="1004" spans="1:4" x14ac:dyDescent="0.3">
      <c r="A1004" s="4"/>
      <c r="B1004" s="4"/>
      <c r="C1004" s="4"/>
      <c r="D1004" s="4"/>
    </row>
    <row r="1005" spans="1:4" x14ac:dyDescent="0.3">
      <c r="A1005" s="4"/>
      <c r="B1005" s="4"/>
      <c r="C1005" s="4"/>
      <c r="D1005" s="4"/>
    </row>
    <row r="1006" spans="1:4" x14ac:dyDescent="0.3">
      <c r="A1006" s="4"/>
      <c r="B1006" s="4"/>
      <c r="C1006" s="4"/>
      <c r="D1006" s="4"/>
    </row>
    <row r="1007" spans="1:4" x14ac:dyDescent="0.3">
      <c r="A1007" s="4"/>
      <c r="B1007" s="4"/>
      <c r="C1007" s="4"/>
      <c r="D1007" s="4"/>
    </row>
    <row r="1008" spans="1:4" x14ac:dyDescent="0.3">
      <c r="A1008" s="4"/>
      <c r="B1008" s="4"/>
      <c r="C1008" s="4"/>
      <c r="D1008" s="4"/>
    </row>
    <row r="1009" spans="1:4" x14ac:dyDescent="0.3">
      <c r="A1009" s="4"/>
      <c r="B1009" s="4"/>
      <c r="C1009" s="4"/>
      <c r="D1009" s="4"/>
    </row>
    <row r="1010" spans="1:4" x14ac:dyDescent="0.3">
      <c r="A1010" s="4"/>
      <c r="B1010" s="4"/>
      <c r="C1010" s="4"/>
      <c r="D1010" s="4"/>
    </row>
    <row r="1011" spans="1:4" x14ac:dyDescent="0.3">
      <c r="A1011" s="4"/>
      <c r="B1011" s="4"/>
      <c r="C1011" s="4"/>
      <c r="D1011" s="4"/>
    </row>
    <row r="1012" spans="1:4" x14ac:dyDescent="0.3">
      <c r="A1012" s="4"/>
      <c r="B1012" s="4"/>
      <c r="C1012" s="4"/>
      <c r="D1012" s="4"/>
    </row>
    <row r="1013" spans="1:4" x14ac:dyDescent="0.3">
      <c r="A1013" s="4"/>
      <c r="B1013" s="4"/>
      <c r="C1013" s="4"/>
      <c r="D1013" s="4"/>
    </row>
    <row r="1014" spans="1:4" x14ac:dyDescent="0.3">
      <c r="A1014" s="4"/>
      <c r="B1014" s="4"/>
      <c r="C1014" s="4"/>
      <c r="D1014" s="4"/>
    </row>
    <row r="1015" spans="1:4" x14ac:dyDescent="0.3">
      <c r="A1015" s="4"/>
      <c r="B1015" s="4"/>
      <c r="C1015" s="4"/>
      <c r="D1015" s="4"/>
    </row>
    <row r="1016" spans="1:4" x14ac:dyDescent="0.3">
      <c r="A1016" s="4"/>
      <c r="B1016" s="4"/>
      <c r="C1016" s="4"/>
      <c r="D1016" s="4"/>
    </row>
    <row r="1017" spans="1:4" x14ac:dyDescent="0.3">
      <c r="A1017" s="4"/>
      <c r="B1017" s="4"/>
      <c r="C1017" s="4"/>
      <c r="D1017" s="4"/>
    </row>
    <row r="1018" spans="1:4" x14ac:dyDescent="0.3">
      <c r="A1018" s="4"/>
      <c r="B1018" s="4"/>
      <c r="C1018" s="4"/>
      <c r="D1018" s="4"/>
    </row>
    <row r="1019" spans="1:4" x14ac:dyDescent="0.3">
      <c r="A1019" s="4"/>
      <c r="B1019" s="4"/>
      <c r="C1019" s="4"/>
      <c r="D1019" s="4"/>
    </row>
    <row r="1020" spans="1:4" x14ac:dyDescent="0.3">
      <c r="A1020" s="4"/>
      <c r="B1020" s="4"/>
      <c r="C1020" s="4"/>
      <c r="D1020" s="4"/>
    </row>
    <row r="1021" spans="1:4" x14ac:dyDescent="0.3">
      <c r="A1021" s="4"/>
      <c r="B1021" s="4"/>
      <c r="C1021" s="4"/>
      <c r="D1021" s="4"/>
    </row>
    <row r="1022" spans="1:4" x14ac:dyDescent="0.3">
      <c r="A1022" s="4"/>
      <c r="B1022" s="4"/>
      <c r="C1022" s="4"/>
      <c r="D1022" s="4"/>
    </row>
    <row r="1023" spans="1:4" x14ac:dyDescent="0.3">
      <c r="A1023" s="4"/>
      <c r="B1023" s="4"/>
      <c r="C1023" s="4"/>
      <c r="D1023" s="4"/>
    </row>
    <row r="1024" spans="1:4" x14ac:dyDescent="0.3">
      <c r="A1024" s="4"/>
      <c r="B1024" s="4"/>
      <c r="C1024" s="4"/>
      <c r="D1024" s="4"/>
    </row>
    <row r="1025" spans="1:4" x14ac:dyDescent="0.3">
      <c r="A1025" s="4"/>
      <c r="B1025" s="4"/>
      <c r="C1025" s="4"/>
      <c r="D1025" s="4"/>
    </row>
    <row r="1026" spans="1:4" x14ac:dyDescent="0.3">
      <c r="A1026" s="4"/>
      <c r="B1026" s="4"/>
      <c r="C1026" s="4"/>
      <c r="D1026" s="4"/>
    </row>
    <row r="1027" spans="1:4" x14ac:dyDescent="0.3">
      <c r="A1027" s="4"/>
      <c r="B1027" s="4"/>
      <c r="C1027" s="4"/>
      <c r="D1027" s="4"/>
    </row>
    <row r="1028" spans="1:4" x14ac:dyDescent="0.3">
      <c r="A1028" s="4"/>
      <c r="B1028" s="4"/>
      <c r="C1028" s="4"/>
      <c r="D1028" s="4"/>
    </row>
    <row r="1029" spans="1:4" x14ac:dyDescent="0.3">
      <c r="A1029" s="4"/>
      <c r="B1029" s="4"/>
      <c r="C1029" s="4"/>
      <c r="D1029" s="4"/>
    </row>
    <row r="1030" spans="1:4" x14ac:dyDescent="0.3">
      <c r="A1030" s="4"/>
      <c r="B1030" s="4"/>
      <c r="C1030" s="4"/>
      <c r="D1030" s="4"/>
    </row>
    <row r="1031" spans="1:4" x14ac:dyDescent="0.3">
      <c r="A1031" s="4"/>
      <c r="B1031" s="4"/>
      <c r="C1031" s="4"/>
      <c r="D1031" s="4"/>
    </row>
    <row r="1032" spans="1:4" x14ac:dyDescent="0.3">
      <c r="A1032" s="4"/>
      <c r="B1032" s="4"/>
      <c r="C1032" s="4"/>
      <c r="D1032" s="4"/>
    </row>
    <row r="1033" spans="1:4" x14ac:dyDescent="0.3">
      <c r="A1033" s="4"/>
      <c r="B1033" s="4"/>
      <c r="C1033" s="4"/>
      <c r="D1033" s="4"/>
    </row>
    <row r="1034" spans="1:4" x14ac:dyDescent="0.3">
      <c r="A1034" s="4"/>
      <c r="B1034" s="4"/>
      <c r="C1034" s="4"/>
      <c r="D1034" s="4"/>
    </row>
    <row r="1035" spans="1:4" x14ac:dyDescent="0.3">
      <c r="A1035" s="4"/>
      <c r="B1035" s="4"/>
      <c r="C1035" s="4"/>
      <c r="D1035" s="4"/>
    </row>
    <row r="1036" spans="1:4" x14ac:dyDescent="0.3">
      <c r="A1036" s="4"/>
      <c r="B1036" s="4"/>
      <c r="C1036" s="4"/>
      <c r="D1036" s="4"/>
    </row>
    <row r="1037" spans="1:4" x14ac:dyDescent="0.3">
      <c r="A1037" s="4"/>
      <c r="B1037" s="4"/>
      <c r="C1037" s="4"/>
      <c r="D1037" s="4"/>
    </row>
    <row r="1038" spans="1:4" x14ac:dyDescent="0.3">
      <c r="A1038" s="4"/>
      <c r="B1038" s="4"/>
      <c r="C1038" s="4"/>
      <c r="D1038" s="4"/>
    </row>
    <row r="1039" spans="1:4" x14ac:dyDescent="0.3">
      <c r="A1039" s="4"/>
      <c r="B1039" s="4"/>
      <c r="C1039" s="4"/>
      <c r="D1039" s="4"/>
    </row>
    <row r="1040" spans="1:4" x14ac:dyDescent="0.3">
      <c r="A1040" s="4"/>
      <c r="B1040" s="4"/>
      <c r="C1040" s="4"/>
      <c r="D1040" s="4"/>
    </row>
    <row r="1041" spans="1:4" x14ac:dyDescent="0.3">
      <c r="A1041" s="4"/>
      <c r="B1041" s="4"/>
      <c r="C1041" s="4"/>
      <c r="D1041" s="4"/>
    </row>
    <row r="1042" spans="1:4" x14ac:dyDescent="0.3">
      <c r="A1042" s="4"/>
      <c r="B1042" s="4"/>
      <c r="C1042" s="4"/>
      <c r="D1042" s="4"/>
    </row>
    <row r="1043" spans="1:4" x14ac:dyDescent="0.3">
      <c r="A1043" s="4"/>
      <c r="B1043" s="4"/>
      <c r="C1043" s="4"/>
      <c r="D1043" s="4"/>
    </row>
    <row r="1044" spans="1:4" x14ac:dyDescent="0.3">
      <c r="A1044" s="4"/>
      <c r="B1044" s="4"/>
      <c r="C1044" s="4"/>
      <c r="D1044" s="4"/>
    </row>
    <row r="1045" spans="1:4" x14ac:dyDescent="0.3">
      <c r="A1045" s="4"/>
      <c r="B1045" s="4"/>
      <c r="C1045" s="4"/>
      <c r="D1045" s="4"/>
    </row>
    <row r="1046" spans="1:4" x14ac:dyDescent="0.3">
      <c r="A1046" s="4"/>
      <c r="B1046" s="4"/>
      <c r="C1046" s="4"/>
      <c r="D1046" s="4"/>
    </row>
    <row r="1047" spans="1:4" x14ac:dyDescent="0.3">
      <c r="A1047" s="4"/>
      <c r="B1047" s="4"/>
      <c r="C1047" s="4"/>
      <c r="D1047" s="4"/>
    </row>
    <row r="1048" spans="1:4" x14ac:dyDescent="0.3">
      <c r="A1048" s="4"/>
      <c r="B1048" s="4"/>
      <c r="C1048" s="4"/>
      <c r="D1048" s="4"/>
    </row>
    <row r="1049" spans="1:4" x14ac:dyDescent="0.3">
      <c r="A1049" s="4"/>
      <c r="B1049" s="4"/>
      <c r="C1049" s="4"/>
      <c r="D1049" s="4"/>
    </row>
    <row r="1050" spans="1:4" x14ac:dyDescent="0.3">
      <c r="A1050" s="4"/>
      <c r="B1050" s="4"/>
      <c r="C1050" s="4"/>
      <c r="D1050" s="4"/>
    </row>
    <row r="1051" spans="1:4" x14ac:dyDescent="0.3">
      <c r="A1051" s="4"/>
      <c r="B1051" s="4"/>
      <c r="C1051" s="4"/>
      <c r="D1051" s="4"/>
    </row>
    <row r="1052" spans="1:4" x14ac:dyDescent="0.3">
      <c r="A1052" s="4"/>
      <c r="B1052" s="4"/>
      <c r="C1052" s="4"/>
      <c r="D1052" s="4"/>
    </row>
    <row r="1053" spans="1:4" x14ac:dyDescent="0.3">
      <c r="A1053" s="4"/>
      <c r="B1053" s="4"/>
      <c r="C1053" s="4"/>
      <c r="D1053" s="4"/>
    </row>
    <row r="1054" spans="1:4" x14ac:dyDescent="0.3">
      <c r="A1054" s="4"/>
      <c r="B1054" s="4"/>
      <c r="C1054" s="4"/>
      <c r="D1054" s="4"/>
    </row>
    <row r="1055" spans="1:4" x14ac:dyDescent="0.3">
      <c r="A1055" s="4"/>
      <c r="B1055" s="4"/>
      <c r="C1055" s="4"/>
      <c r="D1055" s="4"/>
    </row>
    <row r="1056" spans="1:4" x14ac:dyDescent="0.3">
      <c r="A1056" s="4"/>
      <c r="B1056" s="4"/>
      <c r="C1056" s="4"/>
      <c r="D1056" s="4"/>
    </row>
    <row r="1057" spans="1:4" x14ac:dyDescent="0.3">
      <c r="A1057" s="4"/>
      <c r="B1057" s="4"/>
      <c r="C1057" s="4"/>
      <c r="D1057" s="4"/>
    </row>
    <row r="1058" spans="1:4" x14ac:dyDescent="0.3">
      <c r="A1058" s="4"/>
      <c r="B1058" s="4"/>
      <c r="C1058" s="4"/>
      <c r="D1058" s="4"/>
    </row>
    <row r="1059" spans="1:4" x14ac:dyDescent="0.3">
      <c r="A1059" s="4"/>
      <c r="B1059" s="4"/>
      <c r="C1059" s="4"/>
      <c r="D1059" s="4"/>
    </row>
    <row r="1060" spans="1:4" x14ac:dyDescent="0.3">
      <c r="A1060" s="4"/>
      <c r="B1060" s="4"/>
      <c r="C1060" s="4"/>
      <c r="D1060" s="4"/>
    </row>
    <row r="1061" spans="1:4" x14ac:dyDescent="0.3">
      <c r="A1061" s="4"/>
      <c r="B1061" s="4"/>
      <c r="C1061" s="4"/>
      <c r="D1061" s="4"/>
    </row>
    <row r="1062" spans="1:4" x14ac:dyDescent="0.3">
      <c r="A1062" s="4"/>
      <c r="B1062" s="4"/>
      <c r="C1062" s="4"/>
      <c r="D1062" s="4"/>
    </row>
    <row r="1063" spans="1:4" x14ac:dyDescent="0.3">
      <c r="A1063" s="4"/>
      <c r="B1063" s="4"/>
      <c r="C1063" s="4"/>
      <c r="D1063" s="4"/>
    </row>
    <row r="1064" spans="1:4" x14ac:dyDescent="0.3">
      <c r="A1064" s="4"/>
      <c r="B1064" s="4"/>
      <c r="C1064" s="4"/>
      <c r="D1064" s="4"/>
    </row>
    <row r="1065" spans="1:4" x14ac:dyDescent="0.3">
      <c r="A1065" s="4"/>
      <c r="B1065" s="4"/>
      <c r="C1065" s="4"/>
      <c r="D1065" s="4"/>
    </row>
    <row r="1066" spans="1:4" x14ac:dyDescent="0.3">
      <c r="A1066" s="4"/>
      <c r="B1066" s="4"/>
      <c r="C1066" s="4"/>
      <c r="D1066" s="4"/>
    </row>
    <row r="1067" spans="1:4" x14ac:dyDescent="0.3">
      <c r="A1067" s="4"/>
      <c r="B1067" s="4"/>
      <c r="C1067" s="4"/>
      <c r="D1067" s="4"/>
    </row>
    <row r="1068" spans="1:4" x14ac:dyDescent="0.3">
      <c r="A1068" s="4"/>
      <c r="B1068" s="4"/>
      <c r="C1068" s="4"/>
      <c r="D1068" s="4"/>
    </row>
    <row r="1069" spans="1:4" x14ac:dyDescent="0.3">
      <c r="A1069" s="4"/>
      <c r="B1069" s="4"/>
      <c r="C1069" s="4"/>
      <c r="D1069" s="4"/>
    </row>
    <row r="1070" spans="1:4" x14ac:dyDescent="0.3">
      <c r="A1070" s="4"/>
      <c r="B1070" s="4"/>
      <c r="C1070" s="4"/>
      <c r="D1070" s="4"/>
    </row>
    <row r="1071" spans="1:4" x14ac:dyDescent="0.3">
      <c r="A1071" s="4"/>
      <c r="B1071" s="4"/>
      <c r="C1071" s="4"/>
      <c r="D1071" s="4"/>
    </row>
    <row r="1072" spans="1:4" x14ac:dyDescent="0.3">
      <c r="A1072" s="4"/>
      <c r="B1072" s="4"/>
      <c r="C1072" s="4"/>
      <c r="D1072" s="4"/>
    </row>
    <row r="1073" spans="1:4" x14ac:dyDescent="0.3">
      <c r="A1073" s="5"/>
      <c r="B1073" s="5"/>
      <c r="C1073" s="4"/>
      <c r="D1073" s="4"/>
    </row>
    <row r="1074" spans="1:4" x14ac:dyDescent="0.3">
      <c r="A1074" s="4"/>
      <c r="B1074" s="4"/>
      <c r="C1074" s="4"/>
      <c r="D1074" s="4"/>
    </row>
    <row r="1075" spans="1:4" x14ac:dyDescent="0.3">
      <c r="A1075" s="4"/>
      <c r="B1075" s="4"/>
      <c r="C1075" s="4"/>
      <c r="D1075" s="4"/>
    </row>
    <row r="1076" spans="1:4" x14ac:dyDescent="0.3">
      <c r="A1076" s="4"/>
      <c r="B1076" s="4"/>
      <c r="C1076" s="4"/>
      <c r="D1076" s="4"/>
    </row>
    <row r="1077" spans="1:4" x14ac:dyDescent="0.3">
      <c r="A1077" s="4"/>
      <c r="B1077" s="4"/>
      <c r="C1077" s="4"/>
      <c r="D1077" s="4"/>
    </row>
    <row r="1078" spans="1:4" x14ac:dyDescent="0.3">
      <c r="A1078" s="4"/>
      <c r="B1078" s="4"/>
      <c r="C1078" s="4"/>
      <c r="D1078" s="4"/>
    </row>
    <row r="1079" spans="1:4" x14ac:dyDescent="0.3">
      <c r="A1079" s="4"/>
      <c r="B1079" s="4"/>
      <c r="C1079" s="4"/>
      <c r="D1079" s="4"/>
    </row>
    <row r="1080" spans="1:4" x14ac:dyDescent="0.3">
      <c r="A1080" s="4"/>
      <c r="B1080" s="4"/>
      <c r="C1080" s="4"/>
      <c r="D1080" s="4"/>
    </row>
    <row r="1081" spans="1:4" x14ac:dyDescent="0.3">
      <c r="A1081" s="4"/>
      <c r="B1081" s="4"/>
      <c r="C1081" s="4"/>
      <c r="D1081" s="4"/>
    </row>
    <row r="1082" spans="1:4" x14ac:dyDescent="0.3">
      <c r="A1082" s="4"/>
      <c r="B1082" s="4"/>
      <c r="C1082" s="4"/>
      <c r="D1082" s="4"/>
    </row>
    <row r="1083" spans="1:4" x14ac:dyDescent="0.3">
      <c r="A1083" s="4"/>
      <c r="B1083" s="4"/>
      <c r="C1083" s="4"/>
      <c r="D1083" s="4"/>
    </row>
    <row r="1084" spans="1:4" x14ac:dyDescent="0.3">
      <c r="A1084" s="4"/>
      <c r="B1084" s="4"/>
      <c r="C1084" s="4"/>
      <c r="D1084" s="4"/>
    </row>
    <row r="1085" spans="1:4" x14ac:dyDescent="0.3">
      <c r="A1085" s="4"/>
      <c r="B1085" s="4"/>
      <c r="C1085" s="4"/>
      <c r="D1085" s="4"/>
    </row>
    <row r="1086" spans="1:4" x14ac:dyDescent="0.3">
      <c r="A1086" s="4"/>
      <c r="B1086" s="4"/>
      <c r="C1086" s="4"/>
      <c r="D1086" s="4"/>
    </row>
    <row r="1087" spans="1:4" x14ac:dyDescent="0.3">
      <c r="A1087" s="4"/>
      <c r="B1087" s="4"/>
      <c r="C1087" s="4"/>
      <c r="D1087" s="4"/>
    </row>
    <row r="1088" spans="1:4" x14ac:dyDescent="0.3">
      <c r="A1088" s="4"/>
      <c r="B1088" s="4"/>
      <c r="C1088" s="4"/>
      <c r="D1088" s="4"/>
    </row>
    <row r="1089" spans="1:4" x14ac:dyDescent="0.3">
      <c r="A1089" s="4"/>
      <c r="B1089" s="4"/>
      <c r="C1089" s="4"/>
      <c r="D1089" s="4"/>
    </row>
    <row r="1090" spans="1:4" x14ac:dyDescent="0.3">
      <c r="A1090" s="4"/>
      <c r="B1090" s="4"/>
      <c r="C1090" s="4"/>
      <c r="D1090" s="4"/>
    </row>
    <row r="1091" spans="1:4" x14ac:dyDescent="0.3">
      <c r="A1091" s="4"/>
      <c r="B1091" s="4"/>
      <c r="C1091" s="4"/>
      <c r="D1091" s="4"/>
    </row>
    <row r="1092" spans="1:4" x14ac:dyDescent="0.3">
      <c r="A1092" s="4"/>
      <c r="B1092" s="4"/>
      <c r="C1092" s="4"/>
      <c r="D1092" s="4"/>
    </row>
    <row r="1093" spans="1:4" x14ac:dyDescent="0.3">
      <c r="A1093" s="4"/>
      <c r="B1093" s="4"/>
      <c r="C1093" s="4"/>
      <c r="D1093" s="4"/>
    </row>
    <row r="1094" spans="1:4" x14ac:dyDescent="0.3">
      <c r="A1094" s="4"/>
      <c r="B1094" s="4"/>
      <c r="C1094" s="4"/>
      <c r="D1094" s="4"/>
    </row>
    <row r="1095" spans="1:4" x14ac:dyDescent="0.3">
      <c r="A1095" s="4"/>
      <c r="B1095" s="4"/>
      <c r="C1095" s="4"/>
      <c r="D1095" s="4"/>
    </row>
    <row r="1096" spans="1:4" x14ac:dyDescent="0.3">
      <c r="A1096" s="4"/>
      <c r="B1096" s="4"/>
      <c r="C1096" s="4"/>
      <c r="D1096" s="4"/>
    </row>
    <row r="1097" spans="1:4" x14ac:dyDescent="0.3">
      <c r="A1097" s="4"/>
      <c r="B1097" s="4"/>
      <c r="C1097" s="4"/>
      <c r="D1097" s="4"/>
    </row>
    <row r="1098" spans="1:4" x14ac:dyDescent="0.3">
      <c r="A1098" s="4"/>
      <c r="B1098" s="4"/>
      <c r="C1098" s="4"/>
      <c r="D1098" s="4"/>
    </row>
    <row r="1099" spans="1:4" x14ac:dyDescent="0.3">
      <c r="A1099" s="4"/>
      <c r="B1099" s="4"/>
      <c r="C1099" s="4"/>
      <c r="D1099" s="4"/>
    </row>
    <row r="1100" spans="1:4" x14ac:dyDescent="0.3">
      <c r="A1100" s="4"/>
      <c r="B1100" s="4"/>
      <c r="C1100" s="4"/>
      <c r="D1100" s="4"/>
    </row>
    <row r="1101" spans="1:4" x14ac:dyDescent="0.3">
      <c r="A1101" s="4"/>
      <c r="B1101" s="4"/>
      <c r="C1101" s="4"/>
      <c r="D1101" s="4"/>
    </row>
    <row r="1102" spans="1:4" x14ac:dyDescent="0.3">
      <c r="A1102" s="4"/>
      <c r="B1102" s="4"/>
      <c r="C1102" s="4"/>
      <c r="D1102" s="4"/>
    </row>
    <row r="1103" spans="1:4" x14ac:dyDescent="0.3">
      <c r="A1103" s="4"/>
      <c r="B1103" s="4"/>
      <c r="C1103" s="4"/>
      <c r="D1103" s="4"/>
    </row>
    <row r="1104" spans="1:4" x14ac:dyDescent="0.3">
      <c r="A1104" s="4"/>
      <c r="B1104" s="4"/>
      <c r="C1104" s="4"/>
      <c r="D1104" s="4"/>
    </row>
    <row r="1105" spans="1:4" x14ac:dyDescent="0.3">
      <c r="A1105" s="4"/>
      <c r="B1105" s="4"/>
      <c r="C1105" s="4"/>
      <c r="D1105" s="4"/>
    </row>
    <row r="1106" spans="1:4" x14ac:dyDescent="0.3">
      <c r="A1106" s="4"/>
      <c r="B1106" s="4"/>
      <c r="C1106" s="4"/>
      <c r="D1106" s="4"/>
    </row>
    <row r="1107" spans="1:4" x14ac:dyDescent="0.3">
      <c r="A1107" s="4"/>
      <c r="B1107" s="4"/>
      <c r="C1107" s="4"/>
      <c r="D1107" s="4"/>
    </row>
    <row r="1108" spans="1:4" x14ac:dyDescent="0.3">
      <c r="A1108" s="4"/>
      <c r="B1108" s="4"/>
      <c r="C1108" s="4"/>
      <c r="D1108" s="4"/>
    </row>
    <row r="1109" spans="1:4" x14ac:dyDescent="0.3">
      <c r="A1109" s="4"/>
      <c r="B1109" s="4"/>
      <c r="C1109" s="4"/>
      <c r="D1109" s="4"/>
    </row>
    <row r="1110" spans="1:4" x14ac:dyDescent="0.3">
      <c r="A1110" s="4"/>
      <c r="B1110" s="4"/>
      <c r="C1110" s="4"/>
      <c r="D1110" s="4"/>
    </row>
    <row r="1111" spans="1:4" x14ac:dyDescent="0.3">
      <c r="A1111" s="4"/>
      <c r="B1111" s="4"/>
      <c r="C1111" s="4"/>
      <c r="D1111" s="4"/>
    </row>
    <row r="1112" spans="1:4" x14ac:dyDescent="0.3">
      <c r="A1112" s="4"/>
      <c r="B1112" s="4"/>
      <c r="C1112" s="4"/>
      <c r="D1112" s="4"/>
    </row>
    <row r="1113" spans="1:4" x14ac:dyDescent="0.3">
      <c r="A1113" s="4"/>
      <c r="B1113" s="4"/>
      <c r="C1113" s="4"/>
      <c r="D1113" s="4"/>
    </row>
    <row r="1114" spans="1:4" x14ac:dyDescent="0.3">
      <c r="A1114" s="4"/>
      <c r="B1114" s="4"/>
      <c r="C1114" s="4"/>
      <c r="D1114" s="4"/>
    </row>
    <row r="1115" spans="1:4" x14ac:dyDescent="0.3">
      <c r="A1115" s="4"/>
      <c r="B1115" s="4"/>
      <c r="C1115" s="4"/>
      <c r="D1115" s="4"/>
    </row>
    <row r="1116" spans="1:4" x14ac:dyDescent="0.3">
      <c r="A1116" s="4"/>
      <c r="B1116" s="4"/>
      <c r="C1116" s="4"/>
      <c r="D1116" s="4"/>
    </row>
    <row r="1117" spans="1:4" x14ac:dyDescent="0.3">
      <c r="A1117" s="4"/>
      <c r="B1117" s="4"/>
      <c r="C1117" s="4"/>
      <c r="D1117" s="4"/>
    </row>
    <row r="1118" spans="1:4" x14ac:dyDescent="0.3">
      <c r="A1118" s="4"/>
      <c r="B1118" s="4"/>
      <c r="C1118" s="4"/>
      <c r="D1118" s="4"/>
    </row>
    <row r="1119" spans="1:4" x14ac:dyDescent="0.3">
      <c r="A1119" s="4"/>
      <c r="B1119" s="4"/>
      <c r="C1119" s="4"/>
      <c r="D1119" s="4"/>
    </row>
    <row r="1120" spans="1:4" x14ac:dyDescent="0.3">
      <c r="A1120" s="4"/>
      <c r="B1120" s="4"/>
      <c r="C1120" s="4"/>
      <c r="D1120" s="4"/>
    </row>
    <row r="1121" spans="1:4" x14ac:dyDescent="0.3">
      <c r="A1121" s="4"/>
      <c r="B1121" s="4"/>
      <c r="C1121" s="4"/>
      <c r="D1121" s="4"/>
    </row>
    <row r="1122" spans="1:4" x14ac:dyDescent="0.3">
      <c r="A1122" s="4"/>
      <c r="B1122" s="4"/>
      <c r="C1122" s="4"/>
      <c r="D1122" s="4"/>
    </row>
    <row r="1123" spans="1:4" x14ac:dyDescent="0.3">
      <c r="A1123" s="4"/>
      <c r="B1123" s="4"/>
      <c r="C1123" s="4"/>
      <c r="D1123" s="4"/>
    </row>
    <row r="1124" spans="1:4" x14ac:dyDescent="0.3">
      <c r="A1124" s="4"/>
      <c r="B1124" s="4"/>
      <c r="C1124" s="4"/>
      <c r="D1124" s="4"/>
    </row>
    <row r="1125" spans="1:4" x14ac:dyDescent="0.3">
      <c r="A1125" s="4"/>
      <c r="B1125" s="4"/>
      <c r="C1125" s="4"/>
      <c r="D1125" s="4"/>
    </row>
    <row r="1126" spans="1:4" x14ac:dyDescent="0.3">
      <c r="A1126" s="4"/>
      <c r="B1126" s="4"/>
      <c r="C1126" s="4"/>
      <c r="D1126" s="4"/>
    </row>
    <row r="1127" spans="1:4" x14ac:dyDescent="0.3">
      <c r="A1127" s="4"/>
      <c r="B1127" s="4"/>
      <c r="C1127" s="4"/>
      <c r="D1127" s="4"/>
    </row>
    <row r="1128" spans="1:4" x14ac:dyDescent="0.3">
      <c r="A1128" s="4"/>
      <c r="B1128" s="4"/>
      <c r="C1128" s="4"/>
      <c r="D1128" s="4"/>
    </row>
    <row r="1129" spans="1:4" x14ac:dyDescent="0.3">
      <c r="A1129" s="4"/>
      <c r="B1129" s="4"/>
      <c r="C1129" s="4"/>
      <c r="D1129" s="4"/>
    </row>
    <row r="1130" spans="1:4" x14ac:dyDescent="0.3">
      <c r="A1130" s="4"/>
      <c r="B1130" s="4"/>
      <c r="C1130" s="4"/>
      <c r="D1130" s="4"/>
    </row>
    <row r="1131" spans="1:4" x14ac:dyDescent="0.3">
      <c r="A1131" s="4"/>
      <c r="B1131" s="4"/>
      <c r="C1131" s="4"/>
      <c r="D1131" s="4"/>
    </row>
    <row r="1132" spans="1:4" x14ac:dyDescent="0.3">
      <c r="A1132" s="4"/>
      <c r="B1132" s="4"/>
      <c r="C1132" s="4"/>
      <c r="D1132" s="4"/>
    </row>
    <row r="1133" spans="1:4" x14ac:dyDescent="0.3">
      <c r="A1133" s="4"/>
      <c r="B1133" s="4"/>
      <c r="C1133" s="4"/>
      <c r="D1133" s="4"/>
    </row>
    <row r="1134" spans="1:4" x14ac:dyDescent="0.3">
      <c r="A1134" s="4"/>
      <c r="B1134" s="4"/>
      <c r="C1134" s="4"/>
      <c r="D1134" s="4"/>
    </row>
    <row r="1135" spans="1:4" x14ac:dyDescent="0.3">
      <c r="A1135" s="4"/>
      <c r="B1135" s="4"/>
      <c r="C1135" s="4"/>
      <c r="D1135" s="4"/>
    </row>
    <row r="1136" spans="1:4" x14ac:dyDescent="0.3">
      <c r="A1136" s="4"/>
      <c r="B1136" s="4"/>
      <c r="C1136" s="4"/>
      <c r="D1136" s="4"/>
    </row>
    <row r="1137" spans="1:4" x14ac:dyDescent="0.3">
      <c r="A1137" s="4"/>
      <c r="B1137" s="4"/>
      <c r="C1137" s="4"/>
      <c r="D1137" s="4"/>
    </row>
    <row r="1138" spans="1:4" x14ac:dyDescent="0.3">
      <c r="A1138" s="4"/>
      <c r="B1138" s="4"/>
      <c r="C1138" s="4"/>
      <c r="D1138" s="4"/>
    </row>
    <row r="1139" spans="1:4" x14ac:dyDescent="0.3">
      <c r="A1139" s="4"/>
      <c r="B1139" s="4"/>
      <c r="C1139" s="4"/>
      <c r="D1139" s="4"/>
    </row>
    <row r="1140" spans="1:4" x14ac:dyDescent="0.3">
      <c r="A1140" s="4"/>
      <c r="B1140" s="4"/>
      <c r="C1140" s="4"/>
      <c r="D1140" s="4"/>
    </row>
    <row r="1141" spans="1:4" x14ac:dyDescent="0.3">
      <c r="A1141" s="4"/>
      <c r="B1141" s="4"/>
      <c r="C1141" s="4"/>
      <c r="D1141" s="4"/>
    </row>
    <row r="1142" spans="1:4" x14ac:dyDescent="0.3">
      <c r="A1142" s="4"/>
      <c r="B1142" s="4"/>
      <c r="C1142" s="4"/>
      <c r="D1142" s="4"/>
    </row>
    <row r="1143" spans="1:4" x14ac:dyDescent="0.3">
      <c r="A1143" s="4"/>
      <c r="B1143" s="4"/>
      <c r="C1143" s="4"/>
      <c r="D1143" s="4"/>
    </row>
    <row r="1144" spans="1:4" x14ac:dyDescent="0.3">
      <c r="A1144" s="4"/>
      <c r="B1144" s="4"/>
      <c r="C1144" s="4"/>
      <c r="D1144" s="4"/>
    </row>
    <row r="1145" spans="1:4" x14ac:dyDescent="0.3">
      <c r="A1145" s="4"/>
      <c r="B1145" s="4"/>
      <c r="C1145" s="4"/>
      <c r="D1145" s="4"/>
    </row>
    <row r="1146" spans="1:4" x14ac:dyDescent="0.3">
      <c r="A1146" s="4"/>
      <c r="B1146" s="4"/>
      <c r="C1146" s="4"/>
      <c r="D1146" s="4"/>
    </row>
    <row r="1147" spans="1:4" x14ac:dyDescent="0.3">
      <c r="A1147" s="4"/>
      <c r="B1147" s="4"/>
      <c r="C1147" s="4"/>
      <c r="D1147" s="4"/>
    </row>
    <row r="1148" spans="1:4" x14ac:dyDescent="0.3">
      <c r="A1148" s="4"/>
      <c r="B1148" s="4"/>
      <c r="C1148" s="4"/>
      <c r="D1148" s="4"/>
    </row>
    <row r="1149" spans="1:4" x14ac:dyDescent="0.3">
      <c r="A1149" s="4"/>
      <c r="B1149" s="4"/>
      <c r="C1149" s="4"/>
      <c r="D1149" s="4"/>
    </row>
    <row r="1150" spans="1:4" x14ac:dyDescent="0.3">
      <c r="A1150" s="4"/>
      <c r="B1150" s="4"/>
      <c r="C1150" s="4"/>
      <c r="D1150" s="4"/>
    </row>
    <row r="1151" spans="1:4" x14ac:dyDescent="0.3">
      <c r="A1151" s="4"/>
      <c r="B1151" s="4"/>
      <c r="C1151" s="4"/>
      <c r="D1151" s="4"/>
    </row>
    <row r="1152" spans="1:4" x14ac:dyDescent="0.3">
      <c r="A1152" s="4"/>
      <c r="B1152" s="4"/>
      <c r="C1152" s="4"/>
      <c r="D1152" s="4"/>
    </row>
    <row r="1153" spans="1:4" x14ac:dyDescent="0.3">
      <c r="A1153" s="4"/>
      <c r="B1153" s="4"/>
      <c r="C1153" s="4"/>
      <c r="D1153" s="4"/>
    </row>
    <row r="1154" spans="1:4" x14ac:dyDescent="0.3">
      <c r="A1154" s="4"/>
      <c r="B1154" s="4"/>
      <c r="C1154" s="4"/>
      <c r="D1154" s="4"/>
    </row>
    <row r="1155" spans="1:4" x14ac:dyDescent="0.3">
      <c r="A1155" s="4"/>
      <c r="B1155" s="4"/>
      <c r="C1155" s="4"/>
      <c r="D1155" s="4"/>
    </row>
    <row r="1156" spans="1:4" x14ac:dyDescent="0.3">
      <c r="A1156" s="4"/>
      <c r="B1156" s="4"/>
      <c r="C1156" s="4"/>
      <c r="D1156" s="4"/>
    </row>
    <row r="1157" spans="1:4" x14ac:dyDescent="0.3">
      <c r="A1157" s="4"/>
      <c r="B1157" s="4"/>
      <c r="C1157" s="4"/>
      <c r="D1157" s="4"/>
    </row>
    <row r="1158" spans="1:4" x14ac:dyDescent="0.3">
      <c r="A1158" s="4"/>
      <c r="B1158" s="4"/>
      <c r="C1158" s="4"/>
      <c r="D1158" s="4"/>
    </row>
    <row r="1159" spans="1:4" x14ac:dyDescent="0.3">
      <c r="A1159" s="4"/>
      <c r="B1159" s="4"/>
      <c r="C1159" s="4"/>
      <c r="D1159" s="4"/>
    </row>
    <row r="1160" spans="1:4" x14ac:dyDescent="0.3">
      <c r="A1160" s="4"/>
      <c r="B1160" s="4"/>
      <c r="C1160" s="4"/>
      <c r="D1160" s="4"/>
    </row>
    <row r="1161" spans="1:4" x14ac:dyDescent="0.3">
      <c r="A1161" s="4"/>
      <c r="B1161" s="4"/>
      <c r="C1161" s="4"/>
      <c r="D1161" s="4"/>
    </row>
    <row r="1162" spans="1:4" x14ac:dyDescent="0.3">
      <c r="A1162" s="4"/>
      <c r="B1162" s="4"/>
      <c r="C1162" s="4"/>
      <c r="D1162" s="4"/>
    </row>
    <row r="1163" spans="1:4" x14ac:dyDescent="0.3">
      <c r="A1163" s="4"/>
      <c r="B1163" s="4"/>
      <c r="C1163" s="4"/>
      <c r="D1163" s="4"/>
    </row>
    <row r="1164" spans="1:4" x14ac:dyDescent="0.3">
      <c r="A1164" s="4"/>
      <c r="B1164" s="4"/>
      <c r="C1164" s="4"/>
      <c r="D1164" s="4"/>
    </row>
    <row r="1165" spans="1:4" x14ac:dyDescent="0.3">
      <c r="A1165" s="4"/>
      <c r="B1165" s="4"/>
      <c r="C1165" s="4"/>
      <c r="D1165" s="4"/>
    </row>
    <row r="1166" spans="1:4" x14ac:dyDescent="0.3">
      <c r="A1166" s="4"/>
      <c r="B1166" s="4"/>
      <c r="C1166" s="4"/>
      <c r="D1166" s="4"/>
    </row>
    <row r="1167" spans="1:4" x14ac:dyDescent="0.3">
      <c r="A1167" s="4"/>
      <c r="B1167" s="4"/>
      <c r="C1167" s="4"/>
      <c r="D1167" s="4"/>
    </row>
    <row r="1168" spans="1:4" x14ac:dyDescent="0.3">
      <c r="A1168" s="4"/>
      <c r="B1168" s="4"/>
      <c r="C1168" s="4"/>
      <c r="D1168" s="4"/>
    </row>
    <row r="1169" spans="1:4" x14ac:dyDescent="0.3">
      <c r="A1169" s="4"/>
      <c r="B1169" s="4"/>
      <c r="C1169" s="4"/>
      <c r="D1169" s="4"/>
    </row>
    <row r="1170" spans="1:4" x14ac:dyDescent="0.3">
      <c r="A1170" s="4"/>
      <c r="B1170" s="4"/>
      <c r="C1170" s="4"/>
      <c r="D1170" s="4"/>
    </row>
    <row r="1171" spans="1:4" x14ac:dyDescent="0.3">
      <c r="A1171" s="4"/>
      <c r="B1171" s="4"/>
      <c r="C1171" s="4"/>
      <c r="D1171" s="4"/>
    </row>
    <row r="1172" spans="1:4" x14ac:dyDescent="0.3">
      <c r="A1172" s="4"/>
      <c r="B1172" s="4"/>
      <c r="C1172" s="4"/>
      <c r="D1172" s="4"/>
    </row>
    <row r="1173" spans="1:4" x14ac:dyDescent="0.3">
      <c r="A1173" s="4"/>
      <c r="B1173" s="4"/>
      <c r="C1173" s="4"/>
      <c r="D1173" s="4"/>
    </row>
    <row r="1174" spans="1:4" x14ac:dyDescent="0.3">
      <c r="A1174" s="4"/>
      <c r="B1174" s="4"/>
      <c r="C1174" s="4"/>
      <c r="D1174" s="4"/>
    </row>
    <row r="1175" spans="1:4" x14ac:dyDescent="0.3">
      <c r="A1175" s="4"/>
      <c r="B1175" s="4"/>
      <c r="C1175" s="4"/>
      <c r="D1175" s="4"/>
    </row>
    <row r="1176" spans="1:4" x14ac:dyDescent="0.3">
      <c r="A1176" s="4"/>
      <c r="B1176" s="4"/>
      <c r="C1176" s="4"/>
      <c r="D1176" s="4"/>
    </row>
    <row r="1177" spans="1:4" x14ac:dyDescent="0.3">
      <c r="A1177" s="4"/>
      <c r="B1177" s="4"/>
      <c r="C1177" s="4"/>
      <c r="D1177" s="4"/>
    </row>
    <row r="1178" spans="1:4" x14ac:dyDescent="0.3">
      <c r="A1178" s="4"/>
      <c r="B1178" s="4"/>
      <c r="C1178" s="4"/>
      <c r="D1178" s="4"/>
    </row>
    <row r="1179" spans="1:4" x14ac:dyDescent="0.3">
      <c r="A1179" s="4"/>
      <c r="B1179" s="4"/>
      <c r="C1179" s="4"/>
      <c r="D1179" s="4"/>
    </row>
    <row r="1180" spans="1:4" x14ac:dyDescent="0.3">
      <c r="A1180" s="4"/>
      <c r="B1180" s="4"/>
      <c r="C1180" s="4"/>
      <c r="D1180" s="4"/>
    </row>
    <row r="1181" spans="1:4" x14ac:dyDescent="0.3">
      <c r="A1181" s="4"/>
      <c r="B1181" s="4"/>
      <c r="C1181" s="4"/>
      <c r="D1181" s="4"/>
    </row>
    <row r="1182" spans="1:4" x14ac:dyDescent="0.3">
      <c r="A1182" s="4"/>
      <c r="B1182" s="4"/>
      <c r="C1182" s="4"/>
      <c r="D1182" s="4"/>
    </row>
    <row r="1183" spans="1:4" x14ac:dyDescent="0.3">
      <c r="A1183" s="4"/>
      <c r="B1183" s="4"/>
      <c r="C1183" s="4"/>
      <c r="D1183" s="4"/>
    </row>
    <row r="1184" spans="1:4" x14ac:dyDescent="0.3">
      <c r="A1184" s="4"/>
      <c r="B1184" s="4"/>
      <c r="C1184" s="4"/>
      <c r="D1184" s="4"/>
    </row>
    <row r="1185" spans="1:4" x14ac:dyDescent="0.3">
      <c r="A1185" s="4"/>
      <c r="B1185" s="4"/>
      <c r="C1185" s="4"/>
      <c r="D1185" s="4"/>
    </row>
    <row r="1186" spans="1:4" x14ac:dyDescent="0.3">
      <c r="A1186" s="4"/>
      <c r="B1186" s="4"/>
      <c r="C1186" s="4"/>
      <c r="D1186" s="4"/>
    </row>
    <row r="1187" spans="1:4" x14ac:dyDescent="0.3">
      <c r="A1187" s="4"/>
      <c r="B1187" s="4"/>
      <c r="C1187" s="4"/>
      <c r="D1187" s="4"/>
    </row>
    <row r="1188" spans="1:4" x14ac:dyDescent="0.3">
      <c r="A1188" s="4"/>
      <c r="B1188" s="4"/>
      <c r="C1188" s="4"/>
      <c r="D1188" s="4"/>
    </row>
    <row r="1189" spans="1:4" x14ac:dyDescent="0.3">
      <c r="A1189" s="4"/>
      <c r="B1189" s="4"/>
      <c r="C1189" s="4"/>
      <c r="D1189" s="4"/>
    </row>
    <row r="1190" spans="1:4" x14ac:dyDescent="0.3">
      <c r="A1190" s="4"/>
      <c r="B1190" s="4"/>
      <c r="C1190" s="4"/>
      <c r="D1190" s="4"/>
    </row>
    <row r="1191" spans="1:4" x14ac:dyDescent="0.3">
      <c r="A1191" s="4"/>
      <c r="B1191" s="4"/>
      <c r="C1191" s="4"/>
      <c r="D1191" s="4"/>
    </row>
    <row r="1192" spans="1:4" x14ac:dyDescent="0.3">
      <c r="A1192" s="4"/>
      <c r="B1192" s="4"/>
      <c r="C1192" s="4"/>
      <c r="D1192" s="4"/>
    </row>
    <row r="1193" spans="1:4" x14ac:dyDescent="0.3">
      <c r="A1193" s="4"/>
      <c r="B1193" s="4"/>
      <c r="C1193" s="4"/>
      <c r="D1193" s="4"/>
    </row>
    <row r="1194" spans="1:4" x14ac:dyDescent="0.3">
      <c r="A1194" s="4"/>
      <c r="B1194" s="4"/>
      <c r="C1194" s="4"/>
      <c r="D1194" s="4"/>
    </row>
    <row r="1195" spans="1:4" x14ac:dyDescent="0.3">
      <c r="A1195" s="4"/>
      <c r="B1195" s="4"/>
      <c r="C1195" s="4"/>
      <c r="D1195" s="4"/>
    </row>
    <row r="1196" spans="1:4" x14ac:dyDescent="0.3">
      <c r="A1196" s="4"/>
      <c r="B1196" s="4"/>
      <c r="C1196" s="4"/>
      <c r="D1196" s="4"/>
    </row>
    <row r="1197" spans="1:4" x14ac:dyDescent="0.3">
      <c r="A1197" s="4"/>
      <c r="B1197" s="4"/>
      <c r="C1197" s="4"/>
      <c r="D1197" s="4"/>
    </row>
    <row r="1198" spans="1:4" x14ac:dyDescent="0.3">
      <c r="A1198" s="4"/>
      <c r="B1198" s="4"/>
      <c r="C1198" s="4"/>
      <c r="D1198" s="4"/>
    </row>
    <row r="1199" spans="1:4" x14ac:dyDescent="0.3">
      <c r="A1199" s="4"/>
      <c r="B1199" s="4"/>
      <c r="C1199" s="4"/>
      <c r="D1199" s="4"/>
    </row>
    <row r="1200" spans="1:4" x14ac:dyDescent="0.3">
      <c r="A1200" s="4"/>
      <c r="B1200" s="4"/>
      <c r="C1200" s="4"/>
      <c r="D1200" s="4"/>
    </row>
    <row r="1201" spans="1:4" x14ac:dyDescent="0.3">
      <c r="A1201" s="4"/>
      <c r="B1201" s="4"/>
      <c r="C1201" s="4"/>
      <c r="D1201" s="4"/>
    </row>
    <row r="1202" spans="1:4" x14ac:dyDescent="0.3">
      <c r="A1202" s="4"/>
      <c r="B1202" s="4"/>
      <c r="C1202" s="4"/>
      <c r="D1202" s="4"/>
    </row>
    <row r="1203" spans="1:4" x14ac:dyDescent="0.3">
      <c r="A1203" s="4"/>
      <c r="B1203" s="4"/>
      <c r="C1203" s="4"/>
      <c r="D1203" s="4"/>
    </row>
    <row r="1204" spans="1:4" x14ac:dyDescent="0.3">
      <c r="A1204" s="4"/>
      <c r="B1204" s="4"/>
      <c r="C1204" s="4"/>
      <c r="D1204" s="4"/>
    </row>
    <row r="1205" spans="1:4" x14ac:dyDescent="0.3">
      <c r="A1205" s="4"/>
      <c r="B1205" s="4"/>
      <c r="C1205" s="4"/>
      <c r="D1205" s="4"/>
    </row>
    <row r="1206" spans="1:4" x14ac:dyDescent="0.3">
      <c r="A1206" s="4"/>
      <c r="B1206" s="4"/>
      <c r="C1206" s="4"/>
      <c r="D1206" s="4"/>
    </row>
    <row r="1207" spans="1:4" x14ac:dyDescent="0.3">
      <c r="A1207" s="4"/>
      <c r="B1207" s="4"/>
      <c r="C1207" s="4"/>
      <c r="D1207" s="4"/>
    </row>
    <row r="1208" spans="1:4" x14ac:dyDescent="0.3">
      <c r="A1208" s="4"/>
      <c r="B1208" s="4"/>
      <c r="C1208" s="4"/>
      <c r="D1208" s="4"/>
    </row>
    <row r="1209" spans="1:4" x14ac:dyDescent="0.3">
      <c r="A1209" s="4"/>
      <c r="B1209" s="4"/>
      <c r="C1209" s="4"/>
      <c r="D1209" s="4"/>
    </row>
    <row r="1210" spans="1:4" x14ac:dyDescent="0.3">
      <c r="A1210" s="4"/>
      <c r="B1210" s="4"/>
      <c r="C1210" s="4"/>
      <c r="D1210" s="4"/>
    </row>
    <row r="1211" spans="1:4" x14ac:dyDescent="0.3">
      <c r="A1211" s="4"/>
      <c r="B1211" s="4"/>
      <c r="C1211" s="4"/>
      <c r="D1211" s="4"/>
    </row>
    <row r="1212" spans="1:4" x14ac:dyDescent="0.3">
      <c r="A1212" s="4"/>
      <c r="B1212" s="4"/>
      <c r="C1212" s="4"/>
      <c r="D1212" s="4"/>
    </row>
    <row r="1213" spans="1:4" x14ac:dyDescent="0.3">
      <c r="A1213" s="4"/>
      <c r="B1213" s="4"/>
      <c r="C1213" s="4"/>
      <c r="D1213" s="4"/>
    </row>
    <row r="1214" spans="1:4" x14ac:dyDescent="0.3">
      <c r="A1214" s="4"/>
      <c r="B1214" s="4"/>
      <c r="C1214" s="4"/>
      <c r="D1214" s="4"/>
    </row>
    <row r="1215" spans="1:4" x14ac:dyDescent="0.3">
      <c r="A1215" s="4"/>
      <c r="B1215" s="4"/>
      <c r="C1215" s="4"/>
      <c r="D1215" s="4"/>
    </row>
    <row r="1216" spans="1:4" x14ac:dyDescent="0.3">
      <c r="A1216" s="4"/>
      <c r="B1216" s="4"/>
      <c r="C1216" s="4"/>
      <c r="D1216" s="4"/>
    </row>
    <row r="1217" spans="1:4" x14ac:dyDescent="0.3">
      <c r="A1217" s="4"/>
      <c r="B1217" s="4"/>
      <c r="C1217" s="4"/>
      <c r="D1217" s="4"/>
    </row>
    <row r="1218" spans="1:4" x14ac:dyDescent="0.3">
      <c r="A1218" s="4"/>
      <c r="B1218" s="4"/>
      <c r="C1218" s="4"/>
      <c r="D1218" s="4"/>
    </row>
    <row r="1219" spans="1:4" x14ac:dyDescent="0.3">
      <c r="A1219" s="4"/>
      <c r="B1219" s="4"/>
      <c r="C1219" s="4"/>
      <c r="D1219" s="4"/>
    </row>
    <row r="1220" spans="1:4" x14ac:dyDescent="0.3">
      <c r="A1220" s="4"/>
      <c r="B1220" s="4"/>
      <c r="C1220" s="4"/>
      <c r="D1220" s="4"/>
    </row>
    <row r="1221" spans="1:4" x14ac:dyDescent="0.3">
      <c r="A1221" s="4"/>
      <c r="B1221" s="4"/>
      <c r="C1221" s="4"/>
      <c r="D1221" s="4"/>
    </row>
    <row r="1222" spans="1:4" x14ac:dyDescent="0.3">
      <c r="A1222" s="4"/>
      <c r="B1222" s="4"/>
      <c r="C1222" s="4"/>
      <c r="D1222" s="4"/>
    </row>
    <row r="1223" spans="1:4" x14ac:dyDescent="0.3">
      <c r="A1223" s="4"/>
      <c r="B1223" s="4"/>
      <c r="C1223" s="4"/>
      <c r="D1223" s="4"/>
    </row>
    <row r="1224" spans="1:4" x14ac:dyDescent="0.3">
      <c r="A1224" s="4"/>
      <c r="B1224" s="4"/>
      <c r="C1224" s="4"/>
      <c r="D1224" s="4"/>
    </row>
    <row r="1225" spans="1:4" x14ac:dyDescent="0.3">
      <c r="A1225" s="4"/>
      <c r="B1225" s="4"/>
      <c r="C1225" s="4"/>
      <c r="D1225" s="4"/>
    </row>
    <row r="1226" spans="1:4" x14ac:dyDescent="0.3">
      <c r="A1226" s="4"/>
      <c r="B1226" s="4"/>
      <c r="C1226" s="4"/>
      <c r="D1226" s="4"/>
    </row>
    <row r="1227" spans="1:4" x14ac:dyDescent="0.3">
      <c r="A1227" s="4"/>
      <c r="B1227" s="4"/>
      <c r="C1227" s="4"/>
      <c r="D1227" s="4"/>
    </row>
    <row r="1228" spans="1:4" x14ac:dyDescent="0.3">
      <c r="A1228" s="4"/>
      <c r="B1228" s="4"/>
      <c r="C1228" s="4"/>
      <c r="D1228" s="4"/>
    </row>
    <row r="1229" spans="1:4" x14ac:dyDescent="0.3">
      <c r="A1229" s="4"/>
      <c r="B1229" s="4"/>
      <c r="C1229" s="4"/>
      <c r="D1229" s="4"/>
    </row>
    <row r="1230" spans="1:4" x14ac:dyDescent="0.3">
      <c r="A1230" s="4"/>
      <c r="B1230" s="4"/>
      <c r="C1230" s="4"/>
      <c r="D1230" s="4"/>
    </row>
    <row r="1231" spans="1:4" x14ac:dyDescent="0.3">
      <c r="A1231" s="4"/>
      <c r="B1231" s="4"/>
      <c r="C1231" s="4"/>
      <c r="D1231" s="4"/>
    </row>
    <row r="1232" spans="1:4" x14ac:dyDescent="0.3">
      <c r="A1232" s="4"/>
      <c r="B1232" s="4"/>
      <c r="C1232" s="4"/>
      <c r="D1232" s="4"/>
    </row>
    <row r="1233" spans="1:4" x14ac:dyDescent="0.3">
      <c r="A1233" s="4"/>
      <c r="B1233" s="4"/>
      <c r="C1233" s="4"/>
      <c r="D1233" s="4"/>
    </row>
    <row r="1234" spans="1:4" x14ac:dyDescent="0.3">
      <c r="A1234" s="4"/>
      <c r="B1234" s="4"/>
      <c r="C1234" s="4"/>
      <c r="D1234" s="4"/>
    </row>
    <row r="1235" spans="1:4" x14ac:dyDescent="0.3">
      <c r="A1235" s="4"/>
      <c r="B1235" s="4"/>
      <c r="C1235" s="4"/>
      <c r="D1235" s="4"/>
    </row>
    <row r="1236" spans="1:4" x14ac:dyDescent="0.3">
      <c r="A1236" s="4"/>
      <c r="B1236" s="4"/>
      <c r="C1236" s="4"/>
      <c r="D1236" s="4"/>
    </row>
    <row r="1237" spans="1:4" x14ac:dyDescent="0.3">
      <c r="A1237" s="4"/>
      <c r="B1237" s="4"/>
      <c r="C1237" s="4"/>
      <c r="D1237" s="4"/>
    </row>
    <row r="1238" spans="1:4" x14ac:dyDescent="0.3">
      <c r="A1238" s="4"/>
      <c r="B1238" s="4"/>
      <c r="C1238" s="4"/>
      <c r="D1238" s="4"/>
    </row>
    <row r="1239" spans="1:4" x14ac:dyDescent="0.3">
      <c r="A1239" s="4"/>
      <c r="B1239" s="4"/>
      <c r="C1239" s="4"/>
      <c r="D1239" s="4"/>
    </row>
    <row r="1240" spans="1:4" x14ac:dyDescent="0.3">
      <c r="A1240" s="4"/>
      <c r="B1240" s="4"/>
      <c r="C1240" s="4"/>
      <c r="D1240" s="4"/>
    </row>
    <row r="1241" spans="1:4" x14ac:dyDescent="0.3">
      <c r="A1241" s="4"/>
      <c r="B1241" s="4"/>
      <c r="C1241" s="4"/>
      <c r="D1241" s="4"/>
    </row>
    <row r="1242" spans="1:4" x14ac:dyDescent="0.3">
      <c r="A1242" s="4"/>
      <c r="B1242" s="4"/>
      <c r="C1242" s="4"/>
      <c r="D1242" s="4"/>
    </row>
    <row r="1243" spans="1:4" x14ac:dyDescent="0.3">
      <c r="A1243" s="4"/>
      <c r="B1243" s="4"/>
      <c r="C1243" s="4"/>
      <c r="D1243" s="4"/>
    </row>
    <row r="1244" spans="1:4" x14ac:dyDescent="0.3">
      <c r="A1244" s="4"/>
      <c r="B1244" s="4"/>
      <c r="C1244" s="4"/>
      <c r="D1244" s="4"/>
    </row>
    <row r="1245" spans="1:4" x14ac:dyDescent="0.3">
      <c r="A1245" s="4"/>
      <c r="B1245" s="4"/>
      <c r="C1245" s="4"/>
      <c r="D1245" s="4"/>
    </row>
    <row r="1246" spans="1:4" x14ac:dyDescent="0.3">
      <c r="A1246" s="4"/>
      <c r="B1246" s="4"/>
      <c r="C1246" s="4"/>
      <c r="D1246" s="4"/>
    </row>
    <row r="1247" spans="1:4" x14ac:dyDescent="0.3">
      <c r="A1247" s="4"/>
      <c r="B1247" s="4"/>
      <c r="C1247" s="4"/>
      <c r="D1247" s="4"/>
    </row>
    <row r="1248" spans="1:4" x14ac:dyDescent="0.3">
      <c r="A1248" s="4"/>
      <c r="B1248" s="4"/>
      <c r="C1248" s="4"/>
      <c r="D1248" s="4"/>
    </row>
    <row r="1249" spans="1:4" x14ac:dyDescent="0.3">
      <c r="A1249" s="4"/>
      <c r="B1249" s="4"/>
      <c r="C1249" s="4"/>
      <c r="D1249" s="4"/>
    </row>
    <row r="1250" spans="1:4" x14ac:dyDescent="0.3">
      <c r="A1250" s="4"/>
      <c r="B1250" s="4"/>
      <c r="C1250" s="4"/>
      <c r="D1250" s="4"/>
    </row>
    <row r="1251" spans="1:4" x14ac:dyDescent="0.3">
      <c r="A1251" s="4"/>
      <c r="B1251" s="4"/>
      <c r="C1251" s="4"/>
      <c r="D1251" s="4"/>
    </row>
    <row r="1252" spans="1:4" x14ac:dyDescent="0.3">
      <c r="A1252" s="4"/>
      <c r="B1252" s="4"/>
      <c r="C1252" s="4"/>
      <c r="D1252" s="4"/>
    </row>
    <row r="1253" spans="1:4" x14ac:dyDescent="0.3">
      <c r="A1253" s="4"/>
      <c r="B1253" s="4"/>
      <c r="C1253" s="4"/>
      <c r="D1253" s="4"/>
    </row>
    <row r="1254" spans="1:4" x14ac:dyDescent="0.3">
      <c r="A1254" s="4"/>
      <c r="B1254" s="4"/>
      <c r="C1254" s="4"/>
      <c r="D1254" s="4"/>
    </row>
    <row r="1255" spans="1:4" x14ac:dyDescent="0.3">
      <c r="A1255" s="4"/>
      <c r="B1255" s="4"/>
      <c r="C1255" s="4"/>
      <c r="D1255" s="4"/>
    </row>
    <row r="1256" spans="1:4" x14ac:dyDescent="0.3">
      <c r="A1256" s="4"/>
      <c r="B1256" s="4"/>
      <c r="C1256" s="4"/>
      <c r="D1256" s="4"/>
    </row>
    <row r="1257" spans="1:4" x14ac:dyDescent="0.3">
      <c r="A1257" s="4"/>
      <c r="B1257" s="4"/>
      <c r="C1257" s="4"/>
      <c r="D1257" s="4"/>
    </row>
    <row r="1258" spans="1:4" x14ac:dyDescent="0.3">
      <c r="A1258" s="4"/>
      <c r="B1258" s="4"/>
      <c r="C1258" s="4"/>
      <c r="D1258" s="4"/>
    </row>
    <row r="1259" spans="1:4" x14ac:dyDescent="0.3">
      <c r="A1259" s="4"/>
      <c r="B1259" s="4"/>
      <c r="C1259" s="4"/>
      <c r="D1259" s="4"/>
    </row>
    <row r="1260" spans="1:4" x14ac:dyDescent="0.3">
      <c r="A1260" s="4"/>
      <c r="B1260" s="4"/>
      <c r="C1260" s="4"/>
      <c r="D1260" s="4"/>
    </row>
    <row r="1261" spans="1:4" x14ac:dyDescent="0.3">
      <c r="A1261" s="4"/>
      <c r="B1261" s="4"/>
      <c r="C1261" s="4"/>
      <c r="D1261" s="4"/>
    </row>
    <row r="1262" spans="1:4" x14ac:dyDescent="0.3">
      <c r="A1262" s="4"/>
      <c r="B1262" s="4"/>
      <c r="C1262" s="4"/>
      <c r="D1262" s="4"/>
    </row>
    <row r="1263" spans="1:4" x14ac:dyDescent="0.3">
      <c r="A1263" s="4"/>
      <c r="B1263" s="4"/>
      <c r="C1263" s="4"/>
      <c r="D1263" s="4"/>
    </row>
    <row r="1264" spans="1:4" x14ac:dyDescent="0.3">
      <c r="A1264" s="4"/>
      <c r="B1264" s="4"/>
      <c r="C1264" s="4"/>
      <c r="D1264" s="4"/>
    </row>
    <row r="1265" spans="1:4" x14ac:dyDescent="0.3">
      <c r="A1265" s="4"/>
      <c r="B1265" s="4"/>
      <c r="C1265" s="4"/>
      <c r="D1265" s="4"/>
    </row>
    <row r="1266" spans="1:4" x14ac:dyDescent="0.3">
      <c r="A1266" s="4"/>
      <c r="B1266" s="4"/>
      <c r="C1266" s="4"/>
      <c r="D1266" s="4"/>
    </row>
    <row r="1267" spans="1:4" x14ac:dyDescent="0.3">
      <c r="A1267" s="4"/>
      <c r="B1267" s="4"/>
      <c r="C1267" s="4"/>
      <c r="D1267" s="4"/>
    </row>
    <row r="1268" spans="1:4" x14ac:dyDescent="0.3">
      <c r="A1268" s="4"/>
      <c r="B1268" s="4"/>
      <c r="C1268" s="4"/>
      <c r="D1268" s="4"/>
    </row>
    <row r="1269" spans="1:4" x14ac:dyDescent="0.3">
      <c r="A1269" s="4"/>
      <c r="B1269" s="4"/>
      <c r="C1269" s="4"/>
      <c r="D1269" s="4"/>
    </row>
    <row r="1270" spans="1:4" x14ac:dyDescent="0.3">
      <c r="A1270" s="4"/>
      <c r="B1270" s="4"/>
      <c r="C1270" s="4"/>
      <c r="D1270" s="4"/>
    </row>
    <row r="1271" spans="1:4" x14ac:dyDescent="0.3">
      <c r="A1271" s="4"/>
      <c r="B1271" s="4"/>
      <c r="C1271" s="4"/>
      <c r="D1271" s="4"/>
    </row>
    <row r="1272" spans="1:4" x14ac:dyDescent="0.3">
      <c r="A1272" s="4"/>
      <c r="B1272" s="4"/>
      <c r="C1272" s="4"/>
      <c r="D1272" s="4"/>
    </row>
    <row r="1273" spans="1:4" x14ac:dyDescent="0.3">
      <c r="A1273" s="4"/>
      <c r="B1273" s="4"/>
      <c r="C1273" s="4"/>
      <c r="D1273" s="4"/>
    </row>
    <row r="1274" spans="1:4" x14ac:dyDescent="0.3">
      <c r="A1274" s="4"/>
      <c r="B1274" s="4"/>
      <c r="C1274" s="4"/>
      <c r="D1274" s="4"/>
    </row>
    <row r="1275" spans="1:4" x14ac:dyDescent="0.3">
      <c r="A1275" s="4"/>
      <c r="B1275" s="4"/>
      <c r="C1275" s="4"/>
      <c r="D1275" s="4"/>
    </row>
    <row r="1276" spans="1:4" x14ac:dyDescent="0.3">
      <c r="A1276" s="4"/>
      <c r="B1276" s="4"/>
      <c r="C1276" s="4"/>
      <c r="D1276" s="4"/>
    </row>
    <row r="1277" spans="1:4" x14ac:dyDescent="0.3">
      <c r="A1277" s="4"/>
      <c r="B1277" s="4"/>
      <c r="C1277" s="4"/>
      <c r="D1277" s="4"/>
    </row>
    <row r="1278" spans="1:4" x14ac:dyDescent="0.3">
      <c r="A1278" s="4"/>
      <c r="B1278" s="4"/>
      <c r="C1278" s="4"/>
      <c r="D1278" s="4"/>
    </row>
    <row r="1279" spans="1:4" x14ac:dyDescent="0.3">
      <c r="A1279" s="4"/>
      <c r="B1279" s="4"/>
      <c r="C1279" s="4"/>
      <c r="D1279" s="4"/>
    </row>
    <row r="1280" spans="1:4" x14ac:dyDescent="0.3">
      <c r="A1280" s="4"/>
      <c r="B1280" s="4"/>
      <c r="C1280" s="4"/>
      <c r="D1280" s="4"/>
    </row>
    <row r="1281" spans="1:4" x14ac:dyDescent="0.3">
      <c r="A1281" s="4"/>
      <c r="B1281" s="4"/>
      <c r="C1281" s="4"/>
      <c r="D1281" s="4"/>
    </row>
    <row r="1282" spans="1:4" x14ac:dyDescent="0.3">
      <c r="A1282" s="4"/>
      <c r="B1282" s="4"/>
      <c r="C1282" s="4"/>
      <c r="D1282" s="4"/>
    </row>
    <row r="1283" spans="1:4" x14ac:dyDescent="0.3">
      <c r="A1283" s="4"/>
      <c r="B1283" s="4"/>
      <c r="C1283" s="4"/>
      <c r="D1283" s="4"/>
    </row>
    <row r="1284" spans="1:4" x14ac:dyDescent="0.3">
      <c r="A1284" s="4"/>
      <c r="B1284" s="4"/>
      <c r="C1284" s="4"/>
      <c r="D1284" s="4"/>
    </row>
    <row r="1285" spans="1:4" x14ac:dyDescent="0.3">
      <c r="A1285" s="4"/>
      <c r="B1285" s="4"/>
      <c r="C1285" s="4"/>
      <c r="D1285" s="4"/>
    </row>
    <row r="1286" spans="1:4" x14ac:dyDescent="0.3">
      <c r="A1286" s="4"/>
      <c r="B1286" s="4"/>
      <c r="C1286" s="4"/>
      <c r="D1286" s="4"/>
    </row>
    <row r="1287" spans="1:4" x14ac:dyDescent="0.3">
      <c r="A1287" s="4"/>
      <c r="B1287" s="4"/>
      <c r="C1287" s="4"/>
      <c r="D1287" s="4"/>
    </row>
    <row r="1288" spans="1:4" x14ac:dyDescent="0.3">
      <c r="A1288" s="4"/>
      <c r="B1288" s="4"/>
      <c r="C1288" s="4"/>
      <c r="D1288" s="4"/>
    </row>
    <row r="1289" spans="1:4" x14ac:dyDescent="0.3">
      <c r="A1289" s="4"/>
      <c r="B1289" s="4"/>
      <c r="C1289" s="4"/>
      <c r="D1289" s="4"/>
    </row>
    <row r="1290" spans="1:4" x14ac:dyDescent="0.3">
      <c r="A1290" s="4"/>
      <c r="B1290" s="4"/>
      <c r="C1290" s="4"/>
      <c r="D1290" s="4"/>
    </row>
    <row r="1291" spans="1:4" x14ac:dyDescent="0.3">
      <c r="A1291" s="4"/>
      <c r="B1291" s="4"/>
      <c r="C1291" s="4"/>
      <c r="D1291" s="4"/>
    </row>
    <row r="1292" spans="1:4" x14ac:dyDescent="0.3">
      <c r="A1292" s="4"/>
      <c r="B1292" s="4"/>
      <c r="C1292" s="4"/>
      <c r="D1292" s="4"/>
    </row>
    <row r="1293" spans="1:4" x14ac:dyDescent="0.3">
      <c r="A1293" s="4"/>
      <c r="B1293" s="4"/>
      <c r="C1293" s="4"/>
      <c r="D1293" s="4"/>
    </row>
    <row r="1294" spans="1:4" x14ac:dyDescent="0.3">
      <c r="A1294" s="4"/>
      <c r="B1294" s="4"/>
      <c r="C1294" s="4"/>
      <c r="D1294" s="4"/>
    </row>
    <row r="1295" spans="1:4" x14ac:dyDescent="0.3">
      <c r="A1295" s="4"/>
      <c r="B1295" s="4"/>
      <c r="C1295" s="4"/>
      <c r="D1295" s="4"/>
    </row>
    <row r="1296" spans="1:4" x14ac:dyDescent="0.3">
      <c r="A1296" s="4"/>
      <c r="B1296" s="4"/>
      <c r="C1296" s="4"/>
      <c r="D1296" s="4"/>
    </row>
    <row r="1297" spans="1:4" x14ac:dyDescent="0.3">
      <c r="A1297" s="4"/>
      <c r="B1297" s="4"/>
      <c r="C1297" s="4"/>
      <c r="D1297" s="4"/>
    </row>
    <row r="1298" spans="1:4" x14ac:dyDescent="0.3">
      <c r="A1298" s="4"/>
      <c r="B1298" s="4"/>
      <c r="C1298" s="4"/>
      <c r="D1298" s="4"/>
    </row>
    <row r="1299" spans="1:4" x14ac:dyDescent="0.3">
      <c r="A1299" s="4"/>
      <c r="B1299" s="4"/>
      <c r="C1299" s="4"/>
      <c r="D1299" s="4"/>
    </row>
    <row r="1300" spans="1:4" x14ac:dyDescent="0.3">
      <c r="A1300" s="4"/>
      <c r="B1300" s="4"/>
      <c r="C1300" s="4"/>
      <c r="D1300" s="4"/>
    </row>
    <row r="1301" spans="1:4" x14ac:dyDescent="0.3">
      <c r="A1301" s="4"/>
      <c r="B1301" s="4"/>
      <c r="C1301" s="4"/>
      <c r="D1301" s="4"/>
    </row>
    <row r="1302" spans="1:4" x14ac:dyDescent="0.3">
      <c r="A1302" s="4"/>
      <c r="B1302" s="4"/>
      <c r="C1302" s="4"/>
      <c r="D1302" s="4"/>
    </row>
    <row r="1303" spans="1:4" x14ac:dyDescent="0.3">
      <c r="A1303" s="4"/>
      <c r="B1303" s="4"/>
      <c r="C1303" s="4"/>
      <c r="D1303" s="4"/>
    </row>
    <row r="1304" spans="1:4" x14ac:dyDescent="0.3">
      <c r="A1304" s="4"/>
      <c r="B1304" s="4"/>
      <c r="C1304" s="4"/>
      <c r="D1304" s="4"/>
    </row>
    <row r="1305" spans="1:4" x14ac:dyDescent="0.3">
      <c r="A1305" s="4"/>
      <c r="B1305" s="4"/>
      <c r="C1305" s="4"/>
      <c r="D1305" s="4"/>
    </row>
    <row r="1306" spans="1:4" x14ac:dyDescent="0.3">
      <c r="A1306" s="4"/>
      <c r="B1306" s="4"/>
      <c r="C1306" s="4"/>
      <c r="D1306" s="4"/>
    </row>
    <row r="1307" spans="1:4" x14ac:dyDescent="0.3">
      <c r="A1307" s="4"/>
      <c r="B1307" s="4"/>
      <c r="C1307" s="4"/>
      <c r="D1307" s="4"/>
    </row>
    <row r="1308" spans="1:4" x14ac:dyDescent="0.3">
      <c r="A1308" s="4"/>
      <c r="B1308" s="4"/>
      <c r="C1308" s="4"/>
      <c r="D1308" s="4"/>
    </row>
    <row r="1309" spans="1:4" x14ac:dyDescent="0.3">
      <c r="A1309" s="4"/>
      <c r="B1309" s="4"/>
      <c r="C1309" s="4"/>
      <c r="D1309" s="4"/>
    </row>
    <row r="1310" spans="1:4" x14ac:dyDescent="0.3">
      <c r="A1310" s="4"/>
      <c r="B1310" s="4"/>
      <c r="C1310" s="4"/>
      <c r="D1310" s="4"/>
    </row>
    <row r="1311" spans="1:4" x14ac:dyDescent="0.3">
      <c r="A1311" s="4"/>
      <c r="B1311" s="4"/>
      <c r="C1311" s="4"/>
      <c r="D1311" s="4"/>
    </row>
    <row r="1312" spans="1:4" x14ac:dyDescent="0.3">
      <c r="A1312" s="4"/>
      <c r="B1312" s="4"/>
      <c r="C1312" s="4"/>
      <c r="D1312" s="4"/>
    </row>
    <row r="1313" spans="1:4" x14ac:dyDescent="0.3">
      <c r="A1313" s="4"/>
      <c r="B1313" s="4"/>
      <c r="C1313" s="4"/>
      <c r="D1313" s="4"/>
    </row>
    <row r="1314" spans="1:4" x14ac:dyDescent="0.3">
      <c r="A1314" s="4"/>
      <c r="B1314" s="4"/>
      <c r="C1314" s="4"/>
      <c r="D1314" s="4"/>
    </row>
    <row r="1315" spans="1:4" x14ac:dyDescent="0.3">
      <c r="A1315" s="4"/>
      <c r="B1315" s="4"/>
      <c r="C1315" s="4"/>
      <c r="D1315" s="4"/>
    </row>
    <row r="1316" spans="1:4" x14ac:dyDescent="0.3">
      <c r="A1316" s="4"/>
      <c r="B1316" s="4"/>
      <c r="C1316" s="4"/>
      <c r="D1316" s="4"/>
    </row>
    <row r="1317" spans="1:4" x14ac:dyDescent="0.3">
      <c r="A1317" s="4"/>
      <c r="B1317" s="4"/>
      <c r="C1317" s="4"/>
      <c r="D1317" s="4"/>
    </row>
    <row r="1318" spans="1:4" x14ac:dyDescent="0.3">
      <c r="A1318" s="4"/>
      <c r="B1318" s="4"/>
      <c r="C1318" s="4"/>
      <c r="D1318" s="4"/>
    </row>
    <row r="1319" spans="1:4" x14ac:dyDescent="0.3">
      <c r="A1319" s="4"/>
      <c r="B1319" s="4"/>
      <c r="C1319" s="4"/>
      <c r="D1319" s="4"/>
    </row>
    <row r="1320" spans="1:4" x14ac:dyDescent="0.3">
      <c r="A1320" s="4"/>
      <c r="B1320" s="4"/>
      <c r="C1320" s="4"/>
      <c r="D1320" s="4"/>
    </row>
    <row r="1321" spans="1:4" x14ac:dyDescent="0.3">
      <c r="A1321" s="4"/>
      <c r="B1321" s="4"/>
      <c r="C1321" s="4"/>
      <c r="D1321" s="4"/>
    </row>
    <row r="1322" spans="1:4" x14ac:dyDescent="0.3">
      <c r="A1322" s="4"/>
      <c r="B1322" s="4"/>
      <c r="C1322" s="4"/>
      <c r="D1322" s="4"/>
    </row>
    <row r="1323" spans="1:4" x14ac:dyDescent="0.3">
      <c r="A1323" s="4"/>
      <c r="B1323" s="4"/>
      <c r="C1323" s="4"/>
      <c r="D1323" s="4"/>
    </row>
    <row r="1324" spans="1:4" x14ac:dyDescent="0.3">
      <c r="A1324" s="4"/>
      <c r="B1324" s="4"/>
      <c r="C1324" s="4"/>
      <c r="D1324" s="4"/>
    </row>
    <row r="1325" spans="1:4" x14ac:dyDescent="0.3">
      <c r="A1325" s="4"/>
      <c r="B1325" s="4"/>
      <c r="C1325" s="4"/>
      <c r="D1325" s="4"/>
    </row>
    <row r="1326" spans="1:4" x14ac:dyDescent="0.3">
      <c r="A1326" s="4"/>
      <c r="B1326" s="4"/>
      <c r="C1326" s="4"/>
      <c r="D1326" s="4"/>
    </row>
    <row r="1327" spans="1:4" x14ac:dyDescent="0.3">
      <c r="A1327" s="4"/>
      <c r="B1327" s="4"/>
      <c r="C1327" s="4"/>
      <c r="D1327" s="4"/>
    </row>
    <row r="1328" spans="1:4" x14ac:dyDescent="0.3">
      <c r="A1328" s="4"/>
      <c r="B1328" s="4"/>
      <c r="C1328" s="4"/>
      <c r="D1328" s="4"/>
    </row>
    <row r="1329" spans="1:4" x14ac:dyDescent="0.3">
      <c r="A1329" s="4"/>
      <c r="B1329" s="4"/>
      <c r="C1329" s="4"/>
      <c r="D1329" s="4"/>
    </row>
    <row r="1330" spans="1:4" x14ac:dyDescent="0.3">
      <c r="A1330" s="4"/>
      <c r="B1330" s="4"/>
      <c r="C1330" s="4"/>
      <c r="D1330" s="4"/>
    </row>
    <row r="1331" spans="1:4" x14ac:dyDescent="0.3">
      <c r="A1331" s="4"/>
      <c r="B1331" s="4"/>
      <c r="C1331" s="4"/>
      <c r="D1331" s="4"/>
    </row>
    <row r="1332" spans="1:4" x14ac:dyDescent="0.3">
      <c r="A1332" s="4"/>
      <c r="B1332" s="4"/>
      <c r="C1332" s="4"/>
      <c r="D1332" s="4"/>
    </row>
    <row r="1333" spans="1:4" x14ac:dyDescent="0.3">
      <c r="A1333" s="4"/>
      <c r="B1333" s="4"/>
      <c r="C1333" s="4"/>
      <c r="D1333" s="4"/>
    </row>
    <row r="1334" spans="1:4" x14ac:dyDescent="0.3">
      <c r="A1334" s="4"/>
      <c r="B1334" s="4"/>
      <c r="C1334" s="4"/>
      <c r="D1334" s="4"/>
    </row>
    <row r="1335" spans="1:4" x14ac:dyDescent="0.3">
      <c r="A1335" s="4"/>
      <c r="B1335" s="4"/>
      <c r="C1335" s="4"/>
      <c r="D1335" s="4"/>
    </row>
    <row r="1336" spans="1:4" x14ac:dyDescent="0.3">
      <c r="A1336" s="4"/>
      <c r="B1336" s="4"/>
      <c r="C1336" s="4"/>
      <c r="D1336" s="4"/>
    </row>
    <row r="1337" spans="1:4" x14ac:dyDescent="0.3">
      <c r="A1337" s="4"/>
      <c r="B1337" s="4"/>
      <c r="C1337" s="4"/>
      <c r="D1337" s="4"/>
    </row>
    <row r="1338" spans="1:4" x14ac:dyDescent="0.3">
      <c r="A1338" s="4"/>
      <c r="B1338" s="4"/>
      <c r="C1338" s="4"/>
      <c r="D1338" s="4"/>
    </row>
    <row r="1339" spans="1:4" x14ac:dyDescent="0.3">
      <c r="A1339" s="4"/>
      <c r="B1339" s="4"/>
      <c r="C1339" s="4"/>
      <c r="D1339" s="4"/>
    </row>
    <row r="1340" spans="1:4" x14ac:dyDescent="0.3">
      <c r="A1340" s="4"/>
      <c r="B1340" s="4"/>
      <c r="C1340" s="4"/>
      <c r="D1340" s="4"/>
    </row>
    <row r="1341" spans="1:4" x14ac:dyDescent="0.3">
      <c r="A1341" s="4"/>
      <c r="B1341" s="4"/>
      <c r="C1341" s="4"/>
      <c r="D1341" s="4"/>
    </row>
    <row r="1342" spans="1:4" x14ac:dyDescent="0.3">
      <c r="A1342" s="4"/>
      <c r="B1342" s="4"/>
      <c r="C1342" s="4"/>
      <c r="D1342" s="4"/>
    </row>
    <row r="1343" spans="1:4" x14ac:dyDescent="0.3">
      <c r="A1343" s="4"/>
      <c r="B1343" s="4"/>
      <c r="C1343" s="4"/>
      <c r="D1343" s="4"/>
    </row>
    <row r="1344" spans="1:4" x14ac:dyDescent="0.3">
      <c r="A1344" s="4"/>
      <c r="B1344" s="4"/>
      <c r="C1344" s="4"/>
      <c r="D1344" s="4"/>
    </row>
    <row r="1345" spans="1:4" x14ac:dyDescent="0.3">
      <c r="A1345" s="4"/>
      <c r="B1345" s="4"/>
      <c r="C1345" s="4"/>
      <c r="D1345" s="4"/>
    </row>
    <row r="1346" spans="1:4" x14ac:dyDescent="0.3">
      <c r="A1346" s="4"/>
      <c r="B1346" s="4"/>
      <c r="C1346" s="4"/>
      <c r="D1346" s="4"/>
    </row>
    <row r="1347" spans="1:4" x14ac:dyDescent="0.3">
      <c r="A1347" s="4"/>
      <c r="B1347" s="4"/>
      <c r="C1347" s="4"/>
      <c r="D1347" s="4"/>
    </row>
    <row r="1348" spans="1:4" x14ac:dyDescent="0.3">
      <c r="A1348" s="4"/>
      <c r="B1348" s="4"/>
      <c r="C1348" s="4"/>
      <c r="D1348" s="4"/>
    </row>
    <row r="1349" spans="1:4" x14ac:dyDescent="0.3">
      <c r="A1349" s="4"/>
      <c r="B1349" s="4"/>
      <c r="C1349" s="4"/>
      <c r="D1349" s="4"/>
    </row>
    <row r="1350" spans="1:4" x14ac:dyDescent="0.3">
      <c r="A1350" s="4"/>
      <c r="B1350" s="4"/>
      <c r="C1350" s="4"/>
      <c r="D1350" s="4"/>
    </row>
    <row r="1351" spans="1:4" x14ac:dyDescent="0.3">
      <c r="A1351" s="4"/>
      <c r="B1351" s="4"/>
      <c r="C1351" s="4"/>
      <c r="D1351" s="4"/>
    </row>
    <row r="1352" spans="1:4" x14ac:dyDescent="0.3">
      <c r="A1352" s="4"/>
      <c r="B1352" s="4"/>
      <c r="C1352" s="4"/>
      <c r="D1352" s="4"/>
    </row>
    <row r="1353" spans="1:4" x14ac:dyDescent="0.3">
      <c r="A1353" s="4"/>
      <c r="B1353" s="4"/>
      <c r="C1353" s="4"/>
      <c r="D1353" s="4"/>
    </row>
    <row r="1354" spans="1:4" x14ac:dyDescent="0.3">
      <c r="A1354" s="4"/>
      <c r="B1354" s="4"/>
      <c r="C1354" s="4"/>
      <c r="D1354" s="4"/>
    </row>
    <row r="1355" spans="1:4" x14ac:dyDescent="0.3">
      <c r="A1355" s="4"/>
      <c r="B1355" s="4"/>
      <c r="C1355" s="4"/>
      <c r="D1355" s="4"/>
    </row>
    <row r="1356" spans="1:4" x14ac:dyDescent="0.3">
      <c r="A1356" s="4"/>
      <c r="B1356" s="4"/>
      <c r="C1356" s="4"/>
      <c r="D1356" s="4"/>
    </row>
    <row r="1357" spans="1:4" x14ac:dyDescent="0.3">
      <c r="A1357" s="4"/>
      <c r="B1357" s="4"/>
      <c r="C1357" s="4"/>
      <c r="D1357" s="4"/>
    </row>
    <row r="1358" spans="1:4" x14ac:dyDescent="0.3">
      <c r="A1358" s="4"/>
      <c r="B1358" s="4"/>
      <c r="C1358" s="4"/>
      <c r="D1358" s="4"/>
    </row>
    <row r="1359" spans="1:4" x14ac:dyDescent="0.3">
      <c r="A1359" s="4"/>
      <c r="B1359" s="4"/>
      <c r="C1359" s="4"/>
      <c r="D1359" s="4"/>
    </row>
    <row r="1360" spans="1:4" x14ac:dyDescent="0.3">
      <c r="A1360" s="4"/>
      <c r="B1360" s="4"/>
      <c r="C1360" s="4"/>
      <c r="D1360" s="4"/>
    </row>
    <row r="1361" spans="1:4" x14ac:dyDescent="0.3">
      <c r="A1361" s="4"/>
      <c r="B1361" s="4"/>
      <c r="C1361" s="4"/>
      <c r="D1361" s="4"/>
    </row>
    <row r="1362" spans="1:4" x14ac:dyDescent="0.3">
      <c r="A1362" s="4"/>
      <c r="B1362" s="4"/>
      <c r="C1362" s="4"/>
      <c r="D1362" s="4"/>
    </row>
    <row r="1363" spans="1:4" x14ac:dyDescent="0.3">
      <c r="A1363" s="4"/>
      <c r="B1363" s="4"/>
      <c r="C1363" s="4"/>
      <c r="D1363" s="4"/>
    </row>
    <row r="1364" spans="1:4" x14ac:dyDescent="0.3">
      <c r="A1364" s="4"/>
      <c r="B1364" s="4"/>
      <c r="C1364" s="4"/>
      <c r="D1364" s="4"/>
    </row>
    <row r="1365" spans="1:4" x14ac:dyDescent="0.3">
      <c r="A1365" s="4"/>
      <c r="B1365" s="4"/>
      <c r="C1365" s="4"/>
      <c r="D1365" s="4"/>
    </row>
    <row r="1366" spans="1:4" x14ac:dyDescent="0.3">
      <c r="A1366" s="4"/>
      <c r="B1366" s="4"/>
      <c r="C1366" s="4"/>
      <c r="D1366" s="4"/>
    </row>
    <row r="1367" spans="1:4" x14ac:dyDescent="0.3">
      <c r="A1367" s="4"/>
      <c r="B1367" s="4"/>
      <c r="C1367" s="4"/>
      <c r="D1367" s="4"/>
    </row>
    <row r="1368" spans="1:4" x14ac:dyDescent="0.3">
      <c r="A1368" s="4"/>
      <c r="B1368" s="4"/>
      <c r="C1368" s="4"/>
      <c r="D1368" s="4"/>
    </row>
    <row r="1369" spans="1:4" x14ac:dyDescent="0.3">
      <c r="A1369" s="4"/>
      <c r="B1369" s="4"/>
      <c r="C1369" s="4"/>
      <c r="D1369" s="4"/>
    </row>
    <row r="1370" spans="1:4" x14ac:dyDescent="0.3">
      <c r="A1370" s="4"/>
      <c r="B1370" s="4"/>
      <c r="C1370" s="4"/>
      <c r="D1370" s="4"/>
    </row>
    <row r="1371" spans="1:4" x14ac:dyDescent="0.3">
      <c r="A1371" s="4"/>
      <c r="B1371" s="4"/>
      <c r="C1371" s="4"/>
      <c r="D1371" s="4"/>
    </row>
    <row r="1372" spans="1:4" x14ac:dyDescent="0.3">
      <c r="A1372" s="4"/>
      <c r="B1372" s="4"/>
      <c r="C1372" s="4"/>
      <c r="D1372" s="4"/>
    </row>
    <row r="1373" spans="1:4" x14ac:dyDescent="0.3">
      <c r="A1373" s="4"/>
      <c r="B1373" s="4"/>
      <c r="C1373" s="4"/>
      <c r="D1373" s="4"/>
    </row>
    <row r="1374" spans="1:4" x14ac:dyDescent="0.3">
      <c r="A1374" s="4"/>
      <c r="B1374" s="4"/>
      <c r="C1374" s="4"/>
      <c r="D1374" s="4"/>
    </row>
    <row r="1375" spans="1:4" x14ac:dyDescent="0.3">
      <c r="A1375" s="4"/>
      <c r="B1375" s="4"/>
      <c r="C1375" s="4"/>
      <c r="D1375" s="4"/>
    </row>
    <row r="1376" spans="1:4" x14ac:dyDescent="0.3">
      <c r="A1376" s="4"/>
      <c r="B1376" s="4"/>
      <c r="C1376" s="4"/>
      <c r="D1376" s="4"/>
    </row>
    <row r="1377" spans="1:4" x14ac:dyDescent="0.3">
      <c r="A1377" s="4"/>
      <c r="B1377" s="4"/>
      <c r="C1377" s="4"/>
      <c r="D1377" s="4"/>
    </row>
    <row r="1378" spans="1:4" x14ac:dyDescent="0.3">
      <c r="A1378" s="4"/>
      <c r="B1378" s="4"/>
      <c r="C1378" s="4"/>
      <c r="D1378" s="4"/>
    </row>
    <row r="1379" spans="1:4" x14ac:dyDescent="0.3">
      <c r="A1379" s="4"/>
      <c r="B1379" s="4"/>
      <c r="C1379" s="4"/>
      <c r="D1379" s="4"/>
    </row>
    <row r="1380" spans="1:4" x14ac:dyDescent="0.3">
      <c r="A1380" s="4"/>
      <c r="B1380" s="4"/>
      <c r="C1380" s="4"/>
      <c r="D1380" s="4"/>
    </row>
    <row r="1381" spans="1:4" x14ac:dyDescent="0.3">
      <c r="A1381" s="4"/>
      <c r="B1381" s="4"/>
      <c r="C1381" s="4"/>
      <c r="D1381" s="4"/>
    </row>
    <row r="1382" spans="1:4" x14ac:dyDescent="0.3">
      <c r="A1382" s="4"/>
      <c r="B1382" s="4"/>
      <c r="C1382" s="4"/>
      <c r="D1382" s="4"/>
    </row>
    <row r="1383" spans="1:4" x14ac:dyDescent="0.3">
      <c r="A1383" s="4"/>
      <c r="B1383" s="4"/>
      <c r="C1383" s="4"/>
      <c r="D1383" s="4"/>
    </row>
    <row r="1384" spans="1:4" x14ac:dyDescent="0.3">
      <c r="A1384" s="4"/>
      <c r="B1384" s="4"/>
      <c r="C1384" s="4"/>
      <c r="D1384" s="4"/>
    </row>
    <row r="1385" spans="1:4" x14ac:dyDescent="0.3">
      <c r="A1385" s="4"/>
      <c r="B1385" s="4"/>
      <c r="C1385" s="4"/>
      <c r="D1385" s="4"/>
    </row>
    <row r="1386" spans="1:4" x14ac:dyDescent="0.3">
      <c r="A1386" s="4"/>
      <c r="B1386" s="4"/>
      <c r="C1386" s="4"/>
      <c r="D1386" s="4"/>
    </row>
    <row r="1387" spans="1:4" x14ac:dyDescent="0.3">
      <c r="A1387" s="4"/>
      <c r="B1387" s="4"/>
      <c r="C1387" s="4"/>
      <c r="D1387" s="4"/>
    </row>
    <row r="1388" spans="1:4" x14ac:dyDescent="0.3">
      <c r="A1388" s="4"/>
      <c r="B1388" s="4"/>
      <c r="C1388" s="4"/>
      <c r="D1388" s="4"/>
    </row>
    <row r="1389" spans="1:4" x14ac:dyDescent="0.3">
      <c r="A1389" s="4"/>
      <c r="B1389" s="4"/>
      <c r="C1389" s="4"/>
      <c r="D1389" s="4"/>
    </row>
    <row r="1390" spans="1:4" x14ac:dyDescent="0.3">
      <c r="A1390" s="4"/>
      <c r="B1390" s="4"/>
      <c r="C1390" s="4"/>
      <c r="D1390" s="4"/>
    </row>
    <row r="1391" spans="1:4" x14ac:dyDescent="0.3">
      <c r="A1391" s="4"/>
      <c r="B1391" s="4"/>
      <c r="C1391" s="4"/>
      <c r="D1391" s="4"/>
    </row>
    <row r="1392" spans="1:4" x14ac:dyDescent="0.3">
      <c r="A1392" s="4"/>
      <c r="B1392" s="4"/>
      <c r="C1392" s="4"/>
      <c r="D1392" s="4"/>
    </row>
    <row r="1393" spans="1:4" x14ac:dyDescent="0.3">
      <c r="A1393" s="4"/>
      <c r="B1393" s="4"/>
      <c r="C1393" s="4"/>
      <c r="D1393" s="4"/>
    </row>
    <row r="1394" spans="1:4" x14ac:dyDescent="0.3">
      <c r="A1394" s="4"/>
      <c r="B1394" s="4"/>
      <c r="C1394" s="4"/>
      <c r="D1394" s="4"/>
    </row>
    <row r="1395" spans="1:4" x14ac:dyDescent="0.3">
      <c r="A1395" s="4"/>
      <c r="B1395" s="4"/>
      <c r="C1395" s="4"/>
      <c r="D1395" s="4"/>
    </row>
    <row r="1396" spans="1:4" x14ac:dyDescent="0.3">
      <c r="A1396" s="4"/>
      <c r="B1396" s="4"/>
      <c r="C1396" s="4"/>
      <c r="D1396" s="4"/>
    </row>
    <row r="1397" spans="1:4" x14ac:dyDescent="0.3">
      <c r="A1397" s="4"/>
      <c r="B1397" s="4"/>
      <c r="C1397" s="4"/>
      <c r="D1397" s="4"/>
    </row>
    <row r="1398" spans="1:4" x14ac:dyDescent="0.3">
      <c r="A1398" s="4"/>
      <c r="B1398" s="4"/>
      <c r="C1398" s="4"/>
      <c r="D1398" s="4"/>
    </row>
    <row r="1399" spans="1:4" x14ac:dyDescent="0.3">
      <c r="A1399" s="4"/>
      <c r="B1399" s="4"/>
      <c r="C1399" s="4"/>
      <c r="D1399" s="4"/>
    </row>
    <row r="1400" spans="1:4" x14ac:dyDescent="0.3">
      <c r="A1400" s="4"/>
      <c r="B1400" s="4"/>
      <c r="C1400" s="4"/>
      <c r="D1400" s="4"/>
    </row>
    <row r="1401" spans="1:4" x14ac:dyDescent="0.3">
      <c r="A1401" s="4"/>
      <c r="B1401" s="4"/>
      <c r="C1401" s="4"/>
      <c r="D1401" s="4"/>
    </row>
    <row r="1402" spans="1:4" x14ac:dyDescent="0.3">
      <c r="A1402" s="4"/>
      <c r="B1402" s="4"/>
      <c r="C1402" s="4"/>
      <c r="D1402" s="4"/>
    </row>
    <row r="1403" spans="1:4" x14ac:dyDescent="0.3">
      <c r="A1403" s="4"/>
      <c r="B1403" s="4"/>
      <c r="C1403" s="4"/>
      <c r="D1403" s="4"/>
    </row>
    <row r="1404" spans="1:4" x14ac:dyDescent="0.3">
      <c r="A1404" s="4"/>
      <c r="B1404" s="4"/>
      <c r="C1404" s="4"/>
      <c r="D1404" s="4"/>
    </row>
    <row r="1405" spans="1:4" x14ac:dyDescent="0.3">
      <c r="A1405" s="4"/>
      <c r="B1405" s="4"/>
      <c r="C1405" s="4"/>
      <c r="D1405" s="4"/>
    </row>
    <row r="1406" spans="1:4" x14ac:dyDescent="0.3">
      <c r="A1406" s="4"/>
      <c r="B1406" s="4"/>
      <c r="C1406" s="4"/>
      <c r="D1406" s="4"/>
    </row>
    <row r="1407" spans="1:4" x14ac:dyDescent="0.3">
      <c r="A1407" s="4"/>
      <c r="B1407" s="4"/>
      <c r="C1407" s="4"/>
      <c r="D1407" s="4"/>
    </row>
    <row r="1408" spans="1:4" x14ac:dyDescent="0.3">
      <c r="A1408" s="4"/>
      <c r="B1408" s="4"/>
      <c r="C1408" s="4"/>
      <c r="D1408" s="4"/>
    </row>
    <row r="1409" spans="1:4" x14ac:dyDescent="0.3">
      <c r="A1409" s="4"/>
      <c r="B1409" s="4"/>
      <c r="C1409" s="4"/>
      <c r="D1409" s="4"/>
    </row>
    <row r="1410" spans="1:4" x14ac:dyDescent="0.3">
      <c r="A1410" s="4"/>
      <c r="B1410" s="4"/>
      <c r="C1410" s="4"/>
      <c r="D1410" s="4"/>
    </row>
    <row r="1411" spans="1:4" x14ac:dyDescent="0.3">
      <c r="A1411" s="4"/>
      <c r="B1411" s="4"/>
      <c r="C1411" s="4"/>
      <c r="D1411" s="4"/>
    </row>
    <row r="1412" spans="1:4" x14ac:dyDescent="0.3">
      <c r="A1412" s="4"/>
      <c r="B1412" s="4"/>
      <c r="C1412" s="4"/>
      <c r="D1412" s="4"/>
    </row>
    <row r="1413" spans="1:4" x14ac:dyDescent="0.3">
      <c r="A1413" s="4"/>
      <c r="B1413" s="4"/>
      <c r="C1413" s="4"/>
      <c r="D1413" s="4"/>
    </row>
    <row r="1414" spans="1:4" x14ac:dyDescent="0.3">
      <c r="A1414" s="4"/>
      <c r="B1414" s="4"/>
      <c r="C1414" s="4"/>
      <c r="D1414" s="4"/>
    </row>
    <row r="1415" spans="1:4" x14ac:dyDescent="0.3">
      <c r="A1415" s="4"/>
      <c r="B1415" s="4"/>
      <c r="C1415" s="4"/>
      <c r="D1415" s="4"/>
    </row>
    <row r="1416" spans="1:4" x14ac:dyDescent="0.3">
      <c r="A1416" s="4"/>
      <c r="B1416" s="4"/>
      <c r="C1416" s="4"/>
      <c r="D1416" s="4"/>
    </row>
    <row r="1417" spans="1:4" x14ac:dyDescent="0.3">
      <c r="A1417" s="4"/>
      <c r="B1417" s="4"/>
      <c r="C1417" s="4"/>
      <c r="D1417" s="4"/>
    </row>
    <row r="1418" spans="1:4" x14ac:dyDescent="0.3">
      <c r="A1418" s="4"/>
      <c r="B1418" s="4"/>
      <c r="C1418" s="4"/>
      <c r="D1418" s="4"/>
    </row>
    <row r="1419" spans="1:4" x14ac:dyDescent="0.3">
      <c r="A1419" s="4"/>
      <c r="B1419" s="4"/>
      <c r="C1419" s="4"/>
      <c r="D1419" s="4"/>
    </row>
    <row r="1420" spans="1:4" x14ac:dyDescent="0.3">
      <c r="A1420" s="4"/>
      <c r="B1420" s="4"/>
      <c r="C1420" s="4"/>
      <c r="D1420" s="4"/>
    </row>
    <row r="1421" spans="1:4" x14ac:dyDescent="0.3">
      <c r="A1421" s="4"/>
      <c r="B1421" s="4"/>
      <c r="C1421" s="4"/>
      <c r="D1421" s="4"/>
    </row>
    <row r="1422" spans="1:4" x14ac:dyDescent="0.3">
      <c r="A1422" s="4"/>
      <c r="B1422" s="4"/>
      <c r="C1422" s="4"/>
      <c r="D1422" s="4"/>
    </row>
    <row r="1423" spans="1:4" x14ac:dyDescent="0.3">
      <c r="A1423" s="4"/>
      <c r="B1423" s="4"/>
      <c r="C1423" s="4"/>
      <c r="D1423" s="4"/>
    </row>
    <row r="1424" spans="1:4" x14ac:dyDescent="0.3">
      <c r="A1424" s="4"/>
      <c r="B1424" s="4"/>
      <c r="C1424" s="4"/>
      <c r="D1424" s="4"/>
    </row>
    <row r="1425" spans="1:4" x14ac:dyDescent="0.3">
      <c r="A1425" s="4"/>
      <c r="B1425" s="4"/>
      <c r="C1425" s="4"/>
      <c r="D1425" s="4"/>
    </row>
    <row r="1426" spans="1:4" x14ac:dyDescent="0.3">
      <c r="A1426" s="4"/>
      <c r="B1426" s="4"/>
      <c r="C1426" s="4"/>
      <c r="D1426" s="4"/>
    </row>
    <row r="1427" spans="1:4" x14ac:dyDescent="0.3">
      <c r="A1427" s="4"/>
      <c r="B1427" s="4"/>
      <c r="C1427" s="4"/>
      <c r="D1427" s="4"/>
    </row>
    <row r="1428" spans="1:4" x14ac:dyDescent="0.3">
      <c r="A1428" s="4"/>
      <c r="B1428" s="4"/>
      <c r="C1428" s="4"/>
      <c r="D1428" s="4"/>
    </row>
    <row r="1429" spans="1:4" x14ac:dyDescent="0.3">
      <c r="A1429" s="4"/>
      <c r="B1429" s="4"/>
      <c r="C1429" s="4"/>
      <c r="D1429" s="4"/>
    </row>
    <row r="1430" spans="1:4" x14ac:dyDescent="0.3">
      <c r="A1430" s="4"/>
      <c r="B1430" s="4"/>
      <c r="C1430" s="4"/>
      <c r="D1430" s="4"/>
    </row>
    <row r="1431" spans="1:4" x14ac:dyDescent="0.3">
      <c r="A1431" s="4"/>
      <c r="B1431" s="4"/>
      <c r="C1431" s="4"/>
      <c r="D1431" s="4"/>
    </row>
    <row r="1432" spans="1:4" x14ac:dyDescent="0.3">
      <c r="A1432" s="4"/>
      <c r="B1432" s="4"/>
      <c r="C1432" s="4"/>
      <c r="D1432" s="4"/>
    </row>
    <row r="1433" spans="1:4" x14ac:dyDescent="0.3">
      <c r="A1433" s="4"/>
      <c r="B1433" s="4"/>
      <c r="C1433" s="4"/>
      <c r="D1433" s="4"/>
    </row>
    <row r="1434" spans="1:4" x14ac:dyDescent="0.3">
      <c r="A1434" s="4"/>
      <c r="B1434" s="4"/>
      <c r="C1434" s="4"/>
      <c r="D1434" s="4"/>
    </row>
    <row r="1435" spans="1:4" x14ac:dyDescent="0.3">
      <c r="A1435" s="4"/>
      <c r="B1435" s="4"/>
      <c r="C1435" s="4"/>
      <c r="D1435" s="4"/>
    </row>
    <row r="1436" spans="1:4" x14ac:dyDescent="0.3">
      <c r="A1436" s="4"/>
      <c r="B1436" s="4"/>
      <c r="C1436" s="4"/>
      <c r="D1436" s="4"/>
    </row>
    <row r="1437" spans="1:4" x14ac:dyDescent="0.3">
      <c r="A1437" s="4"/>
      <c r="B1437" s="4"/>
      <c r="C1437" s="4"/>
      <c r="D1437" s="4"/>
    </row>
    <row r="1438" spans="1:4" x14ac:dyDescent="0.3">
      <c r="A1438" s="4"/>
      <c r="B1438" s="4"/>
      <c r="C1438" s="4"/>
      <c r="D1438" s="4"/>
    </row>
    <row r="1439" spans="1:4" x14ac:dyDescent="0.3">
      <c r="A1439" s="4"/>
      <c r="B1439" s="4"/>
      <c r="C1439" s="4"/>
      <c r="D1439" s="4"/>
    </row>
    <row r="1440" spans="1:4" x14ac:dyDescent="0.3">
      <c r="A1440" s="4"/>
      <c r="B1440" s="4"/>
      <c r="C1440" s="4"/>
      <c r="D1440" s="4"/>
    </row>
    <row r="1441" spans="1:4" x14ac:dyDescent="0.3">
      <c r="A1441" s="4"/>
      <c r="B1441" s="4"/>
      <c r="C1441" s="4"/>
      <c r="D1441" s="4"/>
    </row>
    <row r="1442" spans="1:4" x14ac:dyDescent="0.3">
      <c r="A1442" s="4"/>
      <c r="B1442" s="4"/>
      <c r="C1442" s="4"/>
      <c r="D1442" s="4"/>
    </row>
    <row r="1443" spans="1:4" x14ac:dyDescent="0.3">
      <c r="A1443" s="4"/>
      <c r="B1443" s="4"/>
      <c r="C1443" s="4"/>
      <c r="D1443" s="4"/>
    </row>
    <row r="1444" spans="1:4" x14ac:dyDescent="0.3">
      <c r="A1444" s="4"/>
      <c r="B1444" s="4"/>
      <c r="C1444" s="4"/>
      <c r="D1444" s="4"/>
    </row>
    <row r="1445" spans="1:4" x14ac:dyDescent="0.3">
      <c r="A1445" s="4"/>
      <c r="B1445" s="4"/>
      <c r="C1445" s="4"/>
      <c r="D1445" s="4"/>
    </row>
    <row r="1446" spans="1:4" x14ac:dyDescent="0.3">
      <c r="A1446" s="4"/>
      <c r="B1446" s="4"/>
      <c r="C1446" s="4"/>
      <c r="D1446" s="4"/>
    </row>
    <row r="1447" spans="1:4" x14ac:dyDescent="0.3">
      <c r="A1447" s="4"/>
      <c r="B1447" s="4"/>
      <c r="C1447" s="4"/>
      <c r="D1447" s="4"/>
    </row>
    <row r="1448" spans="1:4" x14ac:dyDescent="0.3">
      <c r="A1448" s="4"/>
      <c r="B1448" s="4"/>
      <c r="C1448" s="4"/>
      <c r="D1448" s="4"/>
    </row>
    <row r="1449" spans="1:4" x14ac:dyDescent="0.3">
      <c r="A1449" s="4"/>
      <c r="B1449" s="4"/>
      <c r="C1449" s="4"/>
      <c r="D1449" s="4"/>
    </row>
    <row r="1450" spans="1:4" x14ac:dyDescent="0.3">
      <c r="A1450" s="4"/>
      <c r="B1450" s="4"/>
      <c r="C1450" s="4"/>
      <c r="D1450" s="4"/>
    </row>
    <row r="1451" spans="1:4" x14ac:dyDescent="0.3">
      <c r="A1451" s="4"/>
      <c r="B1451" s="4"/>
      <c r="C1451" s="4"/>
      <c r="D1451" s="4"/>
    </row>
    <row r="1452" spans="1:4" x14ac:dyDescent="0.3">
      <c r="A1452" s="4"/>
      <c r="B1452" s="4"/>
      <c r="C1452" s="4"/>
      <c r="D1452" s="4"/>
    </row>
    <row r="1453" spans="1:4" x14ac:dyDescent="0.3">
      <c r="A1453" s="4"/>
      <c r="B1453" s="4"/>
      <c r="C1453" s="4"/>
      <c r="D1453" s="4"/>
    </row>
    <row r="1454" spans="1:4" x14ac:dyDescent="0.3">
      <c r="A1454" s="4"/>
      <c r="B1454" s="4"/>
      <c r="C1454" s="4"/>
      <c r="D1454" s="4"/>
    </row>
    <row r="1455" spans="1:4" x14ac:dyDescent="0.3">
      <c r="A1455" s="4"/>
      <c r="B1455" s="4"/>
      <c r="C1455" s="4"/>
      <c r="D1455" s="4"/>
    </row>
    <row r="1456" spans="1:4" x14ac:dyDescent="0.3">
      <c r="A1456" s="4"/>
      <c r="B1456" s="4"/>
      <c r="C1456" s="4"/>
      <c r="D1456" s="4"/>
    </row>
    <row r="1457" spans="1:4" x14ac:dyDescent="0.3">
      <c r="A1457" s="4"/>
      <c r="B1457" s="4"/>
      <c r="C1457" s="4"/>
      <c r="D1457" s="4"/>
    </row>
    <row r="1458" spans="1:4" x14ac:dyDescent="0.3">
      <c r="A1458" s="4"/>
      <c r="B1458" s="4"/>
      <c r="C1458" s="4"/>
      <c r="D1458" s="4"/>
    </row>
    <row r="1459" spans="1:4" x14ac:dyDescent="0.3">
      <c r="A1459" s="4"/>
      <c r="B1459" s="4"/>
      <c r="C1459" s="4"/>
      <c r="D1459" s="4"/>
    </row>
    <row r="1460" spans="1:4" x14ac:dyDescent="0.3">
      <c r="A1460" s="4"/>
      <c r="B1460" s="4"/>
      <c r="C1460" s="4"/>
      <c r="D1460" s="4"/>
    </row>
    <row r="1461" spans="1:4" x14ac:dyDescent="0.3">
      <c r="A1461" s="4"/>
      <c r="B1461" s="4"/>
      <c r="C1461" s="4"/>
      <c r="D1461" s="4"/>
    </row>
    <row r="1462" spans="1:4" x14ac:dyDescent="0.3">
      <c r="A1462" s="4"/>
      <c r="B1462" s="4"/>
      <c r="C1462" s="4"/>
      <c r="D1462" s="4"/>
    </row>
    <row r="1463" spans="1:4" x14ac:dyDescent="0.3">
      <c r="A1463" s="4"/>
      <c r="B1463" s="4"/>
      <c r="C1463" s="4"/>
      <c r="D1463" s="4"/>
    </row>
    <row r="1464" spans="1:4" x14ac:dyDescent="0.3">
      <c r="A1464" s="4"/>
      <c r="B1464" s="4"/>
      <c r="C1464" s="4"/>
      <c r="D1464" s="4"/>
    </row>
    <row r="1465" spans="1:4" x14ac:dyDescent="0.3">
      <c r="A1465" s="4"/>
      <c r="B1465" s="4"/>
      <c r="C1465" s="4"/>
      <c r="D1465" s="4"/>
    </row>
    <row r="1466" spans="1:4" x14ac:dyDescent="0.3">
      <c r="A1466" s="4"/>
      <c r="B1466" s="4"/>
      <c r="C1466" s="4"/>
      <c r="D1466" s="4"/>
    </row>
    <row r="1467" spans="1:4" x14ac:dyDescent="0.3">
      <c r="A1467" s="4"/>
      <c r="B1467" s="4"/>
      <c r="C1467" s="4"/>
      <c r="D1467" s="4"/>
    </row>
    <row r="1468" spans="1:4" x14ac:dyDescent="0.3">
      <c r="A1468" s="4"/>
      <c r="B1468" s="4"/>
      <c r="C1468" s="4"/>
      <c r="D1468" s="4"/>
    </row>
    <row r="1469" spans="1:4" x14ac:dyDescent="0.3">
      <c r="A1469" s="4"/>
      <c r="B1469" s="4"/>
      <c r="C1469" s="4"/>
      <c r="D1469" s="4"/>
    </row>
    <row r="1470" spans="1:4" x14ac:dyDescent="0.3">
      <c r="A1470" s="4"/>
      <c r="B1470" s="4"/>
      <c r="C1470" s="4"/>
      <c r="D1470" s="4"/>
    </row>
    <row r="1471" spans="1:4" x14ac:dyDescent="0.3">
      <c r="A1471" s="4"/>
      <c r="B1471" s="4"/>
      <c r="C1471" s="4"/>
      <c r="D1471" s="4"/>
    </row>
    <row r="1472" spans="1:4" x14ac:dyDescent="0.3">
      <c r="A1472" s="4"/>
      <c r="B1472" s="4"/>
      <c r="C1472" s="4"/>
      <c r="D1472" s="4"/>
    </row>
    <row r="1473" spans="1:4" x14ac:dyDescent="0.3">
      <c r="A1473" s="4"/>
      <c r="B1473" s="4"/>
      <c r="C1473" s="4"/>
      <c r="D1473" s="4"/>
    </row>
    <row r="1474" spans="1:4" x14ac:dyDescent="0.3">
      <c r="A1474" s="4"/>
      <c r="B1474" s="4"/>
      <c r="C1474" s="4"/>
      <c r="D1474" s="4"/>
    </row>
    <row r="1475" spans="1:4" x14ac:dyDescent="0.3">
      <c r="A1475" s="4"/>
      <c r="B1475" s="4"/>
      <c r="C1475" s="4"/>
      <c r="D1475" s="4"/>
    </row>
    <row r="1476" spans="1:4" x14ac:dyDescent="0.3">
      <c r="A1476" s="4"/>
      <c r="B1476" s="4"/>
      <c r="C1476" s="4"/>
      <c r="D1476" s="4"/>
    </row>
    <row r="1477" spans="1:4" x14ac:dyDescent="0.3">
      <c r="A1477" s="4"/>
      <c r="B1477" s="4"/>
      <c r="C1477" s="4"/>
      <c r="D1477" s="4"/>
    </row>
    <row r="1478" spans="1:4" x14ac:dyDescent="0.3">
      <c r="A1478" s="4"/>
      <c r="B1478" s="4"/>
      <c r="C1478" s="4"/>
      <c r="D1478" s="4"/>
    </row>
    <row r="1479" spans="1:4" x14ac:dyDescent="0.3">
      <c r="A1479" s="4"/>
      <c r="B1479" s="4"/>
      <c r="C1479" s="4"/>
      <c r="D1479" s="4"/>
    </row>
    <row r="1480" spans="1:4" x14ac:dyDescent="0.3">
      <c r="A1480" s="4"/>
      <c r="B1480" s="4"/>
      <c r="C1480" s="4"/>
      <c r="D1480" s="4"/>
    </row>
    <row r="1481" spans="1:4" x14ac:dyDescent="0.3">
      <c r="A1481" s="4"/>
      <c r="B1481" s="4"/>
      <c r="C1481" s="4"/>
      <c r="D1481" s="4"/>
    </row>
    <row r="1482" spans="1:4" x14ac:dyDescent="0.3">
      <c r="A1482" s="4"/>
      <c r="B1482" s="4"/>
      <c r="C1482" s="4"/>
      <c r="D1482" s="4"/>
    </row>
    <row r="1483" spans="1:4" x14ac:dyDescent="0.3">
      <c r="A1483" s="4"/>
      <c r="B1483" s="4"/>
      <c r="C1483" s="4"/>
      <c r="D1483" s="4"/>
    </row>
    <row r="1484" spans="1:4" x14ac:dyDescent="0.3">
      <c r="A1484" s="4"/>
      <c r="B1484" s="4"/>
      <c r="C1484" s="4"/>
      <c r="D1484" s="4"/>
    </row>
    <row r="1485" spans="1:4" x14ac:dyDescent="0.3">
      <c r="A1485" s="4"/>
      <c r="B1485" s="4"/>
      <c r="C1485" s="4"/>
      <c r="D1485" s="4"/>
    </row>
    <row r="1486" spans="1:4" x14ac:dyDescent="0.3">
      <c r="A1486" s="4"/>
      <c r="B1486" s="4"/>
      <c r="C1486" s="4"/>
      <c r="D1486" s="4"/>
    </row>
    <row r="1487" spans="1:4" x14ac:dyDescent="0.3">
      <c r="A1487" s="4"/>
      <c r="B1487" s="4"/>
      <c r="C1487" s="4"/>
      <c r="D1487" s="4"/>
    </row>
    <row r="1488" spans="1:4" x14ac:dyDescent="0.3">
      <c r="A1488" s="4"/>
      <c r="B1488" s="4"/>
      <c r="C1488" s="4"/>
      <c r="D1488" s="4"/>
    </row>
    <row r="1489" spans="1:4" x14ac:dyDescent="0.3">
      <c r="A1489" s="4"/>
      <c r="B1489" s="4"/>
      <c r="C1489" s="4"/>
      <c r="D1489" s="4"/>
    </row>
    <row r="1490" spans="1:4" x14ac:dyDescent="0.3">
      <c r="A1490" s="4"/>
      <c r="B1490" s="4"/>
      <c r="C1490" s="4"/>
      <c r="D1490" s="4"/>
    </row>
    <row r="1491" spans="1:4" x14ac:dyDescent="0.3">
      <c r="A1491" s="4"/>
      <c r="B1491" s="4"/>
      <c r="C1491" s="4"/>
      <c r="D1491" s="4"/>
    </row>
    <row r="1492" spans="1:4" x14ac:dyDescent="0.3">
      <c r="A1492" s="4"/>
      <c r="B1492" s="4"/>
      <c r="C1492" s="4"/>
      <c r="D1492" s="4"/>
    </row>
    <row r="1493" spans="1:4" x14ac:dyDescent="0.3">
      <c r="A1493" s="4"/>
      <c r="B1493" s="4"/>
      <c r="C1493" s="4"/>
      <c r="D1493" s="4"/>
    </row>
    <row r="1494" spans="1:4" x14ac:dyDescent="0.3">
      <c r="A1494" s="4"/>
      <c r="B1494" s="4"/>
      <c r="C1494" s="4"/>
      <c r="D1494" s="4"/>
    </row>
    <row r="1495" spans="1:4" x14ac:dyDescent="0.3">
      <c r="A1495" s="4"/>
      <c r="B1495" s="4"/>
      <c r="C1495" s="4"/>
      <c r="D1495" s="4"/>
    </row>
    <row r="1496" spans="1:4" x14ac:dyDescent="0.3">
      <c r="A1496" s="4"/>
      <c r="B1496" s="4"/>
      <c r="C1496" s="4"/>
      <c r="D1496" s="4"/>
    </row>
    <row r="1497" spans="1:4" x14ac:dyDescent="0.3">
      <c r="A1497" s="4"/>
      <c r="B1497" s="4"/>
      <c r="C1497" s="4"/>
      <c r="D1497" s="4"/>
    </row>
    <row r="1498" spans="1:4" x14ac:dyDescent="0.3">
      <c r="A1498" s="4"/>
      <c r="B1498" s="4"/>
      <c r="C1498" s="4"/>
      <c r="D1498" s="4"/>
    </row>
    <row r="1499" spans="1:4" x14ac:dyDescent="0.3">
      <c r="A1499" s="4"/>
      <c r="B1499" s="4"/>
      <c r="C1499" s="4"/>
      <c r="D1499" s="4"/>
    </row>
    <row r="1500" spans="1:4" x14ac:dyDescent="0.3">
      <c r="A1500" s="4"/>
      <c r="B1500" s="4"/>
      <c r="C1500" s="4"/>
      <c r="D1500" s="4"/>
    </row>
    <row r="1501" spans="1:4" x14ac:dyDescent="0.3">
      <c r="A1501" s="4"/>
      <c r="B1501" s="4"/>
      <c r="C1501" s="4"/>
      <c r="D1501" s="4"/>
    </row>
    <row r="1502" spans="1:4" x14ac:dyDescent="0.3">
      <c r="A1502" s="4"/>
      <c r="B1502" s="4"/>
      <c r="C1502" s="4"/>
      <c r="D1502" s="4"/>
    </row>
    <row r="1503" spans="1:4" x14ac:dyDescent="0.3">
      <c r="A1503" s="4"/>
      <c r="B1503" s="4"/>
      <c r="C1503" s="4"/>
      <c r="D1503" s="4"/>
    </row>
    <row r="1504" spans="1:4" x14ac:dyDescent="0.3">
      <c r="A1504" s="4"/>
      <c r="B1504" s="4"/>
      <c r="C1504" s="4"/>
      <c r="D1504" s="4"/>
    </row>
    <row r="1505" spans="1:4" x14ac:dyDescent="0.3">
      <c r="A1505" s="4"/>
      <c r="B1505" s="4"/>
      <c r="C1505" s="4"/>
      <c r="D1505" s="4"/>
    </row>
    <row r="1506" spans="1:4" x14ac:dyDescent="0.3">
      <c r="A1506" s="4"/>
      <c r="B1506" s="4"/>
      <c r="C1506" s="4"/>
      <c r="D1506" s="4"/>
    </row>
    <row r="1507" spans="1:4" x14ac:dyDescent="0.3">
      <c r="A1507" s="4"/>
      <c r="B1507" s="4"/>
      <c r="C1507" s="4"/>
      <c r="D1507" s="4"/>
    </row>
    <row r="1508" spans="1:4" x14ac:dyDescent="0.3">
      <c r="A1508" s="4"/>
      <c r="B1508" s="4"/>
      <c r="C1508" s="4"/>
      <c r="D1508" s="4"/>
    </row>
    <row r="1509" spans="1:4" x14ac:dyDescent="0.3">
      <c r="A1509" s="4"/>
      <c r="B1509" s="4"/>
      <c r="C1509" s="4"/>
      <c r="D1509" s="4"/>
    </row>
    <row r="1510" spans="1:4" x14ac:dyDescent="0.3">
      <c r="A1510" s="4"/>
      <c r="B1510" s="4"/>
      <c r="C1510" s="4"/>
      <c r="D1510" s="4"/>
    </row>
    <row r="1511" spans="1:4" x14ac:dyDescent="0.3">
      <c r="A1511" s="4"/>
      <c r="B1511" s="4"/>
      <c r="C1511" s="4"/>
      <c r="D1511" s="4"/>
    </row>
    <row r="1512" spans="1:4" x14ac:dyDescent="0.3">
      <c r="A1512" s="4"/>
      <c r="B1512" s="4"/>
      <c r="C1512" s="4"/>
      <c r="D1512" s="4"/>
    </row>
    <row r="1513" spans="1:4" x14ac:dyDescent="0.3">
      <c r="A1513" s="4"/>
      <c r="B1513" s="4"/>
      <c r="C1513" s="4"/>
      <c r="D1513" s="4"/>
    </row>
    <row r="1514" spans="1:4" x14ac:dyDescent="0.3">
      <c r="A1514" s="4"/>
      <c r="B1514" s="4"/>
      <c r="C1514" s="4"/>
      <c r="D1514" s="4"/>
    </row>
    <row r="1515" spans="1:4" x14ac:dyDescent="0.3">
      <c r="A1515" s="4"/>
      <c r="B1515" s="4"/>
      <c r="C1515" s="4"/>
      <c r="D1515" s="4"/>
    </row>
    <row r="1516" spans="1:4" x14ac:dyDescent="0.3">
      <c r="A1516" s="4"/>
      <c r="B1516" s="4"/>
      <c r="C1516" s="4"/>
      <c r="D1516" s="4"/>
    </row>
    <row r="1517" spans="1:4" x14ac:dyDescent="0.3">
      <c r="A1517" s="4"/>
      <c r="B1517" s="4"/>
      <c r="C1517" s="4"/>
      <c r="D1517" s="4"/>
    </row>
    <row r="1518" spans="1:4" x14ac:dyDescent="0.3">
      <c r="A1518" s="4"/>
      <c r="B1518" s="4"/>
      <c r="C1518" s="4"/>
      <c r="D1518" s="4"/>
    </row>
    <row r="1519" spans="1:4" x14ac:dyDescent="0.3">
      <c r="A1519" s="4"/>
      <c r="B1519" s="4"/>
      <c r="C1519" s="4"/>
      <c r="D1519" s="4"/>
    </row>
    <row r="1520" spans="1:4" x14ac:dyDescent="0.3">
      <c r="A1520" s="4"/>
      <c r="B1520" s="4"/>
      <c r="C1520" s="4"/>
      <c r="D1520" s="4"/>
    </row>
    <row r="1521" spans="1:4" x14ac:dyDescent="0.3">
      <c r="A1521" s="4"/>
      <c r="B1521" s="4"/>
      <c r="C1521" s="4"/>
      <c r="D1521" s="4"/>
    </row>
    <row r="1522" spans="1:4" x14ac:dyDescent="0.3">
      <c r="A1522" s="4"/>
      <c r="B1522" s="4"/>
      <c r="C1522" s="4"/>
      <c r="D1522" s="4"/>
    </row>
    <row r="1523" spans="1:4" x14ac:dyDescent="0.3">
      <c r="A1523" s="4"/>
      <c r="B1523" s="4"/>
      <c r="C1523" s="4"/>
      <c r="D1523" s="4"/>
    </row>
    <row r="1524" spans="1:4" x14ac:dyDescent="0.3">
      <c r="A1524" s="4"/>
      <c r="B1524" s="4"/>
      <c r="C1524" s="4"/>
      <c r="D1524" s="4"/>
    </row>
    <row r="1525" spans="1:4" x14ac:dyDescent="0.3">
      <c r="A1525" s="4"/>
      <c r="B1525" s="4"/>
      <c r="C1525" s="4"/>
      <c r="D1525" s="4"/>
    </row>
    <row r="1526" spans="1:4" x14ac:dyDescent="0.3">
      <c r="A1526" s="4"/>
      <c r="B1526" s="4"/>
      <c r="C1526" s="4"/>
      <c r="D1526" s="4"/>
    </row>
    <row r="1527" spans="1:4" x14ac:dyDescent="0.3">
      <c r="A1527" s="4"/>
      <c r="B1527" s="4"/>
      <c r="C1527" s="4"/>
      <c r="D1527" s="4"/>
    </row>
    <row r="1528" spans="1:4" x14ac:dyDescent="0.3">
      <c r="A1528" s="4"/>
      <c r="B1528" s="4"/>
      <c r="C1528" s="4"/>
      <c r="D1528" s="4"/>
    </row>
    <row r="1529" spans="1:4" x14ac:dyDescent="0.3">
      <c r="A1529" s="4"/>
      <c r="B1529" s="4"/>
      <c r="C1529" s="4"/>
      <c r="D1529" s="4"/>
    </row>
    <row r="1530" spans="1:4" x14ac:dyDescent="0.3">
      <c r="A1530" s="4"/>
      <c r="B1530" s="4"/>
      <c r="C1530" s="4"/>
      <c r="D1530" s="4"/>
    </row>
    <row r="1531" spans="1:4" x14ac:dyDescent="0.3">
      <c r="A1531" s="4"/>
      <c r="B1531" s="4"/>
      <c r="C1531" s="4"/>
      <c r="D1531" s="4"/>
    </row>
    <row r="1532" spans="1:4" x14ac:dyDescent="0.3">
      <c r="A1532" s="4"/>
      <c r="B1532" s="4"/>
      <c r="C1532" s="4"/>
      <c r="D1532" s="4"/>
    </row>
    <row r="1533" spans="1:4" x14ac:dyDescent="0.3">
      <c r="A1533" s="4"/>
      <c r="B1533" s="4"/>
      <c r="C1533" s="4"/>
      <c r="D1533" s="4"/>
    </row>
    <row r="1534" spans="1:4" x14ac:dyDescent="0.3">
      <c r="A1534" s="4"/>
      <c r="B1534" s="4"/>
      <c r="C1534" s="4"/>
      <c r="D1534" s="4"/>
    </row>
    <row r="1535" spans="1:4" x14ac:dyDescent="0.3">
      <c r="A1535" s="4"/>
      <c r="B1535" s="4"/>
      <c r="C1535" s="4"/>
      <c r="D1535" s="4"/>
    </row>
    <row r="1536" spans="1:4" x14ac:dyDescent="0.3">
      <c r="A1536" s="4"/>
      <c r="B1536" s="4"/>
      <c r="C1536" s="4"/>
      <c r="D1536" s="4"/>
    </row>
    <row r="1537" spans="1:4" x14ac:dyDescent="0.3">
      <c r="A1537" s="4"/>
      <c r="B1537" s="4"/>
      <c r="C1537" s="4"/>
      <c r="D1537" s="4"/>
    </row>
    <row r="1538" spans="1:4" x14ac:dyDescent="0.3">
      <c r="A1538" s="4"/>
      <c r="B1538" s="4"/>
      <c r="C1538" s="4"/>
      <c r="D1538" s="4"/>
    </row>
    <row r="1539" spans="1:4" x14ac:dyDescent="0.3">
      <c r="A1539" s="4"/>
      <c r="B1539" s="4"/>
      <c r="C1539" s="4"/>
      <c r="D1539" s="4"/>
    </row>
    <row r="1540" spans="1:4" x14ac:dyDescent="0.3">
      <c r="A1540" s="4"/>
      <c r="B1540" s="4"/>
      <c r="C1540" s="4"/>
      <c r="D1540" s="4"/>
    </row>
    <row r="1541" spans="1:4" x14ac:dyDescent="0.3">
      <c r="A1541" s="4"/>
      <c r="B1541" s="4"/>
      <c r="C1541" s="4"/>
      <c r="D1541" s="4"/>
    </row>
    <row r="1542" spans="1:4" x14ac:dyDescent="0.3">
      <c r="A1542" s="4"/>
      <c r="B1542" s="4"/>
      <c r="C1542" s="4"/>
      <c r="D1542" s="4"/>
    </row>
    <row r="1543" spans="1:4" x14ac:dyDescent="0.3">
      <c r="A1543" s="4"/>
      <c r="B1543" s="4"/>
      <c r="C1543" s="4"/>
      <c r="D1543" s="4"/>
    </row>
    <row r="1544" spans="1:4" x14ac:dyDescent="0.3">
      <c r="A1544" s="4"/>
      <c r="B1544" s="4"/>
      <c r="C1544" s="4"/>
      <c r="D1544" s="4"/>
    </row>
    <row r="1545" spans="1:4" x14ac:dyDescent="0.3">
      <c r="A1545" s="4"/>
      <c r="B1545" s="4"/>
      <c r="C1545" s="4"/>
      <c r="D1545" s="4"/>
    </row>
    <row r="1546" spans="1:4" x14ac:dyDescent="0.3">
      <c r="A1546" s="4"/>
      <c r="B1546" s="4"/>
      <c r="C1546" s="4"/>
      <c r="D1546" s="4"/>
    </row>
    <row r="1547" spans="1:4" x14ac:dyDescent="0.3">
      <c r="A1547" s="4"/>
      <c r="B1547" s="4"/>
      <c r="C1547" s="4"/>
      <c r="D1547" s="4"/>
    </row>
    <row r="1548" spans="1:4" x14ac:dyDescent="0.3">
      <c r="A1548" s="4"/>
      <c r="B1548" s="4"/>
      <c r="C1548" s="4"/>
      <c r="D1548" s="4"/>
    </row>
    <row r="1549" spans="1:4" x14ac:dyDescent="0.3">
      <c r="A1549" s="4"/>
      <c r="B1549" s="4"/>
      <c r="C1549" s="4"/>
      <c r="D1549" s="4"/>
    </row>
    <row r="1550" spans="1:4" x14ac:dyDescent="0.3">
      <c r="A1550" s="4"/>
      <c r="B1550" s="4"/>
      <c r="C1550" s="4"/>
      <c r="D1550" s="4"/>
    </row>
    <row r="1551" spans="1:4" x14ac:dyDescent="0.3">
      <c r="A1551" s="4"/>
      <c r="B1551" s="4"/>
      <c r="C1551" s="4"/>
      <c r="D1551" s="4"/>
    </row>
    <row r="1552" spans="1:4" x14ac:dyDescent="0.3">
      <c r="A1552" s="4"/>
      <c r="B1552" s="4"/>
      <c r="C1552" s="4"/>
      <c r="D1552" s="4"/>
    </row>
    <row r="1553" spans="1:4" x14ac:dyDescent="0.3">
      <c r="A1553" s="4"/>
      <c r="B1553" s="4"/>
      <c r="C1553" s="4"/>
      <c r="D1553" s="4"/>
    </row>
    <row r="1554" spans="1:4" x14ac:dyDescent="0.3">
      <c r="A1554" s="4"/>
      <c r="B1554" s="4"/>
      <c r="C1554" s="4"/>
      <c r="D1554" s="4"/>
    </row>
    <row r="1555" spans="1:4" x14ac:dyDescent="0.3">
      <c r="A1555" s="4"/>
      <c r="B1555" s="4"/>
      <c r="C1555" s="4"/>
      <c r="D1555" s="4"/>
    </row>
    <row r="1556" spans="1:4" x14ac:dyDescent="0.3">
      <c r="A1556" s="4"/>
      <c r="B1556" s="4"/>
      <c r="C1556" s="4"/>
      <c r="D1556" s="4"/>
    </row>
    <row r="1557" spans="1:4" x14ac:dyDescent="0.3">
      <c r="A1557" s="4"/>
      <c r="B1557" s="4"/>
      <c r="C1557" s="4"/>
      <c r="D1557" s="4"/>
    </row>
    <row r="1558" spans="1:4" x14ac:dyDescent="0.3">
      <c r="A1558" s="4"/>
      <c r="B1558" s="4"/>
      <c r="C1558" s="4"/>
      <c r="D1558" s="4"/>
    </row>
    <row r="1559" spans="1:4" x14ac:dyDescent="0.3">
      <c r="A1559" s="4"/>
      <c r="B1559" s="4"/>
      <c r="C1559" s="4"/>
      <c r="D1559" s="4"/>
    </row>
    <row r="1560" spans="1:4" x14ac:dyDescent="0.3">
      <c r="A1560" s="4"/>
      <c r="B1560" s="4"/>
      <c r="C1560" s="4"/>
      <c r="D1560" s="4"/>
    </row>
    <row r="1561" spans="1:4" x14ac:dyDescent="0.3">
      <c r="A1561" s="4"/>
      <c r="B1561" s="4"/>
      <c r="C1561" s="4"/>
      <c r="D1561" s="4"/>
    </row>
    <row r="1562" spans="1:4" x14ac:dyDescent="0.3">
      <c r="A1562" s="4"/>
      <c r="B1562" s="4"/>
      <c r="C1562" s="4"/>
      <c r="D1562" s="4"/>
    </row>
    <row r="1563" spans="1:4" x14ac:dyDescent="0.3">
      <c r="A1563" s="4"/>
      <c r="B1563" s="4"/>
      <c r="C1563" s="4"/>
      <c r="D1563" s="4"/>
    </row>
    <row r="1564" spans="1:4" x14ac:dyDescent="0.3">
      <c r="A1564" s="4"/>
      <c r="B1564" s="4"/>
      <c r="C1564" s="4"/>
      <c r="D1564" s="4"/>
    </row>
    <row r="1565" spans="1:4" x14ac:dyDescent="0.3">
      <c r="A1565" s="4"/>
      <c r="B1565" s="4"/>
      <c r="C1565" s="4"/>
      <c r="D1565" s="4"/>
    </row>
    <row r="1566" spans="1:4" x14ac:dyDescent="0.3">
      <c r="A1566" s="4"/>
      <c r="B1566" s="4"/>
      <c r="C1566" s="4"/>
      <c r="D1566" s="4"/>
    </row>
    <row r="1567" spans="1:4" x14ac:dyDescent="0.3">
      <c r="A1567" s="4"/>
      <c r="B1567" s="4"/>
      <c r="C1567" s="4"/>
      <c r="D1567" s="4"/>
    </row>
    <row r="1568" spans="1:4" x14ac:dyDescent="0.3">
      <c r="A1568" s="4"/>
      <c r="B1568" s="4"/>
      <c r="C1568" s="4"/>
      <c r="D1568" s="4"/>
    </row>
    <row r="1569" spans="1:4" x14ac:dyDescent="0.3">
      <c r="A1569" s="4"/>
      <c r="B1569" s="4"/>
      <c r="C1569" s="4"/>
      <c r="D1569" s="4"/>
    </row>
    <row r="1570" spans="1:4" x14ac:dyDescent="0.3">
      <c r="A1570" s="4"/>
      <c r="B1570" s="4"/>
      <c r="C1570" s="4"/>
      <c r="D1570" s="4"/>
    </row>
    <row r="1571" spans="1:4" x14ac:dyDescent="0.3">
      <c r="A1571" s="4"/>
      <c r="B1571" s="4"/>
      <c r="C1571" s="4"/>
      <c r="D1571" s="4"/>
    </row>
    <row r="1572" spans="1:4" x14ac:dyDescent="0.3">
      <c r="A1572" s="4"/>
      <c r="B1572" s="4"/>
      <c r="C1572" s="4"/>
      <c r="D1572" s="4"/>
    </row>
    <row r="1573" spans="1:4" x14ac:dyDescent="0.3">
      <c r="A1573" s="4"/>
      <c r="B1573" s="4"/>
      <c r="C1573" s="4"/>
      <c r="D1573" s="4"/>
    </row>
    <row r="1574" spans="1:4" x14ac:dyDescent="0.3">
      <c r="A1574" s="4"/>
      <c r="B1574" s="4"/>
      <c r="C1574" s="4"/>
      <c r="D1574" s="4"/>
    </row>
    <row r="1575" spans="1:4" x14ac:dyDescent="0.3">
      <c r="A1575" s="4"/>
      <c r="B1575" s="4"/>
      <c r="C1575" s="4"/>
      <c r="D1575" s="4"/>
    </row>
    <row r="1576" spans="1:4" x14ac:dyDescent="0.3">
      <c r="A1576" s="4"/>
      <c r="B1576" s="4"/>
      <c r="C1576" s="4"/>
      <c r="D1576" s="4"/>
    </row>
    <row r="1577" spans="1:4" x14ac:dyDescent="0.3">
      <c r="A1577" s="4"/>
      <c r="B1577" s="4"/>
      <c r="C1577" s="4"/>
      <c r="D1577" s="4"/>
    </row>
    <row r="1578" spans="1:4" x14ac:dyDescent="0.3">
      <c r="A1578" s="4"/>
      <c r="B1578" s="4"/>
      <c r="C1578" s="4"/>
      <c r="D1578" s="4"/>
    </row>
    <row r="1579" spans="1:4" x14ac:dyDescent="0.3">
      <c r="A1579" s="4"/>
      <c r="B1579" s="4"/>
      <c r="C1579" s="4"/>
      <c r="D1579" s="4"/>
    </row>
    <row r="1580" spans="1:4" x14ac:dyDescent="0.3">
      <c r="A1580" s="4"/>
      <c r="B1580" s="4"/>
      <c r="C1580" s="4"/>
      <c r="D1580" s="4"/>
    </row>
    <row r="1581" spans="1:4" x14ac:dyDescent="0.3">
      <c r="A1581" s="4"/>
      <c r="B1581" s="4"/>
      <c r="C1581" s="4"/>
      <c r="D1581" s="4"/>
    </row>
    <row r="1582" spans="1:4" x14ac:dyDescent="0.3">
      <c r="A1582" s="4"/>
      <c r="B1582" s="4"/>
      <c r="C1582" s="4"/>
      <c r="D1582" s="4"/>
    </row>
    <row r="1583" spans="1:4" x14ac:dyDescent="0.3">
      <c r="A1583" s="4"/>
      <c r="B1583" s="4"/>
      <c r="C1583" s="4"/>
      <c r="D1583" s="4"/>
    </row>
    <row r="1584" spans="1:4" x14ac:dyDescent="0.3">
      <c r="A1584" s="4"/>
      <c r="B1584" s="4"/>
      <c r="C1584" s="4"/>
      <c r="D1584" s="4"/>
    </row>
    <row r="1585" spans="1:4" x14ac:dyDescent="0.3">
      <c r="A1585" s="4"/>
      <c r="B1585" s="4"/>
      <c r="C1585" s="4"/>
      <c r="D1585" s="4"/>
    </row>
    <row r="1586" spans="1:4" x14ac:dyDescent="0.3">
      <c r="A1586" s="4"/>
      <c r="B1586" s="4"/>
      <c r="C1586" s="4"/>
      <c r="D1586" s="4"/>
    </row>
    <row r="1587" spans="1:4" x14ac:dyDescent="0.3">
      <c r="A1587" s="4"/>
      <c r="B1587" s="4"/>
      <c r="C1587" s="4"/>
      <c r="D1587" s="4"/>
    </row>
    <row r="1588" spans="1:4" x14ac:dyDescent="0.3">
      <c r="A1588" s="4"/>
      <c r="B1588" s="4"/>
      <c r="C1588" s="4"/>
      <c r="D1588" s="4"/>
    </row>
    <row r="1589" spans="1:4" x14ac:dyDescent="0.3">
      <c r="A1589" s="4"/>
      <c r="B1589" s="4"/>
      <c r="C1589" s="4"/>
      <c r="D1589" s="4"/>
    </row>
    <row r="1590" spans="1:4" x14ac:dyDescent="0.3">
      <c r="A1590" s="4"/>
      <c r="B1590" s="4"/>
      <c r="C1590" s="4"/>
      <c r="D1590" s="4"/>
    </row>
    <row r="1591" spans="1:4" x14ac:dyDescent="0.3">
      <c r="A1591" s="4"/>
      <c r="B1591" s="4"/>
      <c r="C1591" s="4"/>
      <c r="D1591" s="4"/>
    </row>
    <row r="1592" spans="1:4" x14ac:dyDescent="0.3">
      <c r="A1592" s="4"/>
      <c r="B1592" s="4"/>
      <c r="C1592" s="4"/>
      <c r="D1592" s="4"/>
    </row>
    <row r="1593" spans="1:4" x14ac:dyDescent="0.3">
      <c r="A1593" s="4"/>
      <c r="B1593" s="4"/>
      <c r="C1593" s="4"/>
      <c r="D1593" s="4"/>
    </row>
    <row r="1594" spans="1:4" x14ac:dyDescent="0.3">
      <c r="A1594" s="4"/>
      <c r="B1594" s="4"/>
      <c r="C1594" s="4"/>
      <c r="D1594" s="4"/>
    </row>
    <row r="1595" spans="1:4" x14ac:dyDescent="0.3">
      <c r="A1595" s="4"/>
      <c r="B1595" s="4"/>
      <c r="C1595" s="4"/>
      <c r="D1595" s="4"/>
    </row>
    <row r="1596" spans="1:4" x14ac:dyDescent="0.3">
      <c r="A1596" s="4"/>
      <c r="B1596" s="4"/>
      <c r="C1596" s="4"/>
      <c r="D1596" s="4"/>
    </row>
    <row r="1597" spans="1:4" x14ac:dyDescent="0.3">
      <c r="A1597" s="4"/>
      <c r="B1597" s="4"/>
      <c r="C1597" s="4"/>
      <c r="D1597" s="4"/>
    </row>
    <row r="1598" spans="1:4" x14ac:dyDescent="0.3">
      <c r="A1598" s="4"/>
      <c r="B1598" s="4"/>
      <c r="C1598" s="4"/>
      <c r="D1598" s="4"/>
    </row>
    <row r="1599" spans="1:4" x14ac:dyDescent="0.3">
      <c r="A1599" s="4"/>
      <c r="B1599" s="4"/>
      <c r="C1599" s="4"/>
      <c r="D1599" s="4"/>
    </row>
    <row r="1600" spans="1:4" x14ac:dyDescent="0.3">
      <c r="A1600" s="4"/>
      <c r="B1600" s="4"/>
      <c r="C1600" s="4"/>
      <c r="D1600" s="4"/>
    </row>
    <row r="1601" spans="1:4" x14ac:dyDescent="0.3">
      <c r="A1601" s="4"/>
      <c r="B1601" s="4"/>
      <c r="C1601" s="4"/>
      <c r="D1601" s="4"/>
    </row>
    <row r="1602" spans="1:4" x14ac:dyDescent="0.3">
      <c r="A1602" s="4"/>
      <c r="B1602" s="4"/>
      <c r="C1602" s="4"/>
      <c r="D1602" s="4"/>
    </row>
    <row r="1603" spans="1:4" x14ac:dyDescent="0.3">
      <c r="A1603" s="4"/>
      <c r="B1603" s="4"/>
      <c r="C1603" s="4"/>
      <c r="D1603" s="4"/>
    </row>
    <row r="1604" spans="1:4" x14ac:dyDescent="0.3">
      <c r="A1604" s="4"/>
      <c r="B1604" s="4"/>
      <c r="C1604" s="4"/>
      <c r="D1604" s="4"/>
    </row>
    <row r="1605" spans="1:4" x14ac:dyDescent="0.3">
      <c r="A1605" s="4"/>
      <c r="B1605" s="4"/>
      <c r="C1605" s="4"/>
      <c r="D1605" s="4"/>
    </row>
    <row r="1606" spans="1:4" x14ac:dyDescent="0.3">
      <c r="A1606" s="4"/>
      <c r="B1606" s="4"/>
      <c r="C1606" s="4"/>
      <c r="D1606" s="4"/>
    </row>
    <row r="1607" spans="1:4" x14ac:dyDescent="0.3">
      <c r="A1607" s="4"/>
      <c r="B1607" s="4"/>
      <c r="C1607" s="4"/>
      <c r="D1607" s="4"/>
    </row>
    <row r="1608" spans="1:4" x14ac:dyDescent="0.3">
      <c r="A1608" s="4"/>
      <c r="B1608" s="4"/>
      <c r="C1608" s="4"/>
      <c r="D1608" s="4"/>
    </row>
    <row r="1609" spans="1:4" x14ac:dyDescent="0.3">
      <c r="A1609" s="4"/>
      <c r="B1609" s="4"/>
      <c r="C1609" s="4"/>
      <c r="D1609" s="4"/>
    </row>
    <row r="1610" spans="1:4" x14ac:dyDescent="0.3">
      <c r="A1610" s="4"/>
      <c r="B1610" s="4"/>
      <c r="C1610" s="4"/>
      <c r="D1610" s="4"/>
    </row>
    <row r="1611" spans="1:4" x14ac:dyDescent="0.3">
      <c r="A1611" s="4"/>
      <c r="B1611" s="4"/>
      <c r="C1611" s="4"/>
      <c r="D1611" s="4"/>
    </row>
    <row r="1612" spans="1:4" x14ac:dyDescent="0.3">
      <c r="A1612" s="4"/>
      <c r="B1612" s="4"/>
      <c r="C1612" s="4"/>
      <c r="D1612" s="4"/>
    </row>
    <row r="1613" spans="1:4" x14ac:dyDescent="0.3">
      <c r="A1613" s="4"/>
      <c r="B1613" s="4"/>
      <c r="C1613" s="4"/>
      <c r="D1613" s="4"/>
    </row>
    <row r="1614" spans="1:4" x14ac:dyDescent="0.3">
      <c r="A1614" s="4"/>
      <c r="B1614" s="4"/>
      <c r="C1614" s="4"/>
      <c r="D1614" s="4"/>
    </row>
    <row r="1615" spans="1:4" x14ac:dyDescent="0.3">
      <c r="A1615" s="4"/>
      <c r="B1615" s="4"/>
      <c r="C1615" s="4"/>
      <c r="D1615" s="4"/>
    </row>
    <row r="1616" spans="1:4" x14ac:dyDescent="0.3">
      <c r="A1616" s="4"/>
      <c r="B1616" s="4"/>
      <c r="C1616" s="4"/>
      <c r="D1616" s="4"/>
    </row>
    <row r="1617" spans="1:4" x14ac:dyDescent="0.3">
      <c r="A1617" s="4"/>
      <c r="B1617" s="4"/>
      <c r="C1617" s="4"/>
      <c r="D1617" s="4"/>
    </row>
    <row r="1618" spans="1:4" x14ac:dyDescent="0.3">
      <c r="A1618" s="4"/>
      <c r="B1618" s="4"/>
      <c r="C1618" s="4"/>
      <c r="D1618" s="4"/>
    </row>
    <row r="1619" spans="1:4" x14ac:dyDescent="0.3">
      <c r="A1619" s="4"/>
      <c r="B1619" s="4"/>
      <c r="C1619" s="4"/>
      <c r="D1619" s="4"/>
    </row>
    <row r="1620" spans="1:4" x14ac:dyDescent="0.3">
      <c r="A1620" s="4"/>
      <c r="B1620" s="4"/>
      <c r="C1620" s="4"/>
      <c r="D1620" s="4"/>
    </row>
    <row r="1621" spans="1:4" x14ac:dyDescent="0.3">
      <c r="A1621" s="4"/>
      <c r="B1621" s="4"/>
      <c r="C1621" s="4"/>
      <c r="D1621" s="4"/>
    </row>
    <row r="1622" spans="1:4" x14ac:dyDescent="0.3">
      <c r="A1622" s="4"/>
      <c r="B1622" s="4"/>
      <c r="C1622" s="4"/>
      <c r="D1622" s="4"/>
    </row>
    <row r="1623" spans="1:4" x14ac:dyDescent="0.3">
      <c r="A1623" s="4"/>
      <c r="B1623" s="4"/>
      <c r="C1623" s="4"/>
      <c r="D1623" s="4"/>
    </row>
    <row r="1624" spans="1:4" x14ac:dyDescent="0.3">
      <c r="A1624" s="4"/>
      <c r="B1624" s="4"/>
      <c r="C1624" s="4"/>
      <c r="D1624" s="4"/>
    </row>
    <row r="1625" spans="1:4" x14ac:dyDescent="0.3">
      <c r="A1625" s="4"/>
      <c r="B1625" s="4"/>
      <c r="C1625" s="4"/>
      <c r="D1625" s="4"/>
    </row>
    <row r="1626" spans="1:4" x14ac:dyDescent="0.3">
      <c r="A1626" s="4"/>
      <c r="B1626" s="4"/>
      <c r="C1626" s="4"/>
      <c r="D1626" s="4"/>
    </row>
    <row r="1627" spans="1:4" x14ac:dyDescent="0.3">
      <c r="A1627" s="4"/>
      <c r="B1627" s="4"/>
      <c r="C1627" s="4"/>
      <c r="D1627" s="4"/>
    </row>
    <row r="1628" spans="1:4" x14ac:dyDescent="0.3">
      <c r="A1628" s="4"/>
      <c r="B1628" s="4"/>
      <c r="C1628" s="4"/>
      <c r="D1628" s="4"/>
    </row>
    <row r="1629" spans="1:4" x14ac:dyDescent="0.3">
      <c r="A1629" s="4"/>
      <c r="B1629" s="4"/>
      <c r="C1629" s="4"/>
      <c r="D1629" s="4"/>
    </row>
    <row r="1630" spans="1:4" x14ac:dyDescent="0.3">
      <c r="A1630" s="4"/>
      <c r="B1630" s="4"/>
      <c r="C1630" s="4"/>
      <c r="D1630" s="4"/>
    </row>
    <row r="1631" spans="1:4" x14ac:dyDescent="0.3">
      <c r="A1631" s="4"/>
      <c r="B1631" s="4"/>
      <c r="C1631" s="4"/>
      <c r="D1631" s="4"/>
    </row>
    <row r="1632" spans="1:4" x14ac:dyDescent="0.3">
      <c r="A1632" s="4"/>
      <c r="B1632" s="4"/>
      <c r="C1632" s="4"/>
      <c r="D1632" s="4"/>
    </row>
    <row r="1633" spans="1:4" x14ac:dyDescent="0.3">
      <c r="A1633" s="4"/>
      <c r="B1633" s="4"/>
      <c r="C1633" s="4"/>
      <c r="D1633" s="4"/>
    </row>
    <row r="1634" spans="1:4" x14ac:dyDescent="0.3">
      <c r="A1634" s="4"/>
      <c r="B1634" s="4"/>
      <c r="C1634" s="4"/>
      <c r="D1634" s="4"/>
    </row>
    <row r="1635" spans="1:4" x14ac:dyDescent="0.3">
      <c r="A1635" s="4"/>
      <c r="B1635" s="4"/>
      <c r="C1635" s="4"/>
      <c r="D1635" s="4"/>
    </row>
    <row r="1636" spans="1:4" x14ac:dyDescent="0.3">
      <c r="A1636" s="4"/>
      <c r="B1636" s="4"/>
      <c r="C1636" s="4"/>
      <c r="D1636" s="4"/>
    </row>
    <row r="1637" spans="1:4" x14ac:dyDescent="0.3">
      <c r="A1637" s="4"/>
      <c r="B1637" s="4"/>
      <c r="C1637" s="4"/>
      <c r="D1637" s="4"/>
    </row>
    <row r="1638" spans="1:4" x14ac:dyDescent="0.3">
      <c r="A1638" s="4"/>
      <c r="B1638" s="4"/>
      <c r="C1638" s="4"/>
      <c r="D1638" s="4"/>
    </row>
    <row r="1639" spans="1:4" x14ac:dyDescent="0.3">
      <c r="A1639" s="4"/>
      <c r="B1639" s="4"/>
      <c r="C1639" s="4"/>
      <c r="D1639" s="4"/>
    </row>
    <row r="1640" spans="1:4" x14ac:dyDescent="0.3">
      <c r="A1640" s="4"/>
      <c r="B1640" s="4"/>
      <c r="C1640" s="4"/>
      <c r="D1640" s="4"/>
    </row>
    <row r="1641" spans="1:4" x14ac:dyDescent="0.3">
      <c r="A1641" s="4"/>
      <c r="B1641" s="4"/>
      <c r="C1641" s="4"/>
      <c r="D1641" s="4"/>
    </row>
    <row r="1642" spans="1:4" x14ac:dyDescent="0.3">
      <c r="A1642" s="4"/>
      <c r="B1642" s="4"/>
      <c r="C1642" s="4"/>
      <c r="D1642" s="4"/>
    </row>
    <row r="1643" spans="1:4" x14ac:dyDescent="0.3">
      <c r="A1643" s="4"/>
      <c r="B1643" s="4"/>
      <c r="C1643" s="4"/>
      <c r="D1643" s="4"/>
    </row>
    <row r="1644" spans="1:4" x14ac:dyDescent="0.3">
      <c r="A1644" s="4"/>
      <c r="B1644" s="4"/>
      <c r="C1644" s="4"/>
      <c r="D1644" s="4"/>
    </row>
    <row r="1645" spans="1:4" x14ac:dyDescent="0.3">
      <c r="A1645" s="4"/>
      <c r="B1645" s="4"/>
      <c r="C1645" s="4"/>
      <c r="D1645" s="4"/>
    </row>
    <row r="1646" spans="1:4" x14ac:dyDescent="0.3">
      <c r="A1646" s="4"/>
      <c r="B1646" s="4"/>
      <c r="C1646" s="4"/>
      <c r="D1646" s="4"/>
    </row>
    <row r="1647" spans="1:4" x14ac:dyDescent="0.3">
      <c r="A1647" s="4"/>
      <c r="B1647" s="4"/>
      <c r="C1647" s="4"/>
      <c r="D1647" s="4"/>
    </row>
    <row r="1648" spans="1:4" x14ac:dyDescent="0.3">
      <c r="A1648" s="4"/>
      <c r="B1648" s="4"/>
      <c r="C1648" s="4"/>
      <c r="D1648" s="4"/>
    </row>
    <row r="1649" spans="1:4" x14ac:dyDescent="0.3">
      <c r="A1649" s="4"/>
      <c r="B1649" s="4"/>
      <c r="C1649" s="4"/>
      <c r="D1649" s="4"/>
    </row>
    <row r="1650" spans="1:4" x14ac:dyDescent="0.3">
      <c r="A1650" s="4"/>
      <c r="B1650" s="4"/>
      <c r="C1650" s="4"/>
      <c r="D1650" s="4"/>
    </row>
    <row r="1651" spans="1:4" x14ac:dyDescent="0.3">
      <c r="A1651" s="4"/>
      <c r="B1651" s="4"/>
      <c r="C1651" s="4"/>
      <c r="D1651" s="4"/>
    </row>
    <row r="1652" spans="1:4" x14ac:dyDescent="0.3">
      <c r="A1652" s="4"/>
      <c r="B1652" s="4"/>
      <c r="C1652" s="4"/>
      <c r="D1652" s="4"/>
    </row>
    <row r="1653" spans="1:4" x14ac:dyDescent="0.3">
      <c r="A1653" s="4"/>
      <c r="B1653" s="4"/>
      <c r="C1653" s="4"/>
      <c r="D1653" s="4"/>
    </row>
    <row r="1654" spans="1:4" x14ac:dyDescent="0.3">
      <c r="A1654" s="4"/>
      <c r="B1654" s="4"/>
      <c r="C1654" s="4"/>
      <c r="D1654" s="4"/>
    </row>
    <row r="1655" spans="1:4" x14ac:dyDescent="0.3">
      <c r="A1655" s="4"/>
      <c r="B1655" s="4"/>
      <c r="C1655" s="4"/>
      <c r="D1655" s="4"/>
    </row>
    <row r="1656" spans="1:4" x14ac:dyDescent="0.3">
      <c r="A1656" s="4"/>
      <c r="B1656" s="4"/>
      <c r="C1656" s="4"/>
      <c r="D1656" s="4"/>
    </row>
    <row r="1657" spans="1:4" x14ac:dyDescent="0.3">
      <c r="A1657" s="4"/>
      <c r="B1657" s="4"/>
      <c r="C1657" s="4"/>
      <c r="D1657" s="4"/>
    </row>
    <row r="1658" spans="1:4" x14ac:dyDescent="0.3">
      <c r="A1658" s="4"/>
      <c r="B1658" s="4"/>
      <c r="C1658" s="4"/>
      <c r="D1658" s="4"/>
    </row>
    <row r="1659" spans="1:4" x14ac:dyDescent="0.3">
      <c r="A1659" s="4"/>
      <c r="B1659" s="4"/>
      <c r="C1659" s="4"/>
      <c r="D1659" s="4"/>
    </row>
    <row r="1660" spans="1:4" x14ac:dyDescent="0.3">
      <c r="A1660" s="4"/>
      <c r="B1660" s="4"/>
      <c r="C1660" s="4"/>
      <c r="D1660" s="4"/>
    </row>
    <row r="1661" spans="1:4" x14ac:dyDescent="0.3">
      <c r="A1661" s="4"/>
      <c r="B1661" s="4"/>
      <c r="C1661" s="4"/>
      <c r="D1661" s="4"/>
    </row>
    <row r="1662" spans="1:4" x14ac:dyDescent="0.3">
      <c r="A1662" s="4"/>
      <c r="B1662" s="4"/>
      <c r="C1662" s="4"/>
      <c r="D1662" s="4"/>
    </row>
    <row r="1663" spans="1:4" x14ac:dyDescent="0.3">
      <c r="A1663" s="4"/>
      <c r="B1663" s="4"/>
      <c r="C1663" s="4"/>
      <c r="D1663" s="4"/>
    </row>
    <row r="1664" spans="1:4" x14ac:dyDescent="0.3">
      <c r="A1664" s="4"/>
      <c r="B1664" s="4"/>
      <c r="C1664" s="4"/>
      <c r="D1664" s="4"/>
    </row>
    <row r="1665" spans="1:4" x14ac:dyDescent="0.3">
      <c r="A1665" s="4"/>
      <c r="B1665" s="4"/>
      <c r="C1665" s="4"/>
      <c r="D1665" s="4"/>
    </row>
    <row r="1666" spans="1:4" x14ac:dyDescent="0.3">
      <c r="A1666" s="4"/>
      <c r="B1666" s="4"/>
      <c r="C1666" s="4"/>
      <c r="D1666" s="4"/>
    </row>
    <row r="1667" spans="1:4" x14ac:dyDescent="0.3">
      <c r="A1667" s="4"/>
      <c r="B1667" s="4"/>
      <c r="C1667" s="4"/>
      <c r="D1667" s="4"/>
    </row>
    <row r="1668" spans="1:4" x14ac:dyDescent="0.3">
      <c r="A1668" s="4"/>
      <c r="B1668" s="4"/>
      <c r="C1668" s="4"/>
      <c r="D1668" s="4"/>
    </row>
    <row r="1669" spans="1:4" x14ac:dyDescent="0.3">
      <c r="A1669" s="4"/>
      <c r="B1669" s="4"/>
      <c r="C1669" s="4"/>
      <c r="D1669" s="4"/>
    </row>
    <row r="1670" spans="1:4" x14ac:dyDescent="0.3">
      <c r="A1670" s="4"/>
      <c r="B1670" s="4"/>
      <c r="C1670" s="4"/>
      <c r="D1670" s="4"/>
    </row>
    <row r="1671" spans="1:4" x14ac:dyDescent="0.3">
      <c r="A1671" s="4"/>
      <c r="B1671" s="4"/>
      <c r="C1671" s="4"/>
      <c r="D1671" s="4"/>
    </row>
    <row r="1672" spans="1:4" x14ac:dyDescent="0.3">
      <c r="A1672" s="4"/>
      <c r="B1672" s="4"/>
      <c r="C1672" s="4"/>
      <c r="D1672" s="4"/>
    </row>
    <row r="1673" spans="1:4" x14ac:dyDescent="0.3">
      <c r="A1673" s="4"/>
      <c r="B1673" s="4"/>
      <c r="C1673" s="4"/>
      <c r="D1673" s="4"/>
    </row>
    <row r="1674" spans="1:4" x14ac:dyDescent="0.3">
      <c r="A1674" s="4"/>
      <c r="B1674" s="4"/>
      <c r="C1674" s="4"/>
      <c r="D1674" s="4"/>
    </row>
    <row r="1675" spans="1:4" x14ac:dyDescent="0.3">
      <c r="A1675" s="4"/>
      <c r="B1675" s="4"/>
      <c r="C1675" s="4"/>
      <c r="D1675" s="4"/>
    </row>
    <row r="1676" spans="1:4" x14ac:dyDescent="0.3">
      <c r="A1676" s="4"/>
      <c r="B1676" s="4"/>
      <c r="C1676" s="4"/>
      <c r="D1676" s="4"/>
    </row>
    <row r="1677" spans="1:4" x14ac:dyDescent="0.3">
      <c r="A1677" s="4"/>
      <c r="B1677" s="4"/>
      <c r="C1677" s="4"/>
      <c r="D1677" s="4"/>
    </row>
    <row r="1678" spans="1:4" x14ac:dyDescent="0.3">
      <c r="A1678" s="4"/>
      <c r="B1678" s="4"/>
      <c r="C1678" s="4"/>
      <c r="D1678" s="4"/>
    </row>
    <row r="1679" spans="1:4" x14ac:dyDescent="0.3">
      <c r="A1679" s="4"/>
      <c r="B1679" s="4"/>
      <c r="C1679" s="4"/>
      <c r="D1679" s="4"/>
    </row>
    <row r="1680" spans="1:4" x14ac:dyDescent="0.3">
      <c r="A1680" s="4"/>
      <c r="B1680" s="4"/>
      <c r="C1680" s="4"/>
      <c r="D1680" s="4"/>
    </row>
    <row r="1681" spans="1:4" x14ac:dyDescent="0.3">
      <c r="A1681" s="4"/>
      <c r="B1681" s="4"/>
      <c r="C1681" s="4"/>
      <c r="D1681" s="4"/>
    </row>
    <row r="1682" spans="1:4" x14ac:dyDescent="0.3">
      <c r="A1682" s="4"/>
      <c r="B1682" s="4"/>
      <c r="C1682" s="4"/>
      <c r="D1682" s="4"/>
    </row>
    <row r="1683" spans="1:4" x14ac:dyDescent="0.3">
      <c r="A1683" s="4"/>
      <c r="B1683" s="4"/>
      <c r="C1683" s="4"/>
      <c r="D1683" s="4"/>
    </row>
    <row r="1684" spans="1:4" x14ac:dyDescent="0.3">
      <c r="A1684" s="4"/>
      <c r="B1684" s="4"/>
      <c r="C1684" s="4"/>
      <c r="D1684" s="4"/>
    </row>
    <row r="1685" spans="1:4" x14ac:dyDescent="0.3">
      <c r="A1685" s="4"/>
      <c r="B1685" s="4"/>
      <c r="C1685" s="4"/>
      <c r="D1685" s="4"/>
    </row>
    <row r="1686" spans="1:4" x14ac:dyDescent="0.3">
      <c r="A1686" s="4"/>
      <c r="B1686" s="4"/>
      <c r="C1686" s="4"/>
      <c r="D1686" s="4"/>
    </row>
    <row r="1687" spans="1:4" x14ac:dyDescent="0.3">
      <c r="A1687" s="4"/>
      <c r="B1687" s="4"/>
      <c r="C1687" s="4"/>
      <c r="D1687" s="4"/>
    </row>
    <row r="1688" spans="1:4" x14ac:dyDescent="0.3">
      <c r="A1688" s="4"/>
      <c r="B1688" s="4"/>
      <c r="C1688" s="4"/>
      <c r="D1688" s="4"/>
    </row>
    <row r="1689" spans="1:4" x14ac:dyDescent="0.3">
      <c r="A1689" s="4"/>
      <c r="B1689" s="4"/>
      <c r="C1689" s="4"/>
      <c r="D1689" s="4"/>
    </row>
    <row r="1690" spans="1:4" x14ac:dyDescent="0.3">
      <c r="A1690" s="4"/>
      <c r="B1690" s="4"/>
      <c r="C1690" s="4"/>
      <c r="D1690" s="4"/>
    </row>
    <row r="1691" spans="1:4" x14ac:dyDescent="0.3">
      <c r="A1691" s="4"/>
      <c r="B1691" s="4"/>
      <c r="C1691" s="4"/>
      <c r="D1691" s="4"/>
    </row>
    <row r="1692" spans="1:4" x14ac:dyDescent="0.3">
      <c r="A1692" s="4"/>
      <c r="B1692" s="4"/>
      <c r="C1692" s="4"/>
      <c r="D1692" s="4"/>
    </row>
    <row r="1693" spans="1:4" x14ac:dyDescent="0.3">
      <c r="A1693" s="4"/>
      <c r="B1693" s="4"/>
      <c r="C1693" s="4"/>
      <c r="D1693" s="4"/>
    </row>
    <row r="1694" spans="1:4" x14ac:dyDescent="0.3">
      <c r="A1694" s="4"/>
      <c r="B1694" s="4"/>
      <c r="C1694" s="4"/>
      <c r="D1694" s="4"/>
    </row>
    <row r="1695" spans="1:4" x14ac:dyDescent="0.3">
      <c r="A1695" s="4"/>
      <c r="B1695" s="4"/>
      <c r="C1695" s="4"/>
      <c r="D1695" s="4"/>
    </row>
    <row r="1696" spans="1:4" x14ac:dyDescent="0.3">
      <c r="A1696" s="4"/>
      <c r="B1696" s="4"/>
      <c r="C1696" s="4"/>
      <c r="D1696" s="4"/>
    </row>
    <row r="1697" spans="1:4" x14ac:dyDescent="0.3">
      <c r="A1697" s="4"/>
      <c r="B1697" s="4"/>
      <c r="C1697" s="4"/>
      <c r="D1697" s="4"/>
    </row>
    <row r="1698" spans="1:4" x14ac:dyDescent="0.3">
      <c r="A1698" s="4"/>
      <c r="B1698" s="4"/>
      <c r="C1698" s="4"/>
      <c r="D1698" s="4"/>
    </row>
    <row r="1699" spans="1:4" x14ac:dyDescent="0.3">
      <c r="A1699" s="4"/>
      <c r="B1699" s="4"/>
      <c r="C1699" s="4"/>
      <c r="D1699" s="4"/>
    </row>
    <row r="1700" spans="1:4" x14ac:dyDescent="0.3">
      <c r="A1700" s="4"/>
      <c r="B1700" s="4"/>
      <c r="C1700" s="4"/>
      <c r="D1700" s="4"/>
    </row>
    <row r="1701" spans="1:4" x14ac:dyDescent="0.3">
      <c r="A1701" s="4"/>
      <c r="B1701" s="4"/>
      <c r="C1701" s="4"/>
      <c r="D1701" s="4"/>
    </row>
    <row r="1702" spans="1:4" x14ac:dyDescent="0.3">
      <c r="A1702" s="4"/>
      <c r="B1702" s="4"/>
      <c r="C1702" s="4"/>
      <c r="D1702" s="4"/>
    </row>
    <row r="1703" spans="1:4" x14ac:dyDescent="0.3">
      <c r="A1703" s="4"/>
      <c r="B1703" s="4"/>
      <c r="C1703" s="4"/>
      <c r="D1703" s="4"/>
    </row>
    <row r="1704" spans="1:4" x14ac:dyDescent="0.3">
      <c r="A1704" s="4"/>
      <c r="B1704" s="4"/>
      <c r="C1704" s="4"/>
      <c r="D1704" s="4"/>
    </row>
    <row r="1705" spans="1:4" x14ac:dyDescent="0.3">
      <c r="A1705" s="4"/>
      <c r="B1705" s="4"/>
      <c r="C1705" s="4"/>
      <c r="D1705" s="4"/>
    </row>
    <row r="1706" spans="1:4" x14ac:dyDescent="0.3">
      <c r="A1706" s="4"/>
      <c r="B1706" s="4"/>
      <c r="C1706" s="4"/>
      <c r="D1706" s="4"/>
    </row>
    <row r="1707" spans="1:4" x14ac:dyDescent="0.3">
      <c r="A1707" s="4"/>
      <c r="B1707" s="4"/>
      <c r="C1707" s="4"/>
      <c r="D1707" s="4"/>
    </row>
    <row r="1708" spans="1:4" x14ac:dyDescent="0.3">
      <c r="A1708" s="4"/>
      <c r="B1708" s="4"/>
      <c r="C1708" s="4"/>
      <c r="D1708" s="4"/>
    </row>
    <row r="1709" spans="1:4" x14ac:dyDescent="0.3">
      <c r="A1709" s="4"/>
      <c r="B1709" s="4"/>
      <c r="C1709" s="4"/>
      <c r="D1709" s="4"/>
    </row>
    <row r="1710" spans="1:4" x14ac:dyDescent="0.3">
      <c r="A1710" s="4"/>
      <c r="B1710" s="4"/>
      <c r="C1710" s="4"/>
      <c r="D1710" s="4"/>
    </row>
    <row r="1711" spans="1:4" x14ac:dyDescent="0.3">
      <c r="A1711" s="4"/>
      <c r="B1711" s="4"/>
      <c r="C1711" s="4"/>
      <c r="D1711" s="4"/>
    </row>
    <row r="1712" spans="1:4" x14ac:dyDescent="0.3">
      <c r="A1712" s="4"/>
      <c r="B1712" s="4"/>
      <c r="C1712" s="4"/>
      <c r="D1712" s="4"/>
    </row>
    <row r="1713" spans="1:4" x14ac:dyDescent="0.3">
      <c r="A1713" s="4"/>
      <c r="B1713" s="4"/>
      <c r="C1713" s="4"/>
      <c r="D1713" s="4"/>
    </row>
    <row r="1714" spans="1:4" x14ac:dyDescent="0.3">
      <c r="A1714" s="4"/>
      <c r="B1714" s="4"/>
      <c r="C1714" s="4"/>
      <c r="D1714" s="4"/>
    </row>
    <row r="1715" spans="1:4" x14ac:dyDescent="0.3">
      <c r="A1715" s="4"/>
      <c r="B1715" s="4"/>
      <c r="C1715" s="4"/>
      <c r="D1715" s="4"/>
    </row>
    <row r="1716" spans="1:4" x14ac:dyDescent="0.3">
      <c r="A1716" s="4"/>
      <c r="B1716" s="4"/>
      <c r="C1716" s="4"/>
      <c r="D1716" s="4"/>
    </row>
    <row r="1717" spans="1:4" x14ac:dyDescent="0.3">
      <c r="A1717" s="4"/>
      <c r="B1717" s="4"/>
      <c r="C1717" s="4"/>
      <c r="D1717" s="4"/>
    </row>
    <row r="1718" spans="1:4" x14ac:dyDescent="0.3">
      <c r="A1718" s="4"/>
      <c r="B1718" s="4"/>
      <c r="C1718" s="4"/>
      <c r="D1718" s="4"/>
    </row>
    <row r="1719" spans="1:4" x14ac:dyDescent="0.3">
      <c r="A1719" s="4"/>
      <c r="B1719" s="4"/>
      <c r="C1719" s="4"/>
      <c r="D1719" s="4"/>
    </row>
    <row r="1720" spans="1:4" x14ac:dyDescent="0.3">
      <c r="A1720" s="4"/>
      <c r="B1720" s="4"/>
      <c r="C1720" s="4"/>
      <c r="D1720" s="4"/>
    </row>
    <row r="1721" spans="1:4" x14ac:dyDescent="0.3">
      <c r="A1721" s="4"/>
      <c r="B1721" s="4"/>
      <c r="C1721" s="4"/>
      <c r="D1721" s="4"/>
    </row>
    <row r="1722" spans="1:4" x14ac:dyDescent="0.3">
      <c r="A1722" s="4"/>
      <c r="B1722" s="4"/>
      <c r="C1722" s="4"/>
      <c r="D1722" s="4"/>
    </row>
    <row r="1723" spans="1:4" x14ac:dyDescent="0.3">
      <c r="A1723" s="4"/>
      <c r="B1723" s="4"/>
      <c r="C1723" s="4"/>
      <c r="D1723" s="4"/>
    </row>
    <row r="1724" spans="1:4" x14ac:dyDescent="0.3">
      <c r="A1724" s="4"/>
      <c r="B1724" s="4"/>
      <c r="C1724" s="4"/>
      <c r="D1724" s="4"/>
    </row>
    <row r="1725" spans="1:4" x14ac:dyDescent="0.3">
      <c r="A1725" s="4"/>
      <c r="B1725" s="4"/>
      <c r="C1725" s="4"/>
      <c r="D1725" s="4"/>
    </row>
    <row r="1726" spans="1:4" x14ac:dyDescent="0.3">
      <c r="A1726" s="4"/>
      <c r="B1726" s="4"/>
      <c r="C1726" s="4"/>
      <c r="D1726" s="4"/>
    </row>
    <row r="1727" spans="1:4" x14ac:dyDescent="0.3">
      <c r="A1727" s="4"/>
      <c r="B1727" s="4"/>
      <c r="C1727" s="4"/>
      <c r="D1727" s="4"/>
    </row>
    <row r="1728" spans="1:4" x14ac:dyDescent="0.3">
      <c r="A1728" s="4"/>
      <c r="B1728" s="4"/>
      <c r="C1728" s="4"/>
      <c r="D1728" s="4"/>
    </row>
    <row r="1729" spans="1:4" x14ac:dyDescent="0.3">
      <c r="A1729" s="4"/>
      <c r="B1729" s="4"/>
      <c r="C1729" s="4"/>
      <c r="D1729" s="4"/>
    </row>
    <row r="1730" spans="1:4" x14ac:dyDescent="0.3">
      <c r="A1730" s="4"/>
      <c r="B1730" s="4"/>
      <c r="C1730" s="4"/>
      <c r="D1730" s="4"/>
    </row>
    <row r="1731" spans="1:4" x14ac:dyDescent="0.3">
      <c r="A1731" s="4"/>
      <c r="B1731" s="4"/>
      <c r="C1731" s="4"/>
      <c r="D1731" s="4"/>
    </row>
    <row r="1732" spans="1:4" x14ac:dyDescent="0.3">
      <c r="A1732" s="4"/>
      <c r="B1732" s="4"/>
      <c r="C1732" s="4"/>
      <c r="D1732" s="4"/>
    </row>
    <row r="1733" spans="1:4" x14ac:dyDescent="0.3">
      <c r="A1733" s="4"/>
      <c r="B1733" s="4"/>
      <c r="C1733" s="4"/>
      <c r="D1733" s="4"/>
    </row>
    <row r="1734" spans="1:4" x14ac:dyDescent="0.3">
      <c r="A1734" s="4"/>
      <c r="B1734" s="4"/>
      <c r="C1734" s="4"/>
      <c r="D1734" s="4"/>
    </row>
    <row r="1735" spans="1:4" x14ac:dyDescent="0.3">
      <c r="A1735" s="4"/>
      <c r="B1735" s="4"/>
      <c r="C1735" s="4"/>
      <c r="D1735" s="4"/>
    </row>
    <row r="1736" spans="1:4" x14ac:dyDescent="0.3">
      <c r="A1736" s="4"/>
      <c r="B1736" s="4"/>
      <c r="C1736" s="4"/>
      <c r="D1736" s="4"/>
    </row>
    <row r="1737" spans="1:4" x14ac:dyDescent="0.3">
      <c r="A1737" s="4"/>
      <c r="B1737" s="4"/>
      <c r="C1737" s="4"/>
      <c r="D1737" s="4"/>
    </row>
    <row r="1738" spans="1:4" x14ac:dyDescent="0.3">
      <c r="A1738" s="4"/>
      <c r="B1738" s="4"/>
      <c r="C1738" s="4"/>
      <c r="D1738" s="4"/>
    </row>
    <row r="1739" spans="1:4" x14ac:dyDescent="0.3">
      <c r="A1739" s="4"/>
      <c r="B1739" s="4"/>
      <c r="C1739" s="4"/>
      <c r="D1739" s="4"/>
    </row>
    <row r="1740" spans="1:4" x14ac:dyDescent="0.3">
      <c r="A1740" s="4"/>
      <c r="B1740" s="4"/>
      <c r="C1740" s="4"/>
      <c r="D1740" s="4"/>
    </row>
    <row r="1741" spans="1:4" x14ac:dyDescent="0.3">
      <c r="A1741" s="4"/>
      <c r="B1741" s="4"/>
      <c r="C1741" s="4"/>
      <c r="D1741" s="4"/>
    </row>
    <row r="1742" spans="1:4" x14ac:dyDescent="0.3">
      <c r="A1742" s="4"/>
      <c r="B1742" s="4"/>
      <c r="C1742" s="4"/>
      <c r="D1742" s="4"/>
    </row>
    <row r="1743" spans="1:4" x14ac:dyDescent="0.3">
      <c r="A1743" s="4"/>
      <c r="B1743" s="4"/>
      <c r="C1743" s="4"/>
      <c r="D1743" s="4"/>
    </row>
    <row r="1744" spans="1:4" x14ac:dyDescent="0.3">
      <c r="A1744" s="4"/>
      <c r="B1744" s="4"/>
      <c r="C1744" s="4"/>
      <c r="D1744" s="4"/>
    </row>
    <row r="1745" spans="1:4" x14ac:dyDescent="0.3">
      <c r="A1745" s="4"/>
      <c r="B1745" s="4"/>
      <c r="C1745" s="4"/>
      <c r="D1745" s="4"/>
    </row>
    <row r="1746" spans="1:4" x14ac:dyDescent="0.3">
      <c r="A1746" s="4"/>
      <c r="B1746" s="4"/>
      <c r="C1746" s="4"/>
      <c r="D1746" s="4"/>
    </row>
    <row r="1747" spans="1:4" x14ac:dyDescent="0.3">
      <c r="A1747" s="4"/>
      <c r="B1747" s="4"/>
      <c r="C1747" s="4"/>
      <c r="D1747" s="4"/>
    </row>
    <row r="1748" spans="1:4" x14ac:dyDescent="0.3">
      <c r="A1748" s="4"/>
      <c r="B1748" s="4"/>
      <c r="C1748" s="4"/>
      <c r="D1748" s="4"/>
    </row>
    <row r="1749" spans="1:4" x14ac:dyDescent="0.3">
      <c r="A1749" s="4"/>
      <c r="B1749" s="4"/>
      <c r="C1749" s="4"/>
      <c r="D1749" s="4"/>
    </row>
    <row r="1750" spans="1:4" x14ac:dyDescent="0.3">
      <c r="A1750" s="4"/>
      <c r="B1750" s="4"/>
      <c r="C1750" s="4"/>
      <c r="D1750" s="4"/>
    </row>
    <row r="1751" spans="1:4" x14ac:dyDescent="0.3">
      <c r="A1751" s="4"/>
      <c r="B1751" s="4"/>
      <c r="C1751" s="4"/>
      <c r="D1751" s="4"/>
    </row>
    <row r="1752" spans="1:4" x14ac:dyDescent="0.3">
      <c r="A1752" s="4"/>
      <c r="B1752" s="4"/>
      <c r="C1752" s="4"/>
      <c r="D1752" s="4"/>
    </row>
    <row r="1753" spans="1:4" x14ac:dyDescent="0.3">
      <c r="A1753" s="4"/>
      <c r="B1753" s="4"/>
      <c r="C1753" s="4"/>
      <c r="D1753" s="4"/>
    </row>
    <row r="1754" spans="1:4" x14ac:dyDescent="0.3">
      <c r="A1754" s="4"/>
      <c r="B1754" s="4"/>
      <c r="C1754" s="4"/>
      <c r="D1754" s="4"/>
    </row>
    <row r="1755" spans="1:4" x14ac:dyDescent="0.3">
      <c r="A1755" s="4"/>
      <c r="B1755" s="4"/>
      <c r="C1755" s="4"/>
      <c r="D1755" s="4"/>
    </row>
    <row r="1756" spans="1:4" x14ac:dyDescent="0.3">
      <c r="A1756" s="4"/>
      <c r="B1756" s="4"/>
      <c r="C1756" s="4"/>
      <c r="D1756" s="4"/>
    </row>
    <row r="1757" spans="1:4" x14ac:dyDescent="0.3">
      <c r="A1757" s="4"/>
      <c r="B1757" s="4"/>
      <c r="C1757" s="4"/>
      <c r="D1757" s="4"/>
    </row>
    <row r="1758" spans="1:4" x14ac:dyDescent="0.3">
      <c r="A1758" s="4"/>
      <c r="B1758" s="4"/>
      <c r="C1758" s="4"/>
      <c r="D1758" s="4"/>
    </row>
    <row r="1759" spans="1:4" x14ac:dyDescent="0.3">
      <c r="A1759" s="4"/>
      <c r="B1759" s="4"/>
      <c r="C1759" s="4"/>
      <c r="D1759" s="4"/>
    </row>
    <row r="1760" spans="1:4" x14ac:dyDescent="0.3">
      <c r="A1760" s="4"/>
      <c r="B1760" s="4"/>
      <c r="C1760" s="4"/>
      <c r="D1760" s="4"/>
    </row>
    <row r="1761" spans="1:4" x14ac:dyDescent="0.3">
      <c r="A1761" s="4"/>
      <c r="B1761" s="4"/>
      <c r="C1761" s="4"/>
      <c r="D1761" s="4"/>
    </row>
    <row r="1762" spans="1:4" x14ac:dyDescent="0.3">
      <c r="A1762" s="4"/>
      <c r="B1762" s="4"/>
      <c r="C1762" s="4"/>
      <c r="D1762" s="4"/>
    </row>
    <row r="1763" spans="1:4" x14ac:dyDescent="0.3">
      <c r="A1763" s="4"/>
      <c r="B1763" s="4"/>
      <c r="C1763" s="4"/>
      <c r="D1763" s="4"/>
    </row>
    <row r="1764" spans="1:4" x14ac:dyDescent="0.3">
      <c r="A1764" s="4"/>
      <c r="B1764" s="4"/>
      <c r="C1764" s="4"/>
      <c r="D1764" s="4"/>
    </row>
    <row r="1765" spans="1:4" x14ac:dyDescent="0.3">
      <c r="A1765" s="4"/>
      <c r="B1765" s="4"/>
      <c r="C1765" s="4"/>
      <c r="D1765" s="4"/>
    </row>
    <row r="1766" spans="1:4" x14ac:dyDescent="0.3">
      <c r="A1766" s="4"/>
      <c r="B1766" s="4"/>
      <c r="C1766" s="4"/>
      <c r="D1766" s="4"/>
    </row>
    <row r="1767" spans="1:4" x14ac:dyDescent="0.3">
      <c r="A1767" s="4"/>
      <c r="B1767" s="4"/>
      <c r="C1767" s="4"/>
      <c r="D1767" s="4"/>
    </row>
    <row r="1768" spans="1:4" x14ac:dyDescent="0.3">
      <c r="A1768" s="4"/>
      <c r="B1768" s="4"/>
      <c r="C1768" s="4"/>
      <c r="D1768" s="4"/>
    </row>
    <row r="1769" spans="1:4" x14ac:dyDescent="0.3">
      <c r="A1769" s="4"/>
      <c r="B1769" s="4"/>
      <c r="C1769" s="4"/>
      <c r="D1769" s="4"/>
    </row>
    <row r="1770" spans="1:4" x14ac:dyDescent="0.3">
      <c r="A1770" s="4"/>
      <c r="B1770" s="4"/>
      <c r="C1770" s="4"/>
      <c r="D1770" s="4"/>
    </row>
    <row r="1771" spans="1:4" x14ac:dyDescent="0.3">
      <c r="A1771" s="4"/>
      <c r="B1771" s="4"/>
      <c r="C1771" s="4"/>
      <c r="D1771" s="4"/>
    </row>
    <row r="1772" spans="1:4" x14ac:dyDescent="0.3">
      <c r="A1772" s="4"/>
      <c r="B1772" s="4"/>
      <c r="C1772" s="4"/>
      <c r="D1772" s="4"/>
    </row>
    <row r="1773" spans="1:4" x14ac:dyDescent="0.3">
      <c r="A1773" s="4"/>
      <c r="B1773" s="4"/>
      <c r="C1773" s="4"/>
      <c r="D1773" s="4"/>
    </row>
    <row r="1774" spans="1:4" x14ac:dyDescent="0.3">
      <c r="A1774" s="4"/>
      <c r="B1774" s="4"/>
      <c r="C1774" s="4"/>
      <c r="D1774" s="4"/>
    </row>
    <row r="1775" spans="1:4" x14ac:dyDescent="0.3">
      <c r="A1775" s="4"/>
      <c r="B1775" s="4"/>
      <c r="C1775" s="4"/>
      <c r="D1775" s="4"/>
    </row>
    <row r="1776" spans="1:4" x14ac:dyDescent="0.3">
      <c r="A1776" s="4"/>
      <c r="B1776" s="4"/>
      <c r="C1776" s="4"/>
      <c r="D1776" s="4"/>
    </row>
    <row r="1777" spans="1:4" x14ac:dyDescent="0.3">
      <c r="A1777" s="4"/>
      <c r="B1777" s="4"/>
      <c r="C1777" s="4"/>
      <c r="D1777" s="4"/>
    </row>
    <row r="1778" spans="1:4" x14ac:dyDescent="0.3">
      <c r="A1778" s="4"/>
      <c r="B1778" s="4"/>
      <c r="C1778" s="4"/>
      <c r="D1778" s="4"/>
    </row>
    <row r="1779" spans="1:4" x14ac:dyDescent="0.3">
      <c r="A1779" s="4"/>
      <c r="B1779" s="4"/>
      <c r="C1779" s="4"/>
      <c r="D1779" s="4"/>
    </row>
    <row r="1780" spans="1:4" x14ac:dyDescent="0.3">
      <c r="A1780" s="4"/>
      <c r="B1780" s="4"/>
      <c r="C1780" s="4"/>
      <c r="D1780" s="4"/>
    </row>
    <row r="1781" spans="1:4" x14ac:dyDescent="0.3">
      <c r="A1781" s="4"/>
      <c r="B1781" s="4"/>
      <c r="C1781" s="4"/>
      <c r="D1781" s="4"/>
    </row>
    <row r="1782" spans="1:4" x14ac:dyDescent="0.3">
      <c r="A1782" s="4"/>
      <c r="B1782" s="4"/>
      <c r="C1782" s="4"/>
      <c r="D1782" s="4"/>
    </row>
    <row r="1783" spans="1:4" x14ac:dyDescent="0.3">
      <c r="A1783" s="4"/>
      <c r="B1783" s="4"/>
      <c r="C1783" s="4"/>
      <c r="D1783" s="4"/>
    </row>
    <row r="1784" spans="1:4" x14ac:dyDescent="0.3">
      <c r="A1784" s="4"/>
      <c r="B1784" s="4"/>
      <c r="C1784" s="4"/>
      <c r="D1784" s="4"/>
    </row>
    <row r="1785" spans="1:4" x14ac:dyDescent="0.3">
      <c r="A1785" s="4"/>
      <c r="B1785" s="4"/>
      <c r="C1785" s="4"/>
      <c r="D1785" s="4"/>
    </row>
    <row r="1786" spans="1:4" x14ac:dyDescent="0.3">
      <c r="A1786" s="4"/>
      <c r="B1786" s="4"/>
      <c r="C1786" s="4"/>
      <c r="D1786" s="4"/>
    </row>
    <row r="1787" spans="1:4" x14ac:dyDescent="0.3">
      <c r="A1787" s="4"/>
      <c r="B1787" s="4"/>
      <c r="C1787" s="4"/>
      <c r="D1787" s="4"/>
    </row>
    <row r="1788" spans="1:4" x14ac:dyDescent="0.3">
      <c r="A1788" s="4"/>
      <c r="B1788" s="4"/>
      <c r="C1788" s="4"/>
      <c r="D1788" s="4"/>
    </row>
    <row r="1789" spans="1:4" x14ac:dyDescent="0.3">
      <c r="A1789" s="4"/>
      <c r="B1789" s="4"/>
      <c r="C1789" s="4"/>
      <c r="D1789" s="4"/>
    </row>
    <row r="1790" spans="1:4" x14ac:dyDescent="0.3">
      <c r="A1790" s="4"/>
      <c r="B1790" s="4"/>
      <c r="C1790" s="4"/>
      <c r="D1790" s="4"/>
    </row>
    <row r="1791" spans="1:4" x14ac:dyDescent="0.3">
      <c r="A1791" s="4"/>
      <c r="B1791" s="4"/>
      <c r="C1791" s="4"/>
      <c r="D1791" s="4"/>
    </row>
    <row r="1792" spans="1:4" x14ac:dyDescent="0.3">
      <c r="A1792" s="4"/>
      <c r="B1792" s="4"/>
      <c r="C1792" s="4"/>
      <c r="D1792" s="4"/>
    </row>
    <row r="1793" spans="1:4" x14ac:dyDescent="0.3">
      <c r="A1793" s="4"/>
      <c r="B1793" s="4"/>
      <c r="C1793" s="4"/>
      <c r="D1793" s="4"/>
    </row>
    <row r="1794" spans="1:4" x14ac:dyDescent="0.3">
      <c r="A1794" s="4"/>
      <c r="B1794" s="4"/>
      <c r="C1794" s="4"/>
      <c r="D1794" s="4"/>
    </row>
    <row r="1795" spans="1:4" x14ac:dyDescent="0.3">
      <c r="A1795" s="4"/>
      <c r="B1795" s="4"/>
      <c r="C1795" s="4"/>
      <c r="D1795" s="4"/>
    </row>
    <row r="1796" spans="1:4" x14ac:dyDescent="0.3">
      <c r="A1796" s="4"/>
      <c r="B1796" s="4"/>
      <c r="C1796" s="4"/>
      <c r="D1796" s="4"/>
    </row>
    <row r="1797" spans="1:4" x14ac:dyDescent="0.3">
      <c r="A1797" s="4"/>
      <c r="B1797" s="4"/>
      <c r="C1797" s="4"/>
      <c r="D1797" s="4"/>
    </row>
    <row r="1798" spans="1:4" x14ac:dyDescent="0.3">
      <c r="A1798" s="4"/>
      <c r="B1798" s="4"/>
      <c r="C1798" s="4"/>
      <c r="D1798" s="4"/>
    </row>
    <row r="1799" spans="1:4" x14ac:dyDescent="0.3">
      <c r="A1799" s="4"/>
      <c r="B1799" s="4"/>
      <c r="C1799" s="4"/>
      <c r="D1799" s="4"/>
    </row>
    <row r="1800" spans="1:4" x14ac:dyDescent="0.3">
      <c r="A1800" s="4"/>
      <c r="B1800" s="4"/>
      <c r="C1800" s="4"/>
      <c r="D1800" s="4"/>
    </row>
    <row r="1801" spans="1:4" x14ac:dyDescent="0.3">
      <c r="A1801" s="4"/>
      <c r="B1801" s="4"/>
      <c r="C1801" s="4"/>
      <c r="D1801" s="4"/>
    </row>
    <row r="1802" spans="1:4" x14ac:dyDescent="0.3">
      <c r="A1802" s="4"/>
      <c r="B1802" s="4"/>
      <c r="C1802" s="4"/>
      <c r="D1802" s="4"/>
    </row>
    <row r="1803" spans="1:4" x14ac:dyDescent="0.3">
      <c r="A1803" s="4"/>
      <c r="B1803" s="4"/>
      <c r="C1803" s="4"/>
      <c r="D1803" s="4"/>
    </row>
    <row r="1804" spans="1:4" x14ac:dyDescent="0.3">
      <c r="A1804" s="4"/>
      <c r="B1804" s="4"/>
      <c r="C1804" s="4"/>
      <c r="D1804" s="4"/>
    </row>
    <row r="1805" spans="1:4" x14ac:dyDescent="0.3">
      <c r="A1805" s="4"/>
      <c r="B1805" s="4"/>
      <c r="C1805" s="4"/>
      <c r="D1805" s="4"/>
    </row>
    <row r="1806" spans="1:4" x14ac:dyDescent="0.3">
      <c r="A1806" s="4"/>
      <c r="B1806" s="4"/>
      <c r="C1806" s="4"/>
      <c r="D1806" s="4"/>
    </row>
    <row r="1807" spans="1:4" x14ac:dyDescent="0.3">
      <c r="A1807" s="4"/>
      <c r="B1807" s="4"/>
      <c r="C1807" s="4"/>
      <c r="D1807" s="4"/>
    </row>
    <row r="1808" spans="1:4" x14ac:dyDescent="0.3">
      <c r="A1808" s="4"/>
      <c r="B1808" s="4"/>
      <c r="C1808" s="4"/>
      <c r="D1808" s="4"/>
    </row>
    <row r="1809" spans="1:4" x14ac:dyDescent="0.3">
      <c r="A1809" s="4"/>
      <c r="B1809" s="4"/>
      <c r="C1809" s="4"/>
      <c r="D1809" s="4"/>
    </row>
    <row r="1810" spans="1:4" x14ac:dyDescent="0.3">
      <c r="A1810" s="4"/>
      <c r="B1810" s="4"/>
      <c r="C1810" s="4"/>
      <c r="D1810" s="4"/>
    </row>
    <row r="1811" spans="1:4" x14ac:dyDescent="0.3">
      <c r="A1811" s="4"/>
      <c r="B1811" s="4"/>
      <c r="C1811" s="4"/>
      <c r="D1811" s="4"/>
    </row>
    <row r="1812" spans="1:4" x14ac:dyDescent="0.3">
      <c r="A1812" s="4"/>
      <c r="B1812" s="4"/>
      <c r="C1812" s="4"/>
      <c r="D1812" s="4"/>
    </row>
    <row r="1813" spans="1:4" x14ac:dyDescent="0.3">
      <c r="A1813" s="4"/>
      <c r="B1813" s="4"/>
      <c r="C1813" s="4"/>
      <c r="D1813" s="4"/>
    </row>
    <row r="1814" spans="1:4" x14ac:dyDescent="0.3">
      <c r="A1814" s="4"/>
      <c r="B1814" s="4"/>
      <c r="C1814" s="4"/>
      <c r="D1814" s="4"/>
    </row>
    <row r="1815" spans="1:4" x14ac:dyDescent="0.3">
      <c r="A1815" s="4"/>
      <c r="B1815" s="4"/>
      <c r="C1815" s="4"/>
      <c r="D1815" s="4"/>
    </row>
    <row r="1816" spans="1:4" x14ac:dyDescent="0.3">
      <c r="A1816" s="4"/>
      <c r="B1816" s="4"/>
      <c r="C1816" s="4"/>
      <c r="D1816" s="4"/>
    </row>
    <row r="1817" spans="1:4" x14ac:dyDescent="0.3">
      <c r="A1817" s="4"/>
      <c r="B1817" s="4"/>
      <c r="C1817" s="4"/>
      <c r="D1817" s="4"/>
    </row>
    <row r="1818" spans="1:4" x14ac:dyDescent="0.3">
      <c r="A1818" s="4"/>
      <c r="B1818" s="4"/>
      <c r="C1818" s="4"/>
      <c r="D1818" s="4"/>
    </row>
    <row r="1819" spans="1:4" x14ac:dyDescent="0.3">
      <c r="A1819" s="4"/>
      <c r="B1819" s="4"/>
      <c r="C1819" s="4"/>
      <c r="D1819" s="4"/>
    </row>
    <row r="1820" spans="1:4" x14ac:dyDescent="0.3">
      <c r="A1820" s="4"/>
      <c r="B1820" s="4"/>
      <c r="C1820" s="4"/>
      <c r="D1820" s="4"/>
    </row>
    <row r="1821" spans="1:4" x14ac:dyDescent="0.3">
      <c r="A1821" s="4"/>
      <c r="B1821" s="4"/>
      <c r="C1821" s="4"/>
      <c r="D1821" s="4"/>
    </row>
    <row r="1822" spans="1:4" x14ac:dyDescent="0.3">
      <c r="A1822" s="4"/>
      <c r="B1822" s="4"/>
      <c r="C1822" s="4"/>
      <c r="D1822" s="4"/>
    </row>
    <row r="1823" spans="1:4" x14ac:dyDescent="0.3">
      <c r="A1823" s="4"/>
      <c r="B1823" s="4"/>
      <c r="C1823" s="4"/>
      <c r="D1823" s="4"/>
    </row>
    <row r="1824" spans="1:4" x14ac:dyDescent="0.3">
      <c r="A1824" s="4"/>
      <c r="B1824" s="4"/>
      <c r="C1824" s="4"/>
      <c r="D1824" s="4"/>
    </row>
    <row r="1825" spans="1:4" x14ac:dyDescent="0.3">
      <c r="A1825" s="4"/>
      <c r="B1825" s="4"/>
      <c r="C1825" s="4"/>
      <c r="D1825" s="4"/>
    </row>
    <row r="1826" spans="1:4" x14ac:dyDescent="0.3">
      <c r="A1826" s="4"/>
      <c r="B1826" s="4"/>
      <c r="C1826" s="4"/>
      <c r="D1826" s="4"/>
    </row>
    <row r="1827" spans="1:4" x14ac:dyDescent="0.3">
      <c r="A1827" s="4"/>
      <c r="B1827" s="4"/>
      <c r="C1827" s="4"/>
      <c r="D1827" s="4"/>
    </row>
    <row r="1828" spans="1:4" x14ac:dyDescent="0.3">
      <c r="A1828" s="4"/>
      <c r="B1828" s="4"/>
      <c r="C1828" s="4"/>
      <c r="D1828" s="4"/>
    </row>
    <row r="1829" spans="1:4" x14ac:dyDescent="0.3">
      <c r="A1829" s="4"/>
      <c r="B1829" s="4"/>
      <c r="C1829" s="4"/>
      <c r="D1829" s="4"/>
    </row>
    <row r="1830" spans="1:4" x14ac:dyDescent="0.3">
      <c r="A1830" s="4"/>
      <c r="B1830" s="4"/>
      <c r="C1830" s="4"/>
      <c r="D1830" s="4"/>
    </row>
    <row r="1831" spans="1:4" x14ac:dyDescent="0.3">
      <c r="A1831" s="4"/>
      <c r="B1831" s="4"/>
      <c r="C1831" s="4"/>
      <c r="D1831" s="4"/>
    </row>
    <row r="1832" spans="1:4" x14ac:dyDescent="0.3">
      <c r="A1832" s="4"/>
      <c r="B1832" s="4"/>
      <c r="C1832" s="4"/>
      <c r="D1832" s="4"/>
    </row>
    <row r="1833" spans="1:4" x14ac:dyDescent="0.3">
      <c r="A1833" s="4"/>
      <c r="B1833" s="4"/>
      <c r="C1833" s="4"/>
      <c r="D1833" s="4"/>
    </row>
    <row r="1834" spans="1:4" x14ac:dyDescent="0.3">
      <c r="A1834" s="4"/>
      <c r="B1834" s="4"/>
      <c r="C1834" s="4"/>
      <c r="D1834" s="4"/>
    </row>
    <row r="1835" spans="1:4" x14ac:dyDescent="0.3">
      <c r="A1835" s="4"/>
      <c r="B1835" s="4"/>
      <c r="C1835" s="4"/>
      <c r="D1835" s="4"/>
    </row>
    <row r="1836" spans="1:4" x14ac:dyDescent="0.3">
      <c r="A1836" s="4"/>
      <c r="B1836" s="4"/>
      <c r="C1836" s="4"/>
      <c r="D1836" s="4"/>
    </row>
    <row r="1837" spans="1:4" x14ac:dyDescent="0.3">
      <c r="A1837" s="4"/>
      <c r="B1837" s="4"/>
      <c r="C1837" s="4"/>
      <c r="D1837" s="4"/>
    </row>
    <row r="1838" spans="1:4" x14ac:dyDescent="0.3">
      <c r="A1838" s="4"/>
      <c r="B1838" s="4"/>
      <c r="C1838" s="4"/>
      <c r="D1838" s="4"/>
    </row>
    <row r="1839" spans="1:4" x14ac:dyDescent="0.3">
      <c r="A1839" s="4"/>
      <c r="B1839" s="4"/>
      <c r="C1839" s="4"/>
      <c r="D1839" s="4"/>
    </row>
    <row r="1840" spans="1:4" x14ac:dyDescent="0.3">
      <c r="A1840" s="4"/>
      <c r="B1840" s="4"/>
      <c r="C1840" s="4"/>
      <c r="D1840" s="4"/>
    </row>
    <row r="1841" spans="1:4" x14ac:dyDescent="0.3">
      <c r="A1841" s="4"/>
      <c r="B1841" s="4"/>
      <c r="C1841" s="4"/>
      <c r="D1841" s="4"/>
    </row>
    <row r="1842" spans="1:4" x14ac:dyDescent="0.3">
      <c r="A1842" s="4"/>
      <c r="B1842" s="4"/>
      <c r="C1842" s="4"/>
      <c r="D1842" s="4"/>
    </row>
    <row r="1843" spans="1:4" x14ac:dyDescent="0.3">
      <c r="A1843" s="4"/>
      <c r="B1843" s="4"/>
      <c r="C1843" s="4"/>
      <c r="D1843" s="4"/>
    </row>
    <row r="1844" spans="1:4" x14ac:dyDescent="0.3">
      <c r="A1844" s="4"/>
      <c r="B1844" s="4"/>
      <c r="C1844" s="4"/>
      <c r="D1844" s="4"/>
    </row>
    <row r="1845" spans="1:4" x14ac:dyDescent="0.3">
      <c r="A1845" s="4"/>
      <c r="B1845" s="4"/>
      <c r="C1845" s="4"/>
      <c r="D1845" s="4"/>
    </row>
    <row r="1846" spans="1:4" x14ac:dyDescent="0.3">
      <c r="A1846" s="4"/>
      <c r="B1846" s="4"/>
      <c r="C1846" s="4"/>
      <c r="D1846" s="4"/>
    </row>
    <row r="1847" spans="1:4" x14ac:dyDescent="0.3">
      <c r="A1847" s="4"/>
      <c r="B1847" s="4"/>
      <c r="C1847" s="4"/>
      <c r="D1847" s="4"/>
    </row>
    <row r="1848" spans="1:4" x14ac:dyDescent="0.3">
      <c r="A1848" s="4"/>
      <c r="B1848" s="4"/>
      <c r="C1848" s="4"/>
      <c r="D1848" s="4"/>
    </row>
    <row r="1849" spans="1:4" x14ac:dyDescent="0.3">
      <c r="A1849" s="4"/>
      <c r="B1849" s="4"/>
      <c r="C1849" s="4"/>
      <c r="D1849" s="4"/>
    </row>
    <row r="1850" spans="1:4" x14ac:dyDescent="0.3">
      <c r="A1850" s="4"/>
      <c r="B1850" s="4"/>
      <c r="C1850" s="4"/>
      <c r="D1850" s="4"/>
    </row>
    <row r="1851" spans="1:4" x14ac:dyDescent="0.3">
      <c r="A1851" s="4"/>
      <c r="B1851" s="4"/>
      <c r="C1851" s="4"/>
      <c r="D1851" s="4"/>
    </row>
    <row r="1852" spans="1:4" x14ac:dyDescent="0.3">
      <c r="A1852" s="4"/>
      <c r="B1852" s="4"/>
      <c r="C1852" s="4"/>
      <c r="D1852" s="4"/>
    </row>
    <row r="1853" spans="1:4" x14ac:dyDescent="0.3">
      <c r="A1853" s="4"/>
      <c r="B1853" s="4"/>
      <c r="C1853" s="4"/>
      <c r="D1853" s="4"/>
    </row>
    <row r="1854" spans="1:4" x14ac:dyDescent="0.3">
      <c r="A1854" s="4"/>
      <c r="B1854" s="4"/>
      <c r="C1854" s="4"/>
      <c r="D1854" s="4"/>
    </row>
    <row r="1855" spans="1:4" x14ac:dyDescent="0.3">
      <c r="A1855" s="4"/>
      <c r="B1855" s="4"/>
      <c r="C1855" s="4"/>
      <c r="D1855" s="4"/>
    </row>
    <row r="1856" spans="1:4" x14ac:dyDescent="0.3">
      <c r="A1856" s="4"/>
      <c r="B1856" s="4"/>
      <c r="C1856" s="4"/>
      <c r="D1856" s="4"/>
    </row>
    <row r="1857" spans="1:4" x14ac:dyDescent="0.3">
      <c r="A1857" s="4"/>
      <c r="B1857" s="4"/>
      <c r="C1857" s="4"/>
      <c r="D1857" s="4"/>
    </row>
    <row r="1858" spans="1:4" x14ac:dyDescent="0.3">
      <c r="A1858" s="4"/>
      <c r="B1858" s="4"/>
      <c r="C1858" s="4"/>
      <c r="D1858" s="4"/>
    </row>
    <row r="1859" spans="1:4" x14ac:dyDescent="0.3">
      <c r="A1859" s="4"/>
      <c r="B1859" s="4"/>
      <c r="C1859" s="4"/>
      <c r="D1859" s="4"/>
    </row>
    <row r="1860" spans="1:4" x14ac:dyDescent="0.3">
      <c r="A1860" s="4"/>
      <c r="B1860" s="4"/>
      <c r="C1860" s="4"/>
      <c r="D1860" s="4"/>
    </row>
    <row r="1861" spans="1:4" x14ac:dyDescent="0.3">
      <c r="A1861" s="4"/>
      <c r="B1861" s="4"/>
      <c r="C1861" s="4"/>
      <c r="D1861" s="4"/>
    </row>
    <row r="1862" spans="1:4" x14ac:dyDescent="0.3">
      <c r="A1862" s="4"/>
      <c r="B1862" s="4"/>
      <c r="C1862" s="4"/>
      <c r="D1862" s="4"/>
    </row>
    <row r="1863" spans="1:4" x14ac:dyDescent="0.3">
      <c r="A1863" s="4"/>
      <c r="B1863" s="4"/>
      <c r="C1863" s="4"/>
      <c r="D1863" s="4"/>
    </row>
    <row r="1864" spans="1:4" x14ac:dyDescent="0.3">
      <c r="A1864" s="4"/>
      <c r="B1864" s="4"/>
      <c r="C1864" s="4"/>
      <c r="D1864" s="4"/>
    </row>
    <row r="1865" spans="1:4" x14ac:dyDescent="0.3">
      <c r="A1865" s="4"/>
      <c r="B1865" s="4"/>
      <c r="C1865" s="4"/>
      <c r="D1865" s="4"/>
    </row>
    <row r="1866" spans="1:4" x14ac:dyDescent="0.3">
      <c r="A1866" s="4"/>
      <c r="B1866" s="4"/>
      <c r="C1866" s="4"/>
      <c r="D1866" s="4"/>
    </row>
    <row r="1867" spans="1:4" x14ac:dyDescent="0.3">
      <c r="A1867" s="4"/>
      <c r="B1867" s="4"/>
      <c r="C1867" s="4"/>
      <c r="D1867" s="4"/>
    </row>
    <row r="1868" spans="1:4" x14ac:dyDescent="0.3">
      <c r="A1868" s="4"/>
      <c r="B1868" s="4"/>
      <c r="C1868" s="4"/>
      <c r="D1868" s="4"/>
    </row>
    <row r="1869" spans="1:4" x14ac:dyDescent="0.3">
      <c r="A1869" s="4"/>
      <c r="B1869" s="4"/>
      <c r="C1869" s="4"/>
      <c r="D1869" s="4"/>
    </row>
    <row r="1870" spans="1:4" x14ac:dyDescent="0.3">
      <c r="A1870" s="4"/>
      <c r="B1870" s="4"/>
      <c r="C1870" s="4"/>
      <c r="D1870" s="4"/>
    </row>
    <row r="1871" spans="1:4" x14ac:dyDescent="0.3">
      <c r="A1871" s="4"/>
      <c r="B1871" s="4"/>
      <c r="C1871" s="4"/>
      <c r="D1871" s="4"/>
    </row>
    <row r="1872" spans="1:4" x14ac:dyDescent="0.3">
      <c r="A1872" s="4"/>
      <c r="B1872" s="4"/>
      <c r="C1872" s="4"/>
      <c r="D1872" s="4"/>
    </row>
    <row r="1873" spans="1:4" x14ac:dyDescent="0.3">
      <c r="A1873" s="4"/>
      <c r="B1873" s="4"/>
      <c r="C1873" s="4"/>
      <c r="D1873" s="4"/>
    </row>
    <row r="1874" spans="1:4" x14ac:dyDescent="0.3">
      <c r="A1874" s="4"/>
      <c r="B1874" s="4"/>
      <c r="C1874" s="4"/>
      <c r="D1874" s="4"/>
    </row>
    <row r="1875" spans="1:4" x14ac:dyDescent="0.3">
      <c r="A1875" s="4"/>
      <c r="B1875" s="4"/>
      <c r="C1875" s="4"/>
      <c r="D1875" s="4"/>
    </row>
    <row r="1876" spans="1:4" x14ac:dyDescent="0.3">
      <c r="A1876" s="4"/>
      <c r="B1876" s="4"/>
      <c r="C1876" s="4"/>
      <c r="D1876" s="4"/>
    </row>
    <row r="1877" spans="1:4" x14ac:dyDescent="0.3">
      <c r="A1877" s="4"/>
      <c r="B1877" s="4"/>
      <c r="C1877" s="4"/>
      <c r="D1877" s="4"/>
    </row>
    <row r="1878" spans="1:4" x14ac:dyDescent="0.3">
      <c r="A1878" s="4"/>
      <c r="B1878" s="4"/>
      <c r="C1878" s="4"/>
      <c r="D1878" s="4"/>
    </row>
    <row r="1879" spans="1:4" x14ac:dyDescent="0.3">
      <c r="A1879" s="4"/>
      <c r="B1879" s="4"/>
      <c r="C1879" s="4"/>
      <c r="D1879" s="4"/>
    </row>
    <row r="1880" spans="1:4" x14ac:dyDescent="0.3">
      <c r="A1880" s="4"/>
      <c r="B1880" s="4"/>
      <c r="C1880" s="4"/>
      <c r="D1880" s="4"/>
    </row>
    <row r="1881" spans="1:4" x14ac:dyDescent="0.3">
      <c r="A1881" s="4"/>
      <c r="B1881" s="4"/>
      <c r="C1881" s="4"/>
      <c r="D1881" s="4"/>
    </row>
    <row r="1882" spans="1:4" x14ac:dyDescent="0.3">
      <c r="A1882" s="4"/>
      <c r="B1882" s="4"/>
      <c r="C1882" s="4"/>
      <c r="D1882" s="4"/>
    </row>
    <row r="1883" spans="1:4" x14ac:dyDescent="0.3">
      <c r="A1883" s="4"/>
      <c r="B1883" s="4"/>
      <c r="C1883" s="4"/>
      <c r="D1883" s="4"/>
    </row>
    <row r="1884" spans="1:4" x14ac:dyDescent="0.3">
      <c r="A1884" s="4"/>
      <c r="B1884" s="4"/>
      <c r="C1884" s="4"/>
      <c r="D1884" s="4"/>
    </row>
    <row r="1885" spans="1:4" x14ac:dyDescent="0.3">
      <c r="A1885" s="4"/>
      <c r="B1885" s="4"/>
      <c r="C1885" s="4"/>
      <c r="D1885" s="4"/>
    </row>
    <row r="1886" spans="1:4" x14ac:dyDescent="0.3">
      <c r="A1886" s="4"/>
      <c r="B1886" s="4"/>
      <c r="C1886" s="4"/>
      <c r="D1886" s="4"/>
    </row>
    <row r="1887" spans="1:4" x14ac:dyDescent="0.3">
      <c r="A1887" s="4"/>
      <c r="B1887" s="4"/>
      <c r="C1887" s="4"/>
      <c r="D1887" s="4"/>
    </row>
    <row r="1888" spans="1:4" x14ac:dyDescent="0.3">
      <c r="A1888" s="4"/>
      <c r="B1888" s="4"/>
      <c r="C1888" s="4"/>
      <c r="D1888" s="4"/>
    </row>
    <row r="1889" spans="1:4" x14ac:dyDescent="0.3">
      <c r="A1889" s="4"/>
      <c r="B1889" s="4"/>
      <c r="C1889" s="4"/>
      <c r="D1889" s="4"/>
    </row>
    <row r="1890" spans="1:4" x14ac:dyDescent="0.3">
      <c r="A1890" s="4"/>
      <c r="B1890" s="4"/>
      <c r="C1890" s="4"/>
      <c r="D1890" s="4"/>
    </row>
    <row r="1891" spans="1:4" x14ac:dyDescent="0.3">
      <c r="A1891" s="4"/>
      <c r="B1891" s="4"/>
      <c r="C1891" s="4"/>
      <c r="D1891" s="4"/>
    </row>
    <row r="1892" spans="1:4" x14ac:dyDescent="0.3">
      <c r="A1892" s="4"/>
      <c r="B1892" s="4"/>
      <c r="C1892" s="4"/>
      <c r="D1892" s="4"/>
    </row>
    <row r="1893" spans="1:4" x14ac:dyDescent="0.3">
      <c r="A1893" s="4"/>
      <c r="B1893" s="4"/>
      <c r="C1893" s="4"/>
      <c r="D1893" s="4"/>
    </row>
    <row r="1894" spans="1:4" x14ac:dyDescent="0.3">
      <c r="A1894" s="4"/>
      <c r="B1894" s="4"/>
      <c r="C1894" s="4"/>
      <c r="D1894" s="4"/>
    </row>
    <row r="1895" spans="1:4" x14ac:dyDescent="0.3">
      <c r="A1895" s="4"/>
      <c r="B1895" s="4"/>
      <c r="C1895" s="4"/>
      <c r="D1895" s="4"/>
    </row>
    <row r="1896" spans="1:4" x14ac:dyDescent="0.3">
      <c r="A1896" s="4"/>
      <c r="B1896" s="4"/>
      <c r="C1896" s="4"/>
      <c r="D1896" s="4"/>
    </row>
    <row r="1897" spans="1:4" x14ac:dyDescent="0.3">
      <c r="A1897" s="4"/>
      <c r="B1897" s="4"/>
      <c r="C1897" s="4"/>
      <c r="D1897" s="4"/>
    </row>
    <row r="1898" spans="1:4" x14ac:dyDescent="0.3">
      <c r="A1898" s="4"/>
      <c r="B1898" s="4"/>
      <c r="C1898" s="4"/>
      <c r="D1898" s="4"/>
    </row>
    <row r="1899" spans="1:4" x14ac:dyDescent="0.3">
      <c r="A1899" s="4"/>
      <c r="B1899" s="4"/>
      <c r="C1899" s="4"/>
      <c r="D1899" s="4"/>
    </row>
    <row r="1900" spans="1:4" x14ac:dyDescent="0.3">
      <c r="A1900" s="4"/>
      <c r="B1900" s="4"/>
      <c r="C1900" s="4"/>
      <c r="D1900" s="4"/>
    </row>
    <row r="1901" spans="1:4" x14ac:dyDescent="0.3">
      <c r="A1901" s="4"/>
      <c r="B1901" s="4"/>
      <c r="C1901" s="4"/>
      <c r="D1901" s="4"/>
    </row>
    <row r="1902" spans="1:4" x14ac:dyDescent="0.3">
      <c r="A1902" s="4"/>
      <c r="B1902" s="4"/>
      <c r="C1902" s="4"/>
      <c r="D1902" s="4"/>
    </row>
    <row r="1903" spans="1:4" x14ac:dyDescent="0.3">
      <c r="A1903" s="4"/>
      <c r="B1903" s="4"/>
      <c r="C1903" s="4"/>
      <c r="D1903" s="4"/>
    </row>
    <row r="1904" spans="1:4" x14ac:dyDescent="0.3">
      <c r="A1904" s="4"/>
      <c r="B1904" s="4"/>
      <c r="C1904" s="4"/>
      <c r="D1904" s="4"/>
    </row>
    <row r="1905" spans="1:4" x14ac:dyDescent="0.3">
      <c r="A1905" s="4"/>
      <c r="B1905" s="4"/>
      <c r="C1905" s="4"/>
      <c r="D1905" s="4"/>
    </row>
    <row r="1906" spans="1:4" x14ac:dyDescent="0.3">
      <c r="A1906" s="4"/>
      <c r="B1906" s="4"/>
      <c r="C1906" s="4"/>
      <c r="D1906" s="4"/>
    </row>
    <row r="1907" spans="1:4" x14ac:dyDescent="0.3">
      <c r="A1907" s="4"/>
      <c r="B1907" s="4"/>
      <c r="C1907" s="4"/>
      <c r="D1907" s="4"/>
    </row>
    <row r="1908" spans="1:4" x14ac:dyDescent="0.3">
      <c r="A1908" s="4"/>
      <c r="B1908" s="4"/>
      <c r="C1908" s="4"/>
      <c r="D1908" s="4"/>
    </row>
    <row r="1909" spans="1:4" x14ac:dyDescent="0.3">
      <c r="A1909" s="4"/>
      <c r="B1909" s="4"/>
      <c r="C1909" s="4"/>
      <c r="D1909" s="4"/>
    </row>
    <row r="1910" spans="1:4" x14ac:dyDescent="0.3">
      <c r="A1910" s="4"/>
      <c r="B1910" s="4"/>
      <c r="C1910" s="4"/>
      <c r="D1910" s="4"/>
    </row>
    <row r="1911" spans="1:4" x14ac:dyDescent="0.3">
      <c r="A1911" s="4"/>
      <c r="B1911" s="4"/>
      <c r="C1911" s="4"/>
      <c r="D1911" s="4"/>
    </row>
    <row r="1912" spans="1:4" x14ac:dyDescent="0.3">
      <c r="A1912" s="4"/>
      <c r="B1912" s="4"/>
      <c r="C1912" s="4"/>
      <c r="D1912" s="4"/>
    </row>
    <row r="1913" spans="1:4" x14ac:dyDescent="0.3">
      <c r="A1913" s="4"/>
      <c r="B1913" s="4"/>
      <c r="C1913" s="4"/>
      <c r="D1913" s="4"/>
    </row>
    <row r="1914" spans="1:4" x14ac:dyDescent="0.3">
      <c r="A1914" s="4"/>
      <c r="B1914" s="4"/>
      <c r="C1914" s="4"/>
      <c r="D1914" s="4"/>
    </row>
    <row r="1915" spans="1:4" x14ac:dyDescent="0.3">
      <c r="A1915" s="4"/>
      <c r="B1915" s="4"/>
      <c r="C1915" s="4"/>
      <c r="D1915" s="4"/>
    </row>
    <row r="1916" spans="1:4" x14ac:dyDescent="0.3">
      <c r="A1916" s="4"/>
      <c r="B1916" s="4"/>
      <c r="C1916" s="4"/>
      <c r="D1916" s="4"/>
    </row>
    <row r="1917" spans="1:4" x14ac:dyDescent="0.3">
      <c r="A1917" s="4"/>
      <c r="B1917" s="4"/>
      <c r="C1917" s="4"/>
      <c r="D1917" s="4"/>
    </row>
    <row r="1918" spans="1:4" x14ac:dyDescent="0.3">
      <c r="A1918" s="4"/>
      <c r="B1918" s="4"/>
      <c r="C1918" s="4"/>
      <c r="D1918" s="4"/>
    </row>
    <row r="1919" spans="1:4" x14ac:dyDescent="0.3">
      <c r="A1919" s="4"/>
      <c r="B1919" s="4"/>
      <c r="C1919" s="4"/>
      <c r="D1919" s="4"/>
    </row>
    <row r="1920" spans="1:4" x14ac:dyDescent="0.3">
      <c r="A1920" s="4"/>
      <c r="B1920" s="4"/>
      <c r="C1920" s="4"/>
      <c r="D1920" s="4"/>
    </row>
    <row r="1921" spans="1:4" x14ac:dyDescent="0.3">
      <c r="A1921" s="4"/>
      <c r="B1921" s="4"/>
      <c r="C1921" s="4"/>
      <c r="D1921" s="4"/>
    </row>
    <row r="1922" spans="1:4" x14ac:dyDescent="0.3">
      <c r="A1922" s="4"/>
      <c r="B1922" s="4"/>
      <c r="C1922" s="4"/>
      <c r="D1922" s="4"/>
    </row>
    <row r="1923" spans="1:4" x14ac:dyDescent="0.3">
      <c r="A1923" s="4"/>
      <c r="B1923" s="4"/>
      <c r="C1923" s="4"/>
      <c r="D1923" s="4"/>
    </row>
    <row r="1924" spans="1:4" x14ac:dyDescent="0.3">
      <c r="A1924" s="4"/>
      <c r="B1924" s="4"/>
      <c r="C1924" s="4"/>
      <c r="D1924" s="4"/>
    </row>
    <row r="1925" spans="1:4" x14ac:dyDescent="0.3">
      <c r="A1925" s="4"/>
      <c r="B1925" s="4"/>
      <c r="C1925" s="4"/>
      <c r="D1925" s="4"/>
    </row>
    <row r="1926" spans="1:4" x14ac:dyDescent="0.3">
      <c r="A1926" s="4"/>
      <c r="B1926" s="4"/>
      <c r="C1926" s="4"/>
      <c r="D1926" s="4"/>
    </row>
    <row r="1927" spans="1:4" x14ac:dyDescent="0.3">
      <c r="A1927" s="4"/>
      <c r="B1927" s="4"/>
      <c r="C1927" s="4"/>
      <c r="D1927" s="4"/>
    </row>
    <row r="1928" spans="1:4" x14ac:dyDescent="0.3">
      <c r="A1928" s="4"/>
      <c r="B1928" s="4"/>
      <c r="C1928" s="4"/>
      <c r="D1928" s="4"/>
    </row>
    <row r="1929" spans="1:4" x14ac:dyDescent="0.3">
      <c r="A1929" s="4"/>
      <c r="B1929" s="4"/>
      <c r="C1929" s="4"/>
      <c r="D1929" s="4"/>
    </row>
    <row r="1930" spans="1:4" x14ac:dyDescent="0.3">
      <c r="A1930" s="4"/>
      <c r="B1930" s="4"/>
      <c r="C1930" s="4"/>
      <c r="D1930" s="4"/>
    </row>
    <row r="1931" spans="1:4" x14ac:dyDescent="0.3">
      <c r="A1931" s="4"/>
      <c r="B1931" s="4"/>
      <c r="C1931" s="4"/>
      <c r="D1931" s="4"/>
    </row>
    <row r="1932" spans="1:4" x14ac:dyDescent="0.3">
      <c r="A1932" s="4"/>
      <c r="B1932" s="4"/>
      <c r="C1932" s="4"/>
      <c r="D1932" s="4"/>
    </row>
    <row r="1933" spans="1:4" x14ac:dyDescent="0.3">
      <c r="A1933" s="4"/>
      <c r="B1933" s="4"/>
      <c r="C1933" s="4"/>
      <c r="D1933" s="4"/>
    </row>
    <row r="1934" spans="1:4" x14ac:dyDescent="0.3">
      <c r="A1934" s="4"/>
      <c r="B1934" s="4"/>
      <c r="C1934" s="4"/>
      <c r="D1934" s="4"/>
    </row>
    <row r="1935" spans="1:4" x14ac:dyDescent="0.3">
      <c r="A1935" s="4"/>
      <c r="B1935" s="4"/>
      <c r="C1935" s="4"/>
      <c r="D1935" s="4"/>
    </row>
    <row r="1936" spans="1:4" x14ac:dyDescent="0.3">
      <c r="A1936" s="4"/>
      <c r="B1936" s="4"/>
      <c r="C1936" s="4"/>
      <c r="D1936" s="4"/>
    </row>
    <row r="1937" spans="1:4" x14ac:dyDescent="0.3">
      <c r="A1937" s="4"/>
      <c r="B1937" s="4"/>
      <c r="C1937" s="4"/>
      <c r="D1937" s="4"/>
    </row>
    <row r="1938" spans="1:4" x14ac:dyDescent="0.3">
      <c r="A1938" s="4"/>
      <c r="B1938" s="4"/>
      <c r="C1938" s="4"/>
      <c r="D1938" s="4"/>
    </row>
    <row r="1939" spans="1:4" x14ac:dyDescent="0.3">
      <c r="A1939" s="4"/>
      <c r="B1939" s="4"/>
      <c r="C1939" s="4"/>
      <c r="D1939" s="4"/>
    </row>
    <row r="1940" spans="1:4" x14ac:dyDescent="0.3">
      <c r="A1940" s="4"/>
      <c r="B1940" s="4"/>
      <c r="C1940" s="4"/>
      <c r="D1940" s="4"/>
    </row>
    <row r="1941" spans="1:4" x14ac:dyDescent="0.3">
      <c r="A1941" s="4"/>
      <c r="B1941" s="4"/>
      <c r="C1941" s="4"/>
      <c r="D1941" s="4"/>
    </row>
    <row r="1942" spans="1:4" x14ac:dyDescent="0.3">
      <c r="A1942" s="4"/>
      <c r="B1942" s="4"/>
      <c r="C1942" s="4"/>
      <c r="D1942" s="4"/>
    </row>
    <row r="1943" spans="1:4" x14ac:dyDescent="0.3">
      <c r="A1943" s="4"/>
      <c r="B1943" s="4"/>
      <c r="C1943" s="4"/>
      <c r="D1943" s="4"/>
    </row>
    <row r="1944" spans="1:4" x14ac:dyDescent="0.3">
      <c r="A1944" s="4"/>
      <c r="B1944" s="4"/>
      <c r="C1944" s="4"/>
      <c r="D1944" s="4"/>
    </row>
    <row r="1945" spans="1:4" x14ac:dyDescent="0.3">
      <c r="A1945" s="4"/>
      <c r="B1945" s="4"/>
      <c r="C1945" s="4"/>
      <c r="D1945" s="4"/>
    </row>
    <row r="1946" spans="1:4" x14ac:dyDescent="0.3">
      <c r="A1946" s="4"/>
      <c r="B1946" s="4"/>
      <c r="C1946" s="4"/>
      <c r="D1946" s="4"/>
    </row>
    <row r="1947" spans="1:4" x14ac:dyDescent="0.3">
      <c r="A1947" s="4"/>
      <c r="B1947" s="4"/>
      <c r="C1947" s="4"/>
      <c r="D1947" s="4"/>
    </row>
    <row r="1948" spans="1:4" x14ac:dyDescent="0.3">
      <c r="A1948" s="4"/>
      <c r="B1948" s="4"/>
      <c r="C1948" s="4"/>
      <c r="D1948" s="4"/>
    </row>
    <row r="1949" spans="1:4" x14ac:dyDescent="0.3">
      <c r="A1949" s="4"/>
      <c r="B1949" s="4"/>
      <c r="C1949" s="4"/>
      <c r="D1949" s="4"/>
    </row>
    <row r="1950" spans="1:4" x14ac:dyDescent="0.3">
      <c r="A1950" s="4"/>
      <c r="B1950" s="4"/>
      <c r="C1950" s="4"/>
      <c r="D1950" s="4"/>
    </row>
    <row r="1951" spans="1:4" x14ac:dyDescent="0.3">
      <c r="A1951" s="4"/>
      <c r="B1951" s="4"/>
      <c r="C1951" s="4"/>
      <c r="D1951" s="4"/>
    </row>
    <row r="1952" spans="1:4" x14ac:dyDescent="0.3">
      <c r="A1952" s="4"/>
      <c r="B1952" s="4"/>
      <c r="C1952" s="4"/>
      <c r="D1952" s="4"/>
    </row>
    <row r="1953" spans="1:4" x14ac:dyDescent="0.3">
      <c r="A1953" s="4"/>
      <c r="B1953" s="4"/>
      <c r="C1953" s="4"/>
      <c r="D1953" s="4"/>
    </row>
    <row r="1954" spans="1:4" x14ac:dyDescent="0.3">
      <c r="A1954" s="4"/>
      <c r="B1954" s="4"/>
      <c r="C1954" s="4"/>
      <c r="D1954" s="4"/>
    </row>
    <row r="1955" spans="1:4" x14ac:dyDescent="0.3">
      <c r="A1955" s="4"/>
      <c r="B1955" s="4"/>
      <c r="C1955" s="4"/>
      <c r="D1955" s="4"/>
    </row>
    <row r="1956" spans="1:4" x14ac:dyDescent="0.3">
      <c r="A1956" s="4"/>
      <c r="B1956" s="4"/>
      <c r="C1956" s="4"/>
      <c r="D1956" s="4"/>
    </row>
    <row r="1957" spans="1:4" x14ac:dyDescent="0.3">
      <c r="A1957" s="4"/>
      <c r="B1957" s="4"/>
      <c r="C1957" s="4"/>
      <c r="D1957" s="4"/>
    </row>
    <row r="1958" spans="1:4" x14ac:dyDescent="0.3">
      <c r="A1958" s="4"/>
      <c r="B1958" s="4"/>
      <c r="C1958" s="4"/>
      <c r="D1958" s="4"/>
    </row>
    <row r="1959" spans="1:4" x14ac:dyDescent="0.3">
      <c r="A1959" s="4"/>
      <c r="B1959" s="4"/>
      <c r="C1959" s="4"/>
      <c r="D1959" s="4"/>
    </row>
    <row r="1960" spans="1:4" x14ac:dyDescent="0.3">
      <c r="A1960" s="4"/>
      <c r="B1960" s="4"/>
      <c r="C1960" s="4"/>
      <c r="D1960" s="4"/>
    </row>
    <row r="1961" spans="1:4" x14ac:dyDescent="0.3">
      <c r="A1961" s="4"/>
      <c r="B1961" s="4"/>
      <c r="C1961" s="4"/>
      <c r="D1961" s="4"/>
    </row>
    <row r="1962" spans="1:4" x14ac:dyDescent="0.3">
      <c r="A1962" s="4"/>
      <c r="B1962" s="4"/>
      <c r="C1962" s="4"/>
      <c r="D1962" s="4"/>
    </row>
    <row r="1963" spans="1:4" x14ac:dyDescent="0.3">
      <c r="A1963" s="4"/>
      <c r="B1963" s="4"/>
      <c r="C1963" s="4"/>
      <c r="D1963" s="4"/>
    </row>
    <row r="1964" spans="1:4" x14ac:dyDescent="0.3">
      <c r="A1964" s="4"/>
      <c r="B1964" s="4"/>
      <c r="C1964" s="4"/>
      <c r="D1964" s="4"/>
    </row>
    <row r="1965" spans="1:4" x14ac:dyDescent="0.3">
      <c r="A1965" s="4"/>
      <c r="B1965" s="4"/>
      <c r="C1965" s="4"/>
      <c r="D1965" s="4"/>
    </row>
    <row r="1966" spans="1:4" x14ac:dyDescent="0.3">
      <c r="A1966" s="4"/>
      <c r="B1966" s="4"/>
      <c r="C1966" s="4"/>
      <c r="D1966" s="4"/>
    </row>
    <row r="1967" spans="1:4" x14ac:dyDescent="0.3">
      <c r="A1967" s="4"/>
      <c r="B1967" s="4"/>
      <c r="C1967" s="4"/>
      <c r="D1967" s="4"/>
    </row>
    <row r="1968" spans="1:4" x14ac:dyDescent="0.3">
      <c r="A1968" s="4"/>
      <c r="B1968" s="4"/>
      <c r="C1968" s="4"/>
      <c r="D1968" s="4"/>
    </row>
    <row r="1969" spans="1:4" x14ac:dyDescent="0.3">
      <c r="A1969" s="4"/>
      <c r="B1969" s="4"/>
      <c r="C1969" s="4"/>
      <c r="D1969" s="4"/>
    </row>
    <row r="1970" spans="1:4" x14ac:dyDescent="0.3">
      <c r="A1970" s="4"/>
      <c r="B1970" s="4"/>
      <c r="C1970" s="4"/>
      <c r="D1970" s="4"/>
    </row>
    <row r="1971" spans="1:4" x14ac:dyDescent="0.3">
      <c r="A1971" s="4"/>
      <c r="B1971" s="4"/>
      <c r="C1971" s="4"/>
      <c r="D1971" s="4"/>
    </row>
    <row r="1972" spans="1:4" x14ac:dyDescent="0.3">
      <c r="A1972" s="4"/>
      <c r="B1972" s="4"/>
      <c r="C1972" s="4"/>
      <c r="D1972" s="4"/>
    </row>
    <row r="1973" spans="1:4" x14ac:dyDescent="0.3">
      <c r="A1973" s="4"/>
      <c r="B1973" s="4"/>
      <c r="C1973" s="4"/>
      <c r="D1973" s="4"/>
    </row>
    <row r="1974" spans="1:4" x14ac:dyDescent="0.3">
      <c r="A1974" s="4"/>
      <c r="B1974" s="4"/>
      <c r="C1974" s="4"/>
      <c r="D1974" s="4"/>
    </row>
    <row r="1975" spans="1:4" x14ac:dyDescent="0.3">
      <c r="A1975" s="4"/>
      <c r="B1975" s="4"/>
      <c r="C1975" s="4"/>
      <c r="D1975" s="4"/>
    </row>
    <row r="1976" spans="1:4" x14ac:dyDescent="0.3">
      <c r="A1976" s="4"/>
      <c r="B1976" s="4"/>
      <c r="C1976" s="4"/>
      <c r="D1976" s="4"/>
    </row>
    <row r="1977" spans="1:4" x14ac:dyDescent="0.3">
      <c r="A1977" s="4"/>
      <c r="B1977" s="4"/>
      <c r="C1977" s="4"/>
      <c r="D1977" s="4"/>
    </row>
    <row r="1978" spans="1:4" x14ac:dyDescent="0.3">
      <c r="A1978" s="4"/>
      <c r="B1978" s="4"/>
      <c r="C1978" s="4"/>
      <c r="D1978" s="4"/>
    </row>
    <row r="1979" spans="1:4" x14ac:dyDescent="0.3">
      <c r="A1979" s="4"/>
      <c r="B1979" s="4"/>
      <c r="C1979" s="4"/>
      <c r="D1979" s="4"/>
    </row>
    <row r="1980" spans="1:4" x14ac:dyDescent="0.3">
      <c r="A1980" s="4"/>
      <c r="B1980" s="4"/>
      <c r="C1980" s="4"/>
      <c r="D1980" s="4"/>
    </row>
    <row r="1981" spans="1:4" x14ac:dyDescent="0.3">
      <c r="A1981" s="4"/>
      <c r="B1981" s="4"/>
      <c r="C1981" s="4"/>
      <c r="D1981" s="4"/>
    </row>
    <row r="1982" spans="1:4" x14ac:dyDescent="0.3">
      <c r="A1982" s="4"/>
      <c r="B1982" s="4"/>
      <c r="C1982" s="4"/>
      <c r="D1982" s="4"/>
    </row>
    <row r="1983" spans="1:4" x14ac:dyDescent="0.3">
      <c r="A1983" s="4"/>
      <c r="B1983" s="4"/>
      <c r="C1983" s="4"/>
      <c r="D1983" s="4"/>
    </row>
    <row r="1984" spans="1:4" x14ac:dyDescent="0.3">
      <c r="A1984" s="4"/>
      <c r="B1984" s="4"/>
      <c r="C1984" s="4"/>
      <c r="D1984" s="4"/>
    </row>
    <row r="1985" spans="1:4" x14ac:dyDescent="0.3">
      <c r="A1985" s="4"/>
      <c r="B1985" s="4"/>
      <c r="C1985" s="4"/>
      <c r="D1985" s="4"/>
    </row>
    <row r="1986" spans="1:4" x14ac:dyDescent="0.3">
      <c r="A1986" s="4"/>
      <c r="B1986" s="4"/>
      <c r="C1986" s="4"/>
      <c r="D1986" s="4"/>
    </row>
    <row r="1987" spans="1:4" x14ac:dyDescent="0.3">
      <c r="A1987" s="4"/>
      <c r="B1987" s="4"/>
      <c r="C1987" s="4"/>
      <c r="D1987" s="4"/>
    </row>
    <row r="1988" spans="1:4" x14ac:dyDescent="0.3">
      <c r="A1988" s="4"/>
      <c r="B1988" s="4"/>
      <c r="C1988" s="4"/>
      <c r="D1988" s="4"/>
    </row>
    <row r="1989" spans="1:4" x14ac:dyDescent="0.3">
      <c r="A1989" s="4"/>
      <c r="B1989" s="4"/>
      <c r="C1989" s="4"/>
      <c r="D1989" s="4"/>
    </row>
    <row r="1990" spans="1:4" x14ac:dyDescent="0.3">
      <c r="A1990" s="4"/>
      <c r="B1990" s="4"/>
      <c r="C1990" s="4"/>
      <c r="D1990" s="4"/>
    </row>
    <row r="1991" spans="1:4" x14ac:dyDescent="0.3">
      <c r="A1991" s="4"/>
      <c r="B1991" s="4"/>
      <c r="C1991" s="4"/>
      <c r="D1991" s="4"/>
    </row>
    <row r="1992" spans="1:4" x14ac:dyDescent="0.3">
      <c r="A1992" s="4"/>
      <c r="B1992" s="4"/>
      <c r="C1992" s="4"/>
      <c r="D1992" s="4"/>
    </row>
    <row r="1993" spans="1:4" x14ac:dyDescent="0.3">
      <c r="A1993" s="4"/>
      <c r="B1993" s="4"/>
      <c r="C1993" s="4"/>
      <c r="D1993" s="4"/>
    </row>
    <row r="1994" spans="1:4" x14ac:dyDescent="0.3">
      <c r="A1994" s="4"/>
      <c r="B1994" s="4"/>
      <c r="C1994" s="4"/>
      <c r="D1994" s="4"/>
    </row>
    <row r="1995" spans="1:4" x14ac:dyDescent="0.3">
      <c r="A1995" s="4"/>
      <c r="B1995" s="4"/>
      <c r="C1995" s="4"/>
      <c r="D1995" s="4"/>
    </row>
    <row r="1996" spans="1:4" x14ac:dyDescent="0.3">
      <c r="A1996" s="4"/>
      <c r="B1996" s="4"/>
      <c r="C1996" s="4"/>
      <c r="D1996" s="4"/>
    </row>
    <row r="1997" spans="1:4" x14ac:dyDescent="0.3">
      <c r="A1997" s="4"/>
      <c r="B1997" s="4"/>
      <c r="C1997" s="4"/>
      <c r="D1997" s="4"/>
    </row>
    <row r="1998" spans="1:4" x14ac:dyDescent="0.3">
      <c r="A1998" s="4"/>
      <c r="B1998" s="4"/>
      <c r="C1998" s="4"/>
      <c r="D1998" s="4"/>
    </row>
    <row r="1999" spans="1:4" x14ac:dyDescent="0.3">
      <c r="A1999" s="4"/>
      <c r="B1999" s="4"/>
      <c r="C1999" s="4"/>
      <c r="D1999" s="4"/>
    </row>
    <row r="2000" spans="1:4" x14ac:dyDescent="0.3">
      <c r="A2000" s="4"/>
      <c r="B2000" s="4"/>
      <c r="C2000" s="4"/>
      <c r="D2000" s="4"/>
    </row>
    <row r="2001" spans="1:4" x14ac:dyDescent="0.3">
      <c r="A2001" s="4"/>
      <c r="B2001" s="4"/>
      <c r="C2001" s="4"/>
      <c r="D2001" s="4"/>
    </row>
    <row r="2002" spans="1:4" x14ac:dyDescent="0.3">
      <c r="A2002" s="4"/>
      <c r="B2002" s="4"/>
      <c r="C2002" s="4"/>
      <c r="D2002" s="4"/>
    </row>
    <row r="2003" spans="1:4" x14ac:dyDescent="0.3">
      <c r="A2003" s="4"/>
      <c r="B2003" s="4"/>
      <c r="C2003" s="4"/>
      <c r="D2003" s="4"/>
    </row>
    <row r="2004" spans="1:4" x14ac:dyDescent="0.3">
      <c r="A2004" s="4"/>
      <c r="B2004" s="4"/>
      <c r="C2004" s="4"/>
      <c r="D2004" s="4"/>
    </row>
    <row r="2005" spans="1:4" x14ac:dyDescent="0.3">
      <c r="A2005" s="4"/>
      <c r="B2005" s="4"/>
      <c r="C2005" s="4"/>
      <c r="D2005" s="4"/>
    </row>
    <row r="2006" spans="1:4" x14ac:dyDescent="0.3">
      <c r="A2006" s="4"/>
      <c r="B2006" s="4"/>
      <c r="C2006" s="4"/>
      <c r="D2006" s="4"/>
    </row>
    <row r="2007" spans="1:4" x14ac:dyDescent="0.3">
      <c r="A2007" s="4"/>
      <c r="B2007" s="4"/>
      <c r="C2007" s="4"/>
      <c r="D2007" s="4"/>
    </row>
    <row r="2008" spans="1:4" x14ac:dyDescent="0.3">
      <c r="A2008" s="4"/>
      <c r="B2008" s="4"/>
      <c r="C2008" s="4"/>
      <c r="D2008" s="4"/>
    </row>
    <row r="2009" spans="1:4" x14ac:dyDescent="0.3">
      <c r="A2009" s="4"/>
      <c r="B2009" s="4"/>
      <c r="C2009" s="4"/>
      <c r="D2009" s="4"/>
    </row>
    <row r="2010" spans="1:4" x14ac:dyDescent="0.3">
      <c r="A2010" s="4"/>
      <c r="B2010" s="4"/>
      <c r="C2010" s="4"/>
      <c r="D2010" s="4"/>
    </row>
    <row r="2011" spans="1:4" x14ac:dyDescent="0.3">
      <c r="A2011" s="4"/>
      <c r="B2011" s="4"/>
      <c r="C2011" s="4"/>
      <c r="D2011" s="4"/>
    </row>
    <row r="2012" spans="1:4" x14ac:dyDescent="0.3">
      <c r="A2012" s="4"/>
      <c r="B2012" s="4"/>
      <c r="C2012" s="4"/>
      <c r="D2012" s="4"/>
    </row>
    <row r="2013" spans="1:4" x14ac:dyDescent="0.3">
      <c r="A2013" s="4"/>
      <c r="B2013" s="4"/>
      <c r="C2013" s="4"/>
      <c r="D2013" s="4"/>
    </row>
    <row r="2014" spans="1:4" x14ac:dyDescent="0.3">
      <c r="A2014" s="4"/>
      <c r="B2014" s="4"/>
      <c r="C2014" s="4"/>
      <c r="D2014" s="4"/>
    </row>
    <row r="2015" spans="1:4" x14ac:dyDescent="0.3">
      <c r="A2015" s="4"/>
      <c r="B2015" s="4"/>
      <c r="C2015" s="4"/>
      <c r="D2015" s="4"/>
    </row>
    <row r="2016" spans="1:4" x14ac:dyDescent="0.3">
      <c r="A2016" s="4"/>
      <c r="B2016" s="4"/>
      <c r="C2016" s="4"/>
      <c r="D2016" s="4"/>
    </row>
    <row r="2017" spans="1:4" x14ac:dyDescent="0.3">
      <c r="A2017" s="4"/>
      <c r="B2017" s="4"/>
      <c r="C2017" s="4"/>
      <c r="D2017" s="4"/>
    </row>
    <row r="2018" spans="1:4" x14ac:dyDescent="0.3">
      <c r="A2018" s="4"/>
      <c r="B2018" s="4"/>
      <c r="C2018" s="4"/>
      <c r="D2018" s="4"/>
    </row>
    <row r="2019" spans="1:4" x14ac:dyDescent="0.3">
      <c r="A2019" s="4"/>
      <c r="B2019" s="4"/>
      <c r="C2019" s="4"/>
      <c r="D2019" s="4"/>
    </row>
    <row r="2020" spans="1:4" x14ac:dyDescent="0.3">
      <c r="A2020" s="4"/>
      <c r="B2020" s="4"/>
      <c r="C2020" s="4"/>
      <c r="D2020" s="4"/>
    </row>
    <row r="2021" spans="1:4" x14ac:dyDescent="0.3">
      <c r="A2021" s="4"/>
      <c r="B2021" s="4"/>
      <c r="C2021" s="4"/>
      <c r="D2021" s="4"/>
    </row>
    <row r="2022" spans="1:4" x14ac:dyDescent="0.3">
      <c r="A2022" s="4"/>
      <c r="B2022" s="4"/>
      <c r="C2022" s="4"/>
      <c r="D2022" s="4"/>
    </row>
    <row r="2023" spans="1:4" x14ac:dyDescent="0.3">
      <c r="A2023" s="4"/>
      <c r="B2023" s="4"/>
      <c r="C2023" s="4"/>
      <c r="D2023" s="4"/>
    </row>
    <row r="2024" spans="1:4" x14ac:dyDescent="0.3">
      <c r="A2024" s="4"/>
      <c r="B2024" s="4"/>
      <c r="C2024" s="4"/>
      <c r="D2024" s="4"/>
    </row>
    <row r="2025" spans="1:4" x14ac:dyDescent="0.3">
      <c r="A2025" s="4"/>
      <c r="B2025" s="4"/>
      <c r="C2025" s="4"/>
      <c r="D2025" s="4"/>
    </row>
    <row r="2026" spans="1:4" x14ac:dyDescent="0.3">
      <c r="A2026" s="4"/>
      <c r="B2026" s="4"/>
      <c r="C2026" s="4"/>
      <c r="D2026" s="4"/>
    </row>
    <row r="2027" spans="1:4" x14ac:dyDescent="0.3">
      <c r="A2027" s="4"/>
      <c r="B2027" s="4"/>
      <c r="C2027" s="4"/>
      <c r="D2027" s="4"/>
    </row>
    <row r="2028" spans="1:4" x14ac:dyDescent="0.3">
      <c r="A2028" s="4"/>
      <c r="B2028" s="4"/>
      <c r="C2028" s="4"/>
      <c r="D2028" s="4"/>
    </row>
    <row r="2029" spans="1:4" x14ac:dyDescent="0.3">
      <c r="A2029" s="4"/>
      <c r="B2029" s="4"/>
      <c r="C2029" s="4"/>
      <c r="D2029" s="4"/>
    </row>
    <row r="2030" spans="1:4" x14ac:dyDescent="0.3">
      <c r="A2030" s="4"/>
      <c r="B2030" s="4"/>
      <c r="C2030" s="4"/>
      <c r="D2030" s="4"/>
    </row>
    <row r="2031" spans="1:4" x14ac:dyDescent="0.3">
      <c r="A2031" s="4"/>
      <c r="B2031" s="4"/>
      <c r="C2031" s="4"/>
      <c r="D2031" s="4"/>
    </row>
    <row r="2032" spans="1:4" x14ac:dyDescent="0.3">
      <c r="A2032" s="4"/>
      <c r="B2032" s="4"/>
      <c r="C2032" s="4"/>
      <c r="D2032" s="4"/>
    </row>
    <row r="2033" spans="1:4" x14ac:dyDescent="0.3">
      <c r="A2033" s="4"/>
      <c r="B2033" s="4"/>
      <c r="C2033" s="4"/>
      <c r="D2033" s="4"/>
    </row>
    <row r="2034" spans="1:4" x14ac:dyDescent="0.3">
      <c r="A2034" s="4"/>
      <c r="B2034" s="4"/>
      <c r="C2034" s="4"/>
      <c r="D2034" s="4"/>
    </row>
    <row r="2035" spans="1:4" x14ac:dyDescent="0.3">
      <c r="A2035" s="4"/>
      <c r="B2035" s="4"/>
      <c r="C2035" s="4"/>
      <c r="D2035" s="4"/>
    </row>
    <row r="2036" spans="1:4" x14ac:dyDescent="0.3">
      <c r="A2036" s="4"/>
      <c r="B2036" s="4"/>
      <c r="C2036" s="4"/>
      <c r="D2036" s="4"/>
    </row>
    <row r="2037" spans="1:4" x14ac:dyDescent="0.3">
      <c r="A2037" s="4"/>
      <c r="B2037" s="4"/>
      <c r="C2037" s="4"/>
      <c r="D2037" s="4"/>
    </row>
    <row r="2038" spans="1:4" x14ac:dyDescent="0.3">
      <c r="A2038" s="4"/>
      <c r="B2038" s="4"/>
      <c r="C2038" s="4"/>
      <c r="D2038" s="4"/>
    </row>
    <row r="2039" spans="1:4" x14ac:dyDescent="0.3">
      <c r="A2039" s="4"/>
      <c r="B2039" s="4"/>
      <c r="C2039" s="4"/>
      <c r="D2039" s="4"/>
    </row>
    <row r="2040" spans="1:4" x14ac:dyDescent="0.3">
      <c r="A2040" s="4"/>
      <c r="B2040" s="4"/>
      <c r="C2040" s="4"/>
      <c r="D2040" s="4"/>
    </row>
    <row r="2041" spans="1:4" x14ac:dyDescent="0.3">
      <c r="A2041" s="4"/>
      <c r="B2041" s="4"/>
      <c r="C2041" s="4"/>
      <c r="D2041" s="4"/>
    </row>
    <row r="2042" spans="1:4" x14ac:dyDescent="0.3">
      <c r="A2042" s="4"/>
      <c r="B2042" s="4"/>
      <c r="C2042" s="4"/>
      <c r="D2042" s="4"/>
    </row>
    <row r="2043" spans="1:4" x14ac:dyDescent="0.3">
      <c r="A2043" s="4"/>
      <c r="B2043" s="4"/>
      <c r="C2043" s="4"/>
      <c r="D2043" s="4"/>
    </row>
    <row r="2044" spans="1:4" x14ac:dyDescent="0.3">
      <c r="A2044" s="4"/>
      <c r="B2044" s="4"/>
      <c r="C2044" s="4"/>
      <c r="D2044" s="4"/>
    </row>
    <row r="2045" spans="1:4" x14ac:dyDescent="0.3">
      <c r="A2045" s="4"/>
      <c r="B2045" s="4"/>
      <c r="C2045" s="4"/>
      <c r="D2045" s="4"/>
    </row>
    <row r="2046" spans="1:4" x14ac:dyDescent="0.3">
      <c r="A2046" s="4"/>
      <c r="B2046" s="4"/>
      <c r="C2046" s="4"/>
      <c r="D2046" s="4"/>
    </row>
    <row r="2047" spans="1:4" x14ac:dyDescent="0.3">
      <c r="A2047" s="4"/>
      <c r="B2047" s="4"/>
      <c r="C2047" s="4"/>
      <c r="D2047" s="4"/>
    </row>
    <row r="2048" spans="1:4" x14ac:dyDescent="0.3">
      <c r="A2048" s="4"/>
      <c r="B2048" s="4"/>
      <c r="C2048" s="4"/>
      <c r="D2048" s="4"/>
    </row>
    <row r="2049" spans="1:4" x14ac:dyDescent="0.3">
      <c r="A2049" s="4"/>
      <c r="B2049" s="4"/>
      <c r="C2049" s="4"/>
      <c r="D2049" s="4"/>
    </row>
    <row r="2050" spans="1:4" x14ac:dyDescent="0.3">
      <c r="A2050" s="4"/>
      <c r="B2050" s="4"/>
      <c r="C2050" s="4"/>
      <c r="D2050" s="4"/>
    </row>
    <row r="2051" spans="1:4" x14ac:dyDescent="0.3">
      <c r="A2051" s="4"/>
      <c r="B2051" s="4"/>
      <c r="C2051" s="4"/>
      <c r="D2051" s="4"/>
    </row>
    <row r="2052" spans="1:4" x14ac:dyDescent="0.3">
      <c r="A2052" s="4"/>
      <c r="B2052" s="4"/>
      <c r="C2052" s="4"/>
      <c r="D2052" s="4"/>
    </row>
    <row r="2053" spans="1:4" x14ac:dyDescent="0.3">
      <c r="A2053" s="4"/>
      <c r="B2053" s="4"/>
      <c r="C2053" s="4"/>
      <c r="D2053" s="4"/>
    </row>
    <row r="2054" spans="1:4" x14ac:dyDescent="0.3">
      <c r="A2054" s="4"/>
      <c r="B2054" s="4"/>
      <c r="C2054" s="4"/>
      <c r="D2054" s="4"/>
    </row>
    <row r="2055" spans="1:4" x14ac:dyDescent="0.3">
      <c r="A2055" s="4"/>
      <c r="B2055" s="4"/>
      <c r="C2055" s="4"/>
      <c r="D2055" s="4"/>
    </row>
    <row r="2056" spans="1:4" x14ac:dyDescent="0.3">
      <c r="A2056" s="4"/>
      <c r="B2056" s="4"/>
      <c r="C2056" s="4"/>
      <c r="D2056" s="4"/>
    </row>
    <row r="2057" spans="1:4" x14ac:dyDescent="0.3">
      <c r="A2057" s="4"/>
      <c r="B2057" s="4"/>
      <c r="C2057" s="4"/>
      <c r="D2057" s="4"/>
    </row>
    <row r="2058" spans="1:4" x14ac:dyDescent="0.3">
      <c r="A2058" s="4"/>
      <c r="B2058" s="4"/>
      <c r="C2058" s="4"/>
      <c r="D2058" s="4"/>
    </row>
    <row r="2059" spans="1:4" x14ac:dyDescent="0.3">
      <c r="A2059" s="4"/>
      <c r="B2059" s="4"/>
      <c r="C2059" s="4"/>
      <c r="D2059" s="4"/>
    </row>
    <row r="2060" spans="1:4" x14ac:dyDescent="0.3">
      <c r="A2060" s="4"/>
      <c r="B2060" s="4"/>
      <c r="C2060" s="4"/>
      <c r="D2060" s="4"/>
    </row>
    <row r="2061" spans="1:4" x14ac:dyDescent="0.3">
      <c r="A2061" s="4"/>
      <c r="B2061" s="4"/>
      <c r="C2061" s="4"/>
      <c r="D2061" s="4"/>
    </row>
    <row r="2062" spans="1:4" x14ac:dyDescent="0.3">
      <c r="A2062" s="4"/>
      <c r="B2062" s="4"/>
      <c r="C2062" s="4"/>
      <c r="D2062" s="4"/>
    </row>
    <row r="2063" spans="1:4" x14ac:dyDescent="0.3">
      <c r="A2063" s="4"/>
      <c r="B2063" s="4"/>
      <c r="C2063" s="4"/>
      <c r="D2063" s="4"/>
    </row>
    <row r="2064" spans="1:4" x14ac:dyDescent="0.3">
      <c r="A2064" s="4"/>
      <c r="B2064" s="4"/>
      <c r="C2064" s="4"/>
      <c r="D2064" s="4"/>
    </row>
    <row r="2065" spans="1:4" x14ac:dyDescent="0.3">
      <c r="A2065" s="4"/>
      <c r="B2065" s="4"/>
      <c r="C2065" s="4"/>
      <c r="D2065" s="4"/>
    </row>
    <row r="2066" spans="1:4" x14ac:dyDescent="0.3">
      <c r="A2066" s="4"/>
      <c r="B2066" s="4"/>
      <c r="C2066" s="4"/>
      <c r="D2066" s="4"/>
    </row>
    <row r="2067" spans="1:4" x14ac:dyDescent="0.3">
      <c r="A2067" s="4"/>
      <c r="B2067" s="4"/>
      <c r="C2067" s="4"/>
      <c r="D2067" s="4"/>
    </row>
    <row r="2068" spans="1:4" x14ac:dyDescent="0.3">
      <c r="A2068" s="4"/>
      <c r="B2068" s="4"/>
      <c r="C2068" s="4"/>
      <c r="D2068" s="4"/>
    </row>
    <row r="2069" spans="1:4" x14ac:dyDescent="0.3">
      <c r="A2069" s="4"/>
      <c r="B2069" s="4"/>
      <c r="C2069" s="4"/>
      <c r="D2069" s="4"/>
    </row>
    <row r="2070" spans="1:4" x14ac:dyDescent="0.3">
      <c r="A2070" s="4"/>
      <c r="B2070" s="4"/>
      <c r="C2070" s="4"/>
      <c r="D2070" s="4"/>
    </row>
    <row r="2071" spans="1:4" x14ac:dyDescent="0.3">
      <c r="A2071" s="4"/>
      <c r="B2071" s="4"/>
      <c r="C2071" s="4"/>
      <c r="D2071" s="4"/>
    </row>
    <row r="2072" spans="1:4" x14ac:dyDescent="0.3">
      <c r="A2072" s="4"/>
      <c r="B2072" s="4"/>
      <c r="C2072" s="4"/>
      <c r="D2072" s="4"/>
    </row>
    <row r="2073" spans="1:4" x14ac:dyDescent="0.3">
      <c r="A2073" s="4"/>
      <c r="B2073" s="4"/>
      <c r="C2073" s="4"/>
      <c r="D2073" s="4"/>
    </row>
    <row r="2074" spans="1:4" x14ac:dyDescent="0.3">
      <c r="A2074" s="4"/>
      <c r="B2074" s="4"/>
      <c r="C2074" s="4"/>
      <c r="D2074" s="4"/>
    </row>
    <row r="2075" spans="1:4" x14ac:dyDescent="0.3">
      <c r="A2075" s="4"/>
      <c r="B2075" s="4"/>
      <c r="C2075" s="4"/>
      <c r="D2075" s="4"/>
    </row>
    <row r="2076" spans="1:4" x14ac:dyDescent="0.3">
      <c r="A2076" s="4"/>
      <c r="B2076" s="4"/>
      <c r="C2076" s="4"/>
      <c r="D2076" s="4"/>
    </row>
    <row r="2077" spans="1:4" x14ac:dyDescent="0.3">
      <c r="A2077" s="4"/>
      <c r="B2077" s="4"/>
      <c r="C2077" s="4"/>
      <c r="D2077" s="4"/>
    </row>
    <row r="2078" spans="1:4" x14ac:dyDescent="0.3">
      <c r="A2078" s="4"/>
      <c r="B2078" s="4"/>
      <c r="C2078" s="4"/>
      <c r="D2078" s="4"/>
    </row>
    <row r="2079" spans="1:4" x14ac:dyDescent="0.3">
      <c r="A2079" s="4"/>
      <c r="B2079" s="4"/>
      <c r="C2079" s="4"/>
      <c r="D2079" s="4"/>
    </row>
    <row r="2080" spans="1:4" x14ac:dyDescent="0.3">
      <c r="A2080" s="4"/>
      <c r="B2080" s="4"/>
      <c r="C2080" s="4"/>
      <c r="D2080" s="4"/>
    </row>
    <row r="2081" spans="1:4" x14ac:dyDescent="0.3">
      <c r="A2081" s="4"/>
      <c r="B2081" s="4"/>
      <c r="C2081" s="4"/>
      <c r="D2081" s="4"/>
    </row>
    <row r="2082" spans="1:4" x14ac:dyDescent="0.3">
      <c r="A2082" s="4"/>
      <c r="B2082" s="4"/>
      <c r="C2082" s="4"/>
      <c r="D2082" s="4"/>
    </row>
    <row r="2083" spans="1:4" x14ac:dyDescent="0.3">
      <c r="A2083" s="4"/>
      <c r="B2083" s="4"/>
      <c r="C2083" s="4"/>
      <c r="D2083" s="4"/>
    </row>
    <row r="2084" spans="1:4" x14ac:dyDescent="0.3">
      <c r="A2084" s="4"/>
      <c r="B2084" s="4"/>
      <c r="C2084" s="4"/>
      <c r="D2084" s="4"/>
    </row>
    <row r="2085" spans="1:4" x14ac:dyDescent="0.3">
      <c r="A2085" s="4"/>
      <c r="B2085" s="4"/>
      <c r="C2085" s="4"/>
      <c r="D2085" s="4"/>
    </row>
    <row r="2086" spans="1:4" x14ac:dyDescent="0.3">
      <c r="A2086" s="4"/>
      <c r="B2086" s="4"/>
      <c r="C2086" s="4"/>
      <c r="D2086" s="4"/>
    </row>
    <row r="2087" spans="1:4" x14ac:dyDescent="0.3">
      <c r="A2087" s="4"/>
      <c r="B2087" s="4"/>
      <c r="C2087" s="4"/>
      <c r="D2087" s="4"/>
    </row>
    <row r="2088" spans="1:4" x14ac:dyDescent="0.3">
      <c r="A2088" s="4"/>
      <c r="B2088" s="4"/>
      <c r="C2088" s="4"/>
      <c r="D2088" s="4"/>
    </row>
    <row r="2089" spans="1:4" x14ac:dyDescent="0.3">
      <c r="A2089" s="4"/>
      <c r="B2089" s="4"/>
      <c r="C2089" s="4"/>
      <c r="D2089" s="4"/>
    </row>
    <row r="2090" spans="1:4" x14ac:dyDescent="0.3">
      <c r="A2090" s="4"/>
      <c r="B2090" s="4"/>
      <c r="C2090" s="4"/>
      <c r="D2090" s="4"/>
    </row>
    <row r="2091" spans="1:4" x14ac:dyDescent="0.3">
      <c r="A2091" s="4"/>
      <c r="B2091" s="4"/>
      <c r="C2091" s="4"/>
      <c r="D2091" s="4"/>
    </row>
    <row r="2092" spans="1:4" x14ac:dyDescent="0.3">
      <c r="A2092" s="4"/>
      <c r="B2092" s="4"/>
      <c r="C2092" s="4"/>
      <c r="D2092" s="4"/>
    </row>
    <row r="2093" spans="1:4" x14ac:dyDescent="0.3">
      <c r="A2093" s="4"/>
      <c r="B2093" s="4"/>
      <c r="C2093" s="4"/>
      <c r="D2093" s="4"/>
    </row>
    <row r="2094" spans="1:4" x14ac:dyDescent="0.3">
      <c r="A2094" s="4"/>
      <c r="B2094" s="4"/>
      <c r="C2094" s="4"/>
      <c r="D2094" s="4"/>
    </row>
    <row r="2095" spans="1:4" x14ac:dyDescent="0.3">
      <c r="A2095" s="4"/>
      <c r="B2095" s="4"/>
      <c r="C2095" s="4"/>
      <c r="D2095" s="4"/>
    </row>
    <row r="2096" spans="1:4" x14ac:dyDescent="0.3">
      <c r="A2096" s="4"/>
      <c r="B2096" s="4"/>
      <c r="C2096" s="4"/>
      <c r="D2096" s="4"/>
    </row>
    <row r="2097" spans="1:4" x14ac:dyDescent="0.3">
      <c r="A2097" s="4"/>
      <c r="B2097" s="4"/>
      <c r="C2097" s="4"/>
      <c r="D2097" s="4"/>
    </row>
    <row r="2098" spans="1:4" x14ac:dyDescent="0.3">
      <c r="A2098" s="4"/>
      <c r="B2098" s="4"/>
      <c r="C2098" s="4"/>
      <c r="D2098" s="4"/>
    </row>
    <row r="2099" spans="1:4" x14ac:dyDescent="0.3">
      <c r="A2099" s="4"/>
      <c r="B2099" s="4"/>
      <c r="C2099" s="4"/>
      <c r="D2099" s="4"/>
    </row>
    <row r="2100" spans="1:4" x14ac:dyDescent="0.3">
      <c r="A2100" s="4"/>
      <c r="B2100" s="4"/>
      <c r="C2100" s="4"/>
      <c r="D2100" s="4"/>
    </row>
    <row r="2101" spans="1:4" x14ac:dyDescent="0.3">
      <c r="A2101" s="4"/>
      <c r="B2101" s="4"/>
      <c r="C2101" s="4"/>
      <c r="D2101" s="4"/>
    </row>
    <row r="2102" spans="1:4" x14ac:dyDescent="0.3">
      <c r="A2102" s="4"/>
      <c r="B2102" s="4"/>
      <c r="C2102" s="4"/>
      <c r="D2102" s="4"/>
    </row>
    <row r="2103" spans="1:4" x14ac:dyDescent="0.3">
      <c r="A2103" s="4"/>
      <c r="B2103" s="4"/>
      <c r="C2103" s="4"/>
      <c r="D2103" s="4"/>
    </row>
    <row r="2104" spans="1:4" x14ac:dyDescent="0.3">
      <c r="A2104" s="4"/>
      <c r="B2104" s="4"/>
      <c r="C2104" s="4"/>
      <c r="D2104" s="4"/>
    </row>
    <row r="2105" spans="1:4" x14ac:dyDescent="0.3">
      <c r="A2105" s="4"/>
      <c r="B2105" s="4"/>
      <c r="C2105" s="4"/>
      <c r="D2105" s="4"/>
    </row>
    <row r="2106" spans="1:4" x14ac:dyDescent="0.3">
      <c r="A2106" s="4"/>
      <c r="B2106" s="4"/>
      <c r="C2106" s="4"/>
      <c r="D2106" s="4"/>
    </row>
    <row r="2107" spans="1:4" x14ac:dyDescent="0.3">
      <c r="A2107" s="4"/>
      <c r="B2107" s="4"/>
      <c r="C2107" s="4"/>
      <c r="D2107" s="4"/>
    </row>
    <row r="2108" spans="1:4" x14ac:dyDescent="0.3">
      <c r="A2108" s="4"/>
      <c r="B2108" s="4"/>
      <c r="C2108" s="4"/>
      <c r="D2108" s="4"/>
    </row>
    <row r="2109" spans="1:4" x14ac:dyDescent="0.3">
      <c r="A2109" s="4"/>
      <c r="B2109" s="4"/>
      <c r="C2109" s="4"/>
      <c r="D2109" s="4"/>
    </row>
    <row r="2110" spans="1:4" x14ac:dyDescent="0.3">
      <c r="A2110" s="4"/>
      <c r="B2110" s="4"/>
      <c r="C2110" s="4"/>
      <c r="D2110" s="4"/>
    </row>
    <row r="2111" spans="1:4" x14ac:dyDescent="0.3">
      <c r="A2111" s="4"/>
      <c r="B2111" s="4"/>
      <c r="C2111" s="4"/>
      <c r="D2111" s="4"/>
    </row>
    <row r="2112" spans="1:4" x14ac:dyDescent="0.3">
      <c r="A2112" s="4"/>
      <c r="B2112" s="4"/>
      <c r="C2112" s="4"/>
      <c r="D2112" s="4"/>
    </row>
    <row r="2113" spans="1:4" x14ac:dyDescent="0.3">
      <c r="A2113" s="4"/>
      <c r="B2113" s="4"/>
      <c r="C2113" s="4"/>
      <c r="D2113" s="4"/>
    </row>
    <row r="2114" spans="1:4" x14ac:dyDescent="0.3">
      <c r="A2114" s="4"/>
      <c r="B2114" s="4"/>
      <c r="C2114" s="4"/>
      <c r="D2114" s="4"/>
    </row>
    <row r="2115" spans="1:4" x14ac:dyDescent="0.3">
      <c r="A2115" s="4"/>
      <c r="B2115" s="4"/>
      <c r="C2115" s="4"/>
      <c r="D2115" s="4"/>
    </row>
    <row r="2116" spans="1:4" x14ac:dyDescent="0.3">
      <c r="A2116" s="4"/>
      <c r="B2116" s="4"/>
      <c r="C2116" s="4"/>
      <c r="D2116" s="4"/>
    </row>
    <row r="2117" spans="1:4" x14ac:dyDescent="0.3">
      <c r="A2117" s="4"/>
      <c r="B2117" s="4"/>
      <c r="C2117" s="4"/>
      <c r="D2117" s="4"/>
    </row>
    <row r="2118" spans="1:4" x14ac:dyDescent="0.3">
      <c r="A2118" s="4"/>
      <c r="B2118" s="4"/>
      <c r="C2118" s="4"/>
      <c r="D2118" s="4"/>
    </row>
    <row r="2119" spans="1:4" x14ac:dyDescent="0.3">
      <c r="A2119" s="4"/>
      <c r="B2119" s="4"/>
      <c r="C2119" s="4"/>
      <c r="D2119" s="4"/>
    </row>
    <row r="2120" spans="1:4" x14ac:dyDescent="0.3">
      <c r="A2120" s="4"/>
      <c r="B2120" s="4"/>
      <c r="C2120" s="4"/>
      <c r="D2120" s="4"/>
    </row>
    <row r="2121" spans="1:4" x14ac:dyDescent="0.3">
      <c r="A2121" s="4"/>
      <c r="B2121" s="4"/>
      <c r="C2121" s="4"/>
      <c r="D2121" s="4"/>
    </row>
    <row r="2122" spans="1:4" x14ac:dyDescent="0.3">
      <c r="A2122" s="4"/>
      <c r="B2122" s="4"/>
      <c r="C2122" s="4"/>
      <c r="D2122" s="4"/>
    </row>
    <row r="2123" spans="1:4" x14ac:dyDescent="0.3">
      <c r="A2123" s="4"/>
      <c r="B2123" s="4"/>
      <c r="C2123" s="4"/>
      <c r="D2123" s="4"/>
    </row>
    <row r="2124" spans="1:4" x14ac:dyDescent="0.3">
      <c r="A2124" s="4"/>
      <c r="B2124" s="4"/>
      <c r="C2124" s="4"/>
      <c r="D2124" s="4"/>
    </row>
    <row r="2125" spans="1:4" x14ac:dyDescent="0.3">
      <c r="A2125" s="4"/>
      <c r="B2125" s="4"/>
      <c r="C2125" s="4"/>
      <c r="D2125" s="4"/>
    </row>
    <row r="2126" spans="1:4" x14ac:dyDescent="0.3">
      <c r="A2126" s="4"/>
      <c r="B2126" s="4"/>
      <c r="C2126" s="4"/>
      <c r="D2126" s="4"/>
    </row>
    <row r="2127" spans="1:4" x14ac:dyDescent="0.3">
      <c r="A2127" s="4"/>
      <c r="B2127" s="4"/>
      <c r="C2127" s="4"/>
      <c r="D2127" s="4"/>
    </row>
    <row r="2128" spans="1:4" x14ac:dyDescent="0.3">
      <c r="A2128" s="4"/>
      <c r="B2128" s="4"/>
      <c r="C2128" s="4"/>
      <c r="D2128" s="4"/>
    </row>
    <row r="2129" spans="1:4" x14ac:dyDescent="0.3">
      <c r="A2129" s="4"/>
      <c r="B2129" s="4"/>
      <c r="C2129" s="4"/>
      <c r="D2129" s="4"/>
    </row>
    <row r="2130" spans="1:4" x14ac:dyDescent="0.3">
      <c r="A2130" s="4"/>
      <c r="B2130" s="4"/>
      <c r="C2130" s="4"/>
      <c r="D2130" s="4"/>
    </row>
    <row r="2131" spans="1:4" x14ac:dyDescent="0.3">
      <c r="A2131" s="4"/>
      <c r="B2131" s="4"/>
      <c r="C2131" s="4"/>
      <c r="D2131" s="4"/>
    </row>
    <row r="2132" spans="1:4" x14ac:dyDescent="0.3">
      <c r="A2132" s="4"/>
      <c r="B2132" s="4"/>
      <c r="C2132" s="4"/>
      <c r="D2132" s="4"/>
    </row>
    <row r="2133" spans="1:4" x14ac:dyDescent="0.3">
      <c r="A2133" s="4"/>
      <c r="B2133" s="4"/>
      <c r="C2133" s="4"/>
      <c r="D2133" s="4"/>
    </row>
    <row r="2134" spans="1:4" x14ac:dyDescent="0.3">
      <c r="A2134" s="4"/>
      <c r="B2134" s="4"/>
      <c r="C2134" s="4"/>
      <c r="D2134" s="4"/>
    </row>
    <row r="2135" spans="1:4" x14ac:dyDescent="0.3">
      <c r="A2135" s="4"/>
      <c r="B2135" s="4"/>
      <c r="C2135" s="4"/>
      <c r="D2135" s="4"/>
    </row>
    <row r="2136" spans="1:4" x14ac:dyDescent="0.3">
      <c r="A2136" s="4"/>
      <c r="B2136" s="4"/>
      <c r="C2136" s="4"/>
      <c r="D2136" s="4"/>
    </row>
    <row r="2137" spans="1:4" x14ac:dyDescent="0.3">
      <c r="A2137" s="4"/>
      <c r="B2137" s="4"/>
      <c r="C2137" s="4"/>
      <c r="D2137" s="4"/>
    </row>
    <row r="2138" spans="1:4" x14ac:dyDescent="0.3">
      <c r="A2138" s="4"/>
      <c r="B2138" s="4"/>
      <c r="C2138" s="4"/>
      <c r="D2138" s="4"/>
    </row>
    <row r="2139" spans="1:4" x14ac:dyDescent="0.3">
      <c r="A2139" s="4"/>
      <c r="B2139" s="4"/>
      <c r="C2139" s="4"/>
      <c r="D2139" s="4"/>
    </row>
    <row r="2140" spans="1:4" x14ac:dyDescent="0.3">
      <c r="A2140" s="4"/>
      <c r="B2140" s="4"/>
      <c r="C2140" s="4"/>
      <c r="D2140" s="4"/>
    </row>
    <row r="2141" spans="1:4" x14ac:dyDescent="0.3">
      <c r="A2141" s="4"/>
      <c r="B2141" s="4"/>
      <c r="C2141" s="4"/>
      <c r="D2141" s="4"/>
    </row>
    <row r="2142" spans="1:4" x14ac:dyDescent="0.3">
      <c r="A2142" s="4"/>
      <c r="B2142" s="4"/>
      <c r="C2142" s="4"/>
      <c r="D2142" s="4"/>
    </row>
    <row r="2143" spans="1:4" x14ac:dyDescent="0.3">
      <c r="A2143" s="4"/>
      <c r="B2143" s="4"/>
      <c r="C2143" s="4"/>
      <c r="D2143" s="4"/>
    </row>
    <row r="2144" spans="1:4" x14ac:dyDescent="0.3">
      <c r="A2144" s="4"/>
      <c r="B2144" s="4"/>
      <c r="C2144" s="4"/>
      <c r="D2144" s="4"/>
    </row>
    <row r="2145" spans="1:4" x14ac:dyDescent="0.3">
      <c r="A2145" s="4"/>
      <c r="B2145" s="4"/>
      <c r="C2145" s="4"/>
      <c r="D2145" s="4"/>
    </row>
    <row r="2146" spans="1:4" x14ac:dyDescent="0.3">
      <c r="A2146" s="4"/>
      <c r="B2146" s="4"/>
      <c r="C2146" s="4"/>
      <c r="D2146" s="4"/>
    </row>
    <row r="2147" spans="1:4" x14ac:dyDescent="0.3">
      <c r="A2147" s="4"/>
      <c r="B2147" s="4"/>
      <c r="C2147" s="4"/>
      <c r="D2147" s="4"/>
    </row>
    <row r="2148" spans="1:4" x14ac:dyDescent="0.3">
      <c r="A2148" s="4"/>
      <c r="B2148" s="4"/>
      <c r="C2148" s="4"/>
      <c r="D2148" s="4"/>
    </row>
    <row r="2149" spans="1:4" x14ac:dyDescent="0.3">
      <c r="A2149" s="4"/>
      <c r="B2149" s="4"/>
      <c r="C2149" s="4"/>
      <c r="D2149" s="4"/>
    </row>
    <row r="2150" spans="1:4" x14ac:dyDescent="0.3">
      <c r="A2150" s="4"/>
      <c r="B2150" s="4"/>
      <c r="C2150" s="4"/>
      <c r="D2150" s="4"/>
    </row>
    <row r="2151" spans="1:4" x14ac:dyDescent="0.3">
      <c r="A2151" s="4"/>
      <c r="B2151" s="4"/>
      <c r="C2151" s="4"/>
      <c r="D2151" s="4"/>
    </row>
    <row r="2152" spans="1:4" x14ac:dyDescent="0.3">
      <c r="A2152" s="4"/>
      <c r="B2152" s="4"/>
      <c r="C2152" s="4"/>
      <c r="D2152" s="4"/>
    </row>
    <row r="2153" spans="1:4" x14ac:dyDescent="0.3">
      <c r="A2153" s="4"/>
      <c r="B2153" s="4"/>
      <c r="C2153" s="4"/>
      <c r="D2153" s="4"/>
    </row>
    <row r="2154" spans="1:4" x14ac:dyDescent="0.3">
      <c r="A2154" s="4"/>
      <c r="B2154" s="4"/>
      <c r="C2154" s="4"/>
      <c r="D2154" s="4"/>
    </row>
    <row r="2155" spans="1:4" x14ac:dyDescent="0.3">
      <c r="A2155" s="4"/>
      <c r="B2155" s="4"/>
      <c r="C2155" s="4"/>
      <c r="D2155" s="4"/>
    </row>
    <row r="2156" spans="1:4" x14ac:dyDescent="0.3">
      <c r="A2156" s="4"/>
      <c r="B2156" s="4"/>
      <c r="C2156" s="4"/>
      <c r="D2156" s="4"/>
    </row>
    <row r="2157" spans="1:4" x14ac:dyDescent="0.3">
      <c r="A2157" s="4"/>
      <c r="B2157" s="4"/>
      <c r="C2157" s="4"/>
      <c r="D2157" s="4"/>
    </row>
    <row r="2158" spans="1:4" x14ac:dyDescent="0.3">
      <c r="A2158" s="4"/>
      <c r="B2158" s="4"/>
      <c r="C2158" s="4"/>
      <c r="D2158" s="4"/>
    </row>
    <row r="2159" spans="1:4" x14ac:dyDescent="0.3">
      <c r="A2159" s="4"/>
      <c r="B2159" s="4"/>
      <c r="C2159" s="4"/>
      <c r="D2159" s="4"/>
    </row>
    <row r="2160" spans="1:4" x14ac:dyDescent="0.3">
      <c r="A2160" s="4"/>
      <c r="B2160" s="4"/>
      <c r="C2160" s="4"/>
      <c r="D2160" s="4"/>
    </row>
    <row r="2161" spans="1:4" x14ac:dyDescent="0.3">
      <c r="A2161" s="4"/>
      <c r="B2161" s="4"/>
      <c r="C2161" s="4"/>
      <c r="D2161" s="4"/>
    </row>
    <row r="2162" spans="1:4" x14ac:dyDescent="0.3">
      <c r="A2162" s="4"/>
      <c r="B2162" s="4"/>
      <c r="C2162" s="4"/>
      <c r="D2162" s="4"/>
    </row>
    <row r="2163" spans="1:4" x14ac:dyDescent="0.3">
      <c r="A2163" s="4"/>
      <c r="B2163" s="4"/>
      <c r="C2163" s="4"/>
      <c r="D2163" s="4"/>
    </row>
    <row r="2164" spans="1:4" x14ac:dyDescent="0.3">
      <c r="A2164" s="4"/>
      <c r="B2164" s="4"/>
      <c r="C2164" s="4"/>
      <c r="D2164" s="4"/>
    </row>
    <row r="2165" spans="1:4" x14ac:dyDescent="0.3">
      <c r="A2165" s="4"/>
      <c r="B2165" s="4"/>
      <c r="C2165" s="4"/>
      <c r="D2165" s="4"/>
    </row>
    <row r="2166" spans="1:4" x14ac:dyDescent="0.3">
      <c r="A2166" s="4"/>
      <c r="B2166" s="4"/>
      <c r="C2166" s="4"/>
      <c r="D2166" s="4"/>
    </row>
    <row r="2167" spans="1:4" x14ac:dyDescent="0.3">
      <c r="A2167" s="4"/>
      <c r="B2167" s="4"/>
      <c r="C2167" s="4"/>
      <c r="D2167" s="4"/>
    </row>
    <row r="2168" spans="1:4" x14ac:dyDescent="0.3">
      <c r="A2168" s="4"/>
      <c r="B2168" s="4"/>
      <c r="C2168" s="4"/>
      <c r="D2168" s="4"/>
    </row>
    <row r="2169" spans="1:4" x14ac:dyDescent="0.3">
      <c r="A2169" s="4"/>
      <c r="B2169" s="4"/>
      <c r="C2169" s="4"/>
      <c r="D2169" s="4"/>
    </row>
    <row r="2170" spans="1:4" x14ac:dyDescent="0.3">
      <c r="A2170" s="4"/>
      <c r="B2170" s="4"/>
      <c r="C2170" s="4"/>
      <c r="D2170" s="4"/>
    </row>
    <row r="2171" spans="1:4" x14ac:dyDescent="0.3">
      <c r="A2171" s="4"/>
      <c r="B2171" s="4"/>
      <c r="C2171" s="4"/>
      <c r="D2171" s="4"/>
    </row>
    <row r="2172" spans="1:4" x14ac:dyDescent="0.3">
      <c r="A2172" s="4"/>
      <c r="B2172" s="4"/>
      <c r="C2172" s="4"/>
      <c r="D2172" s="4"/>
    </row>
    <row r="2173" spans="1:4" x14ac:dyDescent="0.3">
      <c r="A2173" s="4"/>
      <c r="B2173" s="4"/>
      <c r="C2173" s="4"/>
      <c r="D2173" s="4"/>
    </row>
    <row r="2174" spans="1:4" x14ac:dyDescent="0.3">
      <c r="A2174" s="4"/>
      <c r="B2174" s="4"/>
      <c r="C2174" s="4"/>
      <c r="D2174" s="4"/>
    </row>
    <row r="2175" spans="1:4" x14ac:dyDescent="0.3">
      <c r="A2175" s="4"/>
      <c r="B2175" s="4"/>
      <c r="C2175" s="4"/>
      <c r="D2175" s="4"/>
    </row>
    <row r="2176" spans="1:4" x14ac:dyDescent="0.3">
      <c r="A2176" s="4"/>
      <c r="B2176" s="4"/>
      <c r="C2176" s="4"/>
      <c r="D2176" s="4"/>
    </row>
    <row r="2177" spans="1:4" x14ac:dyDescent="0.3">
      <c r="A2177" s="4"/>
      <c r="B2177" s="4"/>
      <c r="C2177" s="4"/>
      <c r="D2177" s="4"/>
    </row>
    <row r="2178" spans="1:4" x14ac:dyDescent="0.3">
      <c r="A2178" s="4"/>
      <c r="B2178" s="4"/>
      <c r="C2178" s="4"/>
      <c r="D2178" s="4"/>
    </row>
    <row r="2179" spans="1:4" x14ac:dyDescent="0.3">
      <c r="A2179" s="4"/>
      <c r="B2179" s="4"/>
      <c r="C2179" s="4"/>
      <c r="D2179" s="4"/>
    </row>
    <row r="2180" spans="1:4" x14ac:dyDescent="0.3">
      <c r="A2180" s="4"/>
      <c r="B2180" s="4"/>
      <c r="C2180" s="4"/>
      <c r="D2180" s="4"/>
    </row>
    <row r="2181" spans="1:4" x14ac:dyDescent="0.3">
      <c r="A2181" s="4"/>
      <c r="B2181" s="4"/>
      <c r="C2181" s="4"/>
      <c r="D2181" s="4"/>
    </row>
    <row r="2182" spans="1:4" x14ac:dyDescent="0.3">
      <c r="A2182" s="4"/>
      <c r="B2182" s="4"/>
      <c r="C2182" s="4"/>
      <c r="D2182" s="4"/>
    </row>
    <row r="2183" spans="1:4" x14ac:dyDescent="0.3">
      <c r="A2183" s="4"/>
      <c r="B2183" s="4"/>
      <c r="C2183" s="4"/>
      <c r="D2183" s="4"/>
    </row>
    <row r="2184" spans="1:4" x14ac:dyDescent="0.3">
      <c r="A2184" s="4"/>
      <c r="B2184" s="4"/>
      <c r="C2184" s="4"/>
      <c r="D2184" s="4"/>
    </row>
    <row r="2185" spans="1:4" x14ac:dyDescent="0.3">
      <c r="A2185" s="4"/>
      <c r="B2185" s="4"/>
      <c r="C2185" s="4"/>
      <c r="D2185" s="4"/>
    </row>
    <row r="2186" spans="1:4" x14ac:dyDescent="0.3">
      <c r="A2186" s="4"/>
      <c r="B2186" s="4"/>
      <c r="C2186" s="4"/>
      <c r="D2186" s="4"/>
    </row>
    <row r="2187" spans="1:4" x14ac:dyDescent="0.3">
      <c r="A2187" s="4"/>
      <c r="B2187" s="4"/>
      <c r="C2187" s="4"/>
      <c r="D2187" s="4"/>
    </row>
    <row r="2188" spans="1:4" x14ac:dyDescent="0.3">
      <c r="A2188" s="4"/>
      <c r="B2188" s="4"/>
      <c r="C2188" s="4"/>
      <c r="D2188" s="4"/>
    </row>
    <row r="2189" spans="1:4" x14ac:dyDescent="0.3">
      <c r="A2189" s="4"/>
      <c r="B2189" s="4"/>
      <c r="C2189" s="4"/>
      <c r="D2189" s="4"/>
    </row>
    <row r="2190" spans="1:4" x14ac:dyDescent="0.3">
      <c r="A2190" s="4"/>
      <c r="B2190" s="4"/>
      <c r="C2190" s="4"/>
      <c r="D2190" s="4"/>
    </row>
    <row r="2191" spans="1:4" x14ac:dyDescent="0.3">
      <c r="A2191" s="4"/>
      <c r="B2191" s="4"/>
      <c r="C2191" s="4"/>
      <c r="D2191" s="4"/>
    </row>
    <row r="2192" spans="1:4" x14ac:dyDescent="0.3">
      <c r="A2192" s="4"/>
      <c r="B2192" s="4"/>
      <c r="C2192" s="4"/>
      <c r="D2192" s="4"/>
    </row>
    <row r="2193" spans="1:4" x14ac:dyDescent="0.3">
      <c r="A2193" s="4"/>
      <c r="B2193" s="4"/>
      <c r="C2193" s="4"/>
      <c r="D2193" s="4"/>
    </row>
    <row r="2194" spans="1:4" x14ac:dyDescent="0.3">
      <c r="A2194" s="4"/>
      <c r="B2194" s="4"/>
      <c r="C2194" s="4"/>
      <c r="D2194" s="4"/>
    </row>
    <row r="2195" spans="1:4" x14ac:dyDescent="0.3">
      <c r="A2195" s="4"/>
      <c r="B2195" s="4"/>
      <c r="C2195" s="4"/>
      <c r="D2195" s="4"/>
    </row>
    <row r="2196" spans="1:4" x14ac:dyDescent="0.3">
      <c r="A2196" s="4"/>
      <c r="B2196" s="4"/>
      <c r="C2196" s="4"/>
      <c r="D2196" s="4"/>
    </row>
    <row r="2197" spans="1:4" x14ac:dyDescent="0.3">
      <c r="A2197" s="4"/>
      <c r="B2197" s="4"/>
      <c r="C2197" s="4"/>
      <c r="D2197" s="4"/>
    </row>
    <row r="2198" spans="1:4" x14ac:dyDescent="0.3">
      <c r="A2198" s="4"/>
      <c r="B2198" s="4"/>
      <c r="C2198" s="4"/>
      <c r="D2198" s="4"/>
    </row>
    <row r="2199" spans="1:4" x14ac:dyDescent="0.3">
      <c r="A2199" s="4"/>
      <c r="B2199" s="4"/>
      <c r="C2199" s="4"/>
      <c r="D2199" s="4"/>
    </row>
    <row r="2200" spans="1:4" x14ac:dyDescent="0.3">
      <c r="A2200" s="4"/>
      <c r="B2200" s="4"/>
      <c r="C2200" s="4"/>
      <c r="D2200" s="4"/>
    </row>
    <row r="2201" spans="1:4" x14ac:dyDescent="0.3">
      <c r="A2201" s="4"/>
      <c r="B2201" s="4"/>
      <c r="C2201" s="4"/>
      <c r="D2201" s="4"/>
    </row>
    <row r="2202" spans="1:4" x14ac:dyDescent="0.3">
      <c r="A2202" s="4"/>
      <c r="B2202" s="4"/>
      <c r="C2202" s="4"/>
      <c r="D2202" s="4"/>
    </row>
    <row r="2203" spans="1:4" x14ac:dyDescent="0.3">
      <c r="A2203" s="4"/>
      <c r="B2203" s="4"/>
      <c r="C2203" s="4"/>
      <c r="D2203" s="4"/>
    </row>
    <row r="2204" spans="1:4" x14ac:dyDescent="0.3">
      <c r="A2204" s="4"/>
      <c r="B2204" s="4"/>
      <c r="C2204" s="4"/>
      <c r="D2204" s="4"/>
    </row>
    <row r="2205" spans="1:4" x14ac:dyDescent="0.3">
      <c r="A2205" s="4"/>
      <c r="B2205" s="4"/>
      <c r="C2205" s="4"/>
      <c r="D2205" s="4"/>
    </row>
    <row r="2206" spans="1:4" x14ac:dyDescent="0.3">
      <c r="A2206" s="4"/>
      <c r="B2206" s="4"/>
      <c r="C2206" s="4"/>
      <c r="D2206" s="4"/>
    </row>
    <row r="2207" spans="1:4" x14ac:dyDescent="0.3">
      <c r="A2207" s="4"/>
      <c r="B2207" s="4"/>
      <c r="C2207" s="4"/>
      <c r="D2207" s="4"/>
    </row>
    <row r="2208" spans="1:4" x14ac:dyDescent="0.3">
      <c r="A2208" s="4"/>
      <c r="B2208" s="4"/>
      <c r="C2208" s="4"/>
      <c r="D2208" s="4"/>
    </row>
    <row r="2209" spans="1:4" x14ac:dyDescent="0.3">
      <c r="A2209" s="4"/>
      <c r="B2209" s="4"/>
      <c r="C2209" s="4"/>
      <c r="D2209" s="4"/>
    </row>
    <row r="2210" spans="1:4" x14ac:dyDescent="0.3">
      <c r="A2210" s="4"/>
      <c r="B2210" s="4"/>
      <c r="C2210" s="4"/>
      <c r="D2210" s="4"/>
    </row>
    <row r="2211" spans="1:4" x14ac:dyDescent="0.3">
      <c r="A2211" s="4"/>
      <c r="B2211" s="4"/>
      <c r="C2211" s="4"/>
      <c r="D2211" s="4"/>
    </row>
    <row r="2212" spans="1:4" x14ac:dyDescent="0.3">
      <c r="A2212" s="4"/>
      <c r="B2212" s="4"/>
      <c r="C2212" s="4"/>
      <c r="D2212" s="4"/>
    </row>
    <row r="2213" spans="1:4" x14ac:dyDescent="0.3">
      <c r="A2213" s="4"/>
      <c r="B2213" s="4"/>
      <c r="C2213" s="4"/>
      <c r="D2213" s="4"/>
    </row>
    <row r="2214" spans="1:4" x14ac:dyDescent="0.3">
      <c r="A2214" s="4"/>
      <c r="B2214" s="4"/>
      <c r="C2214" s="4"/>
      <c r="D2214" s="4"/>
    </row>
    <row r="2215" spans="1:4" x14ac:dyDescent="0.3">
      <c r="A2215" s="4"/>
      <c r="B2215" s="4"/>
      <c r="C2215" s="4"/>
      <c r="D2215" s="4"/>
    </row>
    <row r="2216" spans="1:4" x14ac:dyDescent="0.3">
      <c r="A2216" s="7"/>
      <c r="B2216" s="4"/>
      <c r="C2216" s="4"/>
      <c r="D2216" s="4"/>
    </row>
    <row r="2217" spans="1:4" x14ac:dyDescent="0.3">
      <c r="A2217" s="7"/>
      <c r="B2217" s="4"/>
      <c r="C2217" s="4"/>
      <c r="D2217" s="4"/>
    </row>
    <row r="2218" spans="1:4" x14ac:dyDescent="0.3">
      <c r="A2218" s="7"/>
      <c r="B2218" s="4"/>
      <c r="C2218" s="4"/>
      <c r="D2218" s="4"/>
    </row>
    <row r="2219" spans="1:4" x14ac:dyDescent="0.3">
      <c r="A2219" s="7"/>
      <c r="B2219" s="4"/>
      <c r="C2219" s="4"/>
      <c r="D2219" s="4"/>
    </row>
    <row r="2220" spans="1:4" x14ac:dyDescent="0.3">
      <c r="A2220" s="7"/>
      <c r="B2220" s="4"/>
      <c r="C2220" s="4"/>
      <c r="D2220" s="4"/>
    </row>
    <row r="2221" spans="1:4" x14ac:dyDescent="0.3">
      <c r="A2221" s="7"/>
      <c r="B2221" s="4"/>
      <c r="C2221" s="4"/>
      <c r="D2221" s="4"/>
    </row>
    <row r="2222" spans="1:4" x14ac:dyDescent="0.3">
      <c r="A2222" s="7"/>
      <c r="B2222" s="4"/>
      <c r="C2222" s="4"/>
      <c r="D2222" s="4"/>
    </row>
    <row r="2223" spans="1:4" x14ac:dyDescent="0.3">
      <c r="A2223" s="7"/>
      <c r="B2223" s="4"/>
      <c r="C2223" s="4"/>
      <c r="D2223" s="4"/>
    </row>
    <row r="2224" spans="1:4" x14ac:dyDescent="0.3">
      <c r="A2224" s="7"/>
      <c r="B2224" s="4"/>
      <c r="C2224" s="4"/>
      <c r="D2224" s="4"/>
    </row>
    <row r="2225" spans="1:4" x14ac:dyDescent="0.3">
      <c r="A2225" s="7"/>
      <c r="B2225" s="4"/>
      <c r="C2225" s="4"/>
      <c r="D2225" s="4"/>
    </row>
    <row r="2226" spans="1:4" x14ac:dyDescent="0.3">
      <c r="A2226" s="7"/>
      <c r="B2226" s="4"/>
      <c r="C2226" s="4"/>
      <c r="D2226" s="4"/>
    </row>
    <row r="2227" spans="1:4" x14ac:dyDescent="0.3">
      <c r="A2227" s="7"/>
      <c r="B2227" s="4"/>
      <c r="C2227" s="4"/>
      <c r="D2227" s="4"/>
    </row>
    <row r="2228" spans="1:4" x14ac:dyDescent="0.3">
      <c r="A2228" s="7"/>
      <c r="B2228" s="4"/>
      <c r="C2228" s="4"/>
      <c r="D2228" s="4"/>
    </row>
    <row r="2229" spans="1:4" x14ac:dyDescent="0.3">
      <c r="A2229" s="7"/>
      <c r="B2229" s="4"/>
      <c r="C2229" s="4"/>
      <c r="D2229" s="4"/>
    </row>
    <row r="2230" spans="1:4" x14ac:dyDescent="0.3">
      <c r="A2230" s="7"/>
      <c r="B2230" s="4"/>
      <c r="C2230" s="4"/>
      <c r="D2230" s="4"/>
    </row>
    <row r="2231" spans="1:4" x14ac:dyDescent="0.3">
      <c r="A2231" s="7"/>
      <c r="B2231" s="4"/>
      <c r="C2231" s="4"/>
      <c r="D2231" s="4"/>
    </row>
    <row r="2232" spans="1:4" x14ac:dyDescent="0.3">
      <c r="A2232" s="7"/>
      <c r="B2232" s="4"/>
      <c r="C2232" s="4"/>
      <c r="D2232" s="4"/>
    </row>
    <row r="2233" spans="1:4" x14ac:dyDescent="0.3">
      <c r="A2233" s="7"/>
      <c r="B2233" s="4"/>
      <c r="C2233" s="4"/>
      <c r="D2233" s="4"/>
    </row>
    <row r="2234" spans="1:4" x14ac:dyDescent="0.3">
      <c r="A2234" s="7"/>
      <c r="B2234" s="4"/>
      <c r="C2234" s="4"/>
      <c r="D2234" s="4"/>
    </row>
    <row r="2235" spans="1:4" x14ac:dyDescent="0.3">
      <c r="A2235" s="7"/>
      <c r="B2235" s="4"/>
      <c r="C2235" s="4"/>
      <c r="D2235" s="4"/>
    </row>
    <row r="2236" spans="1:4" x14ac:dyDescent="0.3">
      <c r="A2236" s="7"/>
      <c r="B2236" s="4"/>
      <c r="C2236" s="4"/>
      <c r="D2236" s="4"/>
    </row>
    <row r="2237" spans="1:4" x14ac:dyDescent="0.3">
      <c r="A2237" s="7"/>
      <c r="B2237" s="4"/>
      <c r="C2237" s="4"/>
      <c r="D2237" s="4"/>
    </row>
    <row r="2238" spans="1:4" x14ac:dyDescent="0.3">
      <c r="A2238" s="7"/>
      <c r="B2238" s="4"/>
      <c r="C2238" s="4"/>
      <c r="D2238" s="4"/>
    </row>
    <row r="2239" spans="1:4" x14ac:dyDescent="0.3">
      <c r="A2239" s="7"/>
      <c r="B2239" s="4"/>
      <c r="C2239" s="4"/>
      <c r="D2239" s="4"/>
    </row>
    <row r="2240" spans="1:4" x14ac:dyDescent="0.3">
      <c r="A2240" s="7"/>
      <c r="B2240" s="4"/>
      <c r="C2240" s="4"/>
      <c r="D2240" s="4"/>
    </row>
    <row r="2241" spans="1:4" x14ac:dyDescent="0.3">
      <c r="A2241" s="7"/>
      <c r="B2241" s="4"/>
      <c r="C2241" s="4"/>
      <c r="D2241" s="4"/>
    </row>
    <row r="2242" spans="1:4" x14ac:dyDescent="0.3">
      <c r="A2242" s="7"/>
      <c r="B2242" s="4"/>
      <c r="C2242" s="4"/>
      <c r="D2242" s="4"/>
    </row>
    <row r="2243" spans="1:4" x14ac:dyDescent="0.3">
      <c r="A2243" s="7"/>
      <c r="B2243" s="4"/>
      <c r="C2243" s="4"/>
      <c r="D2243" s="4"/>
    </row>
    <row r="2244" spans="1:4" x14ac:dyDescent="0.3">
      <c r="A2244" s="7"/>
      <c r="B2244" s="4"/>
      <c r="C2244" s="4"/>
      <c r="D2244" s="4"/>
    </row>
    <row r="2245" spans="1:4" x14ac:dyDescent="0.3">
      <c r="A2245" s="7"/>
      <c r="B2245" s="4"/>
      <c r="C2245" s="4"/>
      <c r="D2245" s="4"/>
    </row>
    <row r="2246" spans="1:4" x14ac:dyDescent="0.3">
      <c r="A2246" s="7"/>
      <c r="B2246" s="4"/>
      <c r="C2246" s="4"/>
      <c r="D2246" s="4"/>
    </row>
    <row r="2247" spans="1:4" x14ac:dyDescent="0.3">
      <c r="A2247" s="7"/>
      <c r="B2247" s="4"/>
      <c r="C2247" s="4"/>
      <c r="D2247" s="4"/>
    </row>
    <row r="2248" spans="1:4" x14ac:dyDescent="0.3">
      <c r="A2248" s="7"/>
      <c r="B2248" s="4"/>
      <c r="C2248" s="4"/>
      <c r="D2248" s="4"/>
    </row>
    <row r="2249" spans="1:4" x14ac:dyDescent="0.3">
      <c r="A2249" s="7"/>
      <c r="B2249" s="4"/>
      <c r="C2249" s="4"/>
      <c r="D2249" s="4"/>
    </row>
    <row r="2250" spans="1:4" x14ac:dyDescent="0.3">
      <c r="A2250" s="7"/>
      <c r="B2250" s="4"/>
      <c r="C2250" s="4"/>
      <c r="D2250" s="4"/>
    </row>
    <row r="2251" spans="1:4" x14ac:dyDescent="0.3">
      <c r="A2251" s="7"/>
      <c r="B2251" s="4"/>
      <c r="C2251" s="4"/>
      <c r="D2251" s="4"/>
    </row>
    <row r="2252" spans="1:4" x14ac:dyDescent="0.3">
      <c r="A2252" s="7"/>
      <c r="B2252" s="4"/>
      <c r="C2252" s="4"/>
      <c r="D2252" s="4"/>
    </row>
    <row r="2253" spans="1:4" x14ac:dyDescent="0.3">
      <c r="A2253" s="7"/>
      <c r="B2253" s="4"/>
      <c r="C2253" s="4"/>
      <c r="D2253" s="4"/>
    </row>
    <row r="2254" spans="1:4" x14ac:dyDescent="0.3">
      <c r="A2254" s="7"/>
      <c r="B2254" s="4"/>
      <c r="C2254" s="4"/>
      <c r="D2254" s="4"/>
    </row>
    <row r="2255" spans="1:4" x14ac:dyDescent="0.3">
      <c r="A2255" s="7"/>
      <c r="B2255" s="4"/>
      <c r="C2255" s="4"/>
      <c r="D2255" s="4"/>
    </row>
    <row r="2256" spans="1:4" x14ac:dyDescent="0.3">
      <c r="A2256" s="7"/>
      <c r="B2256" s="4"/>
      <c r="C2256" s="4"/>
      <c r="D2256" s="4"/>
    </row>
    <row r="2257" spans="1:4" x14ac:dyDescent="0.3">
      <c r="A2257" s="7"/>
      <c r="B2257" s="4"/>
      <c r="C2257" s="4"/>
      <c r="D2257" s="4"/>
    </row>
    <row r="2258" spans="1:4" x14ac:dyDescent="0.3">
      <c r="A2258" s="7"/>
      <c r="B2258" s="4"/>
      <c r="C2258" s="4"/>
      <c r="D2258" s="4"/>
    </row>
    <row r="2259" spans="1:4" x14ac:dyDescent="0.3">
      <c r="A2259" s="7"/>
      <c r="B2259" s="4"/>
      <c r="C2259" s="4"/>
      <c r="D2259" s="4"/>
    </row>
    <row r="2260" spans="1:4" x14ac:dyDescent="0.3">
      <c r="A2260" s="7"/>
      <c r="B2260" s="4"/>
      <c r="C2260" s="4"/>
      <c r="D2260" s="4"/>
    </row>
    <row r="2261" spans="1:4" x14ac:dyDescent="0.3">
      <c r="A2261" s="7"/>
      <c r="B2261" s="4"/>
      <c r="C2261" s="4"/>
      <c r="D2261" s="4"/>
    </row>
    <row r="2262" spans="1:4" x14ac:dyDescent="0.3">
      <c r="A2262" s="7"/>
      <c r="B2262" s="4"/>
      <c r="C2262" s="4"/>
      <c r="D2262" s="4"/>
    </row>
    <row r="2263" spans="1:4" x14ac:dyDescent="0.3">
      <c r="A2263" s="7"/>
      <c r="B2263" s="4"/>
      <c r="C2263" s="4"/>
      <c r="D2263" s="4"/>
    </row>
    <row r="2264" spans="1:4" x14ac:dyDescent="0.3">
      <c r="A2264" s="7"/>
      <c r="B2264" s="4"/>
      <c r="C2264" s="4"/>
      <c r="D2264" s="4"/>
    </row>
    <row r="2265" spans="1:4" x14ac:dyDescent="0.3">
      <c r="A2265" s="7"/>
      <c r="B2265" s="4"/>
      <c r="C2265" s="4"/>
      <c r="D2265" s="4"/>
    </row>
    <row r="2266" spans="1:4" x14ac:dyDescent="0.3">
      <c r="A2266" s="7"/>
      <c r="B2266" s="4"/>
      <c r="C2266" s="4"/>
      <c r="D2266" s="4"/>
    </row>
    <row r="2267" spans="1:4" x14ac:dyDescent="0.3">
      <c r="A2267" s="7"/>
      <c r="B2267" s="4"/>
      <c r="C2267" s="4"/>
      <c r="D2267" s="4"/>
    </row>
    <row r="2268" spans="1:4" x14ac:dyDescent="0.3">
      <c r="A2268" s="7"/>
      <c r="B2268" s="4"/>
      <c r="C2268" s="4"/>
      <c r="D2268" s="4"/>
    </row>
    <row r="2269" spans="1:4" x14ac:dyDescent="0.3">
      <c r="A2269" s="7"/>
      <c r="B2269" s="4"/>
      <c r="C2269" s="4"/>
      <c r="D2269" s="4"/>
    </row>
    <row r="2270" spans="1:4" x14ac:dyDescent="0.3">
      <c r="A2270" s="7"/>
      <c r="B2270" s="4"/>
      <c r="C2270" s="4"/>
      <c r="D2270" s="4"/>
    </row>
    <row r="2271" spans="1:4" x14ac:dyDescent="0.3">
      <c r="A2271" s="7"/>
      <c r="B2271" s="4"/>
      <c r="C2271" s="4"/>
      <c r="D2271" s="4"/>
    </row>
    <row r="2272" spans="1:4" x14ac:dyDescent="0.3">
      <c r="A2272" s="7"/>
      <c r="B2272" s="4"/>
      <c r="C2272" s="4"/>
      <c r="D2272" s="4"/>
    </row>
    <row r="2273" spans="1:4" x14ac:dyDescent="0.3">
      <c r="A2273" s="7"/>
      <c r="B2273" s="4"/>
      <c r="C2273" s="4"/>
      <c r="D2273" s="4"/>
    </row>
    <row r="2274" spans="1:4" x14ac:dyDescent="0.3">
      <c r="A2274" s="7"/>
      <c r="B2274" s="4"/>
      <c r="C2274" s="4"/>
      <c r="D2274" s="4"/>
    </row>
    <row r="2275" spans="1:4" x14ac:dyDescent="0.3">
      <c r="A2275" s="7"/>
      <c r="B2275" s="4"/>
      <c r="C2275" s="4"/>
      <c r="D2275" s="4"/>
    </row>
    <row r="2276" spans="1:4" x14ac:dyDescent="0.3">
      <c r="A2276" s="7"/>
      <c r="B2276" s="4"/>
      <c r="C2276" s="4"/>
      <c r="D2276" s="4"/>
    </row>
    <row r="2277" spans="1:4" x14ac:dyDescent="0.3">
      <c r="A2277" s="7"/>
      <c r="B2277" s="4"/>
      <c r="C2277" s="4"/>
      <c r="D2277" s="4"/>
    </row>
    <row r="2278" spans="1:4" x14ac:dyDescent="0.3">
      <c r="A2278" s="7"/>
      <c r="B2278" s="4"/>
      <c r="C2278" s="4"/>
      <c r="D2278" s="4"/>
    </row>
    <row r="2279" spans="1:4" x14ac:dyDescent="0.3">
      <c r="A2279" s="7"/>
      <c r="B2279" s="4"/>
      <c r="C2279" s="4"/>
      <c r="D2279" s="4"/>
    </row>
    <row r="2280" spans="1:4" x14ac:dyDescent="0.3">
      <c r="A2280" s="7"/>
      <c r="B2280" s="4"/>
      <c r="C2280" s="4"/>
      <c r="D2280" s="4"/>
    </row>
    <row r="2281" spans="1:4" x14ac:dyDescent="0.3">
      <c r="A2281" s="7"/>
      <c r="B2281" s="4"/>
      <c r="C2281" s="4"/>
      <c r="D2281" s="4"/>
    </row>
    <row r="2282" spans="1:4" x14ac:dyDescent="0.3">
      <c r="A2282" s="7"/>
      <c r="B2282" s="4"/>
      <c r="C2282" s="4"/>
      <c r="D2282" s="4"/>
    </row>
    <row r="2283" spans="1:4" x14ac:dyDescent="0.3">
      <c r="A2283" s="7"/>
      <c r="B2283" s="4"/>
      <c r="C2283" s="4"/>
      <c r="D2283" s="4"/>
    </row>
    <row r="2284" spans="1:4" x14ac:dyDescent="0.3">
      <c r="A2284" s="7"/>
      <c r="B2284" s="4"/>
      <c r="C2284" s="4"/>
      <c r="D2284" s="4"/>
    </row>
    <row r="2285" spans="1:4" x14ac:dyDescent="0.3">
      <c r="A2285" s="7"/>
      <c r="B2285" s="4"/>
      <c r="C2285" s="4"/>
      <c r="D2285" s="4"/>
    </row>
    <row r="2286" spans="1:4" x14ac:dyDescent="0.3">
      <c r="A2286" s="7"/>
      <c r="B2286" s="4"/>
      <c r="C2286" s="4"/>
      <c r="D2286" s="4"/>
    </row>
    <row r="2287" spans="1:4" x14ac:dyDescent="0.3">
      <c r="A2287" s="7"/>
      <c r="B2287" s="4"/>
      <c r="C2287" s="4"/>
      <c r="D2287" s="4"/>
    </row>
    <row r="2288" spans="1:4" x14ac:dyDescent="0.3">
      <c r="A2288" s="7"/>
      <c r="B2288" s="4"/>
      <c r="C2288" s="4"/>
      <c r="D2288" s="4"/>
    </row>
    <row r="2289" spans="1:4" x14ac:dyDescent="0.3">
      <c r="A2289" s="7"/>
      <c r="B2289" s="4"/>
      <c r="C2289" s="4"/>
      <c r="D2289" s="4"/>
    </row>
    <row r="2290" spans="1:4" x14ac:dyDescent="0.3">
      <c r="A2290" s="7"/>
      <c r="B2290" s="4"/>
      <c r="C2290" s="4"/>
      <c r="D2290" s="4"/>
    </row>
    <row r="2291" spans="1:4" x14ac:dyDescent="0.3">
      <c r="A2291" s="7"/>
      <c r="B2291" s="4"/>
      <c r="C2291" s="4"/>
      <c r="D2291" s="4"/>
    </row>
    <row r="2292" spans="1:4" x14ac:dyDescent="0.3">
      <c r="A2292" s="7"/>
      <c r="B2292" s="4"/>
      <c r="C2292" s="4"/>
      <c r="D2292" s="4"/>
    </row>
    <row r="2293" spans="1:4" x14ac:dyDescent="0.3">
      <c r="A2293" s="7"/>
      <c r="B2293" s="4"/>
      <c r="C2293" s="4"/>
      <c r="D2293" s="4"/>
    </row>
    <row r="2294" spans="1:4" x14ac:dyDescent="0.3">
      <c r="A2294" s="7"/>
      <c r="B2294" s="4"/>
      <c r="C2294" s="4"/>
      <c r="D2294" s="4"/>
    </row>
    <row r="2295" spans="1:4" x14ac:dyDescent="0.3">
      <c r="A2295" s="7"/>
      <c r="B2295" s="4"/>
      <c r="C2295" s="4"/>
      <c r="D2295" s="4"/>
    </row>
    <row r="2296" spans="1:4" x14ac:dyDescent="0.3">
      <c r="A2296" s="7"/>
      <c r="B2296" s="4"/>
      <c r="C2296" s="4"/>
      <c r="D2296" s="4"/>
    </row>
    <row r="2297" spans="1:4" x14ac:dyDescent="0.3">
      <c r="A2297" s="7"/>
      <c r="B2297" s="4"/>
      <c r="C2297" s="4"/>
      <c r="D2297" s="4"/>
    </row>
    <row r="2298" spans="1:4" x14ac:dyDescent="0.3">
      <c r="A2298" s="7"/>
      <c r="B2298" s="4"/>
      <c r="C2298" s="4"/>
      <c r="D2298" s="4"/>
    </row>
    <row r="2299" spans="1:4" x14ac:dyDescent="0.3">
      <c r="A2299" s="7"/>
      <c r="B2299" s="4"/>
      <c r="C2299" s="4"/>
      <c r="D2299" s="4"/>
    </row>
    <row r="2300" spans="1:4" x14ac:dyDescent="0.3">
      <c r="A2300" s="7"/>
      <c r="B2300" s="4"/>
      <c r="C2300" s="4"/>
      <c r="D2300" s="4"/>
    </row>
    <row r="2301" spans="1:4" x14ac:dyDescent="0.3">
      <c r="A2301" s="7"/>
      <c r="B2301" s="4"/>
      <c r="C2301" s="4"/>
      <c r="D2301" s="4"/>
    </row>
    <row r="2302" spans="1:4" x14ac:dyDescent="0.3">
      <c r="A2302" s="7"/>
      <c r="B2302" s="4"/>
      <c r="C2302" s="4"/>
      <c r="D2302" s="4"/>
    </row>
    <row r="2303" spans="1:4" x14ac:dyDescent="0.3">
      <c r="A2303" s="7"/>
      <c r="B2303" s="4"/>
      <c r="C2303" s="4"/>
      <c r="D2303" s="4"/>
    </row>
    <row r="2304" spans="1:4" x14ac:dyDescent="0.3">
      <c r="A2304" s="7"/>
      <c r="B2304" s="4"/>
      <c r="C2304" s="4"/>
      <c r="D2304" s="4"/>
    </row>
    <row r="2305" spans="1:4" x14ac:dyDescent="0.3">
      <c r="A2305" s="7"/>
      <c r="B2305" s="4"/>
      <c r="C2305" s="4"/>
      <c r="D2305" s="4"/>
    </row>
    <row r="2306" spans="1:4" x14ac:dyDescent="0.3">
      <c r="A2306" s="7"/>
      <c r="B2306" s="4"/>
      <c r="C2306" s="4"/>
      <c r="D2306" s="4"/>
    </row>
    <row r="2307" spans="1:4" x14ac:dyDescent="0.3">
      <c r="A2307" s="7"/>
      <c r="B2307" s="4"/>
      <c r="C2307" s="4"/>
      <c r="D2307" s="4"/>
    </row>
    <row r="2308" spans="1:4" x14ac:dyDescent="0.3">
      <c r="A2308" s="7"/>
      <c r="B2308" s="4"/>
      <c r="C2308" s="4"/>
      <c r="D2308" s="4"/>
    </row>
    <row r="2309" spans="1:4" x14ac:dyDescent="0.3">
      <c r="A2309" s="7"/>
      <c r="B2309" s="4"/>
      <c r="C2309" s="4"/>
      <c r="D2309" s="4"/>
    </row>
    <row r="2310" spans="1:4" x14ac:dyDescent="0.3">
      <c r="A2310" s="7"/>
      <c r="B2310" s="4"/>
      <c r="C2310" s="4"/>
      <c r="D2310" s="4"/>
    </row>
    <row r="2311" spans="1:4" x14ac:dyDescent="0.3">
      <c r="A2311" s="7"/>
      <c r="B2311" s="4"/>
      <c r="C2311" s="4"/>
      <c r="D2311" s="4"/>
    </row>
    <row r="2312" spans="1:4" x14ac:dyDescent="0.3">
      <c r="A2312" s="7"/>
      <c r="B2312" s="4"/>
      <c r="C2312" s="4"/>
      <c r="D2312" s="4"/>
    </row>
    <row r="2313" spans="1:4" x14ac:dyDescent="0.3">
      <c r="A2313" s="7"/>
      <c r="B2313" s="4"/>
      <c r="C2313" s="4"/>
      <c r="D2313" s="4"/>
    </row>
    <row r="2314" spans="1:4" x14ac:dyDescent="0.3">
      <c r="A2314" s="7"/>
      <c r="B2314" s="4"/>
      <c r="C2314" s="4"/>
      <c r="D2314" s="4"/>
    </row>
    <row r="2315" spans="1:4" x14ac:dyDescent="0.3">
      <c r="A2315" s="7"/>
      <c r="B2315" s="4"/>
      <c r="C2315" s="4"/>
      <c r="D2315" s="4"/>
    </row>
    <row r="2316" spans="1:4" x14ac:dyDescent="0.3">
      <c r="A2316" s="7"/>
      <c r="B2316" s="4"/>
      <c r="C2316" s="4"/>
      <c r="D2316" s="4"/>
    </row>
    <row r="2317" spans="1:4" x14ac:dyDescent="0.3">
      <c r="A2317" s="7"/>
      <c r="B2317" s="4"/>
      <c r="C2317" s="4"/>
      <c r="D2317" s="4"/>
    </row>
    <row r="2318" spans="1:4" x14ac:dyDescent="0.3">
      <c r="A2318" s="7"/>
      <c r="B2318" s="4"/>
      <c r="C2318" s="4"/>
      <c r="D2318" s="4"/>
    </row>
    <row r="2319" spans="1:4" x14ac:dyDescent="0.3">
      <c r="A2319" s="7"/>
      <c r="B2319" s="4"/>
      <c r="C2319" s="4"/>
      <c r="D2319" s="4"/>
    </row>
    <row r="2320" spans="1:4" x14ac:dyDescent="0.3">
      <c r="A2320" s="7"/>
      <c r="B2320" s="4"/>
      <c r="C2320" s="4"/>
      <c r="D2320" s="4"/>
    </row>
    <row r="2321" spans="1:4" x14ac:dyDescent="0.3">
      <c r="A2321" s="7"/>
      <c r="B2321" s="4"/>
      <c r="C2321" s="4"/>
      <c r="D2321" s="4"/>
    </row>
    <row r="2322" spans="1:4" x14ac:dyDescent="0.3">
      <c r="A2322" s="7"/>
      <c r="B2322" s="4"/>
      <c r="C2322" s="4"/>
      <c r="D2322" s="4"/>
    </row>
    <row r="2323" spans="1:4" x14ac:dyDescent="0.3">
      <c r="A2323" s="7"/>
      <c r="B2323" s="4"/>
      <c r="C2323" s="4"/>
      <c r="D2323" s="4"/>
    </row>
    <row r="2324" spans="1:4" x14ac:dyDescent="0.3">
      <c r="A2324" s="7"/>
      <c r="B2324" s="4"/>
      <c r="C2324" s="4"/>
      <c r="D2324" s="4"/>
    </row>
    <row r="2325" spans="1:4" x14ac:dyDescent="0.3">
      <c r="A2325" s="7"/>
      <c r="B2325" s="4"/>
      <c r="C2325" s="4"/>
      <c r="D2325" s="4"/>
    </row>
    <row r="2326" spans="1:4" x14ac:dyDescent="0.3">
      <c r="A2326" s="7"/>
      <c r="B2326" s="4"/>
      <c r="C2326" s="4"/>
      <c r="D2326" s="4"/>
    </row>
    <row r="2327" spans="1:4" x14ac:dyDescent="0.3">
      <c r="A2327" s="7"/>
      <c r="B2327" s="4"/>
      <c r="C2327" s="4"/>
      <c r="D2327" s="4"/>
    </row>
    <row r="2328" spans="1:4" x14ac:dyDescent="0.3">
      <c r="A2328" s="7"/>
      <c r="B2328" s="4"/>
      <c r="C2328" s="4"/>
      <c r="D2328" s="4"/>
    </row>
    <row r="2329" spans="1:4" x14ac:dyDescent="0.3">
      <c r="A2329" s="7"/>
      <c r="B2329" s="4"/>
      <c r="C2329" s="4"/>
      <c r="D2329" s="4"/>
    </row>
    <row r="2330" spans="1:4" x14ac:dyDescent="0.3">
      <c r="A2330" s="7"/>
      <c r="B2330" s="4"/>
      <c r="C2330" s="4"/>
      <c r="D2330" s="4"/>
    </row>
    <row r="2331" spans="1:4" x14ac:dyDescent="0.3">
      <c r="A2331" s="7"/>
      <c r="B2331" s="4"/>
      <c r="C2331" s="4"/>
      <c r="D2331" s="4"/>
    </row>
    <row r="2332" spans="1:4" x14ac:dyDescent="0.3">
      <c r="A2332" s="7"/>
      <c r="B2332" s="4"/>
      <c r="C2332" s="4"/>
      <c r="D2332" s="4"/>
    </row>
    <row r="2333" spans="1:4" x14ac:dyDescent="0.3">
      <c r="A2333" s="7"/>
      <c r="B2333" s="4"/>
      <c r="C2333" s="4"/>
      <c r="D2333" s="4"/>
    </row>
    <row r="2334" spans="1:4" x14ac:dyDescent="0.3">
      <c r="A2334" s="7"/>
      <c r="B2334" s="4"/>
      <c r="C2334" s="4"/>
      <c r="D2334" s="4"/>
    </row>
    <row r="2335" spans="1:4" x14ac:dyDescent="0.3">
      <c r="A2335" s="7"/>
      <c r="B2335" s="4"/>
      <c r="C2335" s="4"/>
      <c r="D2335" s="4"/>
    </row>
    <row r="2336" spans="1:4" x14ac:dyDescent="0.3">
      <c r="A2336" s="7"/>
      <c r="B2336" s="4"/>
      <c r="C2336" s="4"/>
      <c r="D2336" s="4"/>
    </row>
    <row r="2337" spans="1:4" x14ac:dyDescent="0.3">
      <c r="A2337" s="7"/>
      <c r="B2337" s="4"/>
      <c r="C2337" s="4"/>
      <c r="D2337" s="4"/>
    </row>
    <row r="2338" spans="1:4" x14ac:dyDescent="0.3">
      <c r="A2338" s="7"/>
      <c r="B2338" s="4"/>
      <c r="C2338" s="4"/>
      <c r="D2338" s="4"/>
    </row>
    <row r="2339" spans="1:4" x14ac:dyDescent="0.3">
      <c r="A2339" s="7"/>
      <c r="B2339" s="4"/>
      <c r="C2339" s="4"/>
      <c r="D2339" s="4"/>
    </row>
    <row r="2340" spans="1:4" x14ac:dyDescent="0.3">
      <c r="A2340" s="7"/>
      <c r="B2340" s="4"/>
      <c r="C2340" s="4"/>
      <c r="D2340" s="4"/>
    </row>
    <row r="2341" spans="1:4" x14ac:dyDescent="0.3">
      <c r="A2341" s="7"/>
      <c r="B2341" s="4"/>
      <c r="C2341" s="4"/>
      <c r="D2341" s="4"/>
    </row>
    <row r="2342" spans="1:4" x14ac:dyDescent="0.3">
      <c r="A2342" s="7"/>
      <c r="B2342" s="4"/>
      <c r="C2342" s="4"/>
      <c r="D2342" s="4"/>
    </row>
    <row r="2343" spans="1:4" x14ac:dyDescent="0.3">
      <c r="A2343" s="7"/>
      <c r="B2343" s="4"/>
      <c r="C2343" s="4"/>
      <c r="D2343" s="4"/>
    </row>
    <row r="2344" spans="1:4" x14ac:dyDescent="0.3">
      <c r="A2344" s="7"/>
      <c r="B2344" s="4"/>
      <c r="C2344" s="4"/>
      <c r="D2344" s="4"/>
    </row>
    <row r="2345" spans="1:4" x14ac:dyDescent="0.3">
      <c r="A2345" s="7"/>
      <c r="B2345" s="4"/>
      <c r="C2345" s="4"/>
      <c r="D2345" s="4"/>
    </row>
    <row r="2346" spans="1:4" x14ac:dyDescent="0.3">
      <c r="A2346" s="7"/>
      <c r="B2346" s="4"/>
      <c r="C2346" s="4"/>
      <c r="D2346" s="4"/>
    </row>
    <row r="2347" spans="1:4" x14ac:dyDescent="0.3">
      <c r="A2347" s="7"/>
      <c r="B2347" s="4"/>
      <c r="C2347" s="4"/>
      <c r="D2347" s="4"/>
    </row>
    <row r="2348" spans="1:4" x14ac:dyDescent="0.3">
      <c r="A2348" s="7"/>
      <c r="B2348" s="4"/>
      <c r="C2348" s="4"/>
      <c r="D2348" s="4"/>
    </row>
    <row r="2349" spans="1:4" x14ac:dyDescent="0.3">
      <c r="A2349" s="7"/>
      <c r="B2349" s="4"/>
      <c r="C2349" s="4"/>
      <c r="D2349" s="4"/>
    </row>
    <row r="2350" spans="1:4" x14ac:dyDescent="0.3">
      <c r="A2350" s="7"/>
      <c r="B2350" s="4"/>
      <c r="C2350" s="4"/>
      <c r="D2350" s="4"/>
    </row>
    <row r="2351" spans="1:4" x14ac:dyDescent="0.3">
      <c r="A2351" s="7"/>
      <c r="B2351" s="4"/>
      <c r="C2351" s="4"/>
      <c r="D2351" s="4"/>
    </row>
    <row r="2352" spans="1:4" x14ac:dyDescent="0.3">
      <c r="A2352" s="7"/>
      <c r="B2352" s="4"/>
      <c r="C2352" s="4"/>
      <c r="D2352" s="4"/>
    </row>
    <row r="2353" spans="1:4" x14ac:dyDescent="0.3">
      <c r="A2353" s="7"/>
      <c r="B2353" s="4"/>
      <c r="C2353" s="4"/>
      <c r="D2353" s="4"/>
    </row>
    <row r="2354" spans="1:4" x14ac:dyDescent="0.3">
      <c r="A2354" s="7"/>
      <c r="B2354" s="4"/>
      <c r="C2354" s="4"/>
      <c r="D2354" s="4"/>
    </row>
    <row r="2355" spans="1:4" x14ac:dyDescent="0.3">
      <c r="A2355" s="7"/>
      <c r="B2355" s="4"/>
      <c r="C2355" s="4"/>
      <c r="D2355" s="4"/>
    </row>
    <row r="2356" spans="1:4" x14ac:dyDescent="0.3">
      <c r="A2356" s="7"/>
      <c r="B2356" s="4"/>
      <c r="C2356" s="4"/>
      <c r="D2356" s="4"/>
    </row>
    <row r="2357" spans="1:4" x14ac:dyDescent="0.3">
      <c r="A2357" s="7"/>
      <c r="B2357" s="4"/>
      <c r="C2357" s="4"/>
      <c r="D2357" s="4"/>
    </row>
    <row r="2358" spans="1:4" x14ac:dyDescent="0.3">
      <c r="A2358" s="7"/>
      <c r="B2358" s="4"/>
      <c r="C2358" s="4"/>
      <c r="D2358" s="4"/>
    </row>
    <row r="2359" spans="1:4" x14ac:dyDescent="0.3">
      <c r="A2359" s="7"/>
      <c r="B2359" s="4"/>
      <c r="C2359" s="4"/>
      <c r="D2359" s="4"/>
    </row>
    <row r="2360" spans="1:4" x14ac:dyDescent="0.3">
      <c r="A2360" s="7"/>
      <c r="B2360" s="4"/>
      <c r="C2360" s="4"/>
      <c r="D2360" s="4"/>
    </row>
    <row r="2361" spans="1:4" x14ac:dyDescent="0.3">
      <c r="A2361" s="7"/>
      <c r="B2361" s="4"/>
      <c r="C2361" s="4"/>
      <c r="D2361" s="4"/>
    </row>
    <row r="2362" spans="1:4" x14ac:dyDescent="0.3">
      <c r="A2362" s="7"/>
      <c r="B2362" s="4"/>
      <c r="C2362" s="4"/>
      <c r="D2362" s="4"/>
    </row>
    <row r="2363" spans="1:4" x14ac:dyDescent="0.3">
      <c r="A2363" s="7"/>
      <c r="B2363" s="4"/>
      <c r="C2363" s="4"/>
      <c r="D2363" s="4"/>
    </row>
    <row r="2364" spans="1:4" x14ac:dyDescent="0.3">
      <c r="A2364" s="7"/>
      <c r="B2364" s="4"/>
      <c r="C2364" s="4"/>
      <c r="D2364" s="4"/>
    </row>
    <row r="2365" spans="1:4" x14ac:dyDescent="0.3">
      <c r="A2365" s="7"/>
      <c r="B2365" s="4"/>
      <c r="C2365" s="4"/>
      <c r="D2365" s="4"/>
    </row>
    <row r="2366" spans="1:4" x14ac:dyDescent="0.3">
      <c r="A2366" s="7"/>
      <c r="B2366" s="4"/>
      <c r="C2366" s="4"/>
      <c r="D2366" s="4"/>
    </row>
    <row r="2367" spans="1:4" x14ac:dyDescent="0.3">
      <c r="A2367" s="7"/>
      <c r="B2367" s="4"/>
      <c r="C2367" s="4"/>
      <c r="D2367" s="4"/>
    </row>
    <row r="2368" spans="1:4" x14ac:dyDescent="0.3">
      <c r="A2368" s="7"/>
      <c r="B2368" s="4"/>
      <c r="C2368" s="4"/>
      <c r="D2368" s="4"/>
    </row>
    <row r="2369" spans="1:4" x14ac:dyDescent="0.3">
      <c r="A2369" s="7"/>
      <c r="B2369" s="4"/>
      <c r="C2369" s="4"/>
      <c r="D2369" s="4"/>
    </row>
    <row r="2370" spans="1:4" x14ac:dyDescent="0.3">
      <c r="A2370" s="7"/>
      <c r="B2370" s="4"/>
      <c r="C2370" s="4"/>
      <c r="D2370" s="4"/>
    </row>
    <row r="2371" spans="1:4" x14ac:dyDescent="0.3">
      <c r="A2371" s="7"/>
      <c r="B2371" s="4"/>
      <c r="C2371" s="4"/>
      <c r="D2371" s="4"/>
    </row>
    <row r="2372" spans="1:4" x14ac:dyDescent="0.3">
      <c r="A2372" s="7"/>
      <c r="B2372" s="4"/>
      <c r="C2372" s="4"/>
      <c r="D2372" s="4"/>
    </row>
    <row r="2373" spans="1:4" x14ac:dyDescent="0.3">
      <c r="A2373" s="7"/>
      <c r="B2373" s="4"/>
      <c r="C2373" s="4"/>
      <c r="D2373" s="4"/>
    </row>
    <row r="2374" spans="1:4" x14ac:dyDescent="0.3">
      <c r="A2374" s="7"/>
      <c r="B2374" s="4"/>
      <c r="C2374" s="4"/>
      <c r="D2374" s="4"/>
    </row>
    <row r="2375" spans="1:4" x14ac:dyDescent="0.3">
      <c r="A2375" s="7"/>
      <c r="B2375" s="4"/>
      <c r="C2375" s="4"/>
      <c r="D2375" s="4"/>
    </row>
    <row r="2376" spans="1:4" x14ac:dyDescent="0.3">
      <c r="A2376" s="7"/>
      <c r="B2376" s="4"/>
      <c r="C2376" s="4"/>
      <c r="D2376" s="4"/>
    </row>
    <row r="2377" spans="1:4" x14ac:dyDescent="0.3">
      <c r="A2377" s="7"/>
      <c r="B2377" s="4"/>
      <c r="C2377" s="4"/>
      <c r="D2377" s="4"/>
    </row>
    <row r="2378" spans="1:4" x14ac:dyDescent="0.3">
      <c r="A2378" s="7"/>
      <c r="B2378" s="4"/>
      <c r="C2378" s="4"/>
      <c r="D2378" s="4"/>
    </row>
    <row r="2379" spans="1:4" x14ac:dyDescent="0.3">
      <c r="A2379" s="7"/>
      <c r="B2379" s="4"/>
      <c r="C2379" s="4"/>
      <c r="D2379" s="4"/>
    </row>
    <row r="2380" spans="1:4" x14ac:dyDescent="0.3">
      <c r="A2380" s="7"/>
      <c r="B2380" s="4"/>
      <c r="C2380" s="4"/>
      <c r="D2380" s="4"/>
    </row>
    <row r="2381" spans="1:4" x14ac:dyDescent="0.3">
      <c r="A2381" s="7"/>
      <c r="B2381" s="4"/>
      <c r="C2381" s="4"/>
      <c r="D2381" s="4"/>
    </row>
    <row r="2382" spans="1:4" x14ac:dyDescent="0.3">
      <c r="A2382" s="7"/>
      <c r="B2382" s="4"/>
      <c r="C2382" s="4"/>
      <c r="D2382" s="4"/>
    </row>
    <row r="2383" spans="1:4" x14ac:dyDescent="0.3">
      <c r="A2383" s="7"/>
      <c r="B2383" s="4"/>
      <c r="C2383" s="4"/>
      <c r="D2383" s="4"/>
    </row>
    <row r="2384" spans="1:4" x14ac:dyDescent="0.3">
      <c r="A2384" s="7"/>
      <c r="B2384" s="4"/>
      <c r="C2384" s="4"/>
      <c r="D2384" s="4"/>
    </row>
    <row r="2385" spans="1:4" x14ac:dyDescent="0.3">
      <c r="A2385" s="7"/>
      <c r="B2385" s="4"/>
      <c r="C2385" s="4"/>
      <c r="D2385" s="4"/>
    </row>
    <row r="2386" spans="1:4" x14ac:dyDescent="0.3">
      <c r="A2386" s="7"/>
      <c r="B2386" s="4"/>
      <c r="C2386" s="4"/>
      <c r="D2386" s="4"/>
    </row>
    <row r="2387" spans="1:4" x14ac:dyDescent="0.3">
      <c r="A2387" s="7"/>
      <c r="B2387" s="4"/>
      <c r="C2387" s="4"/>
      <c r="D2387" s="4"/>
    </row>
    <row r="2388" spans="1:4" x14ac:dyDescent="0.3">
      <c r="A2388" s="7"/>
      <c r="B2388" s="4"/>
      <c r="C2388" s="4"/>
      <c r="D2388" s="4"/>
    </row>
    <row r="2389" spans="1:4" x14ac:dyDescent="0.3">
      <c r="A2389" s="7"/>
      <c r="B2389" s="4"/>
      <c r="C2389" s="4"/>
      <c r="D2389" s="4"/>
    </row>
    <row r="2390" spans="1:4" x14ac:dyDescent="0.3">
      <c r="A2390" s="7"/>
      <c r="B2390" s="4"/>
      <c r="C2390" s="4"/>
      <c r="D2390" s="4"/>
    </row>
    <row r="2391" spans="1:4" x14ac:dyDescent="0.3">
      <c r="A2391" s="7"/>
      <c r="B2391" s="4"/>
      <c r="C2391" s="4"/>
      <c r="D2391" s="4"/>
    </row>
    <row r="2392" spans="1:4" x14ac:dyDescent="0.3">
      <c r="A2392" s="7"/>
      <c r="B2392" s="4"/>
      <c r="C2392" s="4"/>
      <c r="D2392" s="4"/>
    </row>
    <row r="2393" spans="1:4" x14ac:dyDescent="0.3">
      <c r="A2393" s="7"/>
      <c r="B2393" s="4"/>
      <c r="C2393" s="4"/>
      <c r="D2393" s="4"/>
    </row>
    <row r="2394" spans="1:4" x14ac:dyDescent="0.3">
      <c r="A2394" s="7"/>
      <c r="B2394" s="4"/>
      <c r="C2394" s="4"/>
      <c r="D2394" s="4"/>
    </row>
    <row r="2395" spans="1:4" x14ac:dyDescent="0.3">
      <c r="A2395" s="7"/>
      <c r="B2395" s="4"/>
      <c r="C2395" s="4"/>
      <c r="D2395" s="4"/>
    </row>
    <row r="2396" spans="1:4" x14ac:dyDescent="0.3">
      <c r="A2396" s="7"/>
      <c r="B2396" s="4"/>
      <c r="C2396" s="4"/>
      <c r="D2396" s="4"/>
    </row>
    <row r="2397" spans="1:4" x14ac:dyDescent="0.3">
      <c r="A2397" s="7"/>
      <c r="B2397" s="4"/>
      <c r="C2397" s="4"/>
      <c r="D2397" s="4"/>
    </row>
    <row r="2398" spans="1:4" x14ac:dyDescent="0.3">
      <c r="A2398" s="7"/>
      <c r="B2398" s="4"/>
      <c r="C2398" s="4"/>
      <c r="D2398" s="4"/>
    </row>
    <row r="2399" spans="1:4" x14ac:dyDescent="0.3">
      <c r="A2399" s="7"/>
      <c r="B2399" s="4"/>
      <c r="C2399" s="4"/>
      <c r="D2399" s="4"/>
    </row>
    <row r="2400" spans="1:4" x14ac:dyDescent="0.3">
      <c r="A2400" s="7"/>
      <c r="B2400" s="4"/>
      <c r="C2400" s="4"/>
      <c r="D2400" s="4"/>
    </row>
    <row r="2401" spans="1:4" x14ac:dyDescent="0.3">
      <c r="A2401" s="7"/>
      <c r="B2401" s="4"/>
      <c r="C2401" s="4"/>
      <c r="D2401" s="4"/>
    </row>
    <row r="2402" spans="1:4" x14ac:dyDescent="0.3">
      <c r="A2402" s="7"/>
      <c r="B2402" s="4"/>
      <c r="C2402" s="4"/>
      <c r="D2402" s="4"/>
    </row>
    <row r="2403" spans="1:4" x14ac:dyDescent="0.3">
      <c r="A2403" s="7"/>
      <c r="B2403" s="4"/>
      <c r="C2403" s="4"/>
      <c r="D2403" s="4"/>
    </row>
    <row r="2404" spans="1:4" x14ac:dyDescent="0.3">
      <c r="A2404" s="7"/>
      <c r="B2404" s="4"/>
      <c r="C2404" s="4"/>
      <c r="D2404" s="4"/>
    </row>
    <row r="2405" spans="1:4" x14ac:dyDescent="0.3">
      <c r="A2405" s="7"/>
      <c r="B2405" s="4"/>
      <c r="C2405" s="4"/>
      <c r="D2405" s="4"/>
    </row>
    <row r="2406" spans="1:4" x14ac:dyDescent="0.3">
      <c r="A2406" s="7"/>
      <c r="B2406" s="4"/>
      <c r="C2406" s="4"/>
      <c r="D2406" s="4"/>
    </row>
    <row r="2407" spans="1:4" x14ac:dyDescent="0.3">
      <c r="A2407" s="7"/>
      <c r="B2407" s="4"/>
      <c r="C2407" s="4"/>
      <c r="D2407" s="4"/>
    </row>
    <row r="2408" spans="1:4" x14ac:dyDescent="0.3">
      <c r="A2408" s="7"/>
      <c r="B2408" s="4"/>
      <c r="C2408" s="4"/>
      <c r="D2408" s="4"/>
    </row>
    <row r="2409" spans="1:4" x14ac:dyDescent="0.3">
      <c r="A2409" s="7"/>
      <c r="B2409" s="4"/>
      <c r="C2409" s="4"/>
      <c r="D2409" s="4"/>
    </row>
    <row r="2410" spans="1:4" x14ac:dyDescent="0.3">
      <c r="A2410" s="7"/>
      <c r="B2410" s="4"/>
      <c r="C2410" s="4"/>
      <c r="D2410" s="4"/>
    </row>
    <row r="2411" spans="1:4" x14ac:dyDescent="0.3">
      <c r="A2411" s="7"/>
      <c r="B2411" s="4"/>
      <c r="C2411" s="4"/>
      <c r="D2411" s="4"/>
    </row>
    <row r="2412" spans="1:4" x14ac:dyDescent="0.3">
      <c r="A2412" s="7"/>
      <c r="B2412" s="4"/>
      <c r="C2412" s="4"/>
      <c r="D2412" s="4"/>
    </row>
    <row r="2413" spans="1:4" x14ac:dyDescent="0.3">
      <c r="A2413" s="7"/>
      <c r="B2413" s="4"/>
      <c r="C2413" s="4"/>
      <c r="D2413" s="4"/>
    </row>
    <row r="2414" spans="1:4" x14ac:dyDescent="0.3">
      <c r="A2414" s="7"/>
      <c r="B2414" s="4"/>
      <c r="C2414" s="4"/>
      <c r="D2414" s="4"/>
    </row>
    <row r="2415" spans="1:4" x14ac:dyDescent="0.3">
      <c r="A2415" s="7"/>
      <c r="B2415" s="4"/>
      <c r="C2415" s="4"/>
      <c r="D2415" s="4"/>
    </row>
    <row r="2416" spans="1:4" x14ac:dyDescent="0.3">
      <c r="A2416" s="7"/>
      <c r="B2416" s="4"/>
      <c r="C2416" s="4"/>
      <c r="D2416" s="4"/>
    </row>
    <row r="2417" spans="1:4" x14ac:dyDescent="0.3">
      <c r="A2417" s="7"/>
      <c r="B2417" s="4"/>
      <c r="C2417" s="4"/>
      <c r="D2417" s="4"/>
    </row>
    <row r="2418" spans="1:4" x14ac:dyDescent="0.3">
      <c r="A2418" s="7"/>
      <c r="B2418" s="4"/>
      <c r="C2418" s="4"/>
      <c r="D2418" s="4"/>
    </row>
    <row r="2419" spans="1:4" x14ac:dyDescent="0.3">
      <c r="A2419" s="7"/>
      <c r="B2419" s="4"/>
      <c r="C2419" s="4"/>
      <c r="D2419" s="4"/>
    </row>
    <row r="2420" spans="1:4" x14ac:dyDescent="0.3">
      <c r="A2420" s="7"/>
      <c r="B2420" s="4"/>
      <c r="C2420" s="4"/>
      <c r="D2420" s="4"/>
    </row>
    <row r="2421" spans="1:4" x14ac:dyDescent="0.3">
      <c r="A2421" s="7"/>
      <c r="B2421" s="4"/>
      <c r="C2421" s="4"/>
      <c r="D2421" s="4"/>
    </row>
    <row r="2422" spans="1:4" x14ac:dyDescent="0.3">
      <c r="A2422" s="7"/>
      <c r="B2422" s="4"/>
      <c r="C2422" s="4"/>
      <c r="D2422" s="4"/>
    </row>
    <row r="2423" spans="1:4" x14ac:dyDescent="0.3">
      <c r="A2423" s="7"/>
      <c r="B2423" s="4"/>
      <c r="C2423" s="4"/>
      <c r="D2423" s="4"/>
    </row>
    <row r="2424" spans="1:4" x14ac:dyDescent="0.3">
      <c r="A2424" s="7"/>
      <c r="B2424" s="4"/>
      <c r="C2424" s="4"/>
      <c r="D2424" s="4"/>
    </row>
    <row r="2425" spans="1:4" x14ac:dyDescent="0.3">
      <c r="A2425" s="7"/>
      <c r="B2425" s="4"/>
      <c r="C2425" s="4"/>
      <c r="D2425" s="4"/>
    </row>
    <row r="2426" spans="1:4" x14ac:dyDescent="0.3">
      <c r="A2426" s="7"/>
      <c r="B2426" s="4"/>
      <c r="C2426" s="4"/>
      <c r="D2426" s="4"/>
    </row>
    <row r="2427" spans="1:4" x14ac:dyDescent="0.3">
      <c r="A2427" s="7"/>
      <c r="B2427" s="4"/>
      <c r="C2427" s="4"/>
      <c r="D2427" s="4"/>
    </row>
    <row r="2428" spans="1:4" x14ac:dyDescent="0.3">
      <c r="A2428" s="7"/>
      <c r="B2428" s="4"/>
      <c r="C2428" s="4"/>
      <c r="D2428" s="4"/>
    </row>
    <row r="2429" spans="1:4" x14ac:dyDescent="0.3">
      <c r="A2429" s="7"/>
      <c r="B2429" s="4"/>
      <c r="C2429" s="4"/>
      <c r="D2429" s="4"/>
    </row>
    <row r="2430" spans="1:4" x14ac:dyDescent="0.3">
      <c r="A2430" s="7"/>
      <c r="B2430" s="4"/>
      <c r="C2430" s="4"/>
      <c r="D2430" s="4"/>
    </row>
    <row r="2431" spans="1:4" x14ac:dyDescent="0.3">
      <c r="A2431" s="7"/>
      <c r="B2431" s="4"/>
      <c r="C2431" s="4"/>
      <c r="D2431" s="4"/>
    </row>
    <row r="2432" spans="1:4" x14ac:dyDescent="0.3">
      <c r="A2432" s="7"/>
      <c r="B2432" s="4"/>
      <c r="C2432" s="4"/>
      <c r="D2432" s="4"/>
    </row>
    <row r="2433" spans="1:4" x14ac:dyDescent="0.3">
      <c r="A2433" s="7"/>
      <c r="B2433" s="4"/>
      <c r="C2433" s="4"/>
      <c r="D2433" s="4"/>
    </row>
    <row r="2434" spans="1:4" x14ac:dyDescent="0.3">
      <c r="A2434" s="7"/>
      <c r="B2434" s="4"/>
      <c r="C2434" s="4"/>
      <c r="D2434" s="4"/>
    </row>
    <row r="2435" spans="1:4" x14ac:dyDescent="0.3">
      <c r="A2435" s="7"/>
      <c r="B2435" s="4"/>
      <c r="C2435" s="4"/>
      <c r="D2435" s="4"/>
    </row>
    <row r="2436" spans="1:4" x14ac:dyDescent="0.3">
      <c r="A2436" s="7"/>
      <c r="B2436" s="4"/>
      <c r="C2436" s="4"/>
      <c r="D2436" s="4"/>
    </row>
    <row r="2437" spans="1:4" x14ac:dyDescent="0.3">
      <c r="A2437" s="7"/>
      <c r="B2437" s="4"/>
      <c r="C2437" s="4"/>
      <c r="D2437" s="4"/>
    </row>
    <row r="2438" spans="1:4" x14ac:dyDescent="0.3">
      <c r="A2438" s="7"/>
      <c r="B2438" s="4"/>
      <c r="C2438" s="4"/>
      <c r="D2438" s="4"/>
    </row>
    <row r="2439" spans="1:4" x14ac:dyDescent="0.3">
      <c r="A2439" s="7"/>
      <c r="B2439" s="4"/>
      <c r="C2439" s="4"/>
      <c r="D2439" s="4"/>
    </row>
    <row r="2440" spans="1:4" x14ac:dyDescent="0.3">
      <c r="A2440" s="7"/>
      <c r="B2440" s="4"/>
      <c r="C2440" s="4"/>
      <c r="D2440" s="4"/>
    </row>
    <row r="2441" spans="1:4" x14ac:dyDescent="0.3">
      <c r="A2441" s="7"/>
      <c r="B2441" s="4"/>
      <c r="C2441" s="4"/>
      <c r="D2441" s="4"/>
    </row>
    <row r="2442" spans="1:4" x14ac:dyDescent="0.3">
      <c r="A2442" s="7"/>
      <c r="B2442" s="4"/>
      <c r="C2442" s="4"/>
      <c r="D2442" s="4"/>
    </row>
    <row r="2443" spans="1:4" x14ac:dyDescent="0.3">
      <c r="A2443" s="7"/>
      <c r="B2443" s="4"/>
      <c r="C2443" s="4"/>
      <c r="D2443" s="4"/>
    </row>
    <row r="2444" spans="1:4" x14ac:dyDescent="0.3">
      <c r="A2444" s="7"/>
      <c r="B2444" s="4"/>
      <c r="C2444" s="4"/>
      <c r="D2444" s="4"/>
    </row>
    <row r="2445" spans="1:4" x14ac:dyDescent="0.3">
      <c r="A2445" s="7"/>
      <c r="B2445" s="4"/>
      <c r="C2445" s="4"/>
      <c r="D2445" s="4"/>
    </row>
    <row r="2446" spans="1:4" x14ac:dyDescent="0.3">
      <c r="A2446" s="7"/>
      <c r="B2446" s="4"/>
      <c r="C2446" s="4"/>
      <c r="D2446" s="4"/>
    </row>
    <row r="2447" spans="1:4" x14ac:dyDescent="0.3">
      <c r="A2447" s="7"/>
      <c r="B2447" s="4"/>
      <c r="C2447" s="4"/>
      <c r="D2447" s="4"/>
    </row>
    <row r="2448" spans="1:4" x14ac:dyDescent="0.3">
      <c r="A2448" s="7"/>
      <c r="B2448" s="4"/>
      <c r="C2448" s="4"/>
      <c r="D2448" s="4"/>
    </row>
    <row r="2449" spans="1:4" x14ac:dyDescent="0.3">
      <c r="A2449" s="7"/>
      <c r="B2449" s="4"/>
      <c r="C2449" s="4"/>
      <c r="D2449" s="4"/>
    </row>
    <row r="2450" spans="1:4" x14ac:dyDescent="0.3">
      <c r="A2450" s="7"/>
      <c r="B2450" s="4"/>
      <c r="C2450" s="4"/>
      <c r="D2450" s="4"/>
    </row>
    <row r="2451" spans="1:4" x14ac:dyDescent="0.3">
      <c r="A2451" s="7"/>
      <c r="B2451" s="4"/>
      <c r="C2451" s="4"/>
      <c r="D2451" s="4"/>
    </row>
    <row r="2452" spans="1:4" x14ac:dyDescent="0.3">
      <c r="A2452" s="7"/>
      <c r="B2452" s="4"/>
      <c r="C2452" s="4"/>
      <c r="D2452" s="4"/>
    </row>
    <row r="2453" spans="1:4" x14ac:dyDescent="0.3">
      <c r="A2453" s="7"/>
      <c r="B2453" s="4"/>
      <c r="C2453" s="4"/>
      <c r="D2453" s="4"/>
    </row>
    <row r="2454" spans="1:4" x14ac:dyDescent="0.3">
      <c r="A2454" s="7"/>
      <c r="B2454" s="4"/>
      <c r="C2454" s="4"/>
      <c r="D2454" s="4"/>
    </row>
    <row r="2455" spans="1:4" x14ac:dyDescent="0.3">
      <c r="A2455" s="7"/>
      <c r="B2455" s="4"/>
      <c r="C2455" s="4"/>
      <c r="D2455" s="4"/>
    </row>
    <row r="2456" spans="1:4" x14ac:dyDescent="0.3">
      <c r="A2456" s="7"/>
      <c r="B2456" s="4"/>
      <c r="C2456" s="4"/>
      <c r="D2456" s="4"/>
    </row>
    <row r="2457" spans="1:4" x14ac:dyDescent="0.3">
      <c r="A2457" s="7"/>
      <c r="B2457" s="4"/>
      <c r="C2457" s="4"/>
      <c r="D2457" s="4"/>
    </row>
    <row r="2458" spans="1:4" x14ac:dyDescent="0.3">
      <c r="A2458" s="7"/>
      <c r="B2458" s="4"/>
      <c r="C2458" s="4"/>
      <c r="D2458" s="4"/>
    </row>
    <row r="2459" spans="1:4" x14ac:dyDescent="0.3">
      <c r="A2459" s="7"/>
      <c r="B2459" s="4"/>
      <c r="C2459" s="4"/>
      <c r="D2459" s="4"/>
    </row>
    <row r="2460" spans="1:4" x14ac:dyDescent="0.3">
      <c r="A2460" s="7"/>
      <c r="B2460" s="4"/>
      <c r="C2460" s="4"/>
      <c r="D2460" s="4"/>
    </row>
    <row r="2461" spans="1:4" x14ac:dyDescent="0.3">
      <c r="A2461" s="7"/>
      <c r="B2461" s="4"/>
      <c r="C2461" s="4"/>
      <c r="D2461" s="4"/>
    </row>
    <row r="2462" spans="1:4" x14ac:dyDescent="0.3">
      <c r="A2462" s="7"/>
      <c r="B2462" s="4"/>
      <c r="C2462" s="4"/>
      <c r="D2462" s="4"/>
    </row>
    <row r="2463" spans="1:4" x14ac:dyDescent="0.3">
      <c r="A2463" s="7"/>
      <c r="B2463" s="4"/>
      <c r="C2463" s="4"/>
      <c r="D2463" s="4"/>
    </row>
    <row r="2464" spans="1:4" x14ac:dyDescent="0.3">
      <c r="A2464" s="7"/>
      <c r="B2464" s="4"/>
      <c r="C2464" s="4"/>
      <c r="D2464" s="4"/>
    </row>
    <row r="2465" spans="1:4" x14ac:dyDescent="0.3">
      <c r="A2465" s="7"/>
      <c r="B2465" s="4"/>
      <c r="C2465" s="4"/>
      <c r="D2465" s="4"/>
    </row>
    <row r="2466" spans="1:4" x14ac:dyDescent="0.3">
      <c r="A2466" s="7"/>
      <c r="B2466" s="4"/>
      <c r="C2466" s="4"/>
      <c r="D2466" s="4"/>
    </row>
    <row r="2467" spans="1:4" x14ac:dyDescent="0.3">
      <c r="A2467" s="7"/>
      <c r="B2467" s="4"/>
      <c r="C2467" s="4"/>
      <c r="D2467" s="4"/>
    </row>
    <row r="2468" spans="1:4" x14ac:dyDescent="0.3">
      <c r="A2468" s="7"/>
      <c r="B2468" s="4"/>
      <c r="C2468" s="4"/>
      <c r="D2468" s="4"/>
    </row>
    <row r="2469" spans="1:4" x14ac:dyDescent="0.3">
      <c r="A2469" s="7"/>
      <c r="B2469" s="4"/>
      <c r="C2469" s="4"/>
      <c r="D2469" s="4"/>
    </row>
    <row r="2470" spans="1:4" x14ac:dyDescent="0.3">
      <c r="A2470" s="7"/>
      <c r="B2470" s="4"/>
      <c r="C2470" s="4"/>
      <c r="D2470" s="4"/>
    </row>
    <row r="2471" spans="1:4" x14ac:dyDescent="0.3">
      <c r="A2471" s="7"/>
      <c r="B2471" s="4"/>
      <c r="C2471" s="4"/>
      <c r="D2471" s="4"/>
    </row>
    <row r="2472" spans="1:4" x14ac:dyDescent="0.3">
      <c r="A2472" s="7"/>
      <c r="B2472" s="4"/>
      <c r="C2472" s="4"/>
      <c r="D2472" s="4"/>
    </row>
    <row r="2473" spans="1:4" x14ac:dyDescent="0.3">
      <c r="A2473" s="7"/>
      <c r="B2473" s="4"/>
      <c r="C2473" s="4"/>
      <c r="D2473" s="4"/>
    </row>
    <row r="2474" spans="1:4" x14ac:dyDescent="0.3">
      <c r="A2474" s="7"/>
      <c r="B2474" s="4"/>
      <c r="C2474" s="4"/>
      <c r="D2474" s="4"/>
    </row>
    <row r="2475" spans="1:4" x14ac:dyDescent="0.3">
      <c r="A2475" s="7"/>
      <c r="B2475" s="4"/>
      <c r="C2475" s="4"/>
      <c r="D2475" s="4"/>
    </row>
    <row r="2476" spans="1:4" x14ac:dyDescent="0.3">
      <c r="A2476" s="7"/>
      <c r="B2476" s="4"/>
      <c r="C2476" s="4"/>
      <c r="D2476" s="4"/>
    </row>
    <row r="2477" spans="1:4" x14ac:dyDescent="0.3">
      <c r="A2477" s="7"/>
      <c r="B2477" s="4"/>
      <c r="C2477" s="4"/>
      <c r="D2477" s="4"/>
    </row>
    <row r="2478" spans="1:4" x14ac:dyDescent="0.3">
      <c r="A2478" s="7"/>
      <c r="B2478" s="4"/>
      <c r="C2478" s="4"/>
      <c r="D2478" s="4"/>
    </row>
    <row r="2479" spans="1:4" x14ac:dyDescent="0.3">
      <c r="A2479" s="7"/>
      <c r="B2479" s="4"/>
      <c r="C2479" s="4"/>
      <c r="D2479" s="4"/>
    </row>
    <row r="2480" spans="1:4" x14ac:dyDescent="0.3">
      <c r="A2480" s="7"/>
      <c r="B2480" s="4"/>
      <c r="C2480" s="4"/>
      <c r="D2480" s="4"/>
    </row>
    <row r="2481" spans="1:4" x14ac:dyDescent="0.3">
      <c r="A2481" s="7"/>
      <c r="B2481" s="4"/>
      <c r="C2481" s="4"/>
      <c r="D2481" s="4"/>
    </row>
    <row r="2482" spans="1:4" x14ac:dyDescent="0.3">
      <c r="A2482" s="7"/>
      <c r="B2482" s="4"/>
      <c r="C2482" s="4"/>
      <c r="D2482" s="4"/>
    </row>
    <row r="2483" spans="1:4" x14ac:dyDescent="0.3">
      <c r="A2483" s="7"/>
      <c r="B2483" s="4"/>
      <c r="C2483" s="4"/>
      <c r="D2483" s="4"/>
    </row>
    <row r="2484" spans="1:4" x14ac:dyDescent="0.3">
      <c r="A2484" s="7"/>
      <c r="B2484" s="4"/>
      <c r="C2484" s="4"/>
      <c r="D2484" s="4"/>
    </row>
    <row r="2485" spans="1:4" x14ac:dyDescent="0.3">
      <c r="A2485" s="7"/>
      <c r="B2485" s="4"/>
      <c r="C2485" s="4"/>
      <c r="D2485" s="4"/>
    </row>
    <row r="2486" spans="1:4" x14ac:dyDescent="0.3">
      <c r="A2486" s="7"/>
      <c r="B2486" s="4"/>
      <c r="C2486" s="4"/>
      <c r="D2486" s="4"/>
    </row>
    <row r="2487" spans="1:4" x14ac:dyDescent="0.3">
      <c r="A2487" s="7"/>
      <c r="B2487" s="4"/>
      <c r="C2487" s="4"/>
      <c r="D2487" s="4"/>
    </row>
    <row r="2488" spans="1:4" x14ac:dyDescent="0.3">
      <c r="A2488" s="7"/>
      <c r="B2488" s="4"/>
      <c r="C2488" s="4"/>
      <c r="D2488" s="4"/>
    </row>
    <row r="2489" spans="1:4" x14ac:dyDescent="0.3">
      <c r="A2489" s="7"/>
      <c r="B2489" s="4"/>
      <c r="C2489" s="4"/>
      <c r="D2489" s="4"/>
    </row>
    <row r="2490" spans="1:4" x14ac:dyDescent="0.3">
      <c r="A2490" s="7"/>
      <c r="B2490" s="4"/>
      <c r="C2490" s="4"/>
      <c r="D2490" s="4"/>
    </row>
    <row r="2491" spans="1:4" x14ac:dyDescent="0.3">
      <c r="A2491" s="7"/>
      <c r="B2491" s="4"/>
      <c r="C2491" s="4"/>
      <c r="D2491" s="4"/>
    </row>
    <row r="2492" spans="1:4" x14ac:dyDescent="0.3">
      <c r="A2492" s="7"/>
      <c r="B2492" s="4"/>
      <c r="C2492" s="4"/>
      <c r="D2492" s="4"/>
    </row>
    <row r="2493" spans="1:4" x14ac:dyDescent="0.3">
      <c r="A2493" s="26"/>
      <c r="B2493" s="6"/>
      <c r="C2493" s="6"/>
      <c r="D2493" s="6"/>
    </row>
    <row r="2494" spans="1:4" x14ac:dyDescent="0.3">
      <c r="A2494" s="3"/>
      <c r="B2494" s="4"/>
      <c r="C2494" s="4"/>
      <c r="D2494" s="4"/>
    </row>
    <row r="2495" spans="1:4" x14ac:dyDescent="0.3">
      <c r="A2495" s="3"/>
      <c r="B2495" s="4"/>
      <c r="C2495" s="4"/>
      <c r="D2495" s="4"/>
    </row>
    <row r="2496" spans="1:4" x14ac:dyDescent="0.3">
      <c r="A2496" s="4"/>
      <c r="B2496" s="4"/>
      <c r="C2496" s="4"/>
      <c r="D2496" s="4"/>
    </row>
    <row r="2497" spans="1:4" x14ac:dyDescent="0.3">
      <c r="A2497" s="4"/>
      <c r="B2497" s="4"/>
      <c r="C2497" s="4"/>
      <c r="D2497" s="4"/>
    </row>
    <row r="2498" spans="1:4" x14ac:dyDescent="0.3">
      <c r="A2498" s="4"/>
      <c r="B2498" s="4"/>
      <c r="C2498" s="4"/>
      <c r="D2498" s="4"/>
    </row>
    <row r="2499" spans="1:4" x14ac:dyDescent="0.3">
      <c r="A2499" s="4"/>
      <c r="B2499" s="4"/>
      <c r="C2499" s="4"/>
      <c r="D2499" s="4"/>
    </row>
    <row r="2500" spans="1:4" x14ac:dyDescent="0.3">
      <c r="A2500" s="4"/>
      <c r="B2500" s="4"/>
      <c r="C2500" s="4"/>
      <c r="D2500" s="4"/>
    </row>
    <row r="2501" spans="1:4" x14ac:dyDescent="0.3">
      <c r="A2501" s="4"/>
      <c r="B2501" s="4"/>
      <c r="C2501" s="4"/>
      <c r="D2501" s="4"/>
    </row>
    <row r="2502" spans="1:4" x14ac:dyDescent="0.3">
      <c r="A2502" s="4"/>
      <c r="B2502" s="4"/>
      <c r="C2502" s="4"/>
      <c r="D2502" s="4"/>
    </row>
    <row r="2503" spans="1:4" x14ac:dyDescent="0.3">
      <c r="A2503" s="4"/>
      <c r="B2503" s="4"/>
      <c r="C2503" s="4"/>
      <c r="D2503" s="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00"/>
  <sheetViews>
    <sheetView topLeftCell="F1" zoomScale="90" zoomScaleNormal="90" workbookViewId="0">
      <selection activeCell="O1" sqref="O1"/>
    </sheetView>
  </sheetViews>
  <sheetFormatPr baseColWidth="10" defaultRowHeight="14.4" x14ac:dyDescent="0.3"/>
  <cols>
    <col min="1" max="1" width="23.77734375" style="12" customWidth="1"/>
    <col min="2" max="2" width="11.109375" style="11" customWidth="1"/>
    <col min="3" max="3" width="19.33203125" style="11" customWidth="1"/>
    <col min="4" max="4" width="21.5546875" style="11" customWidth="1"/>
    <col min="5" max="5" width="51.5546875" style="11" customWidth="1"/>
    <col min="6" max="6" width="32.109375" style="11" customWidth="1"/>
    <col min="7" max="7" width="37.44140625" style="11" customWidth="1"/>
    <col min="8" max="8" width="17.21875" style="11" customWidth="1"/>
    <col min="9" max="9" width="10.6640625" style="11" customWidth="1"/>
    <col min="10" max="10" width="13.5546875" style="11" customWidth="1"/>
    <col min="11" max="11" width="20.21875" style="11" customWidth="1"/>
    <col min="12" max="13" width="26.44140625" style="11" customWidth="1"/>
    <col min="14" max="16384" width="11.5546875" style="11"/>
  </cols>
  <sheetData>
    <row r="1" spans="1:15" customFormat="1" ht="12" customHeight="1" thickBot="1" x14ac:dyDescent="0.35">
      <c r="A1" s="10" t="s">
        <v>50</v>
      </c>
      <c r="B1" s="2" t="s">
        <v>46</v>
      </c>
      <c r="C1" s="2" t="s">
        <v>1</v>
      </c>
      <c r="D1" s="2" t="s">
        <v>2</v>
      </c>
      <c r="E1" s="2" t="s">
        <v>3</v>
      </c>
      <c r="F1" s="2" t="s">
        <v>47</v>
      </c>
      <c r="G1" s="2" t="s">
        <v>45</v>
      </c>
      <c r="H1" s="2" t="s">
        <v>6</v>
      </c>
      <c r="I1" s="2" t="s">
        <v>49</v>
      </c>
      <c r="J1" s="10" t="s">
        <v>7</v>
      </c>
      <c r="K1" s="10" t="s">
        <v>48</v>
      </c>
      <c r="L1" s="1" t="s">
        <v>19</v>
      </c>
      <c r="M1" s="12"/>
      <c r="N1" s="16" t="s">
        <v>50</v>
      </c>
      <c r="O1" s="17">
        <f>MAX(TABLA_INGRESO_MERCADERIA[ID ingreso])+1</f>
        <v>16</v>
      </c>
    </row>
    <row r="2" spans="1:15" ht="12" customHeight="1" x14ac:dyDescent="0.3">
      <c r="A2" s="13">
        <v>3</v>
      </c>
      <c r="B2" s="11">
        <v>1002</v>
      </c>
      <c r="C2" s="13">
        <f>VLOOKUP(TABLA_INGRESO_MERCADERIA[Codigo],LISTADO_PRODUCTOS[#All],2)</f>
        <v>54175</v>
      </c>
      <c r="D2" s="13" t="str">
        <f>VLOOKUP(TABLA_INGRESO_MERCADERIA[Codigo],LISTADO_PRODUCTOS[#All],3)</f>
        <v xml:space="preserve">OFICINA </v>
      </c>
      <c r="E2" s="13" t="str">
        <f>VLOOKUP(TABLA_INGRESO_MERCADERIA[Codigo],LISTADO_PRODUCTOS[#All],4)</f>
        <v>Cuaderno 29.7 America Nos/Avon 80h</v>
      </c>
      <c r="F2" s="13" t="str">
        <f>VLOOKUP(TABLA_INGRESO_MERCADERIA[Codigo],LISTADO_PRODUCTOS[#All],5)</f>
        <v>N/A</v>
      </c>
      <c r="G2" s="11" t="s">
        <v>64</v>
      </c>
      <c r="H2" s="11" t="s">
        <v>41</v>
      </c>
      <c r="I2" s="11">
        <v>10000</v>
      </c>
      <c r="J2" s="11">
        <v>5</v>
      </c>
      <c r="K2" s="33">
        <v>2000</v>
      </c>
      <c r="L2" s="12" t="s">
        <v>63</v>
      </c>
    </row>
    <row r="3" spans="1:15" ht="12" customHeight="1" x14ac:dyDescent="0.3">
      <c r="A3" s="13">
        <v>4</v>
      </c>
      <c r="B3" s="11">
        <v>1002</v>
      </c>
      <c r="C3" s="13">
        <f>VLOOKUP(TABLA_INGRESO_MERCADERIA[Codigo],LISTADO_PRODUCTOS[#All],2)</f>
        <v>54175</v>
      </c>
      <c r="D3" s="13" t="str">
        <f>VLOOKUP(TABLA_INGRESO_MERCADERIA[Codigo],LISTADO_PRODUCTOS[#All],3)</f>
        <v xml:space="preserve">OFICINA </v>
      </c>
      <c r="E3" s="13" t="str">
        <f>VLOOKUP(TABLA_INGRESO_MERCADERIA[Codigo],LISTADO_PRODUCTOS[#All],4)</f>
        <v>Cuaderno 29.7 America Nos/Avon 80h</v>
      </c>
      <c r="F3" s="13" t="str">
        <f>VLOOKUP(TABLA_INGRESO_MERCADERIA[Codigo],LISTADO_PRODUCTOS[#All],5)</f>
        <v>N/A</v>
      </c>
      <c r="G3" s="11" t="s">
        <v>66</v>
      </c>
      <c r="H3" s="11" t="s">
        <v>41</v>
      </c>
      <c r="I3" s="11">
        <v>29000</v>
      </c>
      <c r="J3" s="11">
        <v>30</v>
      </c>
      <c r="K3" s="11">
        <v>967</v>
      </c>
      <c r="L3" s="12" t="s">
        <v>65</v>
      </c>
    </row>
    <row r="4" spans="1:15" ht="12" customHeight="1" x14ac:dyDescent="0.3">
      <c r="A4" s="13">
        <v>5</v>
      </c>
      <c r="B4" s="11">
        <v>1000</v>
      </c>
      <c r="C4" s="13">
        <f>VLOOKUP(TABLA_INGRESO_MERCADERIA[Codigo],LISTADO_PRODUCTOS[#All],2)</f>
        <v>54173</v>
      </c>
      <c r="D4" s="13" t="str">
        <f>VLOOKUP(TABLA_INGRESO_MERCADERIA[Codigo],LISTADO_PRODUCTOS[#All],3)</f>
        <v>LIBRERÍA</v>
      </c>
      <c r="E4" s="13" t="str">
        <f>VLOOKUP(TABLA_INGRESO_MERCADERIA[Codigo],LISTADO_PRODUCTOS[#All],4)</f>
        <v>Cuaderno 29.7 America flex - 7792216854173</v>
      </c>
      <c r="F4" s="13" t="str">
        <f>VLOOKUP(TABLA_INGRESO_MERCADERIA[Codigo],LISTADO_PRODUCTOS[#All],5)</f>
        <v>N/A</v>
      </c>
      <c r="G4" s="11" t="s">
        <v>68</v>
      </c>
      <c r="H4" s="11" t="s">
        <v>41</v>
      </c>
      <c r="I4" s="11">
        <v>25000</v>
      </c>
      <c r="J4" s="11">
        <v>5</v>
      </c>
      <c r="K4" s="11">
        <v>5000</v>
      </c>
      <c r="L4" s="12" t="s">
        <v>67</v>
      </c>
    </row>
    <row r="5" spans="1:15" ht="12" customHeight="1" x14ac:dyDescent="0.3">
      <c r="A5" s="13">
        <v>6</v>
      </c>
      <c r="B5" s="11">
        <v>1001</v>
      </c>
      <c r="C5" s="13">
        <f>VLOOKUP(TABLA_INGRESO_MERCADERIA[Codigo],LISTADO_PRODUCTOS[#All],2)</f>
        <v>54174</v>
      </c>
      <c r="D5" s="13" t="str">
        <f>VLOOKUP(TABLA_INGRESO_MERCADERIA[Codigo],LISTADO_PRODUCTOS[#All],3)</f>
        <v>LIBRERÍA</v>
      </c>
      <c r="E5" s="13" t="str">
        <f>VLOOKUP(TABLA_INGRESO_MERCADERIA[Codigo],LISTADO_PRODUCTOS[#All],4)</f>
        <v>Cuaderno Rivadavia escolar 194h 88g</v>
      </c>
      <c r="F5" s="13" t="str">
        <f>VLOOKUP(TABLA_INGRESO_MERCADERIA[Codigo],LISTADO_PRODUCTOS[#All],5)</f>
        <v>N/A</v>
      </c>
      <c r="G5" s="11" t="s">
        <v>70</v>
      </c>
      <c r="H5" s="11" t="s">
        <v>40</v>
      </c>
      <c r="I5" s="11">
        <v>28000</v>
      </c>
      <c r="J5" s="11">
        <v>5</v>
      </c>
      <c r="K5" s="11">
        <v>5600</v>
      </c>
      <c r="L5" s="12" t="s">
        <v>69</v>
      </c>
    </row>
    <row r="6" spans="1:15" ht="12" customHeight="1" x14ac:dyDescent="0.3">
      <c r="A6" s="13">
        <v>7</v>
      </c>
      <c r="B6" s="11">
        <v>1004</v>
      </c>
      <c r="C6" s="13">
        <f>VLOOKUP(TABLA_INGRESO_MERCADERIA[Codigo],LISTADO_PRODUCTOS[#All],2)</f>
        <v>56542156</v>
      </c>
      <c r="D6" s="13" t="str">
        <f>VLOOKUP(TABLA_INGRESO_MERCADERIA[Codigo],LISTADO_PRODUCTOS[#All],3)</f>
        <v>LIBRERÍA</v>
      </c>
      <c r="E6" s="13" t="str">
        <f>VLOOKUP(TABLA_INGRESO_MERCADERIA[Codigo],LISTADO_PRODUCTOS[#All],4)</f>
        <v>Resaltador Sharpie x12</v>
      </c>
      <c r="F6" s="13" t="str">
        <f>VLOOKUP(TABLA_INGRESO_MERCADERIA[Codigo],LISTADO_PRODUCTOS[#All],5)</f>
        <v>N/A</v>
      </c>
      <c r="G6" s="11" t="s">
        <v>72</v>
      </c>
      <c r="H6" s="11" t="s">
        <v>37</v>
      </c>
      <c r="I6" s="11">
        <v>125000</v>
      </c>
      <c r="J6" s="11">
        <v>8</v>
      </c>
      <c r="K6" s="11">
        <v>15625</v>
      </c>
      <c r="L6" s="12" t="s">
        <v>71</v>
      </c>
    </row>
    <row r="7" spans="1:15" ht="12" customHeight="1" x14ac:dyDescent="0.3">
      <c r="A7" s="13">
        <v>8</v>
      </c>
      <c r="B7" s="11">
        <v>1003</v>
      </c>
      <c r="C7" s="13">
        <f>VLOOKUP(TABLA_INGRESO_MERCADERIA[Codigo],LISTADO_PRODUCTOS[#All],2)</f>
        <v>54175</v>
      </c>
      <c r="D7" s="13" t="str">
        <f>VLOOKUP(TABLA_INGRESO_MERCADERIA[Codigo],LISTADO_PRODUCTOS[#All],3)</f>
        <v xml:space="preserve">OFICINA </v>
      </c>
      <c r="E7" s="13" t="str">
        <f>VLOOKUP(TABLA_INGRESO_MERCADERIA[Codigo],LISTADO_PRODUCTOS[#All],4)</f>
        <v>Cuaderno 29.7 America Nos/Avon 80h</v>
      </c>
      <c r="F7" s="13" t="str">
        <f>VLOOKUP(TABLA_INGRESO_MERCADERIA[Codigo],LISTADO_PRODUCTOS[#All],5)</f>
        <v>N/A</v>
      </c>
      <c r="G7" s="11" t="s">
        <v>73</v>
      </c>
      <c r="H7" s="11" t="s">
        <v>39</v>
      </c>
      <c r="I7" s="11">
        <v>256000</v>
      </c>
      <c r="J7" s="11">
        <v>3</v>
      </c>
      <c r="K7" s="33">
        <v>85333</v>
      </c>
      <c r="L7" s="12" t="s">
        <v>71</v>
      </c>
    </row>
    <row r="8" spans="1:15" ht="12" customHeight="1" x14ac:dyDescent="0.3">
      <c r="A8" s="13">
        <v>9</v>
      </c>
      <c r="B8" s="11">
        <v>1005</v>
      </c>
      <c r="C8" s="13">
        <f>VLOOKUP(TABLA_INGRESO_MERCADERIA[Codigo],LISTADO_PRODUCTOS[#All],2)</f>
        <v>56542156</v>
      </c>
      <c r="D8" s="13" t="str">
        <f>VLOOKUP(TABLA_INGRESO_MERCADERIA[Codigo],LISTADO_PRODUCTOS[#All],3)</f>
        <v>LIBRERÍA</v>
      </c>
      <c r="E8" s="13" t="str">
        <f>VLOOKUP(TABLA_INGRESO_MERCADERIA[Codigo],LISTADO_PRODUCTOS[#All],4)</f>
        <v>Resaltador Sharpie x12</v>
      </c>
      <c r="F8" s="13" t="str">
        <f>VLOOKUP(TABLA_INGRESO_MERCADERIA[Codigo],LISTADO_PRODUCTOS[#All],5)</f>
        <v>N/A</v>
      </c>
      <c r="G8" s="11" t="s">
        <v>75</v>
      </c>
      <c r="H8" s="11" t="s">
        <v>37</v>
      </c>
      <c r="I8" s="11">
        <v>25690</v>
      </c>
      <c r="J8" s="11">
        <v>3</v>
      </c>
      <c r="K8" s="33">
        <v>8563</v>
      </c>
      <c r="L8" s="12" t="s">
        <v>74</v>
      </c>
    </row>
    <row r="9" spans="1:15" ht="12" customHeight="1" x14ac:dyDescent="0.3">
      <c r="A9" s="13">
        <v>10</v>
      </c>
      <c r="B9" s="11">
        <v>1006</v>
      </c>
      <c r="C9" s="13">
        <f>VLOOKUP(TABLA_INGRESO_MERCADERIA[Codigo],LISTADO_PRODUCTOS[#All],2)</f>
        <v>56542156</v>
      </c>
      <c r="D9" s="13" t="str">
        <f>VLOOKUP(TABLA_INGRESO_MERCADERIA[Codigo],LISTADO_PRODUCTOS[#All],3)</f>
        <v>LIBRERÍA</v>
      </c>
      <c r="E9" s="13" t="str">
        <f>VLOOKUP(TABLA_INGRESO_MERCADERIA[Codigo],LISTADO_PRODUCTOS[#All],4)</f>
        <v>Resaltador Sharpie x12</v>
      </c>
      <c r="F9" s="13" t="str">
        <f>VLOOKUP(TABLA_INGRESO_MERCADERIA[Codigo],LISTADO_PRODUCTOS[#All],5)</f>
        <v>N/A</v>
      </c>
      <c r="G9" s="11" t="s">
        <v>76</v>
      </c>
      <c r="H9" s="11" t="s">
        <v>38</v>
      </c>
      <c r="I9" s="11">
        <v>35640</v>
      </c>
      <c r="J9" s="11">
        <v>3</v>
      </c>
      <c r="K9" s="11">
        <v>11880</v>
      </c>
      <c r="L9" s="12" t="s">
        <v>74</v>
      </c>
    </row>
    <row r="10" spans="1:15" ht="12" customHeight="1" x14ac:dyDescent="0.3">
      <c r="A10" s="13">
        <v>11</v>
      </c>
      <c r="B10" s="11">
        <v>1000</v>
      </c>
      <c r="C10" s="13">
        <f>VLOOKUP(TABLA_INGRESO_MERCADERIA[Codigo],LISTADO_PRODUCTOS[#All],2)</f>
        <v>54173</v>
      </c>
      <c r="D10" s="13" t="str">
        <f>VLOOKUP(TABLA_INGRESO_MERCADERIA[Codigo],LISTADO_PRODUCTOS[#All],3)</f>
        <v>LIBRERÍA</v>
      </c>
      <c r="E10" s="13" t="str">
        <f>VLOOKUP(TABLA_INGRESO_MERCADERIA[Codigo],LISTADO_PRODUCTOS[#All],4)</f>
        <v>Cuaderno 29.7 America flex - 7792216854173</v>
      </c>
      <c r="F10" s="13" t="str">
        <f>VLOOKUP(TABLA_INGRESO_MERCADERIA[Codigo],LISTADO_PRODUCTOS[#All],5)</f>
        <v>N/A</v>
      </c>
      <c r="G10" s="11" t="s">
        <v>78</v>
      </c>
      <c r="H10" s="11" t="s">
        <v>38</v>
      </c>
      <c r="I10" s="11">
        <v>2000</v>
      </c>
      <c r="J10" s="11">
        <v>2</v>
      </c>
      <c r="K10" s="11">
        <v>1000</v>
      </c>
      <c r="L10" s="12" t="s">
        <v>77</v>
      </c>
    </row>
    <row r="11" spans="1:15" ht="12" customHeight="1" x14ac:dyDescent="0.3">
      <c r="A11" s="13">
        <v>13</v>
      </c>
      <c r="B11" s="11">
        <v>1003</v>
      </c>
      <c r="C11" s="13">
        <f>VLOOKUP(TABLA_INGRESO_MERCADERIA[Codigo],LISTADO_PRODUCTOS[#All],2)</f>
        <v>54175</v>
      </c>
      <c r="D11" s="13" t="str">
        <f>VLOOKUP(TABLA_INGRESO_MERCADERIA[Codigo],LISTADO_PRODUCTOS[#All],3)</f>
        <v xml:space="preserve">OFICINA </v>
      </c>
      <c r="E11" s="13" t="str">
        <f>VLOOKUP(TABLA_INGRESO_MERCADERIA[Codigo],LISTADO_PRODUCTOS[#All],4)</f>
        <v>Cuaderno 29.7 America Nos/Avon 80h</v>
      </c>
      <c r="F11" s="13" t="str">
        <f>VLOOKUP(TABLA_INGRESO_MERCADERIA[Codigo],LISTADO_PRODUCTOS[#All],5)</f>
        <v>N/A</v>
      </c>
      <c r="G11" s="11" t="s">
        <v>79</v>
      </c>
      <c r="H11" s="11" t="s">
        <v>41</v>
      </c>
      <c r="I11" s="11">
        <v>8900</v>
      </c>
      <c r="J11" s="11">
        <v>3</v>
      </c>
      <c r="K11" s="11">
        <v>2967</v>
      </c>
      <c r="L11" s="12" t="s">
        <v>77</v>
      </c>
    </row>
    <row r="12" spans="1:15" ht="12" customHeight="1" x14ac:dyDescent="0.3">
      <c r="A12" s="13">
        <v>14</v>
      </c>
      <c r="B12" s="11">
        <v>1010</v>
      </c>
      <c r="C12" s="13">
        <f>VLOOKUP(TABLA_INGRESO_MERCADERIA[Codigo],LISTADO_PRODUCTOS[#All],2)</f>
        <v>54179</v>
      </c>
      <c r="D12" s="13" t="str">
        <f>VLOOKUP(TABLA_INGRESO_MERCADERIA[Codigo],LISTADO_PRODUCTOS[#All],3)</f>
        <v>LIBRERÍA</v>
      </c>
      <c r="E12" s="13" t="str">
        <f>VLOOKUP(TABLA_INGRESO_MERCADERIA[Codigo],LISTADO_PRODUCTOS[#All],4)</f>
        <v>Cuaderno Colegial Éxito x 60h</v>
      </c>
      <c r="F12" s="13" t="str">
        <f>VLOOKUP(TABLA_INGRESO_MERCADERIA[Codigo],LISTADO_PRODUCTOS[#All],5)</f>
        <v>N/A</v>
      </c>
      <c r="G12" s="11" t="s">
        <v>13</v>
      </c>
      <c r="H12" s="11" t="s">
        <v>40</v>
      </c>
      <c r="I12" s="11">
        <v>2568.5</v>
      </c>
      <c r="J12" s="11">
        <v>1</v>
      </c>
      <c r="K12" s="11">
        <v>25685</v>
      </c>
      <c r="L12" s="12" t="s">
        <v>923</v>
      </c>
    </row>
    <row r="13" spans="1:15" ht="12" customHeight="1" x14ac:dyDescent="0.3">
      <c r="A13" s="13">
        <v>15</v>
      </c>
      <c r="B13" s="11">
        <v>1007</v>
      </c>
      <c r="C13" s="13">
        <f>VLOOKUP(TABLA_INGRESO_MERCADERIA[Codigo],LISTADO_PRODUCTOS[#All],2)</f>
        <v>54177</v>
      </c>
      <c r="D13" s="13" t="str">
        <f>VLOOKUP(TABLA_INGRESO_MERCADERIA[Codigo],LISTADO_PRODUCTOS[#All],3)</f>
        <v>LIBRERÍA</v>
      </c>
      <c r="E13" s="13" t="str">
        <f>VLOOKUP(TABLA_INGRESO_MERCADERIA[Codigo],LISTADO_PRODUCTOS[#All],4)</f>
        <v>Cuaderno 16.21 America Nos c/espiral x 84h</v>
      </c>
      <c r="F13" s="13" t="str">
        <f>VLOOKUP(TABLA_INGRESO_MERCADERIA[Codigo],LISTADO_PRODUCTOS[#All],5)</f>
        <v>N/A</v>
      </c>
      <c r="G13" s="11" t="s">
        <v>13</v>
      </c>
      <c r="H13" s="11" t="s">
        <v>40</v>
      </c>
      <c r="I13" s="11" t="s">
        <v>925</v>
      </c>
      <c r="J13" s="11">
        <v>3</v>
      </c>
      <c r="K13" s="11">
        <v>2986</v>
      </c>
      <c r="L13" s="12" t="s">
        <v>924</v>
      </c>
    </row>
    <row r="14" spans="1:15" ht="12" customHeight="1" x14ac:dyDescent="0.3"/>
    <row r="15" spans="1:15" ht="12" customHeight="1" x14ac:dyDescent="0.3"/>
    <row r="16" spans="1:15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spans="2:6" ht="12" customHeight="1" x14ac:dyDescent="0.3"/>
    <row r="290" spans="2:6" ht="12" customHeight="1" x14ac:dyDescent="0.3"/>
    <row r="291" spans="2:6" ht="12" customHeight="1" x14ac:dyDescent="0.3"/>
    <row r="292" spans="2:6" ht="12" customHeight="1" x14ac:dyDescent="0.3"/>
    <row r="293" spans="2:6" ht="12" customHeight="1" x14ac:dyDescent="0.3"/>
    <row r="294" spans="2:6" ht="12" customHeight="1" x14ac:dyDescent="0.3"/>
    <row r="295" spans="2:6" ht="12" customHeight="1" x14ac:dyDescent="0.3"/>
    <row r="296" spans="2:6" ht="12" customHeight="1" x14ac:dyDescent="0.3">
      <c r="B296" s="11">
        <v>1001</v>
      </c>
      <c r="E296" s="11" t="s">
        <v>14</v>
      </c>
      <c r="F296" s="11" t="s">
        <v>13</v>
      </c>
    </row>
    <row r="297" spans="2:6" ht="12" customHeight="1" x14ac:dyDescent="0.3"/>
    <row r="298" spans="2:6" ht="12" customHeight="1" x14ac:dyDescent="0.3"/>
    <row r="299" spans="2:6" ht="12" customHeight="1" x14ac:dyDescent="0.3"/>
    <row r="300" spans="2:6" ht="12" customHeight="1" x14ac:dyDescent="0.3"/>
    <row r="301" spans="2:6" ht="12" customHeight="1" x14ac:dyDescent="0.3"/>
    <row r="302" spans="2:6" ht="12" customHeight="1" x14ac:dyDescent="0.3"/>
    <row r="303" spans="2:6" ht="12" customHeight="1" x14ac:dyDescent="0.3"/>
    <row r="304" spans="2:6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381"/>
  <sheetViews>
    <sheetView zoomScale="90" zoomScaleNormal="90" workbookViewId="0">
      <selection activeCell="H40" sqref="H40"/>
    </sheetView>
  </sheetViews>
  <sheetFormatPr baseColWidth="10" defaultRowHeight="14.4" x14ac:dyDescent="0.3"/>
  <cols>
    <col min="1" max="1" width="23.77734375" style="12" customWidth="1"/>
    <col min="2" max="2" width="11.109375" style="11" customWidth="1"/>
    <col min="3" max="3" width="51.5546875" style="11" customWidth="1"/>
    <col min="4" max="4" width="32.109375" style="11" customWidth="1"/>
    <col min="5" max="5" width="17.21875" style="11" customWidth="1"/>
    <col min="6" max="6" width="10.6640625" style="11" customWidth="1"/>
    <col min="7" max="7" width="13.5546875" style="11" customWidth="1"/>
    <col min="8" max="8" width="26.44140625" style="11" customWidth="1"/>
    <col min="9" max="16384" width="11.5546875" style="11"/>
  </cols>
  <sheetData>
    <row r="1" spans="1:12" customFormat="1" ht="12" customHeight="1" x14ac:dyDescent="0.3">
      <c r="A1" s="19" t="s">
        <v>50</v>
      </c>
      <c r="B1" s="2" t="s">
        <v>46</v>
      </c>
      <c r="C1" s="2" t="s">
        <v>3</v>
      </c>
      <c r="D1" s="2" t="s">
        <v>47</v>
      </c>
      <c r="E1" s="2" t="s">
        <v>6</v>
      </c>
      <c r="F1" s="2" t="s">
        <v>49</v>
      </c>
      <c r="G1" s="10" t="s">
        <v>7</v>
      </c>
      <c r="H1" s="18" t="s">
        <v>19</v>
      </c>
    </row>
    <row r="2" spans="1:12" s="12" customFormat="1" ht="12" customHeight="1" x14ac:dyDescent="0.3">
      <c r="A2" s="31">
        <v>3</v>
      </c>
      <c r="B2" s="29">
        <f>VLOOKUP(TABLA_INGRESO_MERCADERIA_LISTBOX[[#This Row],[ID ingreso]],TABLA_INGRESO_MERCADERIA[#All],2)</f>
        <v>1002</v>
      </c>
      <c r="C2" s="30" t="str">
        <f>VLOOKUP(TABLA_INGRESO_MERCADERIA_LISTBOX[Codigo],LISTADO_PRODUCTOS[#All],4)</f>
        <v>Cuaderno 29.7 America Nos/Avon 80h</v>
      </c>
      <c r="D2" s="30" t="str">
        <f>VLOOKUP(TABLA_INGRESO_MERCADERIA_LISTBOX[Codigo],LISTADO_PRODUCTOS[#All],5)</f>
        <v>N/A</v>
      </c>
      <c r="E2" s="29" t="str">
        <f>VLOOKUP(TABLA_INGRESO_MERCADERIA_LISTBOX[[#This Row],[ID ingreso]],TABLA_INGRESO_MERCADERIA[#All],8)</f>
        <v>Librería julio</v>
      </c>
      <c r="F2" s="29">
        <f>VLOOKUP(TABLA_INGRESO_MERCADERIA_LISTBOX[[#This Row],[ID ingreso]],TABLA_INGRESO_MERCADERIA[#All],9)</f>
        <v>10000</v>
      </c>
      <c r="G2" s="29">
        <f>VLOOKUP(TABLA_INGRESO_MERCADERIA_LISTBOX[[#This Row],[ID ingreso]],TABLA_INGRESO_MERCADERIA[#All],10)</f>
        <v>5</v>
      </c>
      <c r="H2" s="31" t="str">
        <f>VLOOKUP(TABLA_INGRESO_MERCADERIA_LISTBOX[[#This Row],[ID ingreso]],TABLA_INGRESO_MERCADERIA[#All],12)</f>
        <v>17/03/2023 21:49:47</v>
      </c>
      <c r="I2" s="11"/>
      <c r="J2" s="11"/>
      <c r="K2" s="11"/>
      <c r="L2" s="11"/>
    </row>
    <row r="3" spans="1:12" s="12" customFormat="1" ht="12" customHeight="1" x14ac:dyDescent="0.3">
      <c r="A3" s="31">
        <v>4</v>
      </c>
      <c r="B3" s="29">
        <f>VLOOKUP(TABLA_INGRESO_MERCADERIA_LISTBOX[[#This Row],[ID ingreso]],TABLA_INGRESO_MERCADERIA[#All],2)</f>
        <v>1002</v>
      </c>
      <c r="C3" s="30" t="str">
        <f>VLOOKUP(TABLA_INGRESO_MERCADERIA_LISTBOX[Codigo],LISTADO_PRODUCTOS[#All],4)</f>
        <v>Cuaderno 29.7 America Nos/Avon 80h</v>
      </c>
      <c r="D3" s="30" t="str">
        <f>VLOOKUP(TABLA_INGRESO_MERCADERIA_LISTBOX[Codigo],LISTADO_PRODUCTOS[#All],5)</f>
        <v>N/A</v>
      </c>
      <c r="E3" s="29" t="str">
        <f>VLOOKUP(TABLA_INGRESO_MERCADERIA_LISTBOX[[#This Row],[ID ingreso]],TABLA_INGRESO_MERCADERIA[#All],8)</f>
        <v>Librería julio</v>
      </c>
      <c r="F3" s="29">
        <f>VLOOKUP(TABLA_INGRESO_MERCADERIA_LISTBOX[[#This Row],[ID ingreso]],TABLA_INGRESO_MERCADERIA[#All],9)</f>
        <v>29000</v>
      </c>
      <c r="G3" s="29">
        <f>VLOOKUP(TABLA_INGRESO_MERCADERIA_LISTBOX[[#This Row],[ID ingreso]],TABLA_INGRESO_MERCADERIA[#All],10)</f>
        <v>30</v>
      </c>
      <c r="H3" s="31" t="str">
        <f>VLOOKUP(TABLA_INGRESO_MERCADERIA_LISTBOX[[#This Row],[ID ingreso]],TABLA_INGRESO_MERCADERIA[#All],12)</f>
        <v>18/03/2023 17:07:26</v>
      </c>
      <c r="I3" s="11"/>
      <c r="J3" s="11"/>
      <c r="K3" s="11"/>
      <c r="L3" s="11"/>
    </row>
    <row r="4" spans="1:12" s="12" customFormat="1" ht="12" customHeight="1" x14ac:dyDescent="0.3">
      <c r="A4" s="31">
        <v>5</v>
      </c>
      <c r="B4" s="29">
        <f>VLOOKUP(TABLA_INGRESO_MERCADERIA_LISTBOX[[#This Row],[ID ingreso]],TABLA_INGRESO_MERCADERIA[#All],2)</f>
        <v>1000</v>
      </c>
      <c r="C4" s="30" t="str">
        <f>VLOOKUP(TABLA_INGRESO_MERCADERIA_LISTBOX[Codigo],LISTADO_PRODUCTOS[#All],4)</f>
        <v>Cuaderno 29.7 America flex - 7792216854173</v>
      </c>
      <c r="D4" s="30" t="str">
        <f>VLOOKUP(TABLA_INGRESO_MERCADERIA_LISTBOX[Codigo],LISTADO_PRODUCTOS[#All],5)</f>
        <v>N/A</v>
      </c>
      <c r="E4" s="29" t="str">
        <f>VLOOKUP(TABLA_INGRESO_MERCADERIA_LISTBOX[[#This Row],[ID ingreso]],TABLA_INGRESO_MERCADERIA[#All],8)</f>
        <v>Librería julio</v>
      </c>
      <c r="F4" s="29">
        <f>VLOOKUP(TABLA_INGRESO_MERCADERIA_LISTBOX[[#This Row],[ID ingreso]],TABLA_INGRESO_MERCADERIA[#All],9)</f>
        <v>25000</v>
      </c>
      <c r="G4" s="29">
        <f>VLOOKUP(TABLA_INGRESO_MERCADERIA_LISTBOX[[#This Row],[ID ingreso]],TABLA_INGRESO_MERCADERIA[#All],10)</f>
        <v>5</v>
      </c>
      <c r="H4" s="31" t="str">
        <f>VLOOKUP(TABLA_INGRESO_MERCADERIA_LISTBOX[[#This Row],[ID ingreso]],TABLA_INGRESO_MERCADERIA[#All],12)</f>
        <v>18/03/2023 17:08:55</v>
      </c>
      <c r="I4" s="11"/>
      <c r="J4" s="11"/>
      <c r="K4" s="11"/>
      <c r="L4" s="11"/>
    </row>
    <row r="5" spans="1:12" s="12" customFormat="1" ht="12" customHeight="1" x14ac:dyDescent="0.3">
      <c r="A5" s="31">
        <v>6</v>
      </c>
      <c r="B5" s="29">
        <f>VLOOKUP(TABLA_INGRESO_MERCADERIA_LISTBOX[[#This Row],[ID ingreso]],TABLA_INGRESO_MERCADERIA[#All],2)</f>
        <v>1001</v>
      </c>
      <c r="C5" s="30" t="str">
        <f>VLOOKUP(TABLA_INGRESO_MERCADERIA_LISTBOX[Codigo],LISTADO_PRODUCTOS[#All],4)</f>
        <v>Cuaderno Rivadavia escolar 194h 88g</v>
      </c>
      <c r="D5" s="30" t="str">
        <f>VLOOKUP(TABLA_INGRESO_MERCADERIA_LISTBOX[Codigo],LISTADO_PRODUCTOS[#All],5)</f>
        <v>N/A</v>
      </c>
      <c r="E5" s="29" t="str">
        <f>VLOOKUP(TABLA_INGRESO_MERCADERIA_LISTBOX[[#This Row],[ID ingreso]],TABLA_INGRESO_MERCADERIA[#All],8)</f>
        <v>Cordiez</v>
      </c>
      <c r="F5" s="29">
        <f>VLOOKUP(TABLA_INGRESO_MERCADERIA_LISTBOX[[#This Row],[ID ingreso]],TABLA_INGRESO_MERCADERIA[#All],9)</f>
        <v>28000</v>
      </c>
      <c r="G5" s="29">
        <f>VLOOKUP(TABLA_INGRESO_MERCADERIA_LISTBOX[[#This Row],[ID ingreso]],TABLA_INGRESO_MERCADERIA[#All],10)</f>
        <v>5</v>
      </c>
      <c r="H5" s="31" t="str">
        <f>VLOOKUP(TABLA_INGRESO_MERCADERIA_LISTBOX[[#This Row],[ID ingreso]],TABLA_INGRESO_MERCADERIA[#All],12)</f>
        <v>18/03/2023 17:12:53</v>
      </c>
      <c r="I5" s="11"/>
      <c r="J5" s="11"/>
      <c r="K5" s="11"/>
      <c r="L5" s="11"/>
    </row>
    <row r="6" spans="1:12" s="12" customFormat="1" ht="12" customHeight="1" x14ac:dyDescent="0.3">
      <c r="A6" s="31">
        <v>7</v>
      </c>
      <c r="B6" s="29">
        <f>VLOOKUP(TABLA_INGRESO_MERCADERIA_LISTBOX[[#This Row],[ID ingreso]],TABLA_INGRESO_MERCADERIA[#All],2)</f>
        <v>1004</v>
      </c>
      <c r="C6" s="30" t="str">
        <f>VLOOKUP(TABLA_INGRESO_MERCADERIA_LISTBOX[Codigo],LISTADO_PRODUCTOS[#All],4)</f>
        <v>Resaltador Sharpie x12</v>
      </c>
      <c r="D6" s="30" t="str">
        <f>VLOOKUP(TABLA_INGRESO_MERCADERIA_LISTBOX[Codigo],LISTADO_PRODUCTOS[#All],5)</f>
        <v>N/A</v>
      </c>
      <c r="E6" s="29" t="str">
        <f>VLOOKUP(TABLA_INGRESO_MERCADERIA_LISTBOX[[#This Row],[ID ingreso]],TABLA_INGRESO_MERCADERIA[#All],8)</f>
        <v>freiberg</v>
      </c>
      <c r="F6" s="29">
        <f>VLOOKUP(TABLA_INGRESO_MERCADERIA_LISTBOX[[#This Row],[ID ingreso]],TABLA_INGRESO_MERCADERIA[#All],9)</f>
        <v>125000</v>
      </c>
      <c r="G6" s="29">
        <f>VLOOKUP(TABLA_INGRESO_MERCADERIA_LISTBOX[[#This Row],[ID ingreso]],TABLA_INGRESO_MERCADERIA[#All],10)</f>
        <v>8</v>
      </c>
      <c r="H6" s="31" t="str">
        <f>VLOOKUP(TABLA_INGRESO_MERCADERIA_LISTBOX[[#This Row],[ID ingreso]],TABLA_INGRESO_MERCADERIA[#All],12)</f>
        <v>20/03/2023 16:34:48</v>
      </c>
      <c r="I6" s="11"/>
      <c r="J6" s="11"/>
      <c r="K6" s="11"/>
      <c r="L6" s="11"/>
    </row>
    <row r="7" spans="1:12" s="12" customFormat="1" ht="12" customHeight="1" x14ac:dyDescent="0.3">
      <c r="A7" s="31">
        <v>8</v>
      </c>
      <c r="B7" s="29">
        <f>VLOOKUP(TABLA_INGRESO_MERCADERIA_LISTBOX[[#This Row],[ID ingreso]],TABLA_INGRESO_MERCADERIA[#All],2)</f>
        <v>1003</v>
      </c>
      <c r="C7" s="30" t="str">
        <f>VLOOKUP(TABLA_INGRESO_MERCADERIA_LISTBOX[Codigo],LISTADO_PRODUCTOS[#All],4)</f>
        <v>Cuaderno 29.7 America Nos/Avon 80h</v>
      </c>
      <c r="D7" s="30" t="str">
        <f>VLOOKUP(TABLA_INGRESO_MERCADERIA_LISTBOX[Codigo],LISTADO_PRODUCTOS[#All],5)</f>
        <v>N/A</v>
      </c>
      <c r="E7" s="29" t="str">
        <f>VLOOKUP(TABLA_INGRESO_MERCADERIA_LISTBOX[[#This Row],[ID ingreso]],TABLA_INGRESO_MERCADERIA[#All],8)</f>
        <v>Super Mami</v>
      </c>
      <c r="F7" s="29">
        <f>VLOOKUP(TABLA_INGRESO_MERCADERIA_LISTBOX[[#This Row],[ID ingreso]],TABLA_INGRESO_MERCADERIA[#All],9)</f>
        <v>256000</v>
      </c>
      <c r="G7" s="29">
        <f>VLOOKUP(TABLA_INGRESO_MERCADERIA_LISTBOX[[#This Row],[ID ingreso]],TABLA_INGRESO_MERCADERIA[#All],10)</f>
        <v>3</v>
      </c>
      <c r="H7" s="31" t="str">
        <f>VLOOKUP(TABLA_INGRESO_MERCADERIA_LISTBOX[[#This Row],[ID ingreso]],TABLA_INGRESO_MERCADERIA[#All],12)</f>
        <v>20/03/2023 16:34:48</v>
      </c>
      <c r="I7" s="11"/>
      <c r="J7" s="11"/>
      <c r="K7" s="11"/>
      <c r="L7" s="11"/>
    </row>
    <row r="8" spans="1:12" s="12" customFormat="1" ht="12" customHeight="1" x14ac:dyDescent="0.3">
      <c r="A8" s="31">
        <v>9</v>
      </c>
      <c r="B8" s="29">
        <f>VLOOKUP(TABLA_INGRESO_MERCADERIA_LISTBOX[[#This Row],[ID ingreso]],TABLA_INGRESO_MERCADERIA[#All],2)</f>
        <v>1005</v>
      </c>
      <c r="C8" s="30" t="str">
        <f>VLOOKUP(TABLA_INGRESO_MERCADERIA_LISTBOX[Codigo],LISTADO_PRODUCTOS[#All],4)</f>
        <v>Resaltador Sharpie x12</v>
      </c>
      <c r="D8" s="30" t="str">
        <f>VLOOKUP(TABLA_INGRESO_MERCADERIA_LISTBOX[Codigo],LISTADO_PRODUCTOS[#All],5)</f>
        <v>N/A</v>
      </c>
      <c r="E8" s="29" t="str">
        <f>VLOOKUP(TABLA_INGRESO_MERCADERIA_LISTBOX[[#This Row],[ID ingreso]],TABLA_INGRESO_MERCADERIA[#All],8)</f>
        <v>freiberg</v>
      </c>
      <c r="F8" s="29">
        <f>VLOOKUP(TABLA_INGRESO_MERCADERIA_LISTBOX[[#This Row],[ID ingreso]],TABLA_INGRESO_MERCADERIA[#All],9)</f>
        <v>25690</v>
      </c>
      <c r="G8" s="29">
        <f>VLOOKUP(TABLA_INGRESO_MERCADERIA_LISTBOX[[#This Row],[ID ingreso]],TABLA_INGRESO_MERCADERIA[#All],10)</f>
        <v>3</v>
      </c>
      <c r="H8" s="31" t="str">
        <f>VLOOKUP(TABLA_INGRESO_MERCADERIA_LISTBOX[[#This Row],[ID ingreso]],TABLA_INGRESO_MERCADERIA[#All],12)</f>
        <v>20/03/2023 16:40:06</v>
      </c>
      <c r="I8" s="11"/>
      <c r="J8" s="11"/>
      <c r="K8" s="11"/>
      <c r="L8" s="11"/>
    </row>
    <row r="9" spans="1:12" s="12" customFormat="1" ht="12" customHeight="1" x14ac:dyDescent="0.3">
      <c r="A9" s="31">
        <v>10</v>
      </c>
      <c r="B9" s="29">
        <f>VLOOKUP(TABLA_INGRESO_MERCADERIA_LISTBOX[[#This Row],[ID ingreso]],TABLA_INGRESO_MERCADERIA[#All],2)</f>
        <v>1006</v>
      </c>
      <c r="C9" s="30" t="str">
        <f>VLOOKUP(TABLA_INGRESO_MERCADERIA_LISTBOX[Codigo],LISTADO_PRODUCTOS[#All],4)</f>
        <v>Resaltador Sharpie x12</v>
      </c>
      <c r="D9" s="30" t="str">
        <f>VLOOKUP(TABLA_INGRESO_MERCADERIA_LISTBOX[Codigo],LISTADO_PRODUCTOS[#All],5)</f>
        <v>N/A</v>
      </c>
      <c r="E9" s="29" t="str">
        <f>VLOOKUP(TABLA_INGRESO_MERCADERIA_LISTBOX[[#This Row],[ID ingreso]],TABLA_INGRESO_MERCADERIA[#All],8)</f>
        <v>ABG</v>
      </c>
      <c r="F9" s="29">
        <f>VLOOKUP(TABLA_INGRESO_MERCADERIA_LISTBOX[[#This Row],[ID ingreso]],TABLA_INGRESO_MERCADERIA[#All],9)</f>
        <v>35640</v>
      </c>
      <c r="G9" s="29">
        <f>VLOOKUP(TABLA_INGRESO_MERCADERIA_LISTBOX[[#This Row],[ID ingreso]],TABLA_INGRESO_MERCADERIA[#All],10)</f>
        <v>3</v>
      </c>
      <c r="H9" s="31" t="str">
        <f>VLOOKUP(TABLA_INGRESO_MERCADERIA_LISTBOX[[#This Row],[ID ingreso]],TABLA_INGRESO_MERCADERIA[#All],12)</f>
        <v>20/03/2023 16:40:06</v>
      </c>
      <c r="I9" s="11"/>
      <c r="J9" s="11"/>
      <c r="K9" s="11"/>
      <c r="L9" s="11"/>
    </row>
    <row r="10" spans="1:12" s="12" customFormat="1" ht="12" customHeight="1" x14ac:dyDescent="0.3">
      <c r="A10" s="31">
        <v>11</v>
      </c>
      <c r="B10" s="29">
        <f>VLOOKUP(TABLA_INGRESO_MERCADERIA_LISTBOX[[#This Row],[ID ingreso]],TABLA_INGRESO_MERCADERIA[#All],2)</f>
        <v>1000</v>
      </c>
      <c r="C10" s="30" t="str">
        <f>VLOOKUP(TABLA_INGRESO_MERCADERIA_LISTBOX[Codigo],LISTADO_PRODUCTOS[#All],4)</f>
        <v>Cuaderno 29.7 America flex - 7792216854173</v>
      </c>
      <c r="D10" s="30" t="str">
        <f>VLOOKUP(TABLA_INGRESO_MERCADERIA_LISTBOX[Codigo],LISTADO_PRODUCTOS[#All],5)</f>
        <v>N/A</v>
      </c>
      <c r="E10" s="29" t="str">
        <f>VLOOKUP(TABLA_INGRESO_MERCADERIA_LISTBOX[[#This Row],[ID ingreso]],TABLA_INGRESO_MERCADERIA[#All],8)</f>
        <v>ABG</v>
      </c>
      <c r="F10" s="29">
        <f>VLOOKUP(TABLA_INGRESO_MERCADERIA_LISTBOX[[#This Row],[ID ingreso]],TABLA_INGRESO_MERCADERIA[#All],9)</f>
        <v>2000</v>
      </c>
      <c r="G10" s="29">
        <f>VLOOKUP(TABLA_INGRESO_MERCADERIA_LISTBOX[[#This Row],[ID ingreso]],TABLA_INGRESO_MERCADERIA[#All],10)</f>
        <v>2</v>
      </c>
      <c r="H10" s="31" t="str">
        <f>VLOOKUP(TABLA_INGRESO_MERCADERIA_LISTBOX[[#This Row],[ID ingreso]],TABLA_INGRESO_MERCADERIA[#All],12)</f>
        <v>21/03/2023 8:56:57</v>
      </c>
      <c r="I10" s="11"/>
      <c r="J10" s="11"/>
      <c r="K10" s="11"/>
      <c r="L10" s="11"/>
    </row>
    <row r="11" spans="1:12" s="12" customFormat="1" ht="12" customHeight="1" x14ac:dyDescent="0.3">
      <c r="A11" s="31">
        <v>13</v>
      </c>
      <c r="B11" s="29">
        <f>VLOOKUP(TABLA_INGRESO_MERCADERIA_LISTBOX[[#This Row],[ID ingreso]],TABLA_INGRESO_MERCADERIA[#All],2)</f>
        <v>1003</v>
      </c>
      <c r="C11" s="30" t="str">
        <f>VLOOKUP(TABLA_INGRESO_MERCADERIA_LISTBOX[Codigo],LISTADO_PRODUCTOS[#All],4)</f>
        <v>Cuaderno 29.7 America Nos/Avon 80h</v>
      </c>
      <c r="D11" s="30" t="str">
        <f>VLOOKUP(TABLA_INGRESO_MERCADERIA_LISTBOX[Codigo],LISTADO_PRODUCTOS[#All],5)</f>
        <v>N/A</v>
      </c>
      <c r="E11" s="29" t="str">
        <f>VLOOKUP(TABLA_INGRESO_MERCADERIA_LISTBOX[[#This Row],[ID ingreso]],TABLA_INGRESO_MERCADERIA[#All],8)</f>
        <v>Librería julio</v>
      </c>
      <c r="F11" s="29">
        <f>VLOOKUP(TABLA_INGRESO_MERCADERIA_LISTBOX[[#This Row],[ID ingreso]],TABLA_INGRESO_MERCADERIA[#All],9)</f>
        <v>8900</v>
      </c>
      <c r="G11" s="29">
        <f>VLOOKUP(TABLA_INGRESO_MERCADERIA_LISTBOX[[#This Row],[ID ingreso]],TABLA_INGRESO_MERCADERIA[#All],10)</f>
        <v>3</v>
      </c>
      <c r="H11" s="31" t="str">
        <f>VLOOKUP(TABLA_INGRESO_MERCADERIA_LISTBOX[[#This Row],[ID ingreso]],TABLA_INGRESO_MERCADERIA[#All],12)</f>
        <v>21/03/2023 8:56:57</v>
      </c>
      <c r="I11" s="11"/>
      <c r="J11" s="11"/>
      <c r="K11" s="11"/>
      <c r="L11" s="11"/>
    </row>
    <row r="12" spans="1:12" s="12" customFormat="1" ht="12" customHeight="1" x14ac:dyDescent="0.3">
      <c r="A12" s="31">
        <v>14</v>
      </c>
      <c r="B12" s="29">
        <f>VLOOKUP(TABLA_INGRESO_MERCADERIA_LISTBOX[[#This Row],[ID ingreso]],TABLA_INGRESO_MERCADERIA[#All],2)</f>
        <v>1010</v>
      </c>
      <c r="C12" s="30" t="str">
        <f>VLOOKUP(TABLA_INGRESO_MERCADERIA_LISTBOX[Codigo],LISTADO_PRODUCTOS[#All],4)</f>
        <v>Cuaderno Colegial Éxito x 60h</v>
      </c>
      <c r="D12" s="30" t="str">
        <f>VLOOKUP(TABLA_INGRESO_MERCADERIA_LISTBOX[Codigo],LISTADO_PRODUCTOS[#All],5)</f>
        <v>N/A</v>
      </c>
      <c r="E12" s="29" t="str">
        <f>VLOOKUP(TABLA_INGRESO_MERCADERIA_LISTBOX[[#This Row],[ID ingreso]],TABLA_INGRESO_MERCADERIA[#All],8)</f>
        <v>Cordiez</v>
      </c>
      <c r="F12" s="29">
        <f>VLOOKUP(TABLA_INGRESO_MERCADERIA_LISTBOX[[#This Row],[ID ingreso]],TABLA_INGRESO_MERCADERIA[#All],9)</f>
        <v>2568.5</v>
      </c>
      <c r="G12" s="29">
        <f>VLOOKUP(TABLA_INGRESO_MERCADERIA_LISTBOX[[#This Row],[ID ingreso]],TABLA_INGRESO_MERCADERIA[#All],10)</f>
        <v>1</v>
      </c>
      <c r="H12" s="31" t="str">
        <f>VLOOKUP(TABLA_INGRESO_MERCADERIA_LISTBOX[[#This Row],[ID ingreso]],TABLA_INGRESO_MERCADERIA[#All],12)</f>
        <v>24/07/2023 22:33:23</v>
      </c>
      <c r="I12" s="11"/>
      <c r="J12" s="11"/>
      <c r="K12" s="11"/>
      <c r="L12" s="11"/>
    </row>
    <row r="13" spans="1:12" s="12" customFormat="1" ht="12" customHeight="1" x14ac:dyDescent="0.3">
      <c r="A13" s="31">
        <v>15</v>
      </c>
      <c r="B13" s="29">
        <f>VLOOKUP(TABLA_INGRESO_MERCADERIA_LISTBOX[[#This Row],[ID ingreso]],TABLA_INGRESO_MERCADERIA[#All],2)</f>
        <v>1007</v>
      </c>
      <c r="C13" s="30" t="str">
        <f>VLOOKUP(TABLA_INGRESO_MERCADERIA_LISTBOX[Codigo],LISTADO_PRODUCTOS[#All],4)</f>
        <v>Cuaderno 16.21 America Nos c/espiral x 84h</v>
      </c>
      <c r="D13" s="30" t="str">
        <f>VLOOKUP(TABLA_INGRESO_MERCADERIA_LISTBOX[Codigo],LISTADO_PRODUCTOS[#All],5)</f>
        <v>N/A</v>
      </c>
      <c r="E13" s="29" t="str">
        <f>VLOOKUP(TABLA_INGRESO_MERCADERIA_LISTBOX[[#This Row],[ID ingreso]],TABLA_INGRESO_MERCADERIA[#All],8)</f>
        <v>Cordiez</v>
      </c>
      <c r="F13" s="29" t="str">
        <f>VLOOKUP(TABLA_INGRESO_MERCADERIA_LISTBOX[[#This Row],[ID ingreso]],TABLA_INGRESO_MERCADERIA[#All],9)</f>
        <v>8956,5</v>
      </c>
      <c r="G13" s="29">
        <f>VLOOKUP(TABLA_INGRESO_MERCADERIA_LISTBOX[[#This Row],[ID ingreso]],TABLA_INGRESO_MERCADERIA[#All],10)</f>
        <v>3</v>
      </c>
      <c r="H13" s="31" t="str">
        <f>VLOOKUP(TABLA_INGRESO_MERCADERIA_LISTBOX[[#This Row],[ID ingreso]],TABLA_INGRESO_MERCADERIA[#All],12)</f>
        <v>24/07/2023 22:35:28</v>
      </c>
      <c r="I13" s="11"/>
      <c r="J13" s="11"/>
      <c r="K13" s="11"/>
      <c r="L13" s="11"/>
    </row>
    <row r="14" spans="1:12" s="12" customFormat="1" ht="12" customHeight="1" x14ac:dyDescent="0.3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2" s="12" customFormat="1" ht="12" customHeight="1" x14ac:dyDescent="0.3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s="12" customFormat="1" ht="12" customHeight="1" x14ac:dyDescent="0.3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2:12" s="12" customFormat="1" ht="12" customHeight="1" x14ac:dyDescent="0.3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2:12" s="12" customFormat="1" ht="12" customHeight="1" x14ac:dyDescent="0.3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2:12" s="12" customFormat="1" ht="12" customHeight="1" x14ac:dyDescent="0.3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2:12" s="12" customFormat="1" ht="12" customHeight="1" x14ac:dyDescent="0.3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2:12" s="12" customFormat="1" ht="12" customHeight="1" x14ac:dyDescent="0.3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2:12" s="12" customFormat="1" ht="12" customHeight="1" x14ac:dyDescent="0.3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2" s="12" customFormat="1" ht="12" customHeight="1" x14ac:dyDescent="0.3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2:12" s="12" customFormat="1" ht="12" customHeight="1" x14ac:dyDescent="0.3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2:12" s="12" customFormat="1" ht="12" customHeight="1" x14ac:dyDescent="0.3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2:12" s="12" customFormat="1" ht="12" customHeight="1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2:12" s="12" customFormat="1" ht="12" customHeight="1" x14ac:dyDescent="0.3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2:12" s="12" customFormat="1" ht="12" customHeight="1" x14ac:dyDescent="0.3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2:12" s="12" customFormat="1" ht="12" customHeight="1" x14ac:dyDescent="0.3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2:12" s="12" customFormat="1" ht="12" customHeight="1" x14ac:dyDescent="0.3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  <row r="31" spans="2:12" s="12" customFormat="1" ht="12" customHeight="1" x14ac:dyDescent="0.3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</row>
    <row r="32" spans="2:12" s="12" customFormat="1" ht="12" customHeight="1" x14ac:dyDescent="0.3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</row>
    <row r="33" spans="2:12" s="12" customFormat="1" ht="12" customHeight="1" x14ac:dyDescent="0.3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34" spans="2:12" s="12" customFormat="1" ht="12" customHeight="1" x14ac:dyDescent="0.3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</row>
    <row r="35" spans="2:12" s="12" customFormat="1" ht="12" customHeight="1" x14ac:dyDescent="0.3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</row>
    <row r="36" spans="2:12" s="12" customFormat="1" ht="12" customHeight="1" x14ac:dyDescent="0.3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</row>
    <row r="37" spans="2:12" s="12" customFormat="1" ht="12" customHeight="1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</row>
    <row r="38" spans="2:12" s="12" customFormat="1" ht="12" customHeight="1" x14ac:dyDescent="0.3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</row>
    <row r="39" spans="2:12" s="12" customFormat="1" ht="12" customHeight="1" x14ac:dyDescent="0.3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</row>
    <row r="40" spans="2:12" s="12" customFormat="1" ht="12" customHeight="1" x14ac:dyDescent="0.3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</row>
    <row r="41" spans="2:12" s="12" customFormat="1" ht="12" customHeight="1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</row>
    <row r="42" spans="2:12" s="12" customFormat="1" ht="12" customHeight="1" x14ac:dyDescent="0.3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</row>
    <row r="43" spans="2:12" s="12" customFormat="1" ht="12" customHeight="1" x14ac:dyDescent="0.3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</row>
    <row r="44" spans="2:12" s="12" customFormat="1" ht="12" customHeight="1" x14ac:dyDescent="0.3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</row>
    <row r="45" spans="2:12" s="12" customFormat="1" ht="12" customHeight="1" x14ac:dyDescent="0.3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</row>
    <row r="46" spans="2:12" s="12" customFormat="1" ht="12" customHeight="1" x14ac:dyDescent="0.3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</row>
    <row r="47" spans="2:12" s="12" customFormat="1" ht="12" customHeight="1" x14ac:dyDescent="0.3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</row>
    <row r="48" spans="2:12" s="12" customFormat="1" ht="12" customHeight="1" x14ac:dyDescent="0.3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</row>
    <row r="49" spans="2:12" s="12" customFormat="1" ht="12" customHeight="1" x14ac:dyDescent="0.3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</row>
    <row r="50" spans="2:12" s="12" customFormat="1" ht="12" customHeight="1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</row>
    <row r="51" spans="2:12" s="12" customFormat="1" ht="12" customHeight="1" x14ac:dyDescent="0.3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</row>
    <row r="52" spans="2:12" s="12" customFormat="1" ht="12" customHeight="1" x14ac:dyDescent="0.3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</row>
    <row r="53" spans="2:12" s="12" customFormat="1" ht="12" customHeight="1" x14ac:dyDescent="0.3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</row>
    <row r="54" spans="2:12" s="12" customFormat="1" ht="12" customHeight="1" x14ac:dyDescent="0.3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</row>
    <row r="55" spans="2:12" s="12" customFormat="1" ht="12" customHeight="1" x14ac:dyDescent="0.3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</row>
    <row r="56" spans="2:12" s="12" customFormat="1" ht="12" customHeight="1" x14ac:dyDescent="0.3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</row>
    <row r="57" spans="2:12" s="12" customFormat="1" ht="12" customHeight="1" x14ac:dyDescent="0.3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</row>
    <row r="58" spans="2:12" s="12" customFormat="1" ht="12" customHeight="1" x14ac:dyDescent="0.3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</row>
    <row r="59" spans="2:12" s="12" customFormat="1" ht="12" customHeight="1" x14ac:dyDescent="0.3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</row>
    <row r="60" spans="2:12" s="12" customFormat="1" ht="12" customHeight="1" x14ac:dyDescent="0.3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2:12" s="12" customFormat="1" ht="12" customHeight="1" x14ac:dyDescent="0.3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2:12" s="12" customFormat="1" ht="12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</row>
    <row r="63" spans="2:12" s="12" customFormat="1" ht="12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</row>
    <row r="64" spans="2:12" s="12" customFormat="1" ht="12" customHeight="1" x14ac:dyDescent="0.3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</row>
    <row r="65" spans="2:12" s="12" customFormat="1" ht="12" customHeight="1" x14ac:dyDescent="0.3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</row>
    <row r="66" spans="2:12" s="12" customFormat="1" ht="12" customHeight="1" x14ac:dyDescent="0.3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</row>
    <row r="67" spans="2:12" s="12" customFormat="1" ht="12" customHeight="1" x14ac:dyDescent="0.3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</row>
    <row r="68" spans="2:12" s="12" customFormat="1" ht="12" customHeight="1" x14ac:dyDescent="0.3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</row>
    <row r="69" spans="2:12" s="12" customFormat="1" ht="12" customHeight="1" x14ac:dyDescent="0.3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</row>
    <row r="70" spans="2:12" s="12" customFormat="1" ht="12" customHeight="1" x14ac:dyDescent="0.3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</row>
    <row r="71" spans="2:12" s="12" customFormat="1" ht="12" customHeight="1" x14ac:dyDescent="0.3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</row>
    <row r="72" spans="2:12" s="12" customFormat="1" ht="12" customHeight="1" x14ac:dyDescent="0.3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</row>
    <row r="73" spans="2:12" s="12" customFormat="1" ht="12" customHeight="1" x14ac:dyDescent="0.3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</row>
    <row r="74" spans="2:12" s="12" customFormat="1" ht="12" customHeight="1" x14ac:dyDescent="0.3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</row>
    <row r="75" spans="2:12" s="12" customFormat="1" ht="12" customHeight="1" x14ac:dyDescent="0.3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</row>
    <row r="76" spans="2:12" s="12" customFormat="1" ht="12" customHeight="1" x14ac:dyDescent="0.3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</row>
    <row r="77" spans="2:12" s="12" customFormat="1" ht="12" customHeight="1" x14ac:dyDescent="0.3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</row>
    <row r="78" spans="2:12" s="12" customFormat="1" ht="12" customHeight="1" x14ac:dyDescent="0.3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</row>
    <row r="79" spans="2:12" s="12" customFormat="1" ht="12" customHeight="1" x14ac:dyDescent="0.3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</row>
    <row r="80" spans="2:12" s="12" customFormat="1" ht="12" customHeight="1" x14ac:dyDescent="0.3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</row>
    <row r="81" spans="2:12" s="12" customFormat="1" ht="12" customHeight="1" x14ac:dyDescent="0.3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</row>
    <row r="82" spans="2:12" s="12" customFormat="1" ht="12" customHeight="1" x14ac:dyDescent="0.3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</row>
    <row r="83" spans="2:12" s="12" customFormat="1" ht="12" customHeight="1" x14ac:dyDescent="0.3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</row>
    <row r="84" spans="2:12" s="12" customFormat="1" ht="12" customHeight="1" x14ac:dyDescent="0.3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</row>
    <row r="85" spans="2:12" s="12" customFormat="1" ht="12" customHeight="1" x14ac:dyDescent="0.3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</row>
    <row r="86" spans="2:12" s="12" customFormat="1" ht="12" customHeight="1" x14ac:dyDescent="0.3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</row>
    <row r="87" spans="2:12" s="12" customFormat="1" ht="12" customHeight="1" x14ac:dyDescent="0.3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</row>
    <row r="88" spans="2:12" s="12" customFormat="1" ht="12" customHeight="1" x14ac:dyDescent="0.3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</row>
    <row r="89" spans="2:12" s="12" customFormat="1" ht="12" customHeight="1" x14ac:dyDescent="0.3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</row>
    <row r="90" spans="2:12" s="12" customFormat="1" ht="12" customHeight="1" x14ac:dyDescent="0.3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</row>
    <row r="91" spans="2:12" s="12" customFormat="1" ht="12" customHeight="1" x14ac:dyDescent="0.3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</row>
    <row r="92" spans="2:12" s="12" customFormat="1" ht="12" customHeight="1" x14ac:dyDescent="0.3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</row>
    <row r="93" spans="2:12" s="12" customFormat="1" ht="12" customHeight="1" x14ac:dyDescent="0.3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</row>
    <row r="94" spans="2:12" s="12" customFormat="1" ht="12" customHeight="1" x14ac:dyDescent="0.3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</row>
    <row r="95" spans="2:12" s="12" customFormat="1" ht="12" customHeight="1" x14ac:dyDescent="0.3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</row>
    <row r="96" spans="2:12" s="12" customFormat="1" ht="12" customHeight="1" x14ac:dyDescent="0.3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</row>
    <row r="97" spans="2:12" s="12" customFormat="1" ht="12" customHeight="1" x14ac:dyDescent="0.3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</row>
    <row r="98" spans="2:12" s="12" customFormat="1" ht="12" customHeight="1" x14ac:dyDescent="0.3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</row>
    <row r="99" spans="2:12" s="12" customFormat="1" ht="12" customHeight="1" x14ac:dyDescent="0.3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</row>
    <row r="100" spans="2:12" s="12" customFormat="1" ht="12" customHeight="1" x14ac:dyDescent="0.3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</row>
    <row r="101" spans="2:12" s="12" customFormat="1" ht="12" customHeight="1" x14ac:dyDescent="0.3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</row>
    <row r="102" spans="2:12" s="12" customFormat="1" ht="12" customHeight="1" x14ac:dyDescent="0.3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</row>
    <row r="103" spans="2:12" s="12" customFormat="1" ht="12" customHeight="1" x14ac:dyDescent="0.3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</row>
    <row r="104" spans="2:12" s="12" customFormat="1" ht="12" customHeight="1" x14ac:dyDescent="0.3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</row>
    <row r="105" spans="2:12" s="12" customFormat="1" ht="12" customHeight="1" x14ac:dyDescent="0.3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</row>
    <row r="106" spans="2:12" s="12" customFormat="1" ht="12" customHeight="1" x14ac:dyDescent="0.3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</row>
    <row r="107" spans="2:12" s="12" customFormat="1" ht="12" customHeight="1" x14ac:dyDescent="0.3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</row>
    <row r="108" spans="2:12" s="12" customFormat="1" ht="12" customHeight="1" x14ac:dyDescent="0.3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</row>
    <row r="109" spans="2:12" s="12" customFormat="1" ht="12" customHeight="1" x14ac:dyDescent="0.3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</row>
    <row r="110" spans="2:12" s="12" customFormat="1" ht="12" customHeight="1" x14ac:dyDescent="0.3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</row>
    <row r="111" spans="2:12" s="12" customFormat="1" ht="12" customHeight="1" x14ac:dyDescent="0.3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</row>
    <row r="112" spans="2:12" s="12" customFormat="1" ht="12" customHeight="1" x14ac:dyDescent="0.3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</row>
    <row r="113" spans="2:12" s="12" customFormat="1" ht="12" customHeight="1" x14ac:dyDescent="0.3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</row>
    <row r="114" spans="2:12" s="12" customFormat="1" ht="12" customHeight="1" x14ac:dyDescent="0.3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</row>
    <row r="115" spans="2:12" s="12" customFormat="1" ht="12" customHeight="1" x14ac:dyDescent="0.3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</row>
    <row r="116" spans="2:12" s="12" customFormat="1" ht="12" customHeight="1" x14ac:dyDescent="0.3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</row>
    <row r="117" spans="2:12" s="12" customFormat="1" ht="12" customHeight="1" x14ac:dyDescent="0.3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</row>
    <row r="118" spans="2:12" s="12" customFormat="1" ht="12" customHeight="1" x14ac:dyDescent="0.3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</row>
    <row r="119" spans="2:12" s="12" customFormat="1" ht="12" customHeight="1" x14ac:dyDescent="0.3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</row>
    <row r="120" spans="2:12" s="12" customFormat="1" ht="12" customHeight="1" x14ac:dyDescent="0.3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</row>
    <row r="121" spans="2:12" s="12" customFormat="1" ht="12" customHeight="1" x14ac:dyDescent="0.3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</row>
    <row r="122" spans="2:12" s="12" customFormat="1" ht="12" customHeight="1" x14ac:dyDescent="0.3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</row>
    <row r="123" spans="2:12" s="12" customFormat="1" ht="12" customHeight="1" x14ac:dyDescent="0.3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</row>
    <row r="124" spans="2:12" s="12" customFormat="1" ht="12" customHeight="1" x14ac:dyDescent="0.3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</row>
    <row r="125" spans="2:12" s="12" customFormat="1" ht="12" customHeight="1" x14ac:dyDescent="0.3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</row>
    <row r="126" spans="2:12" s="12" customFormat="1" ht="12" customHeight="1" x14ac:dyDescent="0.3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</row>
    <row r="127" spans="2:12" s="12" customFormat="1" ht="12" customHeight="1" x14ac:dyDescent="0.3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</row>
    <row r="128" spans="2:12" s="12" customFormat="1" ht="12" customHeight="1" x14ac:dyDescent="0.3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</row>
    <row r="129" spans="2:12" s="12" customFormat="1" ht="12" customHeight="1" x14ac:dyDescent="0.3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</row>
    <row r="130" spans="2:12" s="12" customFormat="1" ht="12" customHeight="1" x14ac:dyDescent="0.3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</row>
    <row r="131" spans="2:12" s="12" customFormat="1" ht="12" customHeight="1" x14ac:dyDescent="0.3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</row>
    <row r="132" spans="2:12" s="12" customFormat="1" ht="12" customHeight="1" x14ac:dyDescent="0.3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</row>
    <row r="133" spans="2:12" s="12" customFormat="1" ht="12" customHeight="1" x14ac:dyDescent="0.3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</row>
    <row r="134" spans="2:12" s="12" customFormat="1" ht="12" customHeight="1" x14ac:dyDescent="0.3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</row>
    <row r="135" spans="2:12" s="12" customFormat="1" ht="12" customHeight="1" x14ac:dyDescent="0.3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</row>
    <row r="136" spans="2:12" s="12" customFormat="1" ht="12" customHeight="1" x14ac:dyDescent="0.3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</row>
    <row r="137" spans="2:12" s="12" customFormat="1" ht="12" customHeight="1" x14ac:dyDescent="0.3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</row>
    <row r="138" spans="2:12" s="12" customFormat="1" ht="12" customHeight="1" x14ac:dyDescent="0.3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</row>
    <row r="139" spans="2:12" s="12" customFormat="1" ht="12" customHeight="1" x14ac:dyDescent="0.3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</row>
    <row r="140" spans="2:12" s="12" customFormat="1" ht="12" customHeight="1" x14ac:dyDescent="0.3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</row>
    <row r="141" spans="2:12" s="12" customFormat="1" ht="12" customHeight="1" x14ac:dyDescent="0.3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</row>
    <row r="142" spans="2:12" s="12" customFormat="1" ht="12" customHeight="1" x14ac:dyDescent="0.3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</row>
    <row r="143" spans="2:12" s="12" customFormat="1" ht="12" customHeight="1" x14ac:dyDescent="0.3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</row>
    <row r="144" spans="2:12" s="12" customFormat="1" ht="12" customHeight="1" x14ac:dyDescent="0.3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</row>
    <row r="145" spans="2:12" s="12" customFormat="1" ht="12" customHeight="1" x14ac:dyDescent="0.3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</row>
    <row r="146" spans="2:12" s="12" customFormat="1" ht="12" customHeight="1" x14ac:dyDescent="0.3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</row>
    <row r="147" spans="2:12" s="12" customFormat="1" ht="12" customHeight="1" x14ac:dyDescent="0.3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</row>
    <row r="148" spans="2:12" s="12" customFormat="1" ht="12" customHeight="1" x14ac:dyDescent="0.3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</row>
    <row r="149" spans="2:12" s="12" customFormat="1" ht="12" customHeight="1" x14ac:dyDescent="0.3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</row>
    <row r="150" spans="2:12" s="12" customFormat="1" ht="12" customHeight="1" x14ac:dyDescent="0.3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</row>
    <row r="151" spans="2:12" s="12" customFormat="1" ht="12" customHeight="1" x14ac:dyDescent="0.3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</row>
    <row r="152" spans="2:12" s="12" customFormat="1" ht="12" customHeight="1" x14ac:dyDescent="0.3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</row>
    <row r="153" spans="2:12" s="12" customFormat="1" ht="12" customHeight="1" x14ac:dyDescent="0.3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</row>
    <row r="154" spans="2:12" s="12" customFormat="1" ht="12" customHeight="1" x14ac:dyDescent="0.3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</row>
    <row r="155" spans="2:12" s="12" customFormat="1" ht="12" customHeight="1" x14ac:dyDescent="0.3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</row>
    <row r="156" spans="2:12" s="12" customFormat="1" ht="12" customHeight="1" x14ac:dyDescent="0.3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</row>
    <row r="157" spans="2:12" s="12" customFormat="1" ht="12" customHeight="1" x14ac:dyDescent="0.3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</row>
    <row r="158" spans="2:12" s="12" customFormat="1" ht="12" customHeight="1" x14ac:dyDescent="0.3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</row>
    <row r="159" spans="2:12" s="12" customFormat="1" ht="12" customHeight="1" x14ac:dyDescent="0.3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</row>
    <row r="160" spans="2:12" s="12" customFormat="1" ht="12" customHeight="1" x14ac:dyDescent="0.3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</row>
    <row r="161" spans="2:12" s="12" customFormat="1" ht="12" customHeight="1" x14ac:dyDescent="0.3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</row>
    <row r="162" spans="2:12" s="12" customFormat="1" ht="12" customHeight="1" x14ac:dyDescent="0.3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</row>
    <row r="163" spans="2:12" s="12" customFormat="1" ht="12" customHeight="1" x14ac:dyDescent="0.3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</row>
    <row r="164" spans="2:12" s="12" customFormat="1" ht="12" customHeight="1" x14ac:dyDescent="0.3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</row>
    <row r="165" spans="2:12" s="12" customFormat="1" ht="12" customHeight="1" x14ac:dyDescent="0.3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</row>
    <row r="166" spans="2:12" s="12" customFormat="1" ht="12" customHeight="1" x14ac:dyDescent="0.3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</row>
    <row r="167" spans="2:12" s="12" customFormat="1" ht="12" customHeight="1" x14ac:dyDescent="0.3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</row>
    <row r="168" spans="2:12" s="12" customFormat="1" ht="12" customHeight="1" x14ac:dyDescent="0.3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</row>
    <row r="169" spans="2:12" s="12" customFormat="1" ht="12" customHeight="1" x14ac:dyDescent="0.3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</row>
    <row r="170" spans="2:12" s="12" customFormat="1" ht="12" customHeight="1" x14ac:dyDescent="0.3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</row>
    <row r="171" spans="2:12" s="12" customFormat="1" ht="12" customHeight="1" x14ac:dyDescent="0.3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</row>
    <row r="172" spans="2:12" s="12" customFormat="1" ht="12" customHeight="1" x14ac:dyDescent="0.3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</row>
    <row r="173" spans="2:12" s="12" customFormat="1" ht="12" customHeight="1" x14ac:dyDescent="0.3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</row>
    <row r="174" spans="2:12" s="12" customFormat="1" ht="12" customHeight="1" x14ac:dyDescent="0.3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</row>
    <row r="175" spans="2:12" s="12" customFormat="1" ht="12" customHeight="1" x14ac:dyDescent="0.3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</row>
    <row r="176" spans="2:12" s="12" customFormat="1" ht="12" customHeight="1" x14ac:dyDescent="0.3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</row>
    <row r="177" spans="2:12" s="12" customFormat="1" ht="12" customHeight="1" x14ac:dyDescent="0.3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</row>
    <row r="178" spans="2:12" s="12" customFormat="1" ht="12" customHeight="1" x14ac:dyDescent="0.3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</row>
    <row r="179" spans="2:12" s="12" customFormat="1" ht="12" customHeight="1" x14ac:dyDescent="0.3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</row>
    <row r="180" spans="2:12" s="12" customFormat="1" ht="12" customHeight="1" x14ac:dyDescent="0.3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</row>
    <row r="181" spans="2:12" s="12" customFormat="1" ht="12" customHeight="1" x14ac:dyDescent="0.3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</row>
    <row r="182" spans="2:12" s="12" customFormat="1" ht="12" customHeight="1" x14ac:dyDescent="0.3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</row>
    <row r="183" spans="2:12" s="12" customFormat="1" ht="12" customHeight="1" x14ac:dyDescent="0.3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</row>
    <row r="184" spans="2:12" s="12" customFormat="1" ht="12" customHeight="1" x14ac:dyDescent="0.3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</row>
    <row r="185" spans="2:12" s="12" customFormat="1" ht="12" customHeight="1" x14ac:dyDescent="0.3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</row>
    <row r="186" spans="2:12" s="12" customFormat="1" ht="12" customHeight="1" x14ac:dyDescent="0.3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</row>
    <row r="187" spans="2:12" s="12" customFormat="1" ht="12" customHeight="1" x14ac:dyDescent="0.3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</row>
    <row r="188" spans="2:12" s="12" customFormat="1" ht="12" customHeight="1" x14ac:dyDescent="0.3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</row>
    <row r="189" spans="2:12" s="12" customFormat="1" ht="12" customHeight="1" x14ac:dyDescent="0.3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</row>
    <row r="190" spans="2:12" s="12" customFormat="1" ht="12" customHeight="1" x14ac:dyDescent="0.3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</row>
    <row r="191" spans="2:12" s="12" customFormat="1" ht="12" customHeight="1" x14ac:dyDescent="0.3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</row>
    <row r="192" spans="2:12" s="12" customFormat="1" ht="12" customHeight="1" x14ac:dyDescent="0.3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</row>
    <row r="193" spans="2:12" s="12" customFormat="1" ht="12" customHeight="1" x14ac:dyDescent="0.3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</row>
    <row r="194" spans="2:12" s="12" customFormat="1" ht="12" customHeight="1" x14ac:dyDescent="0.3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</row>
    <row r="195" spans="2:12" s="12" customFormat="1" ht="12" customHeight="1" x14ac:dyDescent="0.3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</row>
    <row r="196" spans="2:12" s="12" customFormat="1" ht="12" customHeight="1" x14ac:dyDescent="0.3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</row>
    <row r="197" spans="2:12" s="12" customFormat="1" ht="12" customHeight="1" x14ac:dyDescent="0.3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</row>
    <row r="198" spans="2:12" s="12" customFormat="1" ht="12" customHeight="1" x14ac:dyDescent="0.3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</row>
    <row r="199" spans="2:12" s="12" customFormat="1" ht="12" customHeight="1" x14ac:dyDescent="0.3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</row>
    <row r="200" spans="2:12" s="12" customFormat="1" ht="12" customHeight="1" x14ac:dyDescent="0.3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</row>
    <row r="201" spans="2:12" s="12" customFormat="1" ht="12" customHeight="1" x14ac:dyDescent="0.3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</row>
    <row r="202" spans="2:12" s="12" customFormat="1" ht="12" customHeight="1" x14ac:dyDescent="0.3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</row>
    <row r="203" spans="2:12" s="12" customFormat="1" ht="12" customHeight="1" x14ac:dyDescent="0.3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</row>
    <row r="204" spans="2:12" s="12" customFormat="1" ht="12" customHeight="1" x14ac:dyDescent="0.3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</row>
    <row r="205" spans="2:12" s="12" customFormat="1" ht="12" customHeight="1" x14ac:dyDescent="0.3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</row>
    <row r="206" spans="2:12" s="12" customFormat="1" ht="12" customHeight="1" x14ac:dyDescent="0.3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</row>
    <row r="207" spans="2:12" s="12" customFormat="1" ht="12" customHeight="1" x14ac:dyDescent="0.3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</row>
    <row r="208" spans="2:12" s="12" customFormat="1" ht="12" customHeight="1" x14ac:dyDescent="0.3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</row>
    <row r="209" spans="2:12" s="12" customFormat="1" ht="12" customHeight="1" x14ac:dyDescent="0.3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</row>
    <row r="210" spans="2:12" s="12" customFormat="1" ht="12" customHeight="1" x14ac:dyDescent="0.3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</row>
    <row r="211" spans="2:12" s="12" customFormat="1" ht="12" customHeight="1" x14ac:dyDescent="0.3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</row>
    <row r="212" spans="2:12" s="12" customFormat="1" ht="12" customHeight="1" x14ac:dyDescent="0.3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</row>
    <row r="213" spans="2:12" s="12" customFormat="1" ht="12" customHeight="1" x14ac:dyDescent="0.3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</row>
    <row r="214" spans="2:12" s="12" customFormat="1" ht="12" customHeight="1" x14ac:dyDescent="0.3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</row>
    <row r="215" spans="2:12" s="12" customFormat="1" ht="12" customHeight="1" x14ac:dyDescent="0.3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</row>
    <row r="216" spans="2:12" s="12" customFormat="1" ht="12" customHeight="1" x14ac:dyDescent="0.3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</row>
    <row r="217" spans="2:12" s="12" customFormat="1" ht="12" customHeight="1" x14ac:dyDescent="0.3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</row>
    <row r="218" spans="2:12" s="12" customFormat="1" ht="12" customHeight="1" x14ac:dyDescent="0.3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</row>
    <row r="219" spans="2:12" s="12" customFormat="1" ht="12" customHeight="1" x14ac:dyDescent="0.3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</row>
    <row r="220" spans="2:12" s="12" customFormat="1" ht="12" customHeight="1" x14ac:dyDescent="0.3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</row>
    <row r="221" spans="2:12" s="12" customFormat="1" ht="12" customHeight="1" x14ac:dyDescent="0.3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</row>
    <row r="222" spans="2:12" s="12" customFormat="1" ht="12" customHeight="1" x14ac:dyDescent="0.3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</row>
    <row r="223" spans="2:12" s="12" customFormat="1" ht="12" customHeight="1" x14ac:dyDescent="0.3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</row>
    <row r="224" spans="2:12" s="12" customFormat="1" ht="12" customHeight="1" x14ac:dyDescent="0.3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</row>
    <row r="225" spans="2:12" s="12" customFormat="1" ht="12" customHeight="1" x14ac:dyDescent="0.3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</row>
    <row r="226" spans="2:12" s="12" customFormat="1" ht="12" customHeight="1" x14ac:dyDescent="0.3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</row>
    <row r="227" spans="2:12" s="12" customFormat="1" ht="12" customHeight="1" x14ac:dyDescent="0.3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</row>
    <row r="228" spans="2:12" s="12" customFormat="1" ht="12" customHeight="1" x14ac:dyDescent="0.3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</row>
    <row r="229" spans="2:12" s="12" customFormat="1" ht="12" customHeight="1" x14ac:dyDescent="0.3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</row>
    <row r="230" spans="2:12" s="12" customFormat="1" ht="12" customHeight="1" x14ac:dyDescent="0.3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</row>
    <row r="231" spans="2:12" s="12" customFormat="1" ht="12" customHeight="1" x14ac:dyDescent="0.3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</row>
    <row r="232" spans="2:12" s="12" customFormat="1" ht="12" customHeight="1" x14ac:dyDescent="0.3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</row>
    <row r="233" spans="2:12" s="12" customFormat="1" ht="12" customHeight="1" x14ac:dyDescent="0.3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</row>
    <row r="234" spans="2:12" s="12" customFormat="1" ht="12" customHeight="1" x14ac:dyDescent="0.3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</row>
    <row r="235" spans="2:12" s="12" customFormat="1" ht="12" customHeight="1" x14ac:dyDescent="0.3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</row>
    <row r="236" spans="2:12" s="12" customFormat="1" ht="12" customHeight="1" x14ac:dyDescent="0.3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</row>
    <row r="237" spans="2:12" s="12" customFormat="1" ht="12" customHeight="1" x14ac:dyDescent="0.3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</row>
    <row r="238" spans="2:12" s="12" customFormat="1" ht="12" customHeight="1" x14ac:dyDescent="0.3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</row>
    <row r="239" spans="2:12" s="12" customFormat="1" ht="12" customHeight="1" x14ac:dyDescent="0.3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</row>
    <row r="240" spans="2:12" s="12" customFormat="1" ht="12" customHeight="1" x14ac:dyDescent="0.3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</row>
    <row r="241" spans="2:12" s="12" customFormat="1" ht="12" customHeight="1" x14ac:dyDescent="0.3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</row>
    <row r="242" spans="2:12" s="12" customFormat="1" ht="12" customHeight="1" x14ac:dyDescent="0.3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</row>
    <row r="243" spans="2:12" s="12" customFormat="1" ht="12" customHeight="1" x14ac:dyDescent="0.3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</row>
    <row r="244" spans="2:12" s="12" customFormat="1" ht="12" customHeight="1" x14ac:dyDescent="0.3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</row>
    <row r="245" spans="2:12" s="12" customFormat="1" ht="12" customHeight="1" x14ac:dyDescent="0.3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</row>
    <row r="246" spans="2:12" s="12" customFormat="1" ht="12" customHeight="1" x14ac:dyDescent="0.3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</row>
    <row r="247" spans="2:12" s="12" customFormat="1" ht="12" customHeight="1" x14ac:dyDescent="0.3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</row>
    <row r="248" spans="2:12" s="12" customFormat="1" ht="12" customHeight="1" x14ac:dyDescent="0.3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</row>
    <row r="249" spans="2:12" s="12" customFormat="1" ht="12" customHeight="1" x14ac:dyDescent="0.3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</row>
    <row r="250" spans="2:12" s="12" customFormat="1" ht="12" customHeight="1" x14ac:dyDescent="0.3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</row>
    <row r="251" spans="2:12" s="12" customFormat="1" ht="12" customHeight="1" x14ac:dyDescent="0.3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</row>
    <row r="252" spans="2:12" s="12" customFormat="1" ht="12" customHeight="1" x14ac:dyDescent="0.3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</row>
    <row r="253" spans="2:12" s="12" customFormat="1" ht="12" customHeight="1" x14ac:dyDescent="0.3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</row>
    <row r="254" spans="2:12" s="12" customFormat="1" ht="12" customHeight="1" x14ac:dyDescent="0.3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</row>
    <row r="255" spans="2:12" s="12" customFormat="1" ht="12" customHeight="1" x14ac:dyDescent="0.3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</row>
    <row r="256" spans="2:12" s="12" customFormat="1" ht="12" customHeight="1" x14ac:dyDescent="0.3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</row>
    <row r="257" spans="2:12" s="12" customFormat="1" ht="12" customHeight="1" x14ac:dyDescent="0.3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</row>
    <row r="258" spans="2:12" s="12" customFormat="1" ht="12" customHeight="1" x14ac:dyDescent="0.3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</row>
    <row r="259" spans="2:12" s="12" customFormat="1" ht="12" customHeight="1" x14ac:dyDescent="0.3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</row>
    <row r="260" spans="2:12" s="12" customFormat="1" ht="12" customHeight="1" x14ac:dyDescent="0.3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</row>
    <row r="261" spans="2:12" s="12" customFormat="1" ht="12" customHeight="1" x14ac:dyDescent="0.3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</row>
    <row r="262" spans="2:12" s="12" customFormat="1" ht="12" customHeight="1" x14ac:dyDescent="0.3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</row>
    <row r="263" spans="2:12" s="12" customFormat="1" ht="12" customHeight="1" x14ac:dyDescent="0.3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</row>
    <row r="264" spans="2:12" s="12" customFormat="1" ht="12" customHeight="1" x14ac:dyDescent="0.3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</row>
    <row r="265" spans="2:12" s="12" customFormat="1" ht="12" customHeight="1" x14ac:dyDescent="0.3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</row>
    <row r="266" spans="2:12" s="12" customFormat="1" ht="12" customHeight="1" x14ac:dyDescent="0.3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</row>
    <row r="267" spans="2:12" s="12" customFormat="1" ht="12" customHeight="1" x14ac:dyDescent="0.3"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</row>
    <row r="268" spans="2:12" s="12" customFormat="1" ht="12" customHeight="1" x14ac:dyDescent="0.3"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</row>
    <row r="269" spans="2:12" s="12" customFormat="1" ht="12" customHeight="1" x14ac:dyDescent="0.3"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</row>
    <row r="270" spans="2:12" s="12" customFormat="1" ht="12" customHeight="1" x14ac:dyDescent="0.3"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</row>
    <row r="271" spans="2:12" s="12" customFormat="1" ht="12" customHeight="1" x14ac:dyDescent="0.3"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</row>
    <row r="272" spans="2:12" s="12" customFormat="1" ht="12" customHeight="1" x14ac:dyDescent="0.3"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</row>
    <row r="273" spans="2:12" s="12" customFormat="1" ht="12" customHeight="1" x14ac:dyDescent="0.3"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</row>
    <row r="274" spans="2:12" s="12" customFormat="1" ht="12" customHeight="1" x14ac:dyDescent="0.3"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</row>
    <row r="275" spans="2:12" s="12" customFormat="1" ht="12" customHeight="1" x14ac:dyDescent="0.3"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</row>
    <row r="276" spans="2:12" s="12" customFormat="1" ht="12" customHeight="1" x14ac:dyDescent="0.3"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</row>
    <row r="277" spans="2:12" s="12" customFormat="1" ht="12" customHeight="1" x14ac:dyDescent="0.3">
      <c r="B277" s="11">
        <v>1001</v>
      </c>
      <c r="C277" s="11" t="s">
        <v>14</v>
      </c>
      <c r="D277" s="11" t="s">
        <v>13</v>
      </c>
      <c r="E277" s="11"/>
      <c r="F277" s="11"/>
      <c r="G277" s="11"/>
      <c r="H277" s="11"/>
      <c r="I277" s="11"/>
      <c r="J277" s="11"/>
      <c r="K277" s="11"/>
      <c r="L277" s="11"/>
    </row>
    <row r="278" spans="2:12" s="12" customFormat="1" ht="12" customHeight="1" x14ac:dyDescent="0.3"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</row>
    <row r="279" spans="2:12" s="12" customFormat="1" ht="12" customHeight="1" x14ac:dyDescent="0.3"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</row>
    <row r="280" spans="2:12" s="12" customFormat="1" ht="12" customHeight="1" x14ac:dyDescent="0.3"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</row>
    <row r="281" spans="2:12" s="12" customFormat="1" ht="12" customHeight="1" x14ac:dyDescent="0.3"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</row>
    <row r="282" spans="2:12" s="12" customFormat="1" ht="12" customHeight="1" x14ac:dyDescent="0.3"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</row>
    <row r="283" spans="2:12" s="12" customFormat="1" ht="12" customHeight="1" x14ac:dyDescent="0.3"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</row>
    <row r="284" spans="2:12" s="12" customFormat="1" ht="12" customHeight="1" x14ac:dyDescent="0.3"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</row>
    <row r="285" spans="2:12" s="12" customFormat="1" ht="12" customHeight="1" x14ac:dyDescent="0.3"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</row>
    <row r="286" spans="2:12" s="12" customFormat="1" ht="12" customHeight="1" x14ac:dyDescent="0.3"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</row>
    <row r="287" spans="2:12" s="12" customFormat="1" ht="12" customHeight="1" x14ac:dyDescent="0.3"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</row>
    <row r="288" spans="2:12" s="12" customFormat="1" ht="12" customHeight="1" x14ac:dyDescent="0.3"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</row>
    <row r="289" spans="2:12" s="12" customFormat="1" ht="12" customHeight="1" x14ac:dyDescent="0.3"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</row>
    <row r="290" spans="2:12" s="12" customFormat="1" ht="12" customHeight="1" x14ac:dyDescent="0.3"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</row>
    <row r="291" spans="2:12" s="12" customFormat="1" ht="12" customHeight="1" x14ac:dyDescent="0.3"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</row>
    <row r="292" spans="2:12" s="12" customFormat="1" ht="12" customHeight="1" x14ac:dyDescent="0.3"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</row>
    <row r="293" spans="2:12" s="12" customFormat="1" ht="12" customHeight="1" x14ac:dyDescent="0.3"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</row>
    <row r="294" spans="2:12" s="12" customFormat="1" ht="12" customHeight="1" x14ac:dyDescent="0.3"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</row>
    <row r="295" spans="2:12" s="12" customFormat="1" ht="12" customHeight="1" x14ac:dyDescent="0.3"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</row>
    <row r="296" spans="2:12" s="12" customFormat="1" ht="12" customHeight="1" x14ac:dyDescent="0.3"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</row>
    <row r="297" spans="2:12" s="12" customFormat="1" ht="12" customHeight="1" x14ac:dyDescent="0.3"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</row>
    <row r="298" spans="2:12" s="12" customFormat="1" ht="12" customHeight="1" x14ac:dyDescent="0.3"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</row>
    <row r="299" spans="2:12" s="12" customFormat="1" ht="12" customHeight="1" x14ac:dyDescent="0.3"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</row>
    <row r="300" spans="2:12" s="12" customFormat="1" ht="12" customHeight="1" x14ac:dyDescent="0.3"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</row>
    <row r="301" spans="2:12" s="12" customFormat="1" ht="12" customHeight="1" x14ac:dyDescent="0.3"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</row>
    <row r="302" spans="2:12" s="12" customFormat="1" ht="12" customHeight="1" x14ac:dyDescent="0.3"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</row>
    <row r="303" spans="2:12" s="12" customFormat="1" ht="12" customHeight="1" x14ac:dyDescent="0.3"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</row>
    <row r="304" spans="2:12" s="12" customFormat="1" ht="12" customHeight="1" x14ac:dyDescent="0.3"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</row>
    <row r="305" spans="2:12" s="12" customFormat="1" ht="12" customHeight="1" x14ac:dyDescent="0.3"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</row>
    <row r="306" spans="2:12" s="12" customFormat="1" ht="12" customHeight="1" x14ac:dyDescent="0.3"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</row>
    <row r="307" spans="2:12" s="12" customFormat="1" ht="12" customHeight="1" x14ac:dyDescent="0.3"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</row>
    <row r="308" spans="2:12" s="12" customFormat="1" ht="12" customHeight="1" x14ac:dyDescent="0.3"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</row>
    <row r="309" spans="2:12" s="12" customFormat="1" ht="12" customHeight="1" x14ac:dyDescent="0.3"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</row>
    <row r="310" spans="2:12" s="12" customFormat="1" ht="12" customHeight="1" x14ac:dyDescent="0.3"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</row>
    <row r="311" spans="2:12" s="12" customFormat="1" ht="12" customHeight="1" x14ac:dyDescent="0.3"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</row>
    <row r="312" spans="2:12" s="12" customFormat="1" ht="12" customHeight="1" x14ac:dyDescent="0.3"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</row>
    <row r="313" spans="2:12" s="12" customFormat="1" ht="12" customHeight="1" x14ac:dyDescent="0.3"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</row>
    <row r="314" spans="2:12" s="12" customFormat="1" ht="12" customHeight="1" x14ac:dyDescent="0.3"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</row>
    <row r="315" spans="2:12" s="12" customFormat="1" ht="12" customHeight="1" x14ac:dyDescent="0.3"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</row>
    <row r="316" spans="2:12" s="12" customFormat="1" ht="12" customHeight="1" x14ac:dyDescent="0.3"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</row>
    <row r="317" spans="2:12" s="12" customFormat="1" ht="12" customHeight="1" x14ac:dyDescent="0.3"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</row>
    <row r="318" spans="2:12" s="12" customFormat="1" ht="12" customHeight="1" x14ac:dyDescent="0.3"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</row>
    <row r="319" spans="2:12" s="12" customFormat="1" ht="12" customHeight="1" x14ac:dyDescent="0.3"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</row>
    <row r="320" spans="2:12" s="12" customFormat="1" ht="12" customHeight="1" x14ac:dyDescent="0.3"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</row>
    <row r="321" spans="2:12" s="12" customFormat="1" ht="12" customHeight="1" x14ac:dyDescent="0.3"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</row>
    <row r="322" spans="2:12" s="12" customFormat="1" ht="12" customHeight="1" x14ac:dyDescent="0.3"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</row>
    <row r="323" spans="2:12" s="12" customFormat="1" ht="12" customHeight="1" x14ac:dyDescent="0.3"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</row>
    <row r="324" spans="2:12" s="12" customFormat="1" ht="12" customHeight="1" x14ac:dyDescent="0.3"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</row>
    <row r="325" spans="2:12" s="12" customFormat="1" ht="12" customHeight="1" x14ac:dyDescent="0.3"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</row>
    <row r="326" spans="2:12" s="12" customFormat="1" ht="12" customHeight="1" x14ac:dyDescent="0.3"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</row>
    <row r="327" spans="2:12" s="12" customFormat="1" ht="12" customHeight="1" x14ac:dyDescent="0.3"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</row>
    <row r="328" spans="2:12" s="12" customFormat="1" ht="12" customHeight="1" x14ac:dyDescent="0.3"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</row>
    <row r="329" spans="2:12" s="12" customFormat="1" ht="12" customHeight="1" x14ac:dyDescent="0.3"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</row>
    <row r="330" spans="2:12" s="12" customFormat="1" ht="12" customHeight="1" x14ac:dyDescent="0.3"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</row>
    <row r="331" spans="2:12" ht="12" customHeight="1" x14ac:dyDescent="0.3"/>
    <row r="332" spans="2:12" ht="12" customHeight="1" x14ac:dyDescent="0.3"/>
    <row r="333" spans="2:12" ht="12" customHeight="1" x14ac:dyDescent="0.3"/>
    <row r="334" spans="2:12" ht="12" customHeight="1" x14ac:dyDescent="0.3"/>
    <row r="335" spans="2:12" ht="12" customHeight="1" x14ac:dyDescent="0.3"/>
    <row r="336" spans="2:12" ht="12" customHeight="1" x14ac:dyDescent="0.3"/>
    <row r="337" spans="2:12" ht="12" customHeight="1" x14ac:dyDescent="0.3"/>
    <row r="338" spans="2:12" ht="12" customHeight="1" x14ac:dyDescent="0.3"/>
    <row r="339" spans="2:12" ht="12" customHeight="1" x14ac:dyDescent="0.3"/>
    <row r="340" spans="2:12" ht="12" customHeight="1" x14ac:dyDescent="0.3"/>
    <row r="341" spans="2:12" ht="12" customHeight="1" x14ac:dyDescent="0.3"/>
    <row r="342" spans="2:12" ht="12" customHeight="1" x14ac:dyDescent="0.3"/>
    <row r="343" spans="2:12" ht="12" customHeight="1" x14ac:dyDescent="0.3"/>
    <row r="344" spans="2:12" ht="12" customHeight="1" x14ac:dyDescent="0.3"/>
    <row r="345" spans="2:12" ht="12" customHeight="1" x14ac:dyDescent="0.3"/>
    <row r="346" spans="2:12" ht="12" customHeight="1" x14ac:dyDescent="0.3"/>
    <row r="347" spans="2:12" s="12" customFormat="1" ht="12" customHeight="1" x14ac:dyDescent="0.3"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</row>
    <row r="348" spans="2:12" s="12" customFormat="1" ht="12" customHeight="1" x14ac:dyDescent="0.3"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</row>
    <row r="349" spans="2:12" s="12" customFormat="1" ht="12" customHeight="1" x14ac:dyDescent="0.3"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</row>
    <row r="350" spans="2:12" s="12" customFormat="1" ht="12" customHeight="1" x14ac:dyDescent="0.3"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</row>
    <row r="351" spans="2:12" s="12" customFormat="1" ht="12" customHeight="1" x14ac:dyDescent="0.3"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</row>
    <row r="352" spans="2:12" s="12" customFormat="1" ht="12" customHeight="1" x14ac:dyDescent="0.3"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2:12" s="12" customFormat="1" ht="12" customHeight="1" x14ac:dyDescent="0.3"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</row>
    <row r="354" spans="2:12" s="12" customFormat="1" ht="12" customHeight="1" x14ac:dyDescent="0.3"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</row>
    <row r="355" spans="2:12" s="12" customFormat="1" ht="12" customHeight="1" x14ac:dyDescent="0.3"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</row>
    <row r="356" spans="2:12" s="12" customFormat="1" ht="12" customHeight="1" x14ac:dyDescent="0.3"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</row>
    <row r="357" spans="2:12" s="12" customFormat="1" ht="12" customHeight="1" x14ac:dyDescent="0.3"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</row>
    <row r="358" spans="2:12" s="12" customFormat="1" ht="12" customHeight="1" x14ac:dyDescent="0.3"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</row>
    <row r="359" spans="2:12" s="12" customFormat="1" ht="12" customHeight="1" x14ac:dyDescent="0.3"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</row>
    <row r="360" spans="2:12" s="12" customFormat="1" ht="12" customHeight="1" x14ac:dyDescent="0.3"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</row>
    <row r="361" spans="2:12" s="12" customFormat="1" ht="12" customHeight="1" x14ac:dyDescent="0.3"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</row>
    <row r="362" spans="2:12" s="12" customFormat="1" ht="12" customHeight="1" x14ac:dyDescent="0.3"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</row>
    <row r="363" spans="2:12" s="12" customFormat="1" ht="12" customHeight="1" x14ac:dyDescent="0.3"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</row>
    <row r="364" spans="2:12" s="12" customFormat="1" ht="12" customHeight="1" x14ac:dyDescent="0.3"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</row>
    <row r="365" spans="2:12" s="12" customFormat="1" ht="12" customHeight="1" x14ac:dyDescent="0.3"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</row>
    <row r="366" spans="2:12" s="12" customFormat="1" ht="12" customHeight="1" x14ac:dyDescent="0.3"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</row>
    <row r="367" spans="2:12" s="12" customFormat="1" ht="12" customHeight="1" x14ac:dyDescent="0.3"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</row>
    <row r="368" spans="2:12" s="12" customFormat="1" ht="12" customHeight="1" x14ac:dyDescent="0.3"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</row>
    <row r="369" spans="2:12" s="12" customFormat="1" ht="12" customHeight="1" x14ac:dyDescent="0.3"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</row>
    <row r="370" spans="2:12" s="12" customFormat="1" ht="12" customHeight="1" x14ac:dyDescent="0.3"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</row>
    <row r="371" spans="2:12" s="12" customFormat="1" ht="12" customHeight="1" x14ac:dyDescent="0.3"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</row>
    <row r="372" spans="2:12" s="12" customFormat="1" ht="12" customHeight="1" x14ac:dyDescent="0.3"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</row>
    <row r="373" spans="2:12" s="12" customFormat="1" ht="12" customHeight="1" x14ac:dyDescent="0.3"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</row>
    <row r="374" spans="2:12" s="12" customFormat="1" ht="12" customHeight="1" x14ac:dyDescent="0.3"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</row>
    <row r="375" spans="2:12" s="12" customFormat="1" ht="12" customHeight="1" x14ac:dyDescent="0.3"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</row>
    <row r="376" spans="2:12" s="12" customFormat="1" ht="12" customHeight="1" x14ac:dyDescent="0.3"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</row>
    <row r="377" spans="2:12" s="12" customFormat="1" ht="12" customHeight="1" x14ac:dyDescent="0.3"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</row>
    <row r="378" spans="2:12" s="12" customFormat="1" ht="12" customHeight="1" x14ac:dyDescent="0.3"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</row>
    <row r="379" spans="2:12" s="12" customFormat="1" ht="12" customHeight="1" x14ac:dyDescent="0.3"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</row>
    <row r="380" spans="2:12" s="12" customFormat="1" ht="12" customHeight="1" x14ac:dyDescent="0.3"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</row>
    <row r="381" spans="2:12" s="12" customFormat="1" ht="12" customHeight="1" x14ac:dyDescent="0.3"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504"/>
  <sheetViews>
    <sheetView zoomScale="90" zoomScaleNormal="90" workbookViewId="0">
      <selection activeCell="G1" sqref="G1"/>
    </sheetView>
  </sheetViews>
  <sheetFormatPr baseColWidth="10" defaultRowHeight="14.4" x14ac:dyDescent="0.3"/>
  <cols>
    <col min="1" max="1" width="13.88671875" style="4" customWidth="1"/>
    <col min="2" max="2" width="19.33203125" style="4" customWidth="1"/>
    <col min="3" max="3" width="15" style="4" customWidth="1"/>
    <col min="4" max="4" width="48.88671875" style="4" customWidth="1"/>
    <col min="5" max="5" width="37.44140625" style="4" customWidth="1"/>
    <col min="6" max="6" width="20.88671875" style="4" customWidth="1"/>
    <col min="7" max="7" width="19.44140625" style="4" customWidth="1"/>
    <col min="8" max="8" width="23.109375" style="4" customWidth="1"/>
    <col min="9" max="9" width="14" style="4" customWidth="1"/>
    <col min="10" max="10" width="23.44140625" style="4" customWidth="1"/>
  </cols>
  <sheetData>
    <row r="1" spans="1:10" ht="12" customHeight="1" x14ac:dyDescent="0.3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8</v>
      </c>
      <c r="G1" s="40" t="s">
        <v>9</v>
      </c>
      <c r="H1" s="40" t="s">
        <v>10</v>
      </c>
      <c r="I1" s="41" t="s">
        <v>11</v>
      </c>
      <c r="J1" s="42" t="s">
        <v>44</v>
      </c>
    </row>
    <row r="2" spans="1:10" ht="12" customHeight="1" x14ac:dyDescent="0.3">
      <c r="A2" s="4">
        <v>1000</v>
      </c>
      <c r="B2" s="6">
        <f>VLOOKUP(TABLA_PRECIOS[Código],LISTADO_PRODUCTOS[#All],2)</f>
        <v>54173</v>
      </c>
      <c r="C2" s="6" t="str">
        <f>VLOOKUP(TABLA_PRECIOS[Código],LISTADO_PRODUCTOS[#All],3)</f>
        <v>LIBRERÍA</v>
      </c>
      <c r="D2" s="6" t="str">
        <f>VLOOKUP(TABLA_PRECIOS[Código],LISTADO_PRODUCTOS[#All],4)</f>
        <v>Cuaderno 29.7 America flex - 7792216854173</v>
      </c>
      <c r="E2" s="6" t="str">
        <f>VLOOKUP(TABLA_PRECIOS[Código],LISTADO_PRODUCTOS[#All],5)</f>
        <v>N/A</v>
      </c>
      <c r="F2" s="4">
        <v>180</v>
      </c>
      <c r="G2" s="27">
        <v>260</v>
      </c>
      <c r="H2" s="27">
        <v>31</v>
      </c>
      <c r="I2" s="6">
        <v>80</v>
      </c>
      <c r="J2" s="9" t="s">
        <v>917</v>
      </c>
    </row>
    <row r="3" spans="1:10" ht="12" customHeight="1" x14ac:dyDescent="0.3">
      <c r="A3" s="4">
        <v>1001</v>
      </c>
      <c r="B3" s="6">
        <f>VLOOKUP(TABLA_PRECIOS[Código],LISTADO_PRODUCTOS[#All],2)</f>
        <v>54174</v>
      </c>
      <c r="C3" s="6" t="str">
        <f>VLOOKUP(TABLA_PRECIOS[Código],LISTADO_PRODUCTOS[#All],3)</f>
        <v>LIBRERÍA</v>
      </c>
      <c r="D3" s="6" t="str">
        <f>VLOOKUP(TABLA_PRECIOS[Código],LISTADO_PRODUCTOS[#All],4)</f>
        <v>Cuaderno Rivadavia escolar 194h 88g</v>
      </c>
      <c r="E3" s="6" t="str">
        <f>VLOOKUP(TABLA_PRECIOS[Código],LISTADO_PRODUCTOS[#All],5)</f>
        <v>N/A</v>
      </c>
      <c r="F3" s="4">
        <v>230</v>
      </c>
      <c r="G3" s="4">
        <v>288</v>
      </c>
      <c r="H3" s="6">
        <v>20</v>
      </c>
      <c r="I3" s="6">
        <v>58</v>
      </c>
      <c r="J3" s="9" t="s">
        <v>916</v>
      </c>
    </row>
    <row r="4" spans="1:10" ht="12" customHeight="1" x14ac:dyDescent="0.3">
      <c r="A4" s="4">
        <v>1002</v>
      </c>
      <c r="B4" s="6">
        <f>VLOOKUP(TABLA_PRECIOS[Código],LISTADO_PRODUCTOS[#All],2)</f>
        <v>54175</v>
      </c>
      <c r="C4" s="6" t="str">
        <f>VLOOKUP(TABLA_PRECIOS[Código],LISTADO_PRODUCTOS[#All],3)</f>
        <v xml:space="preserve">OFICINA </v>
      </c>
      <c r="D4" s="6" t="str">
        <f>VLOOKUP(TABLA_PRECIOS[Código],LISTADO_PRODUCTOS[#All],4)</f>
        <v>Cuaderno 29.7 America Nos/Avon 80h</v>
      </c>
      <c r="E4" s="6" t="str">
        <f>VLOOKUP(TABLA_PRECIOS[Código],LISTADO_PRODUCTOS[#All],5)</f>
        <v>N/A</v>
      </c>
      <c r="F4" s="4">
        <v>215</v>
      </c>
      <c r="G4" s="4">
        <v>500</v>
      </c>
      <c r="H4" s="6">
        <v>57</v>
      </c>
      <c r="I4" s="6">
        <v>285</v>
      </c>
      <c r="J4" s="9" t="s">
        <v>917</v>
      </c>
    </row>
    <row r="5" spans="1:10" ht="12" customHeight="1" x14ac:dyDescent="0.3">
      <c r="A5" s="4">
        <v>1004</v>
      </c>
      <c r="B5" s="6">
        <f>VLOOKUP(TABLA_PRECIOS[Código],LISTADO_PRODUCTOS[#All],2)</f>
        <v>56542156</v>
      </c>
      <c r="C5" s="6" t="str">
        <f>VLOOKUP(TABLA_PRECIOS[Código],LISTADO_PRODUCTOS[#All],3)</f>
        <v>LIBRERÍA</v>
      </c>
      <c r="D5" s="6" t="str">
        <f>VLOOKUP(TABLA_PRECIOS[Código],LISTADO_PRODUCTOS[#All],4)</f>
        <v>Resaltador Sharpie x12</v>
      </c>
      <c r="E5" s="6" t="str">
        <f>VLOOKUP(TABLA_PRECIOS[Código],LISTADO_PRODUCTOS[#All],5)</f>
        <v>N/A</v>
      </c>
      <c r="F5" s="4">
        <v>260</v>
      </c>
      <c r="G5" s="4">
        <v>351</v>
      </c>
      <c r="H5" s="6">
        <v>26</v>
      </c>
      <c r="I5" s="6">
        <v>91</v>
      </c>
      <c r="J5" s="9">
        <v>45113</v>
      </c>
    </row>
    <row r="6" spans="1:10" ht="12" customHeight="1" x14ac:dyDescent="0.3">
      <c r="A6" s="4">
        <v>1007</v>
      </c>
      <c r="B6" s="6">
        <f>VLOOKUP(TABLA_PRECIOS[Código],LISTADO_PRODUCTOS[#All],2)</f>
        <v>54177</v>
      </c>
      <c r="C6" s="6" t="str">
        <f>VLOOKUP(TABLA_PRECIOS[Código],LISTADO_PRODUCTOS[#All],3)</f>
        <v>LIBRERÍA</v>
      </c>
      <c r="D6" s="6" t="str">
        <f>VLOOKUP(TABLA_PRECIOS[Código],LISTADO_PRODUCTOS[#All],4)</f>
        <v>Cuaderno 16.21 America Nos c/espiral x 84h</v>
      </c>
      <c r="E6" s="6" t="str">
        <f>VLOOKUP(TABLA_PRECIOS[Código],LISTADO_PRODUCTOS[#All],5)</f>
        <v>N/A</v>
      </c>
      <c r="F6" s="4">
        <v>2986</v>
      </c>
      <c r="G6" s="4">
        <v>4266</v>
      </c>
      <c r="H6" s="6">
        <v>30</v>
      </c>
      <c r="I6" s="6">
        <v>1280</v>
      </c>
      <c r="J6" s="9" t="s">
        <v>926</v>
      </c>
    </row>
    <row r="7" spans="1:10" ht="12" customHeight="1" x14ac:dyDescent="0.3">
      <c r="A7" s="4">
        <v>1009</v>
      </c>
      <c r="B7" s="6">
        <f>VLOOKUP(TABLA_PRECIOS[Código],LISTADO_PRODUCTOS[#All],2)</f>
        <v>54178</v>
      </c>
      <c r="C7" s="6" t="str">
        <f>VLOOKUP(TABLA_PRECIOS[Código],LISTADO_PRODUCTOS[#All],3)</f>
        <v>LIBRERÍA</v>
      </c>
      <c r="D7" s="6" t="str">
        <f>VLOOKUP(TABLA_PRECIOS[Código],LISTADO_PRODUCTOS[#All],4)</f>
        <v>Cuaderno E7 Éxito Colegial Tapa c/ motivos 60h</v>
      </c>
      <c r="E7" s="6" t="str">
        <f>VLOOKUP(TABLA_PRECIOS[Código],LISTADO_PRODUCTOS[#All],5)</f>
        <v>N/A</v>
      </c>
      <c r="F7" s="4">
        <v>200</v>
      </c>
      <c r="G7" s="4">
        <v>600</v>
      </c>
      <c r="H7" s="6">
        <v>67</v>
      </c>
      <c r="I7" s="6">
        <v>400</v>
      </c>
      <c r="J7" s="9" t="s">
        <v>917</v>
      </c>
    </row>
    <row r="8" spans="1:10" ht="12" customHeight="1" x14ac:dyDescent="0.3">
      <c r="A8" s="4">
        <v>1010</v>
      </c>
      <c r="B8" s="6">
        <f>VLOOKUP(TABLA_PRECIOS[Código],LISTADO_PRODUCTOS[#All],2)</f>
        <v>54179</v>
      </c>
      <c r="C8" s="6" t="str">
        <f>VLOOKUP(TABLA_PRECIOS[Código],LISTADO_PRODUCTOS[#All],3)</f>
        <v>LIBRERÍA</v>
      </c>
      <c r="D8" s="6" t="str">
        <f>VLOOKUP(TABLA_PRECIOS[Código],LISTADO_PRODUCTOS[#All],4)</f>
        <v>Cuaderno Colegial Éxito x 60h</v>
      </c>
      <c r="E8" s="6" t="str">
        <f>VLOOKUP(TABLA_PRECIOS[Código],LISTADO_PRODUCTOS[#All],5)</f>
        <v>N/A</v>
      </c>
      <c r="F8" s="4">
        <v>350</v>
      </c>
      <c r="G8" s="4">
        <v>530</v>
      </c>
      <c r="H8" s="6">
        <v>34</v>
      </c>
      <c r="I8" s="6">
        <v>180</v>
      </c>
      <c r="J8" s="9">
        <v>45113</v>
      </c>
    </row>
    <row r="9" spans="1:10" ht="12" customHeight="1" x14ac:dyDescent="0.3">
      <c r="A9" s="4">
        <v>1011</v>
      </c>
      <c r="B9" s="6">
        <f>VLOOKUP(TABLA_PRECIOS[Código],LISTADO_PRODUCTOS[#All],2)</f>
        <v>54180</v>
      </c>
      <c r="C9" s="6" t="str">
        <f>VLOOKUP(TABLA_PRECIOS[Código],LISTADO_PRODUCTOS[#All],3)</f>
        <v>LIBRERÍA</v>
      </c>
      <c r="D9" s="6" t="str">
        <f>VLOOKUP(TABLA_PRECIOS[Código],LISTADO_PRODUCTOS[#All],4)</f>
        <v>Cuaderno Colegial Éxito x 100h</v>
      </c>
      <c r="E9" s="6" t="str">
        <f>VLOOKUP(TABLA_PRECIOS[Código],LISTADO_PRODUCTOS[#All],5)</f>
        <v>N/A</v>
      </c>
      <c r="F9" s="4">
        <v>240</v>
      </c>
      <c r="G9" s="4">
        <v>369</v>
      </c>
      <c r="H9" s="6">
        <v>35</v>
      </c>
      <c r="I9" s="6">
        <v>129</v>
      </c>
      <c r="J9" s="9">
        <v>45113</v>
      </c>
    </row>
    <row r="10" spans="1:10" ht="12" customHeight="1" x14ac:dyDescent="0.3">
      <c r="A10" s="4">
        <v>1012</v>
      </c>
      <c r="B10" s="6">
        <f>VLOOKUP(TABLA_PRECIOS[Código],LISTADO_PRODUCTOS[#All],2)</f>
        <v>54181</v>
      </c>
      <c r="C10" s="6" t="str">
        <f>VLOOKUP(TABLA_PRECIOS[Código],LISTADO_PRODUCTOS[#All],3)</f>
        <v>LIBRERÍA</v>
      </c>
      <c r="D10" s="6" t="str">
        <f>VLOOKUP(TABLA_PRECIOS[Código],LISTADO_PRODUCTOS[#All],4)</f>
        <v>Cuaderno ABC Rivadavia x 60h</v>
      </c>
      <c r="E10" s="6" t="str">
        <f>VLOOKUP(TABLA_PRECIOS[Código],LISTADO_PRODUCTOS[#All],5)</f>
        <v>N/A</v>
      </c>
      <c r="F10" s="4">
        <v>195</v>
      </c>
      <c r="G10" s="4">
        <v>279</v>
      </c>
      <c r="H10" s="6">
        <v>30</v>
      </c>
      <c r="I10" s="6">
        <v>84</v>
      </c>
      <c r="J10" s="9">
        <v>45113</v>
      </c>
    </row>
    <row r="11" spans="1:10" ht="12" customHeight="1" x14ac:dyDescent="0.3">
      <c r="A11" s="4">
        <v>1013</v>
      </c>
      <c r="B11" s="6">
        <f>VLOOKUP(TABLA_PRECIOS[Código],LISTADO_PRODUCTOS[#All],2)</f>
        <v>54182</v>
      </c>
      <c r="C11" s="6" t="str">
        <f>VLOOKUP(TABLA_PRECIOS[Código],LISTADO_PRODUCTOS[#All],3)</f>
        <v>LIBRERÍA</v>
      </c>
      <c r="D11" s="6" t="str">
        <f>VLOOKUP(TABLA_PRECIOS[Código],LISTADO_PRODUCTOS[#All],4)</f>
        <v>Cuaderno ABC Rivadavia x 100h</v>
      </c>
      <c r="E11" s="6" t="str">
        <f>VLOOKUP(TABLA_PRECIOS[Código],LISTADO_PRODUCTOS[#All],5)</f>
        <v>N/A</v>
      </c>
      <c r="F11" s="4">
        <v>290</v>
      </c>
      <c r="G11" s="4">
        <v>392</v>
      </c>
      <c r="H11" s="6">
        <v>26</v>
      </c>
      <c r="I11" s="6">
        <v>102</v>
      </c>
      <c r="J11" s="9">
        <v>45113</v>
      </c>
    </row>
    <row r="12" spans="1:10" ht="12" customHeight="1" x14ac:dyDescent="0.3">
      <c r="A12" s="4">
        <v>1014</v>
      </c>
      <c r="B12" s="6">
        <f>VLOOKUP(TABLA_PRECIOS[Código],LISTADO_PRODUCTOS[#All],2)</f>
        <v>54183</v>
      </c>
      <c r="C12" s="6" t="str">
        <f>VLOOKUP(TABLA_PRECIOS[Código],LISTADO_PRODUCTOS[#All],3)</f>
        <v>LIBRERÍA</v>
      </c>
      <c r="D12" s="6" t="str">
        <f>VLOOKUP(TABLA_PRECIOS[Código],LISTADO_PRODUCTOS[#All],4)</f>
        <v>Block A6 Alfa anillado Rayado 80h</v>
      </c>
      <c r="E12" s="6" t="str">
        <f>VLOOKUP(TABLA_PRECIOS[Código],LISTADO_PRODUCTOS[#All],5)</f>
        <v>N/A</v>
      </c>
      <c r="F12" s="4">
        <v>1</v>
      </c>
      <c r="G12" s="4">
        <v>1</v>
      </c>
      <c r="H12" s="6">
        <v>1</v>
      </c>
      <c r="I12" s="6"/>
      <c r="J12" s="9"/>
    </row>
    <row r="13" spans="1:10" ht="12" customHeight="1" x14ac:dyDescent="0.3">
      <c r="A13" s="4">
        <v>1015</v>
      </c>
      <c r="B13" s="6">
        <f>VLOOKUP(TABLA_PRECIOS[Código],LISTADO_PRODUCTOS[#All],2)</f>
        <v>54184</v>
      </c>
      <c r="C13" s="6" t="str">
        <f>VLOOKUP(TABLA_PRECIOS[Código],LISTADO_PRODUCTOS[#All],3)</f>
        <v>LIBRERÍA</v>
      </c>
      <c r="D13" s="6" t="str">
        <f>VLOOKUP(TABLA_PRECIOS[Código],LISTADO_PRODUCTOS[#All],4)</f>
        <v xml:space="preserve">Cuaderno 16.21 Avon x 84h Rayadas </v>
      </c>
      <c r="E13" s="6" t="str">
        <f>VLOOKUP(TABLA_PRECIOS[Código],LISTADO_PRODUCTOS[#All],5)</f>
        <v>N/A</v>
      </c>
      <c r="F13" s="4">
        <v>1</v>
      </c>
      <c r="G13" s="4">
        <v>1</v>
      </c>
      <c r="H13" s="6">
        <v>1</v>
      </c>
      <c r="I13" s="6"/>
      <c r="J13" s="9"/>
    </row>
    <row r="14" spans="1:10" ht="12" customHeight="1" x14ac:dyDescent="0.3">
      <c r="A14" s="4">
        <v>1016</v>
      </c>
      <c r="B14" s="6">
        <f>VLOOKUP(TABLA_PRECIOS[Código],LISTADO_PRODUCTOS[#All],2)</f>
        <v>54185</v>
      </c>
      <c r="C14" s="6" t="str">
        <f>VLOOKUP(TABLA_PRECIOS[Código],LISTADO_PRODUCTOS[#All],3)</f>
        <v>LIBRERÍA</v>
      </c>
      <c r="D14" s="6" t="str">
        <f>VLOOKUP(TABLA_PRECIOS[Código],LISTADO_PRODUCTOS[#All],4)</f>
        <v>Block A5 anillado Alfa</v>
      </c>
      <c r="E14" s="6" t="str">
        <f>VLOOKUP(TABLA_PRECIOS[Código],LISTADO_PRODUCTOS[#All],5)</f>
        <v>N/A</v>
      </c>
      <c r="F14" s="4">
        <v>1</v>
      </c>
      <c r="G14" s="4">
        <v>1</v>
      </c>
      <c r="H14" s="6">
        <v>1</v>
      </c>
      <c r="I14" s="6"/>
      <c r="J14" s="9"/>
    </row>
    <row r="15" spans="1:10" ht="12" customHeight="1" x14ac:dyDescent="0.3">
      <c r="A15" s="4">
        <v>1017</v>
      </c>
      <c r="B15" s="6">
        <f>VLOOKUP(TABLA_PRECIOS[Código],LISTADO_PRODUCTOS[#All],2)</f>
        <v>54186</v>
      </c>
      <c r="C15" s="6" t="str">
        <f>VLOOKUP(TABLA_PRECIOS[Código],LISTADO_PRODUCTOS[#All],3)</f>
        <v>LIBRERÍA</v>
      </c>
      <c r="D15" s="6" t="str">
        <f>VLOOKUP(TABLA_PRECIOS[Código],LISTADO_PRODUCTOS[#All],4)</f>
        <v>Block A4 Alfa anillado</v>
      </c>
      <c r="E15" s="6" t="str">
        <f>VLOOKUP(TABLA_PRECIOS[Código],LISTADO_PRODUCTOS[#All],5)</f>
        <v>N/A</v>
      </c>
      <c r="F15" s="4">
        <v>1</v>
      </c>
      <c r="G15" s="4">
        <v>1</v>
      </c>
      <c r="H15" s="6">
        <v>1</v>
      </c>
      <c r="I15" s="6"/>
      <c r="J15" s="9"/>
    </row>
    <row r="16" spans="1:10" ht="12" customHeight="1" x14ac:dyDescent="0.3">
      <c r="A16" s="4">
        <v>1018</v>
      </c>
      <c r="B16" s="6">
        <f>VLOOKUP(TABLA_PRECIOS[Código],LISTADO_PRODUCTOS[#All],2)</f>
        <v>54187</v>
      </c>
      <c r="C16" s="6" t="str">
        <f>VLOOKUP(TABLA_PRECIOS[Código],LISTADO_PRODUCTOS[#All],3)</f>
        <v>LIBRERÍA</v>
      </c>
      <c r="D16" s="6" t="str">
        <f>VLOOKUP(TABLA_PRECIOS[Código],LISTADO_PRODUCTOS[#All],4)</f>
        <v>Block A4 Avon</v>
      </c>
      <c r="E16" s="6" t="str">
        <f>VLOOKUP(TABLA_PRECIOS[Código],LISTADO_PRODUCTOS[#All],5)</f>
        <v>N/A</v>
      </c>
      <c r="F16" s="4">
        <v>1</v>
      </c>
      <c r="G16" s="4">
        <v>1</v>
      </c>
      <c r="H16" s="6">
        <v>1</v>
      </c>
      <c r="I16" s="6"/>
      <c r="J16" s="9"/>
    </row>
    <row r="17" spans="1:10" ht="12" customHeight="1" x14ac:dyDescent="0.3">
      <c r="A17" s="4">
        <v>1020</v>
      </c>
      <c r="B17" s="6">
        <f>VLOOKUP(TABLA_PRECIOS[Código],LISTADO_PRODUCTOS[#All],2)</f>
        <v>54188</v>
      </c>
      <c r="C17" s="6" t="str">
        <f>VLOOKUP(TABLA_PRECIOS[Código],LISTADO_PRODUCTOS[#All],3)</f>
        <v>LIBRERÍA</v>
      </c>
      <c r="D17" s="6" t="str">
        <f>VLOOKUP(TABLA_PRECIOS[Código],LISTADO_PRODUCTOS[#All],4)</f>
        <v>Block Oficio Avon</v>
      </c>
      <c r="E17" s="6" t="str">
        <f>VLOOKUP(TABLA_PRECIOS[Código],LISTADO_PRODUCTOS[#All],5)</f>
        <v>N/A</v>
      </c>
      <c r="F17" s="4">
        <v>1</v>
      </c>
      <c r="G17" s="4">
        <v>1</v>
      </c>
      <c r="H17" s="6">
        <v>1</v>
      </c>
      <c r="I17" s="6"/>
      <c r="J17" s="9"/>
    </row>
    <row r="18" spans="1:10" ht="12" customHeight="1" x14ac:dyDescent="0.3">
      <c r="A18" s="4">
        <v>1021</v>
      </c>
      <c r="B18" s="6">
        <f>VLOOKUP(TABLA_PRECIOS[Código],LISTADO_PRODUCTOS[#All],2)</f>
        <v>54189</v>
      </c>
      <c r="C18" s="6" t="str">
        <f>VLOOKUP(TABLA_PRECIOS[Código],LISTADO_PRODUCTOS[#All],3)</f>
        <v>LIBRERÍA</v>
      </c>
      <c r="D18" s="6" t="str">
        <f>VLOOKUP(TABLA_PRECIOS[Código],LISTADO_PRODUCTOS[#All],4)</f>
        <v>Tijera para Zurdos Maped</v>
      </c>
      <c r="E18" s="6" t="str">
        <f>VLOOKUP(TABLA_PRECIOS[Código],LISTADO_PRODUCTOS[#All],5)</f>
        <v>N/A</v>
      </c>
      <c r="F18" s="4">
        <v>1</v>
      </c>
      <c r="G18" s="4">
        <v>1</v>
      </c>
      <c r="H18" s="6">
        <v>1</v>
      </c>
      <c r="I18" s="6"/>
      <c r="J18" s="9"/>
    </row>
    <row r="19" spans="1:10" ht="12" customHeight="1" x14ac:dyDescent="0.3">
      <c r="A19" s="4">
        <v>1023</v>
      </c>
      <c r="B19" s="6">
        <f>VLOOKUP(TABLA_PRECIOS[Código],LISTADO_PRODUCTOS[#All],2)</f>
        <v>54190</v>
      </c>
      <c r="C19" s="6" t="str">
        <f>VLOOKUP(TABLA_PRECIOS[Código],LISTADO_PRODUCTOS[#All],3)</f>
        <v>LIBRERÍA</v>
      </c>
      <c r="D19" s="6" t="str">
        <f>VLOOKUP(TABLA_PRECIOS[Código],LISTADO_PRODUCTOS[#All],4)</f>
        <v>Cuaderno Éxito Nº3 x 48h Forrado</v>
      </c>
      <c r="E19" s="6" t="str">
        <f>VLOOKUP(TABLA_PRECIOS[Código],LISTADO_PRODUCTOS[#All],5)</f>
        <v>N/A</v>
      </c>
      <c r="F19" s="4">
        <v>1</v>
      </c>
      <c r="G19" s="4">
        <v>1</v>
      </c>
      <c r="H19" s="6">
        <v>1</v>
      </c>
      <c r="I19" s="6"/>
      <c r="J19" s="9"/>
    </row>
    <row r="20" spans="1:10" ht="12" customHeight="1" x14ac:dyDescent="0.3">
      <c r="A20" s="4">
        <v>1024</v>
      </c>
      <c r="B20" s="6">
        <f>VLOOKUP(TABLA_PRECIOS[Código],LISTADO_PRODUCTOS[#All],2)</f>
        <v>54191</v>
      </c>
      <c r="C20" s="6" t="str">
        <f>VLOOKUP(TABLA_PRECIOS[Código],LISTADO_PRODUCTOS[#All],3)</f>
        <v>LIBRERÍA</v>
      </c>
      <c r="D20" s="6" t="str">
        <f>VLOOKUP(TABLA_PRECIOS[Código],LISTADO_PRODUCTOS[#All],4)</f>
        <v>Cuaderno Éxito Nº3 x 48h Motivos - 7791762225079</v>
      </c>
      <c r="E20" s="6" t="str">
        <f>VLOOKUP(TABLA_PRECIOS[Código],LISTADO_PRODUCTOS[#All],5)</f>
        <v>N/A</v>
      </c>
      <c r="F20" s="4">
        <v>1</v>
      </c>
      <c r="G20" s="4">
        <v>1</v>
      </c>
      <c r="H20" s="6">
        <v>1</v>
      </c>
      <c r="I20" s="6"/>
      <c r="J20" s="9"/>
    </row>
    <row r="21" spans="1:10" ht="12" customHeight="1" x14ac:dyDescent="0.3">
      <c r="A21" s="4">
        <v>1025</v>
      </c>
      <c r="B21" s="6">
        <f>VLOOKUP(TABLA_PRECIOS[Código],LISTADO_PRODUCTOS[#All],2)</f>
        <v>54192</v>
      </c>
      <c r="C21" s="6" t="str">
        <f>VLOOKUP(TABLA_PRECIOS[Código],LISTADO_PRODUCTOS[#All],3)</f>
        <v>LIBRERÍA</v>
      </c>
      <c r="D21" s="6" t="str">
        <f>VLOOKUP(TABLA_PRECIOS[Código],LISTADO_PRODUCTOS[#All],4)</f>
        <v>Cuaderno Éxito Nº3 x 48h Lunares - 7791762378072</v>
      </c>
      <c r="E21" s="6" t="str">
        <f>VLOOKUP(TABLA_PRECIOS[Código],LISTADO_PRODUCTOS[#All],5)</f>
        <v>N/A</v>
      </c>
      <c r="F21" s="4">
        <v>1</v>
      </c>
      <c r="G21" s="4">
        <v>1</v>
      </c>
      <c r="H21" s="6">
        <v>1</v>
      </c>
      <c r="I21" s="6"/>
      <c r="J21" s="9"/>
    </row>
    <row r="22" spans="1:10" ht="12" customHeight="1" x14ac:dyDescent="0.3">
      <c r="A22" s="4">
        <v>1026</v>
      </c>
      <c r="B22" s="6">
        <f>VLOOKUP(TABLA_PRECIOS[Código],LISTADO_PRODUCTOS[#All],2)</f>
        <v>54193</v>
      </c>
      <c r="C22" s="6" t="str">
        <f>VLOOKUP(TABLA_PRECIOS[Código],LISTADO_PRODUCTOS[#All],3)</f>
        <v>LIBRERÍA</v>
      </c>
      <c r="D22" s="6" t="str">
        <f>VLOOKUP(TABLA_PRECIOS[Código],LISTADO_PRODUCTOS[#All],4)</f>
        <v>Cuaderno Rivadavia Nº3 x 50h Forrado araña</v>
      </c>
      <c r="E22" s="6" t="str">
        <f>VLOOKUP(TABLA_PRECIOS[Código],LISTADO_PRODUCTOS[#All],5)</f>
        <v>N/A</v>
      </c>
      <c r="F22" s="4">
        <v>1</v>
      </c>
      <c r="G22" s="4">
        <v>1</v>
      </c>
      <c r="H22" s="6">
        <v>1</v>
      </c>
      <c r="I22" s="6"/>
      <c r="J22" s="9"/>
    </row>
    <row r="23" spans="1:10" ht="12" customHeight="1" x14ac:dyDescent="0.3">
      <c r="A23" s="4">
        <v>1027</v>
      </c>
      <c r="B23" s="6">
        <f>VLOOKUP(TABLA_PRECIOS[Código],LISTADO_PRODUCTOS[#All],2)</f>
        <v>54194</v>
      </c>
      <c r="C23" s="6" t="str">
        <f>VLOOKUP(TABLA_PRECIOS[Código],LISTADO_PRODUCTOS[#All],3)</f>
        <v>LIBRERÍA</v>
      </c>
      <c r="D23" s="6" t="str">
        <f>VLOOKUP(TABLA_PRECIOS[Código],LISTADO_PRODUCTOS[#All],4)</f>
        <v>Cuaderno Rivadavia Nº3 x 50h Lunar</v>
      </c>
      <c r="E23" s="6" t="str">
        <f>VLOOKUP(TABLA_PRECIOS[Código],LISTADO_PRODUCTOS[#All],5)</f>
        <v>N/A</v>
      </c>
      <c r="F23" s="4">
        <v>1</v>
      </c>
      <c r="G23" s="4">
        <v>1</v>
      </c>
      <c r="H23" s="6">
        <v>1</v>
      </c>
      <c r="I23" s="6"/>
      <c r="J23" s="9"/>
    </row>
    <row r="24" spans="1:10" ht="12" customHeight="1" x14ac:dyDescent="0.3">
      <c r="A24" s="4">
        <v>1028</v>
      </c>
      <c r="B24" s="6">
        <f>VLOOKUP(TABLA_PRECIOS[Código],LISTADO_PRODUCTOS[#All],2)</f>
        <v>54195</v>
      </c>
      <c r="C24" s="6" t="str">
        <f>VLOOKUP(TABLA_PRECIOS[Código],LISTADO_PRODUCTOS[#All],3)</f>
        <v>LIBRERÍA</v>
      </c>
      <c r="D24" s="6" t="str">
        <f>VLOOKUP(TABLA_PRECIOS[Código],LISTADO_PRODUCTOS[#All],4)</f>
        <v>Cuaderno ABC Inicial T/C</v>
      </c>
      <c r="E24" s="6" t="str">
        <f>VLOOKUP(TABLA_PRECIOS[Código],LISTADO_PRODUCTOS[#All],5)</f>
        <v>N/A</v>
      </c>
      <c r="F24" s="4">
        <v>1</v>
      </c>
      <c r="G24" s="4">
        <v>1</v>
      </c>
      <c r="H24" s="6">
        <v>1</v>
      </c>
      <c r="I24" s="6"/>
      <c r="J24" s="9"/>
    </row>
    <row r="25" spans="1:10" ht="12" customHeight="1" x14ac:dyDescent="0.3">
      <c r="A25" s="4">
        <v>1029</v>
      </c>
      <c r="B25" s="6">
        <f>VLOOKUP(TABLA_PRECIOS[Código],LISTADO_PRODUCTOS[#All],2)</f>
        <v>54196</v>
      </c>
      <c r="C25" s="6" t="str">
        <f>VLOOKUP(TABLA_PRECIOS[Código],LISTADO_PRODUCTOS[#All],3)</f>
        <v>LIBRERÍA</v>
      </c>
      <c r="D25" s="6" t="str">
        <f>VLOOKUP(TABLA_PRECIOS[Código],LISTADO_PRODUCTOS[#All],4)</f>
        <v>Cuaderno Escolar Éxito x 48h Forrado</v>
      </c>
      <c r="E25" s="6" t="str">
        <f>VLOOKUP(TABLA_PRECIOS[Código],LISTADO_PRODUCTOS[#All],5)</f>
        <v>N/A</v>
      </c>
      <c r="F25" s="4">
        <v>1</v>
      </c>
      <c r="G25" s="4">
        <v>1</v>
      </c>
      <c r="H25" s="6">
        <v>1</v>
      </c>
      <c r="I25" s="6"/>
      <c r="J25" s="9"/>
    </row>
    <row r="26" spans="1:10" ht="12" customHeight="1" x14ac:dyDescent="0.3">
      <c r="A26" s="4">
        <v>1030</v>
      </c>
      <c r="B26" s="6">
        <f>VLOOKUP(TABLA_PRECIOS[Código],LISTADO_PRODUCTOS[#All],2)</f>
        <v>54197</v>
      </c>
      <c r="C26" s="6" t="str">
        <f>VLOOKUP(TABLA_PRECIOS[Código],LISTADO_PRODUCTOS[#All],3)</f>
        <v>LIBRERÍA</v>
      </c>
      <c r="D26" s="6" t="str">
        <f>VLOOKUP(TABLA_PRECIOS[Código],LISTADO_PRODUCTOS[#All],4)</f>
        <v>Cuaderno Escolar ABC Rivadavia x 50h - 7792216051053</v>
      </c>
      <c r="E26" s="6" t="str">
        <f>VLOOKUP(TABLA_PRECIOS[Código],LISTADO_PRODUCTOS[#All],5)</f>
        <v>N/A</v>
      </c>
      <c r="F26" s="4">
        <v>1</v>
      </c>
      <c r="G26" s="4">
        <v>1</v>
      </c>
      <c r="H26" s="6">
        <v>1</v>
      </c>
      <c r="I26" s="6"/>
      <c r="J26" s="9"/>
    </row>
    <row r="27" spans="1:10" ht="12" customHeight="1" x14ac:dyDescent="0.3">
      <c r="A27" s="4">
        <v>1031</v>
      </c>
      <c r="B27" s="6">
        <f>VLOOKUP(TABLA_PRECIOS[Código],LISTADO_PRODUCTOS[#All],2)</f>
        <v>54198</v>
      </c>
      <c r="C27" s="6" t="str">
        <f>VLOOKUP(TABLA_PRECIOS[Código],LISTADO_PRODUCTOS[#All],3)</f>
        <v>LIBRERÍA</v>
      </c>
      <c r="D27" s="6" t="str">
        <f>VLOOKUP(TABLA_PRECIOS[Código],LISTADO_PRODUCTOS[#All],4)</f>
        <v>Cuaderno Escolar America x 82h T/C - 7792216675709</v>
      </c>
      <c r="E27" s="6" t="str">
        <f>VLOOKUP(TABLA_PRECIOS[Código],LISTADO_PRODUCTOS[#All],5)</f>
        <v>N/A</v>
      </c>
      <c r="F27" s="4">
        <v>1</v>
      </c>
      <c r="G27" s="4">
        <v>1</v>
      </c>
      <c r="H27" s="6">
        <v>1</v>
      </c>
      <c r="I27" s="6"/>
      <c r="J27" s="9"/>
    </row>
    <row r="28" spans="1:10" ht="12" customHeight="1" x14ac:dyDescent="0.3">
      <c r="A28" s="4">
        <v>1032</v>
      </c>
      <c r="B28" s="6">
        <f>VLOOKUP(TABLA_PRECIOS[Código],LISTADO_PRODUCTOS[#All],2)</f>
        <v>54199</v>
      </c>
      <c r="C28" s="6" t="str">
        <f>VLOOKUP(TABLA_PRECIOS[Código],LISTADO_PRODUCTOS[#All],3)</f>
        <v>LIBRERÍA</v>
      </c>
      <c r="D28" s="6" t="str">
        <f>VLOOKUP(TABLA_PRECIOS[Código],LISTADO_PRODUCTOS[#All],4)</f>
        <v xml:space="preserve"> cuaderno Escolar America 42h T/C - 7792216000495</v>
      </c>
      <c r="E28" s="6" t="str">
        <f>VLOOKUP(TABLA_PRECIOS[Código],LISTADO_PRODUCTOS[#All],5)</f>
        <v>N/A</v>
      </c>
      <c r="F28" s="4">
        <v>1</v>
      </c>
      <c r="G28" s="4">
        <v>1</v>
      </c>
      <c r="H28" s="6">
        <v>1</v>
      </c>
      <c r="I28" s="6"/>
      <c r="J28" s="9"/>
    </row>
    <row r="29" spans="1:10" ht="12" customHeight="1" x14ac:dyDescent="0.3">
      <c r="A29" s="4">
        <v>1033</v>
      </c>
      <c r="B29" s="6">
        <f>VLOOKUP(TABLA_PRECIOS[Código],LISTADO_PRODUCTOS[#All],2)</f>
        <v>54200</v>
      </c>
      <c r="C29" s="6" t="str">
        <f>VLOOKUP(TABLA_PRECIOS[Código],LISTADO_PRODUCTOS[#All],3)</f>
        <v>LIBRERÍA</v>
      </c>
      <c r="D29" s="6" t="str">
        <f>VLOOKUP(TABLA_PRECIOS[Código],LISTADO_PRODUCTOS[#All],4)</f>
        <v>Cuaderno Escolar Gloria x 84h</v>
      </c>
      <c r="E29" s="6" t="str">
        <f>VLOOKUP(TABLA_PRECIOS[Código],LISTADO_PRODUCTOS[#All],5)</f>
        <v>N/A</v>
      </c>
      <c r="F29" s="4">
        <v>1</v>
      </c>
      <c r="G29" s="4">
        <v>1</v>
      </c>
      <c r="H29" s="6">
        <v>1</v>
      </c>
      <c r="I29" s="6"/>
      <c r="J29" s="9"/>
    </row>
    <row r="30" spans="1:10" ht="12" customHeight="1" x14ac:dyDescent="0.3">
      <c r="A30" s="4">
        <v>1036</v>
      </c>
      <c r="B30" s="6">
        <f>VLOOKUP(TABLA_PRECIOS[Código],LISTADO_PRODUCTOS[#All],2)</f>
        <v>54201</v>
      </c>
      <c r="C30" s="6" t="str">
        <f>VLOOKUP(TABLA_PRECIOS[Código],LISTADO_PRODUCTOS[#All],3)</f>
        <v>LIBRERÍA</v>
      </c>
      <c r="D30" s="6" t="str">
        <f>VLOOKUP(TABLA_PRECIOS[Código],LISTADO_PRODUCTOS[#All],4)</f>
        <v>Cuaderno Rivadavia escolar T dura 50h 16.21</v>
      </c>
      <c r="E30" s="6" t="str">
        <f>VLOOKUP(TABLA_PRECIOS[Código],LISTADO_PRODUCTOS[#All],5)</f>
        <v>N/A</v>
      </c>
      <c r="F30" s="4">
        <v>1</v>
      </c>
      <c r="G30" s="4">
        <v>1</v>
      </c>
      <c r="H30" s="6">
        <v>1</v>
      </c>
      <c r="I30" s="6"/>
      <c r="J30" s="9"/>
    </row>
    <row r="31" spans="1:10" ht="12" customHeight="1" x14ac:dyDescent="0.3">
      <c r="A31" s="4">
        <v>1038</v>
      </c>
      <c r="B31" s="6">
        <f>VLOOKUP(TABLA_PRECIOS[Código],LISTADO_PRODUCTOS[#All],2)</f>
        <v>54202</v>
      </c>
      <c r="C31" s="6" t="str">
        <f>VLOOKUP(TABLA_PRECIOS[Código],LISTADO_PRODUCTOS[#All],3)</f>
        <v>LIBRERÍA</v>
      </c>
      <c r="D31" s="6" t="str">
        <f>VLOOKUP(TABLA_PRECIOS[Código],LISTADO_PRODUCTOS[#All],4)</f>
        <v>Cuaderno T/flex Gloria x 48h - 7791762110078</v>
      </c>
      <c r="E31" s="6" t="str">
        <f>VLOOKUP(TABLA_PRECIOS[Código],LISTADO_PRODUCTOS[#All],5)</f>
        <v>N/A</v>
      </c>
      <c r="F31" s="4">
        <v>1</v>
      </c>
      <c r="G31" s="4">
        <v>1</v>
      </c>
      <c r="H31" s="6">
        <v>1</v>
      </c>
      <c r="I31" s="6"/>
      <c r="J31" s="9"/>
    </row>
    <row r="32" spans="1:10" ht="12" customHeight="1" x14ac:dyDescent="0.3">
      <c r="A32" s="4">
        <v>1039</v>
      </c>
      <c r="B32" s="6">
        <f>VLOOKUP(TABLA_PRECIOS[Código],LISTADO_PRODUCTOS[#All],2)</f>
        <v>54203</v>
      </c>
      <c r="C32" s="6" t="str">
        <f>VLOOKUP(TABLA_PRECIOS[Código],LISTADO_PRODUCTOS[#All],3)</f>
        <v>LIBRERÍA</v>
      </c>
      <c r="D32" s="6" t="str">
        <f>VLOOKUP(TABLA_PRECIOS[Código],LISTADO_PRODUCTOS[#All],4)</f>
        <v>Cuaderno T/flex Gloria x 24h</v>
      </c>
      <c r="E32" s="6" t="str">
        <f>VLOOKUP(TABLA_PRECIOS[Código],LISTADO_PRODUCTOS[#All],5)</f>
        <v>N/A</v>
      </c>
      <c r="F32" s="4">
        <v>1</v>
      </c>
      <c r="G32" s="4">
        <v>1</v>
      </c>
      <c r="H32" s="6">
        <v>1</v>
      </c>
      <c r="I32" s="6"/>
      <c r="J32" s="9"/>
    </row>
    <row r="33" spans="1:10" ht="12" customHeight="1" x14ac:dyDescent="0.3">
      <c r="A33" s="4">
        <v>1040</v>
      </c>
      <c r="B33" s="6">
        <f>VLOOKUP(TABLA_PRECIOS[Código],LISTADO_PRODUCTOS[#All],2)</f>
        <v>54204</v>
      </c>
      <c r="C33" s="6" t="str">
        <f>VLOOKUP(TABLA_PRECIOS[Código],LISTADO_PRODUCTOS[#All],3)</f>
        <v>LIBRERÍA</v>
      </c>
      <c r="D33" s="6" t="str">
        <f>VLOOKUP(TABLA_PRECIOS[Código],LISTADO_PRODUCTOS[#All],4)</f>
        <v>Repuesto N°3 Husares x 480h</v>
      </c>
      <c r="E33" s="6" t="str">
        <f>VLOOKUP(TABLA_PRECIOS[Código],LISTADO_PRODUCTOS[#All],5)</f>
        <v>N/A</v>
      </c>
      <c r="F33" s="4">
        <v>1</v>
      </c>
      <c r="G33" s="4">
        <v>1</v>
      </c>
      <c r="H33" s="6">
        <v>1</v>
      </c>
      <c r="I33" s="6"/>
      <c r="J33" s="9"/>
    </row>
    <row r="34" spans="1:10" ht="12" customHeight="1" x14ac:dyDescent="0.3">
      <c r="A34" s="4">
        <v>1041</v>
      </c>
      <c r="B34" s="6">
        <f>VLOOKUP(TABLA_PRECIOS[Código],LISTADO_PRODUCTOS[#All],2)</f>
        <v>54205</v>
      </c>
      <c r="C34" s="6" t="str">
        <f>VLOOKUP(TABLA_PRECIOS[Código],LISTADO_PRODUCTOS[#All],3)</f>
        <v>LIBRERÍA</v>
      </c>
      <c r="D34" s="6" t="str">
        <f>VLOOKUP(TABLA_PRECIOS[Código],LISTADO_PRODUCTOS[#All],4)</f>
        <v>Repuesto A4 Éxito M/Reforzado x 96h - 7791762400124</v>
      </c>
      <c r="E34" s="6" t="str">
        <f>VLOOKUP(TABLA_PRECIOS[Código],LISTADO_PRODUCTOS[#All],5)</f>
        <v>N/A</v>
      </c>
      <c r="F34" s="4">
        <v>1</v>
      </c>
      <c r="G34" s="4">
        <v>1</v>
      </c>
      <c r="H34" s="6">
        <v>1</v>
      </c>
      <c r="I34" s="6"/>
      <c r="J34" s="9"/>
    </row>
    <row r="35" spans="1:10" ht="12" customHeight="1" x14ac:dyDescent="0.3">
      <c r="A35" s="4">
        <v>1042</v>
      </c>
      <c r="B35" s="6">
        <f>VLOOKUP(TABLA_PRECIOS[Código],LISTADO_PRODUCTOS[#All],2)</f>
        <v>54206</v>
      </c>
      <c r="C35" s="6" t="str">
        <f>VLOOKUP(TABLA_PRECIOS[Código],LISTADO_PRODUCTOS[#All],3)</f>
        <v>LIBRERÍA</v>
      </c>
      <c r="D35" s="6" t="str">
        <f>VLOOKUP(TABLA_PRECIOS[Código],LISTADO_PRODUCTOS[#All],4)</f>
        <v>Repuesto A4 Rivadavia M/Ref x96h - 7792216041917</v>
      </c>
      <c r="E35" s="6" t="str">
        <f>VLOOKUP(TABLA_PRECIOS[Código],LISTADO_PRODUCTOS[#All],5)</f>
        <v>N/A</v>
      </c>
      <c r="F35" s="4">
        <v>1</v>
      </c>
      <c r="G35" s="4">
        <v>1</v>
      </c>
      <c r="H35" s="6">
        <v>1</v>
      </c>
      <c r="I35" s="6"/>
      <c r="J35" s="9"/>
    </row>
    <row r="36" spans="1:10" ht="12" customHeight="1" x14ac:dyDescent="0.3">
      <c r="A36" s="4">
        <v>1043</v>
      </c>
      <c r="B36" s="6">
        <f>VLOOKUP(TABLA_PRECIOS[Código],LISTADO_PRODUCTOS[#All],2)</f>
        <v>54207</v>
      </c>
      <c r="C36" s="6" t="str">
        <f>VLOOKUP(TABLA_PRECIOS[Código],LISTADO_PRODUCTOS[#All],3)</f>
        <v>LIBRERÍA</v>
      </c>
      <c r="D36" s="6" t="str">
        <f>VLOOKUP(TABLA_PRECIOS[Código],LISTADO_PRODUCTOS[#All],4)</f>
        <v>Repuesto A4 Rivadavia M/Ref x 48h</v>
      </c>
      <c r="E36" s="6" t="str">
        <f>VLOOKUP(TABLA_PRECIOS[Código],LISTADO_PRODUCTOS[#All],5)</f>
        <v>N/A</v>
      </c>
      <c r="F36" s="4">
        <v>1</v>
      </c>
      <c r="G36" s="4">
        <v>1</v>
      </c>
      <c r="H36" s="6">
        <v>1</v>
      </c>
      <c r="I36" s="6"/>
      <c r="J36" s="9"/>
    </row>
    <row r="37" spans="1:10" ht="12" customHeight="1" x14ac:dyDescent="0.3">
      <c r="A37" s="4">
        <v>1044</v>
      </c>
      <c r="B37" s="6">
        <f>VLOOKUP(TABLA_PRECIOS[Código],LISTADO_PRODUCTOS[#All],2)</f>
        <v>54208</v>
      </c>
      <c r="C37" s="6" t="str">
        <f>VLOOKUP(TABLA_PRECIOS[Código],LISTADO_PRODUCTOS[#All],3)</f>
        <v>LIBRERÍA</v>
      </c>
      <c r="D37" s="6" t="str">
        <f>VLOOKUP(TABLA_PRECIOS[Código],LISTADO_PRODUCTOS[#All],4)</f>
        <v>Repuesto escolar A4 Éxito x 192h M/Reforzado</v>
      </c>
      <c r="E37" s="6" t="str">
        <f>VLOOKUP(TABLA_PRECIOS[Código],LISTADO_PRODUCTOS[#All],5)</f>
        <v>N/A</v>
      </c>
      <c r="F37" s="4">
        <v>1</v>
      </c>
      <c r="G37" s="4">
        <v>1</v>
      </c>
      <c r="H37" s="6">
        <v>1</v>
      </c>
      <c r="I37" s="6"/>
      <c r="J37" s="9"/>
    </row>
    <row r="38" spans="1:10" ht="12" customHeight="1" x14ac:dyDescent="0.3">
      <c r="A38" s="4">
        <v>1045</v>
      </c>
      <c r="B38" s="6">
        <f>VLOOKUP(TABLA_PRECIOS[Código],LISTADO_PRODUCTOS[#All],2)</f>
        <v>54209</v>
      </c>
      <c r="C38" s="6" t="str">
        <f>VLOOKUP(TABLA_PRECIOS[Código],LISTADO_PRODUCTOS[#All],3)</f>
        <v>LIBRERÍA</v>
      </c>
      <c r="D38" s="6" t="str">
        <f>VLOOKUP(TABLA_PRECIOS[Código],LISTADO_PRODUCTOS[#All],4)</f>
        <v xml:space="preserve">Repuesto A4 Husares x 48h </v>
      </c>
      <c r="E38" s="6" t="str">
        <f>VLOOKUP(TABLA_PRECIOS[Código],LISTADO_PRODUCTOS[#All],5)</f>
        <v>N/A</v>
      </c>
      <c r="F38" s="4">
        <v>1</v>
      </c>
      <c r="G38" s="4">
        <v>1</v>
      </c>
      <c r="H38" s="6">
        <v>1</v>
      </c>
      <c r="I38" s="6"/>
      <c r="J38" s="9"/>
    </row>
    <row r="39" spans="1:10" ht="12" customHeight="1" x14ac:dyDescent="0.3">
      <c r="A39" s="4">
        <v>1047</v>
      </c>
      <c r="B39" s="6">
        <f>VLOOKUP(TABLA_PRECIOS[Código],LISTADO_PRODUCTOS[#All],2)</f>
        <v>54210</v>
      </c>
      <c r="C39" s="6" t="str">
        <f>VLOOKUP(TABLA_PRECIOS[Código],LISTADO_PRODUCTOS[#All],3)</f>
        <v>LIBRERÍA</v>
      </c>
      <c r="D39" s="6" t="str">
        <f>VLOOKUP(TABLA_PRECIOS[Código],LISTADO_PRODUCTOS[#All],4)</f>
        <v>Repuesto A4 Husares 120h</v>
      </c>
      <c r="E39" s="6" t="str">
        <f>VLOOKUP(TABLA_PRECIOS[Código],LISTADO_PRODUCTOS[#All],5)</f>
        <v>N/A</v>
      </c>
      <c r="F39" s="4">
        <v>1</v>
      </c>
      <c r="G39" s="4">
        <v>1</v>
      </c>
      <c r="H39" s="6">
        <v>1</v>
      </c>
      <c r="I39" s="6"/>
      <c r="J39" s="9"/>
    </row>
    <row r="40" spans="1:10" ht="12" customHeight="1" x14ac:dyDescent="0.3">
      <c r="A40" s="4">
        <v>1048</v>
      </c>
      <c r="B40" s="6">
        <f>VLOOKUP(TABLA_PRECIOS[Código],LISTADO_PRODUCTOS[#All],2)</f>
        <v>54211</v>
      </c>
      <c r="C40" s="6" t="str">
        <f>VLOOKUP(TABLA_PRECIOS[Código],LISTADO_PRODUCTOS[#All],3)</f>
        <v>LIBRERÍA</v>
      </c>
      <c r="D40" s="6" t="str">
        <f>VLOOKUP(TABLA_PRECIOS[Código],LISTADO_PRODUCTOS[#All],4)</f>
        <v>Repuesto Nº3 Éxito M/R x 480h</v>
      </c>
      <c r="E40" s="6" t="str">
        <f>VLOOKUP(TABLA_PRECIOS[Código],LISTADO_PRODUCTOS[#All],5)</f>
        <v>N/A</v>
      </c>
      <c r="F40" s="4">
        <v>1</v>
      </c>
      <c r="G40" s="4">
        <v>1</v>
      </c>
      <c r="H40" s="6">
        <v>1</v>
      </c>
      <c r="I40" s="6"/>
      <c r="J40" s="9"/>
    </row>
    <row r="41" spans="1:10" ht="12" customHeight="1" x14ac:dyDescent="0.3">
      <c r="A41" s="4">
        <v>1049</v>
      </c>
      <c r="B41" s="6">
        <f>VLOOKUP(TABLA_PRECIOS[Código],LISTADO_PRODUCTOS[#All],2)</f>
        <v>54212</v>
      </c>
      <c r="C41" s="6" t="str">
        <f>VLOOKUP(TABLA_PRECIOS[Código],LISTADO_PRODUCTOS[#All],3)</f>
        <v>LIBRERÍA</v>
      </c>
      <c r="D41" s="6" t="str">
        <f>VLOOKUP(TABLA_PRECIOS[Código],LISTADO_PRODUCTOS[#All],4)</f>
        <v>Repuesto Nº3 Éxito M/R x 96h - 7791762480126</v>
      </c>
      <c r="E41" s="6" t="str">
        <f>VLOOKUP(TABLA_PRECIOS[Código],LISTADO_PRODUCTOS[#All],5)</f>
        <v>N/A</v>
      </c>
      <c r="F41" s="4">
        <v>1</v>
      </c>
      <c r="G41" s="4">
        <v>1</v>
      </c>
      <c r="H41" s="6">
        <v>1</v>
      </c>
      <c r="I41" s="6"/>
      <c r="J41" s="9"/>
    </row>
    <row r="42" spans="1:10" ht="12" customHeight="1" x14ac:dyDescent="0.3">
      <c r="A42" s="4">
        <v>1050</v>
      </c>
      <c r="B42" s="6">
        <f>VLOOKUP(TABLA_PRECIOS[Código],LISTADO_PRODUCTOS[#All],2)</f>
        <v>54213</v>
      </c>
      <c r="C42" s="6" t="str">
        <f>VLOOKUP(TABLA_PRECIOS[Código],LISTADO_PRODUCTOS[#All],3)</f>
        <v>LIBRERÍA</v>
      </c>
      <c r="D42" s="6" t="str">
        <f>VLOOKUP(TABLA_PRECIOS[Código],LISTADO_PRODUCTOS[#All],4)</f>
        <v>Repuesto Éxito N°3 M/R x 48h</v>
      </c>
      <c r="E42" s="6" t="str">
        <f>VLOOKUP(TABLA_PRECIOS[Código],LISTADO_PRODUCTOS[#All],5)</f>
        <v>N/A</v>
      </c>
      <c r="F42" s="4">
        <v>1</v>
      </c>
      <c r="G42" s="4">
        <v>1</v>
      </c>
      <c r="H42" s="6">
        <v>1</v>
      </c>
      <c r="I42" s="6"/>
      <c r="J42" s="9"/>
    </row>
    <row r="43" spans="1:10" ht="12" customHeight="1" x14ac:dyDescent="0.3">
      <c r="A43" s="4">
        <v>1051</v>
      </c>
      <c r="B43" s="6">
        <f>VLOOKUP(TABLA_PRECIOS[Código],LISTADO_PRODUCTOS[#All],2)</f>
        <v>54214</v>
      </c>
      <c r="C43" s="6" t="str">
        <f>VLOOKUP(TABLA_PRECIOS[Código],LISTADO_PRODUCTOS[#All],3)</f>
        <v>LIBRERÍA</v>
      </c>
      <c r="D43" s="6" t="str">
        <f>VLOOKUP(TABLA_PRECIOS[Código],LISTADO_PRODUCTOS[#All],4)</f>
        <v>Repuesto Nº3 Éxito M/R x 24h</v>
      </c>
      <c r="E43" s="6" t="str">
        <f>VLOOKUP(TABLA_PRECIOS[Código],LISTADO_PRODUCTOS[#All],5)</f>
        <v>N/A</v>
      </c>
      <c r="F43" s="4">
        <v>1</v>
      </c>
      <c r="G43" s="4">
        <v>1</v>
      </c>
      <c r="H43" s="6">
        <v>1</v>
      </c>
      <c r="I43" s="6"/>
      <c r="J43" s="9"/>
    </row>
    <row r="44" spans="1:10" ht="12" customHeight="1" x14ac:dyDescent="0.3">
      <c r="A44" s="4">
        <v>1052</v>
      </c>
      <c r="B44" s="6">
        <f>VLOOKUP(TABLA_PRECIOS[Código],LISTADO_PRODUCTOS[#All],2)</f>
        <v>54215</v>
      </c>
      <c r="C44" s="6" t="str">
        <f>VLOOKUP(TABLA_PRECIOS[Código],LISTADO_PRODUCTOS[#All],3)</f>
        <v>LIBRERÍA</v>
      </c>
      <c r="D44" s="6" t="str">
        <f>VLOOKUP(TABLA_PRECIOS[Código],LISTADO_PRODUCTOS[#All],4)</f>
        <v>Repuesto Nº3 Éxito x 480h</v>
      </c>
      <c r="E44" s="6" t="str">
        <f>VLOOKUP(TABLA_PRECIOS[Código],LISTADO_PRODUCTOS[#All],5)</f>
        <v>N/A</v>
      </c>
      <c r="F44" s="4">
        <v>1</v>
      </c>
      <c r="G44" s="4">
        <v>1</v>
      </c>
      <c r="H44" s="6">
        <v>1</v>
      </c>
      <c r="I44" s="6"/>
      <c r="J44" s="9"/>
    </row>
    <row r="45" spans="1:10" ht="12" customHeight="1" x14ac:dyDescent="0.3">
      <c r="A45" s="4">
        <v>1053</v>
      </c>
      <c r="B45" s="6">
        <f>VLOOKUP(TABLA_PRECIOS[Código],LISTADO_PRODUCTOS[#All],2)</f>
        <v>54216</v>
      </c>
      <c r="C45" s="6" t="str">
        <f>VLOOKUP(TABLA_PRECIOS[Código],LISTADO_PRODUCTOS[#All],3)</f>
        <v>LIBRERÍA</v>
      </c>
      <c r="D45" s="6" t="str">
        <f>VLOOKUP(TABLA_PRECIOS[Código],LISTADO_PRODUCTOS[#All],4)</f>
        <v>Repuesto Nº3 Éxito x 96h</v>
      </c>
      <c r="E45" s="6" t="str">
        <f>VLOOKUP(TABLA_PRECIOS[Código],LISTADO_PRODUCTOS[#All],5)</f>
        <v>N/A</v>
      </c>
      <c r="F45" s="4">
        <v>1</v>
      </c>
      <c r="G45" s="4">
        <v>1</v>
      </c>
      <c r="H45" s="6">
        <v>1</v>
      </c>
      <c r="I45" s="6"/>
      <c r="J45" s="9"/>
    </row>
    <row r="46" spans="1:10" ht="12" customHeight="1" x14ac:dyDescent="0.3">
      <c r="A46" s="4">
        <v>1054</v>
      </c>
      <c r="B46" s="6">
        <f>VLOOKUP(TABLA_PRECIOS[Código],LISTADO_PRODUCTOS[#All],2)</f>
        <v>54217</v>
      </c>
      <c r="C46" s="6" t="str">
        <f>VLOOKUP(TABLA_PRECIOS[Código],LISTADO_PRODUCTOS[#All],3)</f>
        <v>LIBRERÍA</v>
      </c>
      <c r="D46" s="6" t="str">
        <f>VLOOKUP(TABLA_PRECIOS[Código],LISTADO_PRODUCTOS[#All],4)</f>
        <v>Repuesto Nº3 Éxito x 48h</v>
      </c>
      <c r="E46" s="6" t="str">
        <f>VLOOKUP(TABLA_PRECIOS[Código],LISTADO_PRODUCTOS[#All],5)</f>
        <v>N/A</v>
      </c>
      <c r="F46" s="4">
        <v>1</v>
      </c>
      <c r="G46" s="4">
        <v>1</v>
      </c>
      <c r="H46" s="6">
        <v>1</v>
      </c>
      <c r="I46" s="6"/>
      <c r="J46" s="9"/>
    </row>
    <row r="47" spans="1:10" ht="12" customHeight="1" x14ac:dyDescent="0.3">
      <c r="A47" s="4">
        <v>1055</v>
      </c>
      <c r="B47" s="6">
        <f>VLOOKUP(TABLA_PRECIOS[Código],LISTADO_PRODUCTOS[#All],2)</f>
        <v>54218</v>
      </c>
      <c r="C47" s="6" t="str">
        <f>VLOOKUP(TABLA_PRECIOS[Código],LISTADO_PRODUCTOS[#All],3)</f>
        <v>LIBRERÍA</v>
      </c>
      <c r="D47" s="6" t="str">
        <f>VLOOKUP(TABLA_PRECIOS[Código],LISTADO_PRODUCTOS[#All],4)</f>
        <v>Repuesto Nº3 Éxito x 24h - 7791762486333</v>
      </c>
      <c r="E47" s="6" t="str">
        <f>VLOOKUP(TABLA_PRECIOS[Código],LISTADO_PRODUCTOS[#All],5)</f>
        <v>N/A</v>
      </c>
      <c r="F47" s="4">
        <v>1</v>
      </c>
      <c r="G47" s="4">
        <v>1</v>
      </c>
      <c r="H47" s="6">
        <v>1</v>
      </c>
      <c r="I47" s="6"/>
      <c r="J47" s="9"/>
    </row>
    <row r="48" spans="1:10" ht="12" customHeight="1" x14ac:dyDescent="0.3">
      <c r="A48" s="4">
        <v>1056</v>
      </c>
      <c r="B48" s="6">
        <f>VLOOKUP(TABLA_PRECIOS[Código],LISTADO_PRODUCTOS[#All],2)</f>
        <v>54219</v>
      </c>
      <c r="C48" s="6" t="str">
        <f>VLOOKUP(TABLA_PRECIOS[Código],LISTADO_PRODUCTOS[#All],3)</f>
        <v>LIBRERÍA</v>
      </c>
      <c r="D48" s="6" t="str">
        <f>VLOOKUP(TABLA_PRECIOS[Código],LISTADO_PRODUCTOS[#All],4)</f>
        <v>Repuesto Nº3 Rivadavia x 480h - 7792216050162</v>
      </c>
      <c r="E48" s="6" t="str">
        <f>VLOOKUP(TABLA_PRECIOS[Código],LISTADO_PRODUCTOS[#All],5)</f>
        <v>N/A</v>
      </c>
      <c r="F48" s="4">
        <v>1</v>
      </c>
      <c r="G48" s="4">
        <v>1</v>
      </c>
      <c r="H48" s="6">
        <v>1</v>
      </c>
      <c r="I48" s="6"/>
      <c r="J48" s="9"/>
    </row>
    <row r="49" spans="1:10" ht="12" customHeight="1" x14ac:dyDescent="0.3">
      <c r="A49" s="4">
        <v>1057</v>
      </c>
      <c r="B49" s="6">
        <f>VLOOKUP(TABLA_PRECIOS[Código],LISTADO_PRODUCTOS[#All],2)</f>
        <v>54220</v>
      </c>
      <c r="C49" s="6" t="str">
        <f>VLOOKUP(TABLA_PRECIOS[Código],LISTADO_PRODUCTOS[#All],3)</f>
        <v>LIBRERÍA</v>
      </c>
      <c r="D49" s="6" t="str">
        <f>VLOOKUP(TABLA_PRECIOS[Código],LISTADO_PRODUCTOS[#All],4)</f>
        <v>Repuesto Nº3 Rivadavia x 96h - 7792216041658</v>
      </c>
      <c r="E49" s="6" t="str">
        <f>VLOOKUP(TABLA_PRECIOS[Código],LISTADO_PRODUCTOS[#All],5)</f>
        <v>N/A</v>
      </c>
      <c r="F49" s="4">
        <v>1</v>
      </c>
      <c r="G49" s="4">
        <v>1</v>
      </c>
      <c r="H49" s="6">
        <v>1</v>
      </c>
      <c r="I49" s="6"/>
      <c r="J49" s="9"/>
    </row>
    <row r="50" spans="1:10" ht="12" customHeight="1" x14ac:dyDescent="0.3">
      <c r="A50" s="4">
        <v>1058</v>
      </c>
      <c r="B50" s="6">
        <f>VLOOKUP(TABLA_PRECIOS[Código],LISTADO_PRODUCTOS[#All],2)</f>
        <v>54221</v>
      </c>
      <c r="C50" s="6" t="str">
        <f>VLOOKUP(TABLA_PRECIOS[Código],LISTADO_PRODUCTOS[#All],3)</f>
        <v>LIBRERÍA</v>
      </c>
      <c r="D50" s="6" t="str">
        <f>VLOOKUP(TABLA_PRECIOS[Código],LISTADO_PRODUCTOS[#All],4)</f>
        <v>Repuesto Nº3 Rivadavia x 48h</v>
      </c>
      <c r="E50" s="6" t="str">
        <f>VLOOKUP(TABLA_PRECIOS[Código],LISTADO_PRODUCTOS[#All],5)</f>
        <v>N/A</v>
      </c>
      <c r="F50" s="4">
        <v>1</v>
      </c>
      <c r="G50" s="4">
        <v>1</v>
      </c>
      <c r="H50" s="6">
        <v>1</v>
      </c>
      <c r="I50" s="6"/>
      <c r="J50" s="9"/>
    </row>
    <row r="51" spans="1:10" ht="12" customHeight="1" x14ac:dyDescent="0.3">
      <c r="A51" s="4">
        <v>1059</v>
      </c>
      <c r="B51" s="6">
        <f>VLOOKUP(TABLA_PRECIOS[Código],LISTADO_PRODUCTOS[#All],2)</f>
        <v>54222</v>
      </c>
      <c r="C51" s="6" t="str">
        <f>VLOOKUP(TABLA_PRECIOS[Código],LISTADO_PRODUCTOS[#All],3)</f>
        <v>LIBRERÍA</v>
      </c>
      <c r="D51" s="6" t="str">
        <f>VLOOKUP(TABLA_PRECIOS[Código],LISTADO_PRODUCTOS[#All],4)</f>
        <v>Repuesto Nº3 Rivadavia x 24h</v>
      </c>
      <c r="E51" s="6" t="str">
        <f>VLOOKUP(TABLA_PRECIOS[Código],LISTADO_PRODUCTOS[#All],5)</f>
        <v>N/A</v>
      </c>
      <c r="F51" s="4">
        <v>1</v>
      </c>
      <c r="G51" s="4">
        <v>1</v>
      </c>
      <c r="H51" s="6">
        <v>1</v>
      </c>
      <c r="I51" s="6"/>
      <c r="J51" s="9"/>
    </row>
    <row r="52" spans="1:10" ht="12" customHeight="1" x14ac:dyDescent="0.3">
      <c r="A52" s="4">
        <v>1060</v>
      </c>
      <c r="B52" s="6">
        <f>VLOOKUP(TABLA_PRECIOS[Código],LISTADO_PRODUCTOS[#All],2)</f>
        <v>54223</v>
      </c>
      <c r="C52" s="6" t="str">
        <f>VLOOKUP(TABLA_PRECIOS[Código],LISTADO_PRODUCTOS[#All],3)</f>
        <v>LIBRERÍA</v>
      </c>
      <c r="D52" s="6" t="str">
        <f>VLOOKUP(TABLA_PRECIOS[Código],LISTADO_PRODUCTOS[#All],4)</f>
        <v>Cuaderno T/flex Gloria x 84h</v>
      </c>
      <c r="E52" s="6" t="str">
        <f>VLOOKUP(TABLA_PRECIOS[Código],LISTADO_PRODUCTOS[#All],5)</f>
        <v>N/A</v>
      </c>
      <c r="F52" s="4">
        <v>1</v>
      </c>
      <c r="G52" s="4">
        <v>1</v>
      </c>
      <c r="H52" s="6">
        <v>1</v>
      </c>
      <c r="I52" s="6"/>
      <c r="J52" s="9"/>
    </row>
    <row r="53" spans="1:10" ht="12" customHeight="1" x14ac:dyDescent="0.3">
      <c r="A53" s="4">
        <v>1061</v>
      </c>
      <c r="B53" s="6">
        <f>VLOOKUP(TABLA_PRECIOS[Código],LISTADO_PRODUCTOS[#All],2)</f>
        <v>54224</v>
      </c>
      <c r="C53" s="6" t="str">
        <f>VLOOKUP(TABLA_PRECIOS[Código],LISTADO_PRODUCTOS[#All],3)</f>
        <v>LIBRERÍA</v>
      </c>
      <c r="D53" s="6" t="str">
        <f>VLOOKUP(TABLA_PRECIOS[Código],LISTADO_PRODUCTOS[#All],4)</f>
        <v xml:space="preserve">Repuesto husares x 96h A4 rayado - </v>
      </c>
      <c r="E53" s="6" t="str">
        <f>VLOOKUP(TABLA_PRECIOS[Código],LISTADO_PRODUCTOS[#All],5)</f>
        <v>N/A</v>
      </c>
      <c r="F53" s="4">
        <v>1</v>
      </c>
      <c r="G53" s="4">
        <v>1</v>
      </c>
      <c r="H53" s="6">
        <v>1</v>
      </c>
      <c r="I53" s="6"/>
      <c r="J53" s="9"/>
    </row>
    <row r="54" spans="1:10" ht="12" customHeight="1" x14ac:dyDescent="0.3">
      <c r="A54" s="4">
        <v>1062</v>
      </c>
      <c r="B54" s="6">
        <f>VLOOKUP(TABLA_PRECIOS[Código],LISTADO_PRODUCTOS[#All],2)</f>
        <v>54225</v>
      </c>
      <c r="C54" s="6" t="str">
        <f>VLOOKUP(TABLA_PRECIOS[Código],LISTADO_PRODUCTOS[#All],3)</f>
        <v>LIBRERÍA</v>
      </c>
      <c r="D54" s="6" t="str">
        <f>VLOOKUP(TABLA_PRECIOS[Código],LISTADO_PRODUCTOS[#All],4)</f>
        <v>Repuesto A4 Husares 96h - 7792564060837</v>
      </c>
      <c r="E54" s="6" t="str">
        <f>VLOOKUP(TABLA_PRECIOS[Código],LISTADO_PRODUCTOS[#All],5)</f>
        <v>N/A</v>
      </c>
      <c r="F54" s="4">
        <v>1</v>
      </c>
      <c r="G54" s="4">
        <v>1</v>
      </c>
      <c r="H54" s="6">
        <v>1</v>
      </c>
      <c r="I54" s="6"/>
      <c r="J54" s="9"/>
    </row>
    <row r="55" spans="1:10" ht="12" customHeight="1" x14ac:dyDescent="0.3">
      <c r="A55" s="4">
        <v>1063</v>
      </c>
      <c r="B55" s="6">
        <f>VLOOKUP(TABLA_PRECIOS[Código],LISTADO_PRODUCTOS[#All],2)</f>
        <v>54226</v>
      </c>
      <c r="C55" s="6" t="str">
        <f>VLOOKUP(TABLA_PRECIOS[Código],LISTADO_PRODUCTOS[#All],3)</f>
        <v>LIBRERÍA</v>
      </c>
      <c r="D55" s="6" t="str">
        <f>VLOOKUP(TABLA_PRECIOS[Código],LISTADO_PRODUCTOS[#All],4)</f>
        <v>Repuesto escolar N°3 Husares x 96h</v>
      </c>
      <c r="E55" s="6" t="str">
        <f>VLOOKUP(TABLA_PRECIOS[Código],LISTADO_PRODUCTOS[#All],5)</f>
        <v>N/A</v>
      </c>
      <c r="F55" s="4">
        <v>1</v>
      </c>
      <c r="G55" s="4">
        <v>1</v>
      </c>
      <c r="H55" s="6">
        <v>1</v>
      </c>
      <c r="I55" s="6"/>
      <c r="J55" s="9"/>
    </row>
    <row r="56" spans="1:10" ht="12" customHeight="1" x14ac:dyDescent="0.3">
      <c r="A56" s="4">
        <v>1064</v>
      </c>
      <c r="B56" s="6">
        <f>VLOOKUP(TABLA_PRECIOS[Código],LISTADO_PRODUCTOS[#All],2)</f>
        <v>54227</v>
      </c>
      <c r="C56" s="6" t="str">
        <f>VLOOKUP(TABLA_PRECIOS[Código],LISTADO_PRODUCTOS[#All],3)</f>
        <v>LIBRERÍA</v>
      </c>
      <c r="D56" s="6" t="str">
        <f>VLOOKUP(TABLA_PRECIOS[Código],LISTADO_PRODUCTOS[#All],4)</f>
        <v>Repuesto Nº6 Canson Luma Blanco</v>
      </c>
      <c r="E56" s="6" t="str">
        <f>VLOOKUP(TABLA_PRECIOS[Código],LISTADO_PRODUCTOS[#All],5)</f>
        <v>N/A</v>
      </c>
      <c r="F56" s="4">
        <v>1</v>
      </c>
      <c r="G56" s="4">
        <v>1</v>
      </c>
      <c r="H56" s="6">
        <v>1</v>
      </c>
      <c r="I56" s="6"/>
      <c r="J56" s="9"/>
    </row>
    <row r="57" spans="1:10" ht="12" customHeight="1" x14ac:dyDescent="0.3">
      <c r="A57" s="4">
        <v>1065</v>
      </c>
      <c r="B57" s="6">
        <f>VLOOKUP(TABLA_PRECIOS[Código],LISTADO_PRODUCTOS[#All],2)</f>
        <v>54228</v>
      </c>
      <c r="C57" s="6" t="str">
        <f>VLOOKUP(TABLA_PRECIOS[Código],LISTADO_PRODUCTOS[#All],3)</f>
        <v>LIBRERÍA</v>
      </c>
      <c r="D57" s="6" t="str">
        <f>VLOOKUP(TABLA_PRECIOS[Código],LISTADO_PRODUCTOS[#All],4)</f>
        <v>Repuesto Nº5 Canson Luma Blanco</v>
      </c>
      <c r="E57" s="6" t="str">
        <f>VLOOKUP(TABLA_PRECIOS[Código],LISTADO_PRODUCTOS[#All],5)</f>
        <v>N/A</v>
      </c>
      <c r="F57" s="4">
        <v>1</v>
      </c>
      <c r="G57" s="4">
        <v>1</v>
      </c>
      <c r="H57" s="6">
        <v>1</v>
      </c>
      <c r="I57" s="6"/>
      <c r="J57" s="9"/>
    </row>
    <row r="58" spans="1:10" ht="12" customHeight="1" x14ac:dyDescent="0.3">
      <c r="A58" s="4">
        <v>1066</v>
      </c>
      <c r="B58" s="6">
        <f>VLOOKUP(TABLA_PRECIOS[Código],LISTADO_PRODUCTOS[#All],2)</f>
        <v>54229</v>
      </c>
      <c r="C58" s="6" t="str">
        <f>VLOOKUP(TABLA_PRECIOS[Código],LISTADO_PRODUCTOS[#All],3)</f>
        <v>LIBRERÍA</v>
      </c>
      <c r="D58" s="6" t="str">
        <f>VLOOKUP(TABLA_PRECIOS[Código],LISTADO_PRODUCTOS[#All],4)</f>
        <v>Repuesto Nº3 Canson Luma Blanco</v>
      </c>
      <c r="E58" s="6" t="str">
        <f>VLOOKUP(TABLA_PRECIOS[Código],LISTADO_PRODUCTOS[#All],5)</f>
        <v>N/A</v>
      </c>
      <c r="F58" s="4">
        <v>1</v>
      </c>
      <c r="G58" s="4">
        <v>1</v>
      </c>
      <c r="H58" s="6">
        <v>1</v>
      </c>
      <c r="I58" s="6"/>
      <c r="J58" s="9"/>
    </row>
    <row r="59" spans="1:10" ht="12" customHeight="1" x14ac:dyDescent="0.3">
      <c r="A59" s="4">
        <v>1067</v>
      </c>
      <c r="B59" s="6">
        <f>VLOOKUP(TABLA_PRECIOS[Código],LISTADO_PRODUCTOS[#All],2)</f>
        <v>54230</v>
      </c>
      <c r="C59" s="6" t="str">
        <f>VLOOKUP(TABLA_PRECIOS[Código],LISTADO_PRODUCTOS[#All],3)</f>
        <v>LIBRERÍA</v>
      </c>
      <c r="D59" s="6" t="str">
        <f>VLOOKUP(TABLA_PRECIOS[Código],LISTADO_PRODUCTOS[#All],4)</f>
        <v>Repuesto Nº5 Canson Luma Color</v>
      </c>
      <c r="E59" s="6" t="str">
        <f>VLOOKUP(TABLA_PRECIOS[Código],LISTADO_PRODUCTOS[#All],5)</f>
        <v>N/A</v>
      </c>
      <c r="F59" s="4">
        <v>1</v>
      </c>
      <c r="G59" s="4">
        <v>1</v>
      </c>
      <c r="H59" s="6">
        <v>1</v>
      </c>
      <c r="I59" s="6"/>
      <c r="J59" s="9"/>
    </row>
    <row r="60" spans="1:10" ht="12" customHeight="1" x14ac:dyDescent="0.3">
      <c r="A60" s="4">
        <v>1068</v>
      </c>
      <c r="B60" s="6">
        <f>VLOOKUP(TABLA_PRECIOS[Código],LISTADO_PRODUCTOS[#All],2)</f>
        <v>54231</v>
      </c>
      <c r="C60" s="6" t="str">
        <f>VLOOKUP(TABLA_PRECIOS[Código],LISTADO_PRODUCTOS[#All],3)</f>
        <v>LIBRERÍA</v>
      </c>
      <c r="D60" s="6" t="str">
        <f>VLOOKUP(TABLA_PRECIOS[Código],LISTADO_PRODUCTOS[#All],4)</f>
        <v>Repuesto Nº3 Canson Luma Color</v>
      </c>
      <c r="E60" s="6" t="str">
        <f>VLOOKUP(TABLA_PRECIOS[Código],LISTADO_PRODUCTOS[#All],5)</f>
        <v>N/A</v>
      </c>
      <c r="F60" s="4">
        <v>1</v>
      </c>
      <c r="G60" s="4">
        <v>1</v>
      </c>
      <c r="H60" s="6">
        <v>1</v>
      </c>
      <c r="I60" s="6"/>
      <c r="J60" s="9"/>
    </row>
    <row r="61" spans="1:10" ht="12" customHeight="1" x14ac:dyDescent="0.3">
      <c r="A61" s="4">
        <v>1069</v>
      </c>
      <c r="B61" s="6">
        <f>VLOOKUP(TABLA_PRECIOS[Código],LISTADO_PRODUCTOS[#All],2)</f>
        <v>54232</v>
      </c>
      <c r="C61" s="6" t="str">
        <f>VLOOKUP(TABLA_PRECIOS[Código],LISTADO_PRODUCTOS[#All],3)</f>
        <v>LIBRERÍA</v>
      </c>
      <c r="D61" s="6" t="str">
        <f>VLOOKUP(TABLA_PRECIOS[Código],LISTADO_PRODUCTOS[#All],4)</f>
        <v>Repuesto Nº5 Canson Luma Negro</v>
      </c>
      <c r="E61" s="6" t="str">
        <f>VLOOKUP(TABLA_PRECIOS[Código],LISTADO_PRODUCTOS[#All],5)</f>
        <v>N/A</v>
      </c>
      <c r="F61" s="4">
        <v>1</v>
      </c>
      <c r="G61" s="4">
        <v>1</v>
      </c>
      <c r="H61" s="6">
        <v>1</v>
      </c>
      <c r="I61" s="6"/>
      <c r="J61" s="9"/>
    </row>
    <row r="62" spans="1:10" ht="12" customHeight="1" x14ac:dyDescent="0.3">
      <c r="A62" s="4">
        <v>1070</v>
      </c>
      <c r="B62" s="6">
        <f>VLOOKUP(TABLA_PRECIOS[Código],LISTADO_PRODUCTOS[#All],2)</f>
        <v>54233</v>
      </c>
      <c r="C62" s="6" t="str">
        <f>VLOOKUP(TABLA_PRECIOS[Código],LISTADO_PRODUCTOS[#All],3)</f>
        <v>LIBRERÍA</v>
      </c>
      <c r="D62" s="6" t="str">
        <f>VLOOKUP(TABLA_PRECIOS[Código],LISTADO_PRODUCTOS[#All],4)</f>
        <v>Repuesto Nº3 Canson Luma Negro</v>
      </c>
      <c r="E62" s="6" t="str">
        <f>VLOOKUP(TABLA_PRECIOS[Código],LISTADO_PRODUCTOS[#All],5)</f>
        <v>N/A</v>
      </c>
      <c r="F62" s="4">
        <v>1</v>
      </c>
      <c r="G62" s="4">
        <v>1</v>
      </c>
      <c r="H62" s="6">
        <v>1</v>
      </c>
      <c r="I62" s="6"/>
      <c r="J62" s="9"/>
    </row>
    <row r="63" spans="1:10" ht="12" customHeight="1" x14ac:dyDescent="0.3">
      <c r="A63" s="4">
        <v>1071</v>
      </c>
      <c r="B63" s="6">
        <f>VLOOKUP(TABLA_PRECIOS[Código],LISTADO_PRODUCTOS[#All],2)</f>
        <v>54234</v>
      </c>
      <c r="C63" s="6" t="str">
        <f>VLOOKUP(TABLA_PRECIOS[Código],LISTADO_PRODUCTOS[#All],3)</f>
        <v>LIBRERÍA</v>
      </c>
      <c r="D63" s="6" t="str">
        <f>VLOOKUP(TABLA_PRECIOS[Código],LISTADO_PRODUCTOS[#All],4)</f>
        <v>Repuesto Nº5 Calcar Luma</v>
      </c>
      <c r="E63" s="6" t="str">
        <f>VLOOKUP(TABLA_PRECIOS[Código],LISTADO_PRODUCTOS[#All],5)</f>
        <v>N/A</v>
      </c>
      <c r="F63" s="4">
        <v>1</v>
      </c>
      <c r="G63" s="4">
        <v>1</v>
      </c>
      <c r="H63" s="6">
        <v>1</v>
      </c>
      <c r="I63" s="6"/>
      <c r="J63" s="9"/>
    </row>
    <row r="64" spans="1:10" ht="12" customHeight="1" x14ac:dyDescent="0.3">
      <c r="A64" s="4">
        <v>1072</v>
      </c>
      <c r="B64" s="6">
        <f>VLOOKUP(TABLA_PRECIOS[Código],LISTADO_PRODUCTOS[#All],2)</f>
        <v>54235</v>
      </c>
      <c r="C64" s="6" t="str">
        <f>VLOOKUP(TABLA_PRECIOS[Código],LISTADO_PRODUCTOS[#All],3)</f>
        <v>LIBRERÍA</v>
      </c>
      <c r="D64" s="6" t="str">
        <f>VLOOKUP(TABLA_PRECIOS[Código],LISTADO_PRODUCTOS[#All],4)</f>
        <v>Repuesto Nº3 Calcar Luma</v>
      </c>
      <c r="E64" s="6" t="str">
        <f>VLOOKUP(TABLA_PRECIOS[Código],LISTADO_PRODUCTOS[#All],5)</f>
        <v>N/A</v>
      </c>
      <c r="F64" s="4">
        <v>1</v>
      </c>
      <c r="G64" s="4">
        <v>1</v>
      </c>
      <c r="H64" s="6">
        <v>1</v>
      </c>
      <c r="I64" s="6"/>
      <c r="J64" s="9"/>
    </row>
    <row r="65" spans="1:10" ht="12" customHeight="1" x14ac:dyDescent="0.3">
      <c r="A65" s="4">
        <v>1073</v>
      </c>
      <c r="B65" s="6">
        <f>VLOOKUP(TABLA_PRECIOS[Código],LISTADO_PRODUCTOS[#All],2)</f>
        <v>54236</v>
      </c>
      <c r="C65" s="6" t="str">
        <f>VLOOKUP(TABLA_PRECIOS[Código],LISTADO_PRODUCTOS[#All],3)</f>
        <v>LIBRERÍA</v>
      </c>
      <c r="D65" s="6" t="str">
        <f>VLOOKUP(TABLA_PRECIOS[Código],LISTADO_PRODUCTOS[#All],4)</f>
        <v>Carpeta escolar Nº3 colores y dibujos lindos Mooving</v>
      </c>
      <c r="E65" s="6" t="str">
        <f>VLOOKUP(TABLA_PRECIOS[Código],LISTADO_PRODUCTOS[#All],5)</f>
        <v>N/A</v>
      </c>
      <c r="F65" s="4">
        <v>1</v>
      </c>
      <c r="G65" s="4">
        <v>1</v>
      </c>
      <c r="H65" s="6">
        <v>1</v>
      </c>
      <c r="I65" s="6"/>
      <c r="J65" s="9"/>
    </row>
    <row r="66" spans="1:10" ht="12" customHeight="1" x14ac:dyDescent="0.3">
      <c r="A66" s="4">
        <v>1074</v>
      </c>
      <c r="B66" s="6">
        <f>VLOOKUP(TABLA_PRECIOS[Código],LISTADO_PRODUCTOS[#All],2)</f>
        <v>54237</v>
      </c>
      <c r="C66" s="6" t="str">
        <f>VLOOKUP(TABLA_PRECIOS[Código],LISTADO_PRODUCTOS[#All],3)</f>
        <v>LIBRERÍA</v>
      </c>
      <c r="D66" s="6" t="str">
        <f>VLOOKUP(TABLA_PRECIOS[Código],LISTADO_PRODUCTOS[#All],4)</f>
        <v>Carpeta Nº3 Neon 2020</v>
      </c>
      <c r="E66" s="6" t="str">
        <f>VLOOKUP(TABLA_PRECIOS[Código],LISTADO_PRODUCTOS[#All],5)</f>
        <v>N/A</v>
      </c>
      <c r="F66" s="4">
        <v>1</v>
      </c>
      <c r="G66" s="4">
        <v>1</v>
      </c>
      <c r="H66" s="6">
        <v>1</v>
      </c>
      <c r="I66" s="6"/>
      <c r="J66" s="9"/>
    </row>
    <row r="67" spans="1:10" ht="12" customHeight="1" x14ac:dyDescent="0.3">
      <c r="A67" s="4">
        <v>1075</v>
      </c>
      <c r="B67" s="6">
        <f>VLOOKUP(TABLA_PRECIOS[Código],LISTADO_PRODUCTOS[#All],2)</f>
        <v>54238</v>
      </c>
      <c r="C67" s="6" t="str">
        <f>VLOOKUP(TABLA_PRECIOS[Código],LISTADO_PRODUCTOS[#All],3)</f>
        <v>LIBRERÍA</v>
      </c>
      <c r="D67" s="6" t="str">
        <f>VLOOKUP(TABLA_PRECIOS[Código],LISTADO_PRODUCTOS[#All],4)</f>
        <v>Carpeta Nº3 Jurasic Park</v>
      </c>
      <c r="E67" s="6" t="str">
        <f>VLOOKUP(TABLA_PRECIOS[Código],LISTADO_PRODUCTOS[#All],5)</f>
        <v>N/A</v>
      </c>
      <c r="F67" s="4">
        <v>1</v>
      </c>
      <c r="G67" s="4">
        <v>1</v>
      </c>
      <c r="H67" s="6">
        <v>1</v>
      </c>
      <c r="I67" s="6"/>
      <c r="J67" s="9"/>
    </row>
    <row r="68" spans="1:10" ht="12" customHeight="1" x14ac:dyDescent="0.3">
      <c r="A68" s="4">
        <v>1076</v>
      </c>
      <c r="B68" s="6">
        <f>VLOOKUP(TABLA_PRECIOS[Código],LISTADO_PRODUCTOS[#All],2)</f>
        <v>54239</v>
      </c>
      <c r="C68" s="6" t="str">
        <f>VLOOKUP(TABLA_PRECIOS[Código],LISTADO_PRODUCTOS[#All],3)</f>
        <v>LIBRERÍA</v>
      </c>
      <c r="D68" s="6" t="str">
        <f>VLOOKUP(TABLA_PRECIOS[Código],LISTADO_PRODUCTOS[#All],4)</f>
        <v>Carpeta Nº3 3aros diseño zapatilla linea snakers Ito 2020</v>
      </c>
      <c r="E68" s="6" t="str">
        <f>VLOOKUP(TABLA_PRECIOS[Código],LISTADO_PRODUCTOS[#All],5)</f>
        <v>N/A</v>
      </c>
      <c r="F68" s="4">
        <v>1</v>
      </c>
      <c r="G68" s="4">
        <v>1</v>
      </c>
      <c r="H68" s="6">
        <v>1</v>
      </c>
      <c r="I68" s="6"/>
      <c r="J68" s="9"/>
    </row>
    <row r="69" spans="1:10" ht="12" customHeight="1" x14ac:dyDescent="0.3">
      <c r="A69" s="4">
        <v>1077</v>
      </c>
      <c r="B69" s="6">
        <f>VLOOKUP(TABLA_PRECIOS[Código],LISTADO_PRODUCTOS[#All],2)</f>
        <v>54240</v>
      </c>
      <c r="C69" s="6" t="str">
        <f>VLOOKUP(TABLA_PRECIOS[Código],LISTADO_PRODUCTOS[#All],3)</f>
        <v>LIBRERÍA</v>
      </c>
      <c r="D69" s="6" t="str">
        <f>VLOOKUP(TABLA_PRECIOS[Código],LISTADO_PRODUCTOS[#All],4)</f>
        <v>Carpeta Nº3 isofit forrada lisa</v>
      </c>
      <c r="E69" s="6" t="str">
        <f>VLOOKUP(TABLA_PRECIOS[Código],LISTADO_PRODUCTOS[#All],5)</f>
        <v>N/A</v>
      </c>
      <c r="F69" s="4">
        <v>1</v>
      </c>
      <c r="G69" s="4">
        <v>1</v>
      </c>
      <c r="H69" s="6">
        <v>1</v>
      </c>
      <c r="I69" s="6"/>
      <c r="J69" s="9"/>
    </row>
    <row r="70" spans="1:10" ht="12" customHeight="1" x14ac:dyDescent="0.3">
      <c r="A70" s="4">
        <v>1078</v>
      </c>
      <c r="B70" s="6">
        <f>VLOOKUP(TABLA_PRECIOS[Código],LISTADO_PRODUCTOS[#All],2)</f>
        <v>54241</v>
      </c>
      <c r="C70" s="6" t="str">
        <f>VLOOKUP(TABLA_PRECIOS[Código],LISTADO_PRODUCTOS[#All],3)</f>
        <v>LIBRERÍA</v>
      </c>
      <c r="D70" s="6" t="str">
        <f>VLOOKUP(TABLA_PRECIOS[Código],LISTADO_PRODUCTOS[#All],4)</f>
        <v>Carpeta Nº3 Rivadavia C/Çhojas</v>
      </c>
      <c r="E70" s="6" t="str">
        <f>VLOOKUP(TABLA_PRECIOS[Código],LISTADO_PRODUCTOS[#All],5)</f>
        <v>N/A</v>
      </c>
      <c r="F70" s="4">
        <v>1</v>
      </c>
      <c r="G70" s="4">
        <v>1</v>
      </c>
      <c r="H70" s="6">
        <v>1</v>
      </c>
      <c r="I70" s="6"/>
      <c r="J70" s="9"/>
    </row>
    <row r="71" spans="1:10" ht="12" customHeight="1" x14ac:dyDescent="0.3">
      <c r="A71" s="4">
        <v>1079</v>
      </c>
      <c r="B71" s="6">
        <f>VLOOKUP(TABLA_PRECIOS[Código],LISTADO_PRODUCTOS[#All],2)</f>
        <v>54242</v>
      </c>
      <c r="C71" s="6" t="str">
        <f>VLOOKUP(TABLA_PRECIOS[Código],LISTADO_PRODUCTOS[#All],3)</f>
        <v>LIBRERÍA</v>
      </c>
      <c r="D71" s="6" t="str">
        <f>VLOOKUP(TABLA_PRECIOS[Código],LISTADO_PRODUCTOS[#All],4)</f>
        <v>Carpeta escolar Nº3 Util-off Mia / Love</v>
      </c>
      <c r="E71" s="6" t="str">
        <f>VLOOKUP(TABLA_PRECIOS[Código],LISTADO_PRODUCTOS[#All],5)</f>
        <v>N/A</v>
      </c>
      <c r="F71" s="4">
        <v>1</v>
      </c>
      <c r="G71" s="4">
        <v>1</v>
      </c>
      <c r="H71" s="6">
        <v>1</v>
      </c>
      <c r="I71" s="6"/>
      <c r="J71" s="9"/>
    </row>
    <row r="72" spans="1:10" ht="12" customHeight="1" x14ac:dyDescent="0.3">
      <c r="A72" s="4">
        <v>1080</v>
      </c>
      <c r="B72" s="6">
        <f>VLOOKUP(TABLA_PRECIOS[Código],LISTADO_PRODUCTOS[#All],2)</f>
        <v>54243</v>
      </c>
      <c r="C72" s="6" t="str">
        <f>VLOOKUP(TABLA_PRECIOS[Código],LISTADO_PRODUCTOS[#All],3)</f>
        <v>LIBRERÍA</v>
      </c>
      <c r="D72" s="6" t="str">
        <f>VLOOKUP(TABLA_PRECIOS[Código],LISTADO_PRODUCTOS[#All],4)</f>
        <v>Carpeta Dibujo Nº3 3aros (Se entrega con aros OTA 35mm)</v>
      </c>
      <c r="E72" s="6" t="str">
        <f>VLOOKUP(TABLA_PRECIOS[Código],LISTADO_PRODUCTOS[#All],5)</f>
        <v>N/A</v>
      </c>
      <c r="F72" s="4">
        <v>1</v>
      </c>
      <c r="G72" s="4">
        <v>1</v>
      </c>
      <c r="H72" s="6">
        <v>1</v>
      </c>
      <c r="I72" s="6"/>
      <c r="J72" s="9"/>
    </row>
    <row r="73" spans="1:10" ht="12" customHeight="1" x14ac:dyDescent="0.3">
      <c r="A73" s="4">
        <v>1081</v>
      </c>
      <c r="B73" s="6">
        <f>VLOOKUP(TABLA_PRECIOS[Código],LISTADO_PRODUCTOS[#All],2)</f>
        <v>54244</v>
      </c>
      <c r="C73" s="6" t="str">
        <f>VLOOKUP(TABLA_PRECIOS[Código],LISTADO_PRODUCTOS[#All],3)</f>
        <v>LIBRERÍA</v>
      </c>
      <c r="D73" s="6" t="str">
        <f>VLOOKUP(TABLA_PRECIOS[Código],LISTADO_PRODUCTOS[#All],4)</f>
        <v>Carpeta Avery esquela 3 anillos small format</v>
      </c>
      <c r="E73" s="6" t="str">
        <f>VLOOKUP(TABLA_PRECIOS[Código],LISTADO_PRODUCTOS[#All],5)</f>
        <v>N/A</v>
      </c>
      <c r="F73" s="4">
        <v>1</v>
      </c>
      <c r="G73" s="4">
        <v>1</v>
      </c>
      <c r="H73" s="6">
        <v>1</v>
      </c>
      <c r="I73" s="6"/>
      <c r="J73" s="9"/>
    </row>
    <row r="74" spans="1:10" ht="12" customHeight="1" x14ac:dyDescent="0.3">
      <c r="A74" s="4">
        <v>1082</v>
      </c>
      <c r="B74" s="6">
        <f>VLOOKUP(TABLA_PRECIOS[Código],LISTADO_PRODUCTOS[#All],2)</f>
        <v>54245</v>
      </c>
      <c r="C74" s="6" t="str">
        <f>VLOOKUP(TABLA_PRECIOS[Código],LISTADO_PRODUCTOS[#All],3)</f>
        <v>LIBRERÍA</v>
      </c>
      <c r="D74" s="6" t="str">
        <f>VLOOKUP(TABLA_PRECIOS[Código],LISTADO_PRODUCTOS[#All],4)</f>
        <v>Cuaderno Nº3 Triunfante lunares x 50h</v>
      </c>
      <c r="E74" s="6" t="str">
        <f>VLOOKUP(TABLA_PRECIOS[Código],LISTADO_PRODUCTOS[#All],5)</f>
        <v>N/A</v>
      </c>
      <c r="F74" s="4">
        <v>1</v>
      </c>
      <c r="G74" s="4">
        <v>1</v>
      </c>
      <c r="H74" s="6">
        <v>1</v>
      </c>
      <c r="I74" s="6"/>
      <c r="J74" s="9"/>
    </row>
    <row r="75" spans="1:10" ht="12" customHeight="1" x14ac:dyDescent="0.3">
      <c r="A75" s="4">
        <v>1083</v>
      </c>
      <c r="B75" s="6">
        <f>VLOOKUP(TABLA_PRECIOS[Código],LISTADO_PRODUCTOS[#All],2)</f>
        <v>54246</v>
      </c>
      <c r="C75" s="6" t="str">
        <f>VLOOKUP(TABLA_PRECIOS[Código],LISTADO_PRODUCTOS[#All],3)</f>
        <v>LIBRERÍA</v>
      </c>
      <c r="D75" s="6" t="str">
        <f>VLOOKUP(TABLA_PRECIOS[Código],LISTADO_PRODUCTOS[#All],4)</f>
        <v>Carpeta Nº5 mooving / camaron brujo / rexon / ink-drop  c/aros</v>
      </c>
      <c r="E75" s="6" t="str">
        <f>VLOOKUP(TABLA_PRECIOS[Código],LISTADO_PRODUCTOS[#All],5)</f>
        <v>N/A</v>
      </c>
      <c r="F75" s="4">
        <v>1</v>
      </c>
      <c r="G75" s="4">
        <v>1</v>
      </c>
      <c r="H75" s="6">
        <v>1</v>
      </c>
      <c r="I75" s="6"/>
      <c r="J75" s="9"/>
    </row>
    <row r="76" spans="1:10" ht="12" customHeight="1" x14ac:dyDescent="0.3">
      <c r="A76" s="4">
        <v>1084</v>
      </c>
      <c r="B76" s="6">
        <f>VLOOKUP(TABLA_PRECIOS[Código],LISTADO_PRODUCTOS[#All],2)</f>
        <v>54247</v>
      </c>
      <c r="C76" s="6" t="str">
        <f>VLOOKUP(TABLA_PRECIOS[Código],LISTADO_PRODUCTOS[#All],3)</f>
        <v>LIBRERÍA</v>
      </c>
      <c r="D76" s="6" t="str">
        <f>VLOOKUP(TABLA_PRECIOS[Código],LISTADO_PRODUCTOS[#All],4)</f>
        <v>Carpeta Nº5 el nene c/aros y hojas</v>
      </c>
      <c r="E76" s="6" t="str">
        <f>VLOOKUP(TABLA_PRECIOS[Código],LISTADO_PRODUCTOS[#All],5)</f>
        <v>N/A</v>
      </c>
      <c r="F76" s="4">
        <v>1</v>
      </c>
      <c r="G76" s="4">
        <v>1</v>
      </c>
      <c r="H76" s="6">
        <v>1</v>
      </c>
      <c r="I76" s="6"/>
      <c r="J76" s="9"/>
    </row>
    <row r="77" spans="1:10" ht="12" customHeight="1" x14ac:dyDescent="0.3">
      <c r="A77" s="4">
        <v>1085</v>
      </c>
      <c r="B77" s="6">
        <f>VLOOKUP(TABLA_PRECIOS[Código],LISTADO_PRODUCTOS[#All],2)</f>
        <v>54248</v>
      </c>
      <c r="C77" s="6" t="str">
        <f>VLOOKUP(TABLA_PRECIOS[Código],LISTADO_PRODUCTOS[#All],3)</f>
        <v>LIBRERÍA</v>
      </c>
      <c r="D77" s="6" t="str">
        <f>VLOOKUP(TABLA_PRECIOS[Código],LISTADO_PRODUCTOS[#All],4)</f>
        <v>Carpeta Nº5 C/Relieve</v>
      </c>
      <c r="E77" s="6" t="str">
        <f>VLOOKUP(TABLA_PRECIOS[Código],LISTADO_PRODUCTOS[#All],5)</f>
        <v>N/A</v>
      </c>
      <c r="F77" s="4">
        <v>1</v>
      </c>
      <c r="G77" s="4">
        <v>1</v>
      </c>
      <c r="H77" s="6">
        <v>1</v>
      </c>
      <c r="I77" s="6"/>
      <c r="J77" s="9"/>
    </row>
    <row r="78" spans="1:10" ht="12" customHeight="1" x14ac:dyDescent="0.3">
      <c r="A78" s="4">
        <v>1086</v>
      </c>
      <c r="B78" s="6">
        <f>VLOOKUP(TABLA_PRECIOS[Código],LISTADO_PRODUCTOS[#All],2)</f>
        <v>54249</v>
      </c>
      <c r="C78" s="6" t="str">
        <f>VLOOKUP(TABLA_PRECIOS[Código],LISTADO_PRODUCTOS[#All],3)</f>
        <v>LIBRERÍA</v>
      </c>
      <c r="D78" s="6" t="str">
        <f>VLOOKUP(TABLA_PRECIOS[Código],LISTADO_PRODUCTOS[#All],4)</f>
        <v>Carpeta Nº5 Lavable</v>
      </c>
      <c r="E78" s="6" t="str">
        <f>VLOOKUP(TABLA_PRECIOS[Código],LISTADO_PRODUCTOS[#All],5)</f>
        <v>N/A</v>
      </c>
      <c r="F78" s="4">
        <v>1</v>
      </c>
      <c r="G78" s="4">
        <v>1</v>
      </c>
      <c r="H78" s="6">
        <v>1</v>
      </c>
      <c r="I78" s="6"/>
      <c r="J78" s="9"/>
    </row>
    <row r="79" spans="1:10" ht="12" customHeight="1" x14ac:dyDescent="0.3">
      <c r="A79" s="4">
        <v>1087</v>
      </c>
      <c r="B79" s="6">
        <f>VLOOKUP(TABLA_PRECIOS[Código],LISTADO_PRODUCTOS[#All],2)</f>
        <v>54250</v>
      </c>
      <c r="C79" s="6" t="str">
        <f>VLOOKUP(TABLA_PRECIOS[Código],LISTADO_PRODUCTOS[#All],3)</f>
        <v>LIBRERÍA</v>
      </c>
      <c r="D79" s="6" t="str">
        <f>VLOOKUP(TABLA_PRECIOS[Código],LISTADO_PRODUCTOS[#All],4)</f>
        <v>Carpeta 3 Solapas Mot. Varios</v>
      </c>
      <c r="E79" s="6" t="str">
        <f>VLOOKUP(TABLA_PRECIOS[Código],LISTADO_PRODUCTOS[#All],5)</f>
        <v>N/A</v>
      </c>
      <c r="F79" s="4">
        <v>1</v>
      </c>
      <c r="G79" s="4">
        <v>1</v>
      </c>
      <c r="H79" s="6">
        <v>1</v>
      </c>
      <c r="I79" s="6"/>
      <c r="J79" s="9"/>
    </row>
    <row r="80" spans="1:10" ht="12" customHeight="1" x14ac:dyDescent="0.3">
      <c r="A80" s="4">
        <v>1088</v>
      </c>
      <c r="B80" s="6">
        <f>VLOOKUP(TABLA_PRECIOS[Código],LISTADO_PRODUCTOS[#All],2)</f>
        <v>54251</v>
      </c>
      <c r="C80" s="6" t="str">
        <f>VLOOKUP(TABLA_PRECIOS[Código],LISTADO_PRODUCTOS[#All],3)</f>
        <v>LIBRERÍA</v>
      </c>
      <c r="D80" s="6" t="str">
        <f>VLOOKUP(TABLA_PRECIOS[Código],LISTADO_PRODUCTOS[#All],4)</f>
        <v>Carpeta 3 Solapas Comun</v>
      </c>
      <c r="E80" s="6" t="str">
        <f>VLOOKUP(TABLA_PRECIOS[Código],LISTADO_PRODUCTOS[#All],5)</f>
        <v>N/A</v>
      </c>
      <c r="F80" s="4">
        <v>1</v>
      </c>
      <c r="G80" s="4">
        <v>1</v>
      </c>
      <c r="H80" s="6">
        <v>1</v>
      </c>
      <c r="I80" s="6"/>
      <c r="J80" s="9"/>
    </row>
    <row r="81" spans="1:10" ht="12" customHeight="1" x14ac:dyDescent="0.3">
      <c r="A81" s="4">
        <v>1089</v>
      </c>
      <c r="B81" s="6">
        <f>VLOOKUP(TABLA_PRECIOS[Código],LISTADO_PRODUCTOS[#All],2)</f>
        <v>54252</v>
      </c>
      <c r="C81" s="6" t="str">
        <f>VLOOKUP(TABLA_PRECIOS[Código],LISTADO_PRODUCTOS[#All],3)</f>
        <v>LIBRERÍA</v>
      </c>
      <c r="D81" s="6" t="str">
        <f>VLOOKUP(TABLA_PRECIOS[Código],LISTADO_PRODUCTOS[#All],4)</f>
        <v>Carpeta 3 solapas 35 x 50 Rivadavia</v>
      </c>
      <c r="E81" s="6" t="str">
        <f>VLOOKUP(TABLA_PRECIOS[Código],LISTADO_PRODUCTOS[#All],5)</f>
        <v>N/A</v>
      </c>
      <c r="F81" s="4">
        <v>1</v>
      </c>
      <c r="G81" s="4">
        <v>1</v>
      </c>
      <c r="H81" s="6">
        <v>1</v>
      </c>
      <c r="I81" s="6"/>
      <c r="J81" s="9"/>
    </row>
    <row r="82" spans="1:10" ht="12" customHeight="1" x14ac:dyDescent="0.3">
      <c r="A82" s="4">
        <v>1090</v>
      </c>
      <c r="B82" s="6">
        <f>VLOOKUP(TABLA_PRECIOS[Código],LISTADO_PRODUCTOS[#All],2)</f>
        <v>54253</v>
      </c>
      <c r="C82" s="6" t="str">
        <f>VLOOKUP(TABLA_PRECIOS[Código],LISTADO_PRODUCTOS[#All],3)</f>
        <v>LIBRERÍA</v>
      </c>
      <c r="D82" s="6" t="str">
        <f>VLOOKUP(TABLA_PRECIOS[Código],LISTADO_PRODUCTOS[#All],4)</f>
        <v>Carpeta Fibra 35 x 50</v>
      </c>
      <c r="E82" s="6" t="str">
        <f>VLOOKUP(TABLA_PRECIOS[Código],LISTADO_PRODUCTOS[#All],5)</f>
        <v>N/A</v>
      </c>
      <c r="F82" s="4">
        <v>1</v>
      </c>
      <c r="G82" s="4">
        <v>1</v>
      </c>
      <c r="H82" s="6">
        <v>1</v>
      </c>
      <c r="I82" s="6"/>
      <c r="J82" s="9"/>
    </row>
    <row r="83" spans="1:10" ht="12" customHeight="1" x14ac:dyDescent="0.3">
      <c r="A83" s="4">
        <v>1091</v>
      </c>
      <c r="B83" s="6">
        <f>VLOOKUP(TABLA_PRECIOS[Código],LISTADO_PRODUCTOS[#All],2)</f>
        <v>54254</v>
      </c>
      <c r="C83" s="6" t="str">
        <f>VLOOKUP(TABLA_PRECIOS[Código],LISTADO_PRODUCTOS[#All],3)</f>
        <v>LIBRERÍA</v>
      </c>
      <c r="D83" s="6" t="str">
        <f>VLOOKUP(TABLA_PRECIOS[Código],LISTADO_PRODUCTOS[#All],4)</f>
        <v>Repuesto Canson N°5 Luma FLUO</v>
      </c>
      <c r="E83" s="6" t="str">
        <f>VLOOKUP(TABLA_PRECIOS[Código],LISTADO_PRODUCTOS[#All],5)</f>
        <v>N/A</v>
      </c>
      <c r="F83" s="4">
        <v>1</v>
      </c>
      <c r="G83" s="4">
        <v>1</v>
      </c>
      <c r="H83" s="6">
        <v>1</v>
      </c>
      <c r="I83" s="6"/>
      <c r="J83" s="9"/>
    </row>
    <row r="84" spans="1:10" ht="12" customHeight="1" x14ac:dyDescent="0.3">
      <c r="A84" s="4">
        <v>1092</v>
      </c>
      <c r="B84" s="6">
        <f>VLOOKUP(TABLA_PRECIOS[Código],LISTADO_PRODUCTOS[#All],2)</f>
        <v>54255</v>
      </c>
      <c r="C84" s="6" t="str">
        <f>VLOOKUP(TABLA_PRECIOS[Código],LISTADO_PRODUCTOS[#All],3)</f>
        <v>LIBRERÍA</v>
      </c>
      <c r="D84" s="6" t="str">
        <f>VLOOKUP(TABLA_PRECIOS[Código],LISTADO_PRODUCTOS[#All],4)</f>
        <v>Carpeta A4 Arte Benito/Barsky/Elisa/Milagros c/repuesto</v>
      </c>
      <c r="E84" s="6" t="str">
        <f>VLOOKUP(TABLA_PRECIOS[Código],LISTADO_PRODUCTOS[#All],5)</f>
        <v>N/A</v>
      </c>
      <c r="F84" s="4">
        <v>1</v>
      </c>
      <c r="G84" s="4">
        <v>1</v>
      </c>
      <c r="H84" s="6">
        <v>1</v>
      </c>
      <c r="I84" s="6"/>
      <c r="J84" s="9"/>
    </row>
    <row r="85" spans="1:10" ht="12" customHeight="1" x14ac:dyDescent="0.3">
      <c r="A85" s="4">
        <v>1093</v>
      </c>
      <c r="B85" s="6">
        <f>VLOOKUP(TABLA_PRECIOS[Código],LISTADO_PRODUCTOS[#All],2)</f>
        <v>54256</v>
      </c>
      <c r="C85" s="6" t="str">
        <f>VLOOKUP(TABLA_PRECIOS[Código],LISTADO_PRODUCTOS[#All],3)</f>
        <v>LIBRERÍA</v>
      </c>
      <c r="D85" s="6" t="str">
        <f>VLOOKUP(TABLA_PRECIOS[Código],LISTADO_PRODUCTOS[#All],4)</f>
        <v>Carpeta A4 Rivadavia c/repuesto x96hray y 48h cuad + separadores</v>
      </c>
      <c r="E85" s="6" t="str">
        <f>VLOOKUP(TABLA_PRECIOS[Código],LISTADO_PRODUCTOS[#All],5)</f>
        <v>N/A</v>
      </c>
      <c r="F85" s="4">
        <v>1</v>
      </c>
      <c r="G85" s="4">
        <v>1</v>
      </c>
      <c r="H85" s="6">
        <v>1</v>
      </c>
      <c r="I85" s="6"/>
      <c r="J85" s="9"/>
    </row>
    <row r="86" spans="1:10" ht="12" customHeight="1" x14ac:dyDescent="0.3">
      <c r="A86" s="4">
        <v>1094</v>
      </c>
      <c r="B86" s="6">
        <f>VLOOKUP(TABLA_PRECIOS[Código],LISTADO_PRODUCTOS[#All],2)</f>
        <v>54257</v>
      </c>
      <c r="C86" s="6" t="str">
        <f>VLOOKUP(TABLA_PRECIOS[Código],LISTADO_PRODUCTOS[#All],3)</f>
        <v>LIBRERÍA</v>
      </c>
      <c r="D86" s="6" t="str">
        <f>VLOOKUP(TABLA_PRECIOS[Código],LISTADO_PRODUCTOS[#All],4)</f>
        <v>Carpeta A4 Arte Clip/Bloom/barsky/benito c/repuesto</v>
      </c>
      <c r="E86" s="6" t="str">
        <f>VLOOKUP(TABLA_PRECIOS[Código],LISTADO_PRODUCTOS[#All],5)</f>
        <v>N/A</v>
      </c>
      <c r="F86" s="4">
        <v>1</v>
      </c>
      <c r="G86" s="4">
        <v>1</v>
      </c>
      <c r="H86" s="6">
        <v>1</v>
      </c>
      <c r="I86" s="6"/>
      <c r="J86" s="9"/>
    </row>
    <row r="87" spans="1:10" ht="12" customHeight="1" x14ac:dyDescent="0.3">
      <c r="A87" s="4">
        <v>1095</v>
      </c>
      <c r="B87" s="6">
        <f>VLOOKUP(TABLA_PRECIOS[Código],LISTADO_PRODUCTOS[#All],2)</f>
        <v>54258</v>
      </c>
      <c r="C87" s="6" t="str">
        <f>VLOOKUP(TABLA_PRECIOS[Código],LISTADO_PRODUCTOS[#All],3)</f>
        <v>LIBRERÍA</v>
      </c>
      <c r="D87" s="6" t="str">
        <f>VLOOKUP(TABLA_PRECIOS[Código],LISTADO_PRODUCTOS[#All],4)</f>
        <v>Marcador Maped Color Peps Duo Stamp</v>
      </c>
      <c r="E87" s="6" t="str">
        <f>VLOOKUP(TABLA_PRECIOS[Código],LISTADO_PRODUCTOS[#All],5)</f>
        <v>N/A</v>
      </c>
      <c r="F87" s="4">
        <v>1</v>
      </c>
      <c r="G87" s="4">
        <v>1</v>
      </c>
      <c r="H87" s="6">
        <v>1</v>
      </c>
      <c r="I87" s="6"/>
      <c r="J87" s="9"/>
    </row>
    <row r="88" spans="1:10" ht="12" customHeight="1" x14ac:dyDescent="0.3">
      <c r="A88" s="4">
        <v>1098</v>
      </c>
      <c r="B88" s="6">
        <f>VLOOKUP(TABLA_PRECIOS[Código],LISTADO_PRODUCTOS[#All],2)</f>
        <v>54259</v>
      </c>
      <c r="C88" s="6" t="str">
        <f>VLOOKUP(TABLA_PRECIOS[Código],LISTADO_PRODUCTOS[#All],3)</f>
        <v>LIBRERÍA</v>
      </c>
      <c r="D88" s="6" t="str">
        <f>VLOOKUP(TABLA_PRECIOS[Código],LISTADO_PRODUCTOS[#All],4)</f>
        <v>Crayon Pizzini x 6u Art. 9206</v>
      </c>
      <c r="E88" s="6" t="str">
        <f>VLOOKUP(TABLA_PRECIOS[Código],LISTADO_PRODUCTOS[#All],5)</f>
        <v>N/A</v>
      </c>
      <c r="F88" s="4">
        <v>1</v>
      </c>
      <c r="G88" s="4">
        <v>1</v>
      </c>
      <c r="H88" s="6">
        <v>1</v>
      </c>
      <c r="I88" s="6"/>
      <c r="J88" s="9"/>
    </row>
    <row r="89" spans="1:10" ht="12" customHeight="1" x14ac:dyDescent="0.3">
      <c r="A89" s="4">
        <v>1099</v>
      </c>
      <c r="B89" s="6">
        <f>VLOOKUP(TABLA_PRECIOS[Código],LISTADO_PRODUCTOS[#All],2)</f>
        <v>54260</v>
      </c>
      <c r="C89" s="6" t="str">
        <f>VLOOKUP(TABLA_PRECIOS[Código],LISTADO_PRODUCTOS[#All],3)</f>
        <v>LIBRERÍA</v>
      </c>
      <c r="D89" s="6" t="str">
        <f>VLOOKUP(TABLA_PRECIOS[Código],LISTADO_PRODUCTOS[#All],4)</f>
        <v>Block de dibujo Luma/triunfante Nº5 20/24 hojas color</v>
      </c>
      <c r="E89" s="6" t="str">
        <f>VLOOKUP(TABLA_PRECIOS[Código],LISTADO_PRODUCTOS[#All],5)</f>
        <v>N/A</v>
      </c>
      <c r="F89" s="4">
        <v>1</v>
      </c>
      <c r="G89" s="4">
        <v>1</v>
      </c>
      <c r="H89" s="6">
        <v>1</v>
      </c>
      <c r="I89" s="6"/>
      <c r="J89" s="9"/>
    </row>
    <row r="90" spans="1:10" ht="12" customHeight="1" x14ac:dyDescent="0.3">
      <c r="A90" s="4">
        <v>1100</v>
      </c>
      <c r="B90" s="6">
        <f>VLOOKUP(TABLA_PRECIOS[Código],LISTADO_PRODUCTOS[#All],2)</f>
        <v>54261</v>
      </c>
      <c r="C90" s="6" t="str">
        <f>VLOOKUP(TABLA_PRECIOS[Código],LISTADO_PRODUCTOS[#All],3)</f>
        <v>LIBRERÍA</v>
      </c>
      <c r="D90" s="6" t="str">
        <f>VLOOKUP(TABLA_PRECIOS[Código],LISTADO_PRODUCTOS[#All],4)</f>
        <v>Micro Tank pen 0,7</v>
      </c>
      <c r="E90" s="6" t="str">
        <f>VLOOKUP(TABLA_PRECIOS[Código],LISTADO_PRODUCTOS[#All],5)</f>
        <v>N/A</v>
      </c>
      <c r="F90" s="4">
        <v>1</v>
      </c>
      <c r="G90" s="4">
        <v>1</v>
      </c>
      <c r="H90" s="6">
        <v>1</v>
      </c>
      <c r="I90" s="6"/>
      <c r="J90" s="9"/>
    </row>
    <row r="91" spans="1:10" ht="12" customHeight="1" x14ac:dyDescent="0.3">
      <c r="A91" s="4">
        <v>1101</v>
      </c>
      <c r="B91" s="6">
        <f>VLOOKUP(TABLA_PRECIOS[Código],LISTADO_PRODUCTOS[#All],2)</f>
        <v>54262</v>
      </c>
      <c r="C91" s="6" t="str">
        <f>VLOOKUP(TABLA_PRECIOS[Código],LISTADO_PRODUCTOS[#All],3)</f>
        <v>LIBRERÍA</v>
      </c>
      <c r="D91" s="6" t="str">
        <f>VLOOKUP(TABLA_PRECIOS[Código],LISTADO_PRODUCTOS[#All],4)</f>
        <v>Toyo Max 0,7</v>
      </c>
      <c r="E91" s="6" t="str">
        <f>VLOOKUP(TABLA_PRECIOS[Código],LISTADO_PRODUCTOS[#All],5)</f>
        <v>N/A</v>
      </c>
      <c r="F91" s="4">
        <v>1</v>
      </c>
      <c r="G91" s="4">
        <v>1</v>
      </c>
      <c r="H91" s="6">
        <v>1</v>
      </c>
      <c r="I91" s="6"/>
      <c r="J91" s="9"/>
    </row>
    <row r="92" spans="1:10" ht="12" customHeight="1" x14ac:dyDescent="0.3">
      <c r="A92" s="4">
        <v>1102</v>
      </c>
      <c r="B92" s="6">
        <f>VLOOKUP(TABLA_PRECIOS[Código],LISTADO_PRODUCTOS[#All],2)</f>
        <v>54263</v>
      </c>
      <c r="C92" s="6" t="str">
        <f>VLOOKUP(TABLA_PRECIOS[Código],LISTADO_PRODUCTOS[#All],3)</f>
        <v>LIBRERÍA</v>
      </c>
      <c r="D92" s="6" t="str">
        <f>VLOOKUP(TABLA_PRECIOS[Código],LISTADO_PRODUCTOS[#All],4)</f>
        <v>Boligrafo Bic Grip</v>
      </c>
      <c r="E92" s="6" t="str">
        <f>VLOOKUP(TABLA_PRECIOS[Código],LISTADO_PRODUCTOS[#All],5)</f>
        <v>N/A</v>
      </c>
      <c r="F92" s="4">
        <v>56</v>
      </c>
      <c r="G92" s="4">
        <v>140</v>
      </c>
      <c r="H92" s="6">
        <v>60</v>
      </c>
      <c r="I92" s="6">
        <v>84</v>
      </c>
      <c r="J92" s="9" t="s">
        <v>917</v>
      </c>
    </row>
    <row r="93" spans="1:10" ht="12" customHeight="1" x14ac:dyDescent="0.3">
      <c r="A93" s="4">
        <v>1103</v>
      </c>
      <c r="B93" s="6">
        <f>VLOOKUP(TABLA_PRECIOS[Código],LISTADO_PRODUCTOS[#All],2)</f>
        <v>54264</v>
      </c>
      <c r="C93" s="6" t="str">
        <f>VLOOKUP(TABLA_PRECIOS[Código],LISTADO_PRODUCTOS[#All],3)</f>
        <v>LIBRERÍA</v>
      </c>
      <c r="D93" s="6" t="str">
        <f>VLOOKUP(TABLA_PRECIOS[Código],LISTADO_PRODUCTOS[#All],4)</f>
        <v>Boligrafo Paper Mate Kilometrico 300RT</v>
      </c>
      <c r="E93" s="6" t="str">
        <f>VLOOKUP(TABLA_PRECIOS[Código],LISTADO_PRODUCTOS[#All],5)</f>
        <v>N/A</v>
      </c>
      <c r="F93" s="4">
        <v>1</v>
      </c>
      <c r="G93" s="4">
        <v>1</v>
      </c>
      <c r="H93" s="6">
        <v>1</v>
      </c>
      <c r="I93" s="6"/>
      <c r="J93" s="9"/>
    </row>
    <row r="94" spans="1:10" ht="12" customHeight="1" x14ac:dyDescent="0.3">
      <c r="A94" s="4">
        <v>1104</v>
      </c>
      <c r="B94" s="6">
        <f>VLOOKUP(TABLA_PRECIOS[Código],LISTADO_PRODUCTOS[#All],2)</f>
        <v>54265</v>
      </c>
      <c r="C94" s="6" t="str">
        <f>VLOOKUP(TABLA_PRECIOS[Código],LISTADO_PRODUCTOS[#All],3)</f>
        <v>LIBRERÍA</v>
      </c>
      <c r="D94" s="6" t="str">
        <f>VLOOKUP(TABLA_PRECIOS[Código],LISTADO_PRODUCTOS[#All],4)</f>
        <v>Boligrafo Bic Cristal fina 2x $300</v>
      </c>
      <c r="E94" s="6" t="str">
        <f>VLOOKUP(TABLA_PRECIOS[Código],LISTADO_PRODUCTOS[#All],5)</f>
        <v>N/A</v>
      </c>
      <c r="F94" s="4">
        <v>1</v>
      </c>
      <c r="G94" s="4">
        <v>1</v>
      </c>
      <c r="H94" s="6">
        <v>1</v>
      </c>
      <c r="I94" s="6"/>
      <c r="J94" s="9"/>
    </row>
    <row r="95" spans="1:10" ht="12" customHeight="1" x14ac:dyDescent="0.3">
      <c r="A95" s="4">
        <v>1105</v>
      </c>
      <c r="B95" s="6">
        <f>VLOOKUP(TABLA_PRECIOS[Código],LISTADO_PRODUCTOS[#All],2)</f>
        <v>54266</v>
      </c>
      <c r="C95" s="6" t="str">
        <f>VLOOKUP(TABLA_PRECIOS[Código],LISTADO_PRODUCTOS[#All],3)</f>
        <v>LIBRERÍA</v>
      </c>
      <c r="D95" s="6" t="str">
        <f>VLOOKUP(TABLA_PRECIOS[Código],LISTADO_PRODUCTOS[#All],4)</f>
        <v>Boligrafo Bic Cristal</v>
      </c>
      <c r="E95" s="6" t="str">
        <f>VLOOKUP(TABLA_PRECIOS[Código],LISTADO_PRODUCTOS[#All],5)</f>
        <v>N/A</v>
      </c>
      <c r="F95" s="4">
        <v>1</v>
      </c>
      <c r="G95" s="4">
        <v>1</v>
      </c>
      <c r="H95" s="6">
        <v>1</v>
      </c>
      <c r="I95" s="6"/>
      <c r="J95" s="9"/>
    </row>
    <row r="96" spans="1:10" ht="12" customHeight="1" x14ac:dyDescent="0.3">
      <c r="A96" s="4">
        <v>1107</v>
      </c>
      <c r="B96" s="6">
        <f>VLOOKUP(TABLA_PRECIOS[Código],LISTADO_PRODUCTOS[#All],2)</f>
        <v>54267</v>
      </c>
      <c r="C96" s="6" t="str">
        <f>VLOOKUP(TABLA_PRECIOS[Código],LISTADO_PRODUCTOS[#All],3)</f>
        <v>LIBRERÍA</v>
      </c>
      <c r="D96" s="6" t="str">
        <f>VLOOKUP(TABLA_PRECIOS[Código],LISTADO_PRODUCTOS[#All],4)</f>
        <v>Boligrafo Faber Trilux 3 x $300</v>
      </c>
      <c r="E96" s="6" t="str">
        <f>VLOOKUP(TABLA_PRECIOS[Código],LISTADO_PRODUCTOS[#All],5)</f>
        <v>N/A</v>
      </c>
      <c r="F96" s="4">
        <v>1</v>
      </c>
      <c r="G96" s="4">
        <v>1</v>
      </c>
      <c r="H96" s="6">
        <v>1</v>
      </c>
      <c r="I96" s="6"/>
      <c r="J96" s="9"/>
    </row>
    <row r="97" spans="1:10" ht="12" customHeight="1" x14ac:dyDescent="0.3">
      <c r="A97" s="4">
        <v>1108</v>
      </c>
      <c r="B97" s="6">
        <f>VLOOKUP(TABLA_PRECIOS[Código],LISTADO_PRODUCTOS[#All],2)</f>
        <v>54268</v>
      </c>
      <c r="C97" s="6" t="str">
        <f>VLOOKUP(TABLA_PRECIOS[Código],LISTADO_PRODUCTOS[#All],3)</f>
        <v>LIBRERÍA</v>
      </c>
      <c r="D97" s="6" t="str">
        <f>VLOOKUP(TABLA_PRECIOS[Código],LISTADO_PRODUCTOS[#All],4)</f>
        <v>Boligrafo Bic opaco 2 x $300</v>
      </c>
      <c r="E97" s="6" t="str">
        <f>VLOOKUP(TABLA_PRECIOS[Código],LISTADO_PRODUCTOS[#All],5)</f>
        <v>N/A</v>
      </c>
      <c r="F97" s="4">
        <v>1</v>
      </c>
      <c r="G97" s="4">
        <v>1</v>
      </c>
      <c r="H97" s="6">
        <v>1</v>
      </c>
      <c r="I97" s="6"/>
      <c r="J97" s="9"/>
    </row>
    <row r="98" spans="1:10" ht="12" customHeight="1" x14ac:dyDescent="0.3">
      <c r="A98" s="4">
        <v>1109</v>
      </c>
      <c r="B98" s="6">
        <f>VLOOKUP(TABLA_PRECIOS[Código],LISTADO_PRODUCTOS[#All],2)</f>
        <v>54269</v>
      </c>
      <c r="C98" s="6" t="str">
        <f>VLOOKUP(TABLA_PRECIOS[Código],LISTADO_PRODUCTOS[#All],3)</f>
        <v>LIBRERÍA</v>
      </c>
      <c r="D98" s="6" t="str">
        <f>VLOOKUP(TABLA_PRECIOS[Código],LISTADO_PRODUCTOS[#All],4)</f>
        <v>Boligrafo Bic Vive</v>
      </c>
      <c r="E98" s="6" t="str">
        <f>VLOOKUP(TABLA_PRECIOS[Código],LISTADO_PRODUCTOS[#All],5)</f>
        <v>N/A</v>
      </c>
      <c r="F98" s="4">
        <v>1</v>
      </c>
      <c r="G98" s="4">
        <v>1</v>
      </c>
      <c r="H98" s="6">
        <v>1</v>
      </c>
      <c r="I98" s="6"/>
      <c r="J98" s="9"/>
    </row>
    <row r="99" spans="1:10" ht="12" customHeight="1" x14ac:dyDescent="0.3">
      <c r="A99" s="4">
        <v>1110</v>
      </c>
      <c r="B99" s="6">
        <f>VLOOKUP(TABLA_PRECIOS[Código],LISTADO_PRODUCTOS[#All],2)</f>
        <v>54270</v>
      </c>
      <c r="C99" s="6" t="str">
        <f>VLOOKUP(TABLA_PRECIOS[Código],LISTADO_PRODUCTOS[#All],3)</f>
        <v>LIBRERÍA</v>
      </c>
      <c r="D99" s="6" t="str">
        <f>VLOOKUP(TABLA_PRECIOS[Código],LISTADO_PRODUCTOS[#All],4)</f>
        <v>Boligrafo Bic Shimmer 2 x $300</v>
      </c>
      <c r="E99" s="6" t="str">
        <f>VLOOKUP(TABLA_PRECIOS[Código],LISTADO_PRODUCTOS[#All],5)</f>
        <v>N/A</v>
      </c>
      <c r="F99" s="4">
        <v>1</v>
      </c>
      <c r="G99" s="4">
        <v>1</v>
      </c>
      <c r="H99" s="6">
        <v>1</v>
      </c>
      <c r="I99" s="6"/>
      <c r="J99" s="9"/>
    </row>
    <row r="100" spans="1:10" ht="12" customHeight="1" x14ac:dyDescent="0.3">
      <c r="A100" s="4">
        <v>1111</v>
      </c>
      <c r="B100" s="6">
        <f>VLOOKUP(TABLA_PRECIOS[Código],LISTADO_PRODUCTOS[#All],2)</f>
        <v>54271</v>
      </c>
      <c r="C100" s="6" t="str">
        <f>VLOOKUP(TABLA_PRECIOS[Código],LISTADO_PRODUCTOS[#All],3)</f>
        <v>LIBRERÍA</v>
      </c>
      <c r="D100" s="6" t="str">
        <f>VLOOKUP(TABLA_PRECIOS[Código],LISTADO_PRODUCTOS[#All],4)</f>
        <v>Boligrafo Bic Opaco fina</v>
      </c>
      <c r="E100" s="6" t="str">
        <f>VLOOKUP(TABLA_PRECIOS[Código],LISTADO_PRODUCTOS[#All],5)</f>
        <v>N/A</v>
      </c>
      <c r="F100" s="4">
        <v>1</v>
      </c>
      <c r="G100" s="4">
        <v>1</v>
      </c>
      <c r="H100" s="6">
        <v>1</v>
      </c>
      <c r="I100" s="6"/>
      <c r="J100" s="9"/>
    </row>
    <row r="101" spans="1:10" ht="12" customHeight="1" x14ac:dyDescent="0.3">
      <c r="A101" s="4">
        <v>1112</v>
      </c>
      <c r="B101" s="6">
        <f>VLOOKUP(TABLA_PRECIOS[Código],LISTADO_PRODUCTOS[#All],2)</f>
        <v>54272</v>
      </c>
      <c r="C101" s="6" t="str">
        <f>VLOOKUP(TABLA_PRECIOS[Código],LISTADO_PRODUCTOS[#All],3)</f>
        <v>LIBRERÍA</v>
      </c>
      <c r="D101" s="6" t="str">
        <f>VLOOKUP(TABLA_PRECIOS[Código],LISTADO_PRODUCTOS[#All],4)</f>
        <v>Boligrafo Bic Bold</v>
      </c>
      <c r="E101" s="6" t="str">
        <f>VLOOKUP(TABLA_PRECIOS[Código],LISTADO_PRODUCTOS[#All],5)</f>
        <v>N/A</v>
      </c>
      <c r="F101" s="4">
        <v>1</v>
      </c>
      <c r="G101" s="4">
        <v>1</v>
      </c>
      <c r="H101" s="6">
        <v>1</v>
      </c>
      <c r="I101" s="6"/>
      <c r="J101" s="9"/>
    </row>
    <row r="102" spans="1:10" ht="12" customHeight="1" x14ac:dyDescent="0.3">
      <c r="A102" s="4">
        <v>1113</v>
      </c>
      <c r="B102" s="6">
        <f>VLOOKUP(TABLA_PRECIOS[Código],LISTADO_PRODUCTOS[#All],2)</f>
        <v>54273</v>
      </c>
      <c r="C102" s="6" t="str">
        <f>VLOOKUP(TABLA_PRECIOS[Código],LISTADO_PRODUCTOS[#All],3)</f>
        <v>LIBRERÍA</v>
      </c>
      <c r="D102" s="6" t="str">
        <f>VLOOKUP(TABLA_PRECIOS[Código],LISTADO_PRODUCTOS[#All],4)</f>
        <v>Roller Bic Gripp</v>
      </c>
      <c r="E102" s="6" t="str">
        <f>VLOOKUP(TABLA_PRECIOS[Código],LISTADO_PRODUCTOS[#All],5)</f>
        <v>N/A</v>
      </c>
      <c r="F102" s="4">
        <v>1</v>
      </c>
      <c r="G102" s="4">
        <v>1</v>
      </c>
      <c r="H102" s="6">
        <v>1</v>
      </c>
      <c r="I102" s="6"/>
      <c r="J102" s="9"/>
    </row>
    <row r="103" spans="1:10" ht="12" customHeight="1" x14ac:dyDescent="0.3">
      <c r="A103" s="4">
        <v>1114</v>
      </c>
      <c r="B103" s="6">
        <f>VLOOKUP(TABLA_PRECIOS[Código],LISTADO_PRODUCTOS[#All],2)</f>
        <v>54274</v>
      </c>
      <c r="C103" s="6" t="str">
        <f>VLOOKUP(TABLA_PRECIOS[Código],LISTADO_PRODUCTOS[#All],3)</f>
        <v>LIBRERÍA</v>
      </c>
      <c r="D103" s="6" t="str">
        <f>VLOOKUP(TABLA_PRECIOS[Código],LISTADO_PRODUCTOS[#All],4)</f>
        <v>Carpeta N°3 con cordon Comunes</v>
      </c>
      <c r="E103" s="6" t="str">
        <f>VLOOKUP(TABLA_PRECIOS[Código],LISTADO_PRODUCTOS[#All],5)</f>
        <v>N/A</v>
      </c>
      <c r="F103" s="4">
        <v>1</v>
      </c>
      <c r="G103" s="4">
        <v>1</v>
      </c>
      <c r="H103" s="6">
        <v>1</v>
      </c>
      <c r="I103" s="6"/>
      <c r="J103" s="9"/>
    </row>
    <row r="104" spans="1:10" ht="12" customHeight="1" x14ac:dyDescent="0.3">
      <c r="A104" s="4">
        <v>1115</v>
      </c>
      <c r="B104" s="6">
        <f>VLOOKUP(TABLA_PRECIOS[Código],LISTADO_PRODUCTOS[#All],2)</f>
        <v>54275</v>
      </c>
      <c r="C104" s="6" t="str">
        <f>VLOOKUP(TABLA_PRECIOS[Código],LISTADO_PRODUCTOS[#All],3)</f>
        <v>LIBRERÍA</v>
      </c>
      <c r="D104" s="6" t="str">
        <f>VLOOKUP(TABLA_PRECIOS[Código],LISTADO_PRODUCTOS[#All],4)</f>
        <v>Boligrafo borrable Erasermate comun</v>
      </c>
      <c r="E104" s="6" t="str">
        <f>VLOOKUP(TABLA_PRECIOS[Código],LISTADO_PRODUCTOS[#All],5)</f>
        <v>N/A</v>
      </c>
      <c r="F104" s="4">
        <v>1</v>
      </c>
      <c r="G104" s="4">
        <v>1</v>
      </c>
      <c r="H104" s="6">
        <v>1</v>
      </c>
      <c r="I104" s="6"/>
      <c r="J104" s="9"/>
    </row>
    <row r="105" spans="1:10" ht="12" customHeight="1" x14ac:dyDescent="0.3">
      <c r="A105" s="4">
        <v>1116</v>
      </c>
      <c r="B105" s="6">
        <f>VLOOKUP(TABLA_PRECIOS[Código],LISTADO_PRODUCTOS[#All],2)</f>
        <v>54276</v>
      </c>
      <c r="C105" s="6" t="str">
        <f>VLOOKUP(TABLA_PRECIOS[Código],LISTADO_PRODUCTOS[#All],3)</f>
        <v>LIBRERÍA</v>
      </c>
      <c r="D105" s="6" t="str">
        <f>VLOOKUP(TABLA_PRECIOS[Código],LISTADO_PRODUCTOS[#All],4)</f>
        <v>Boligrafo Borrable OLAMI Negro</v>
      </c>
      <c r="E105" s="6" t="str">
        <f>VLOOKUP(TABLA_PRECIOS[Código],LISTADO_PRODUCTOS[#All],5)</f>
        <v>N/A</v>
      </c>
      <c r="F105" s="4">
        <v>1</v>
      </c>
      <c r="G105" s="4">
        <v>1</v>
      </c>
      <c r="H105" s="6">
        <v>1</v>
      </c>
      <c r="I105" s="6"/>
      <c r="J105" s="9"/>
    </row>
    <row r="106" spans="1:10" ht="12" customHeight="1" x14ac:dyDescent="0.3">
      <c r="A106" s="4">
        <v>1117</v>
      </c>
      <c r="B106" s="6">
        <f>VLOOKUP(TABLA_PRECIOS[Código],LISTADO_PRODUCTOS[#All],2)</f>
        <v>54277</v>
      </c>
      <c r="C106" s="6" t="str">
        <f>VLOOKUP(TABLA_PRECIOS[Código],LISTADO_PRODUCTOS[#All],3)</f>
        <v>LIBRERÍA</v>
      </c>
      <c r="D106" s="6" t="str">
        <f>VLOOKUP(TABLA_PRECIOS[Código],LISTADO_PRODUCTOS[#All],4)</f>
        <v>Portaminas Filgo Real Grip 0.5</v>
      </c>
      <c r="E106" s="6" t="str">
        <f>VLOOKUP(TABLA_PRECIOS[Código],LISTADO_PRODUCTOS[#All],5)</f>
        <v>N/A</v>
      </c>
      <c r="F106" s="4">
        <v>1</v>
      </c>
      <c r="G106" s="4">
        <v>1</v>
      </c>
      <c r="H106" s="6">
        <v>1</v>
      </c>
      <c r="I106" s="6"/>
      <c r="J106" s="9"/>
    </row>
    <row r="107" spans="1:10" ht="12" customHeight="1" x14ac:dyDescent="0.3">
      <c r="A107" s="4">
        <v>1118</v>
      </c>
      <c r="B107" s="6">
        <f>VLOOKUP(TABLA_PRECIOS[Código],LISTADO_PRODUCTOS[#All],2)</f>
        <v>54278</v>
      </c>
      <c r="C107" s="6" t="str">
        <f>VLOOKUP(TABLA_PRECIOS[Código],LISTADO_PRODUCTOS[#All],3)</f>
        <v>LIBRERÍA</v>
      </c>
      <c r="D107" s="6" t="str">
        <f>VLOOKUP(TABLA_PRECIOS[Código],LISTADO_PRODUCTOS[#All],4)</f>
        <v>Boligrafo Wero retractil Pastel Notes Corazon</v>
      </c>
      <c r="E107" s="6" t="str">
        <f>VLOOKUP(TABLA_PRECIOS[Código],LISTADO_PRODUCTOS[#All],5)</f>
        <v>N/A</v>
      </c>
      <c r="F107" s="4">
        <v>1</v>
      </c>
      <c r="G107" s="4">
        <v>1</v>
      </c>
      <c r="H107" s="6">
        <v>1</v>
      </c>
      <c r="I107" s="6"/>
      <c r="J107" s="9"/>
    </row>
    <row r="108" spans="1:10" ht="12" customHeight="1" x14ac:dyDescent="0.3">
      <c r="A108" s="4">
        <v>1119</v>
      </c>
      <c r="B108" s="6">
        <f>VLOOKUP(TABLA_PRECIOS[Código],LISTADO_PRODUCTOS[#All],2)</f>
        <v>54279</v>
      </c>
      <c r="C108" s="6" t="str">
        <f>VLOOKUP(TABLA_PRECIOS[Código],LISTADO_PRODUCTOS[#All],3)</f>
        <v>LIBRERÍA</v>
      </c>
      <c r="D108" s="6" t="str">
        <f>VLOOKUP(TABLA_PRECIOS[Código],LISTADO_PRODUCTOS[#All],4)</f>
        <v>Boligrafo retractil pastel notes unicornio</v>
      </c>
      <c r="E108" s="6" t="str">
        <f>VLOOKUP(TABLA_PRECIOS[Código],LISTADO_PRODUCTOS[#All],5)</f>
        <v>N/A</v>
      </c>
      <c r="F108" s="4">
        <v>1</v>
      </c>
      <c r="G108" s="4">
        <v>1</v>
      </c>
      <c r="H108" s="6">
        <v>1</v>
      </c>
      <c r="I108" s="6"/>
      <c r="J108" s="9"/>
    </row>
    <row r="109" spans="1:10" ht="12" customHeight="1" x14ac:dyDescent="0.3">
      <c r="A109" s="4">
        <v>1124</v>
      </c>
      <c r="B109" s="6">
        <f>VLOOKUP(TABLA_PRECIOS[Código],LISTADO_PRODUCTOS[#All],2)</f>
        <v>54280</v>
      </c>
      <c r="C109" s="6" t="str">
        <f>VLOOKUP(TABLA_PRECIOS[Código],LISTADO_PRODUCTOS[#All],3)</f>
        <v>LIBRERÍA</v>
      </c>
      <c r="D109" s="6" t="str">
        <f>VLOOKUP(TABLA_PRECIOS[Código],LISTADO_PRODUCTOS[#All],4)</f>
        <v>Portaminas Bic Clic Matic Atlantis pencil 0.5</v>
      </c>
      <c r="E109" s="6" t="str">
        <f>VLOOKUP(TABLA_PRECIOS[Código],LISTADO_PRODUCTOS[#All],5)</f>
        <v>N/A</v>
      </c>
      <c r="F109" s="4">
        <v>1</v>
      </c>
      <c r="G109" s="4">
        <v>1</v>
      </c>
      <c r="H109" s="6">
        <v>1</v>
      </c>
      <c r="I109" s="6"/>
      <c r="J109" s="9"/>
    </row>
    <row r="110" spans="1:10" ht="12" customHeight="1" x14ac:dyDescent="0.3">
      <c r="A110" s="4">
        <v>1125</v>
      </c>
      <c r="B110" s="6">
        <f>VLOOKUP(TABLA_PRECIOS[Código],LISTADO_PRODUCTOS[#All],2)</f>
        <v>54281</v>
      </c>
      <c r="C110" s="6" t="str">
        <f>VLOOKUP(TABLA_PRECIOS[Código],LISTADO_PRODUCTOS[#All],3)</f>
        <v>LIBRERÍA</v>
      </c>
      <c r="D110" s="6" t="str">
        <f>VLOOKUP(TABLA_PRECIOS[Código],LISTADO_PRODUCTOS[#All],4)</f>
        <v>Minas pizzini 0.5 HB - Art. S5300HB - 7793198530079</v>
      </c>
      <c r="E110" s="6" t="str">
        <f>VLOOKUP(TABLA_PRECIOS[Código],LISTADO_PRODUCTOS[#All],5)</f>
        <v>N/A</v>
      </c>
      <c r="F110" s="4">
        <v>1</v>
      </c>
      <c r="G110" s="4">
        <v>1</v>
      </c>
      <c r="H110" s="6">
        <v>1</v>
      </c>
      <c r="I110" s="6"/>
      <c r="J110" s="9"/>
    </row>
    <row r="111" spans="1:10" ht="12" customHeight="1" x14ac:dyDescent="0.3">
      <c r="A111" s="4">
        <v>1126</v>
      </c>
      <c r="B111" s="6">
        <f>VLOOKUP(TABLA_PRECIOS[Código],LISTADO_PRODUCTOS[#All],2)</f>
        <v>54282</v>
      </c>
      <c r="C111" s="6" t="str">
        <f>VLOOKUP(TABLA_PRECIOS[Código],LISTADO_PRODUCTOS[#All],3)</f>
        <v>LIBRERÍA</v>
      </c>
      <c r="D111" s="6" t="str">
        <f>VLOOKUP(TABLA_PRECIOS[Código],LISTADO_PRODUCTOS[#All],4)</f>
        <v>Minas Pizzini 0,7 HB - Art. S7300HB - 7793198730073</v>
      </c>
      <c r="E111" s="6" t="str">
        <f>VLOOKUP(TABLA_PRECIOS[Código],LISTADO_PRODUCTOS[#All],5)</f>
        <v>N/A</v>
      </c>
      <c r="F111" s="4">
        <v>1</v>
      </c>
      <c r="G111" s="4">
        <v>1</v>
      </c>
      <c r="H111" s="6">
        <v>1</v>
      </c>
      <c r="I111" s="6"/>
      <c r="J111" s="9"/>
    </row>
    <row r="112" spans="1:10" ht="12" customHeight="1" x14ac:dyDescent="0.3">
      <c r="A112" s="4">
        <v>1127</v>
      </c>
      <c r="B112" s="6">
        <f>VLOOKUP(TABLA_PRECIOS[Código],LISTADO_PRODUCTOS[#All],2)</f>
        <v>54283</v>
      </c>
      <c r="C112" s="6" t="str">
        <f>VLOOKUP(TABLA_PRECIOS[Código],LISTADO_PRODUCTOS[#All],3)</f>
        <v>LIBRERÍA</v>
      </c>
      <c r="D112" s="6" t="str">
        <f>VLOOKUP(TABLA_PRECIOS[Código],LISTADO_PRODUCTOS[#All],4)</f>
        <v>Minas Faber Castell 0.5 HB</v>
      </c>
      <c r="E112" s="6" t="str">
        <f>VLOOKUP(TABLA_PRECIOS[Código],LISTADO_PRODUCTOS[#All],5)</f>
        <v>N/A</v>
      </c>
      <c r="F112" s="4">
        <v>1</v>
      </c>
      <c r="G112" s="4">
        <v>1</v>
      </c>
      <c r="H112" s="6">
        <v>1</v>
      </c>
      <c r="I112" s="6"/>
      <c r="J112" s="9"/>
    </row>
    <row r="113" spans="1:10" ht="12" customHeight="1" x14ac:dyDescent="0.3">
      <c r="A113" s="4">
        <v>1128</v>
      </c>
      <c r="B113" s="6">
        <f>VLOOKUP(TABLA_PRECIOS[Código],LISTADO_PRODUCTOS[#All],2)</f>
        <v>54284</v>
      </c>
      <c r="C113" s="6" t="str">
        <f>VLOOKUP(TABLA_PRECIOS[Código],LISTADO_PRODUCTOS[#All],3)</f>
        <v>LIBRERÍA</v>
      </c>
      <c r="D113" s="6" t="str">
        <f>VLOOKUP(TABLA_PRECIOS[Código],LISTADO_PRODUCTOS[#All],4)</f>
        <v>Minas Faber Castell 0,7 HB</v>
      </c>
      <c r="E113" s="6" t="str">
        <f>VLOOKUP(TABLA_PRECIOS[Código],LISTADO_PRODUCTOS[#All],5)</f>
        <v>N/A</v>
      </c>
      <c r="F113" s="4">
        <v>1</v>
      </c>
      <c r="G113" s="4">
        <v>1</v>
      </c>
      <c r="H113" s="6">
        <v>1</v>
      </c>
      <c r="I113" s="6"/>
      <c r="J113" s="9"/>
    </row>
    <row r="114" spans="1:10" ht="12" customHeight="1" x14ac:dyDescent="0.3">
      <c r="A114" s="4">
        <v>1129</v>
      </c>
      <c r="B114" s="6">
        <f>VLOOKUP(TABLA_PRECIOS[Código],LISTADO_PRODUCTOS[#All],2)</f>
        <v>54285</v>
      </c>
      <c r="C114" s="6" t="str">
        <f>VLOOKUP(TABLA_PRECIOS[Código],LISTADO_PRODUCTOS[#All],3)</f>
        <v>LIBRERÍA</v>
      </c>
      <c r="D114" s="6" t="str">
        <f>VLOOKUP(TABLA_PRECIOS[Código],LISTADO_PRODUCTOS[#All],4)</f>
        <v>Minas Faber Castell 0.5 2H</v>
      </c>
      <c r="E114" s="6" t="str">
        <f>VLOOKUP(TABLA_PRECIOS[Código],LISTADO_PRODUCTOS[#All],5)</f>
        <v>N/A</v>
      </c>
      <c r="F114" s="4">
        <v>1</v>
      </c>
      <c r="G114" s="4">
        <v>1</v>
      </c>
      <c r="H114" s="6">
        <v>1</v>
      </c>
      <c r="I114" s="6"/>
      <c r="J114" s="9"/>
    </row>
    <row r="115" spans="1:10" ht="12" customHeight="1" x14ac:dyDescent="0.3">
      <c r="A115" s="4">
        <v>1130</v>
      </c>
      <c r="B115" s="6">
        <f>VLOOKUP(TABLA_PRECIOS[Código],LISTADO_PRODUCTOS[#All],2)</f>
        <v>54286</v>
      </c>
      <c r="C115" s="6" t="str">
        <f>VLOOKUP(TABLA_PRECIOS[Código],LISTADO_PRODUCTOS[#All],3)</f>
        <v>LIBRERÍA</v>
      </c>
      <c r="D115" s="6" t="str">
        <f>VLOOKUP(TABLA_PRECIOS[Código],LISTADO_PRODUCTOS[#All],4)</f>
        <v>Minas Pizzini 2mm B - Art. S20300B - 7793198203034</v>
      </c>
      <c r="E115" s="6" t="str">
        <f>VLOOKUP(TABLA_PRECIOS[Código],LISTADO_PRODUCTOS[#All],5)</f>
        <v>N/A</v>
      </c>
      <c r="F115" s="4">
        <v>1</v>
      </c>
      <c r="G115" s="4">
        <v>1</v>
      </c>
      <c r="H115" s="6">
        <v>1</v>
      </c>
      <c r="I115" s="6"/>
      <c r="J115" s="9"/>
    </row>
    <row r="116" spans="1:10" ht="12" customHeight="1" x14ac:dyDescent="0.3">
      <c r="A116" s="4">
        <v>1131</v>
      </c>
      <c r="B116" s="6">
        <f>VLOOKUP(TABLA_PRECIOS[Código],LISTADO_PRODUCTOS[#All],2)</f>
        <v>54287</v>
      </c>
      <c r="C116" s="6" t="str">
        <f>VLOOKUP(TABLA_PRECIOS[Código],LISTADO_PRODUCTOS[#All],3)</f>
        <v>LIBRERÍA</v>
      </c>
      <c r="D116" s="6" t="str">
        <f>VLOOKUP(TABLA_PRECIOS[Código],LISTADO_PRODUCTOS[#All],4)</f>
        <v>Sacapuntas Maped CROC CROC</v>
      </c>
      <c r="E116" s="6" t="str">
        <f>VLOOKUP(TABLA_PRECIOS[Código],LISTADO_PRODUCTOS[#All],5)</f>
        <v>N/A</v>
      </c>
      <c r="F116" s="4">
        <v>1</v>
      </c>
      <c r="G116" s="4">
        <v>1</v>
      </c>
      <c r="H116" s="6">
        <v>1</v>
      </c>
      <c r="I116" s="6"/>
      <c r="J116" s="9"/>
    </row>
    <row r="117" spans="1:10" ht="12" customHeight="1" x14ac:dyDescent="0.3">
      <c r="A117" s="4">
        <v>1132</v>
      </c>
      <c r="B117" s="6">
        <f>VLOOKUP(TABLA_PRECIOS[Código],LISTADO_PRODUCTOS[#All],2)</f>
        <v>54288</v>
      </c>
      <c r="C117" s="6" t="str">
        <f>VLOOKUP(TABLA_PRECIOS[Código],LISTADO_PRODUCTOS[#All],3)</f>
        <v>LIBRERÍA</v>
      </c>
      <c r="D117" s="6" t="str">
        <f>VLOOKUP(TABLA_PRECIOS[Código],LISTADO_PRODUCTOS[#All],4)</f>
        <v>Notas Adhesivas WERO Fun WE 1144</v>
      </c>
      <c r="E117" s="6" t="str">
        <f>VLOOKUP(TABLA_PRECIOS[Código],LISTADO_PRODUCTOS[#All],5)</f>
        <v>N/A</v>
      </c>
      <c r="F117" s="4">
        <v>1</v>
      </c>
      <c r="G117" s="4">
        <v>1</v>
      </c>
      <c r="H117" s="6">
        <v>1</v>
      </c>
      <c r="I117" s="6"/>
      <c r="J117" s="9"/>
    </row>
    <row r="118" spans="1:10" ht="12" customHeight="1" x14ac:dyDescent="0.3">
      <c r="A118" s="4">
        <v>1133</v>
      </c>
      <c r="B118" s="6">
        <f>VLOOKUP(TABLA_PRECIOS[Código],LISTADO_PRODUCTOS[#All],2)</f>
        <v>54289</v>
      </c>
      <c r="C118" s="6" t="str">
        <f>VLOOKUP(TABLA_PRECIOS[Código],LISTADO_PRODUCTOS[#All],3)</f>
        <v>LIBRERÍA</v>
      </c>
      <c r="D118" s="6" t="str">
        <f>VLOOKUP(TABLA_PRECIOS[Código],LISTADO_PRODUCTOS[#All],4)</f>
        <v>Gomas c/formas Wero Cool Pops c/u se vende x unidad</v>
      </c>
      <c r="E118" s="6" t="str">
        <f>VLOOKUP(TABLA_PRECIOS[Código],LISTADO_PRODUCTOS[#All],5)</f>
        <v>N/A</v>
      </c>
      <c r="F118" s="4">
        <v>1</v>
      </c>
      <c r="G118" s="4">
        <v>1</v>
      </c>
      <c r="H118" s="6">
        <v>1</v>
      </c>
      <c r="I118" s="6"/>
      <c r="J118" s="9"/>
    </row>
    <row r="119" spans="1:10" ht="12" customHeight="1" x14ac:dyDescent="0.3">
      <c r="A119" s="4">
        <v>1136</v>
      </c>
      <c r="B119" s="6">
        <f>VLOOKUP(TABLA_PRECIOS[Código],LISTADO_PRODUCTOS[#All],2)</f>
        <v>54290</v>
      </c>
      <c r="C119" s="6" t="str">
        <f>VLOOKUP(TABLA_PRECIOS[Código],LISTADO_PRODUCTOS[#All],3)</f>
        <v>LIBRERÍA</v>
      </c>
      <c r="D119" s="6" t="str">
        <f>VLOOKUP(TABLA_PRECIOS[Código],LISTADO_PRODUCTOS[#All],4)</f>
        <v xml:space="preserve">Separador de materias cartulina con lengüeta A4/Of x5u color </v>
      </c>
      <c r="E119" s="6" t="str">
        <f>VLOOKUP(TABLA_PRECIOS[Código],LISTADO_PRODUCTOS[#All],5)</f>
        <v>N/A</v>
      </c>
      <c r="F119" s="4">
        <v>1</v>
      </c>
      <c r="G119" s="4">
        <v>1</v>
      </c>
      <c r="H119" s="6">
        <v>1</v>
      </c>
      <c r="I119" s="6"/>
      <c r="J119" s="9"/>
    </row>
    <row r="120" spans="1:10" ht="12" customHeight="1" x14ac:dyDescent="0.3">
      <c r="A120" s="4">
        <v>1137</v>
      </c>
      <c r="B120" s="6">
        <f>VLOOKUP(TABLA_PRECIOS[Código],LISTADO_PRODUCTOS[#All],2)</f>
        <v>54291</v>
      </c>
      <c r="C120" s="6" t="str">
        <f>VLOOKUP(TABLA_PRECIOS[Código],LISTADO_PRODUCTOS[#All],3)</f>
        <v>LIBRERÍA</v>
      </c>
      <c r="D120" s="6" t="str">
        <f>VLOOKUP(TABLA_PRECIOS[Código],LISTADO_PRODUCTOS[#All],4)</f>
        <v>Compas pizzini Pk133 - Art. PK133 - 7793198133003</v>
      </c>
      <c r="E120" s="6" t="str">
        <f>VLOOKUP(TABLA_PRECIOS[Código],LISTADO_PRODUCTOS[#All],5)</f>
        <v>N/A</v>
      </c>
      <c r="F120" s="4">
        <v>1</v>
      </c>
      <c r="G120" s="4">
        <v>1</v>
      </c>
      <c r="H120" s="6">
        <v>1</v>
      </c>
      <c r="I120" s="6"/>
      <c r="J120" s="9"/>
    </row>
    <row r="121" spans="1:10" ht="12" customHeight="1" x14ac:dyDescent="0.3">
      <c r="A121" s="4">
        <v>1138</v>
      </c>
      <c r="B121" s="6">
        <f>VLOOKUP(TABLA_PRECIOS[Código],LISTADO_PRODUCTOS[#All],2)</f>
        <v>54292</v>
      </c>
      <c r="C121" s="6" t="str">
        <f>VLOOKUP(TABLA_PRECIOS[Código],LISTADO_PRODUCTOS[#All],3)</f>
        <v>LIBRERÍA</v>
      </c>
      <c r="D121" s="6" t="str">
        <f>VLOOKUP(TABLA_PRECIOS[Código],LISTADO_PRODUCTOS[#All],4)</f>
        <v>Compas Pelikan en caja</v>
      </c>
      <c r="E121" s="6" t="str">
        <f>VLOOKUP(TABLA_PRECIOS[Código],LISTADO_PRODUCTOS[#All],5)</f>
        <v>N/A</v>
      </c>
      <c r="F121" s="4">
        <v>1</v>
      </c>
      <c r="G121" s="4">
        <v>1</v>
      </c>
      <c r="H121" s="6">
        <v>1</v>
      </c>
      <c r="I121" s="6"/>
      <c r="J121" s="9"/>
    </row>
    <row r="122" spans="1:10" ht="12" customHeight="1" x14ac:dyDescent="0.3">
      <c r="A122" s="4">
        <v>1139</v>
      </c>
      <c r="B122" s="6">
        <f>VLOOKUP(TABLA_PRECIOS[Código],LISTADO_PRODUCTOS[#All],2)</f>
        <v>54293</v>
      </c>
      <c r="C122" s="6" t="str">
        <f>VLOOKUP(TABLA_PRECIOS[Código],LISTADO_PRODUCTOS[#All],3)</f>
        <v>LIBRERÍA</v>
      </c>
      <c r="D122" s="6" t="str">
        <f>VLOOKUP(TABLA_PRECIOS[Código],LISTADO_PRODUCTOS[#All],4)</f>
        <v>Resaltador Micro Margi 2000</v>
      </c>
      <c r="E122" s="6" t="str">
        <f>VLOOKUP(TABLA_PRECIOS[Código],LISTADO_PRODUCTOS[#All],5)</f>
        <v>N/A</v>
      </c>
      <c r="F122" s="4">
        <v>1</v>
      </c>
      <c r="G122" s="4">
        <v>1</v>
      </c>
      <c r="H122" s="6">
        <v>1</v>
      </c>
      <c r="I122" s="6"/>
      <c r="J122" s="9"/>
    </row>
    <row r="123" spans="1:10" ht="12" customHeight="1" x14ac:dyDescent="0.3">
      <c r="A123" s="4">
        <v>1141</v>
      </c>
      <c r="B123" s="6">
        <f>VLOOKUP(TABLA_PRECIOS[Código],LISTADO_PRODUCTOS[#All],2)</f>
        <v>54294</v>
      </c>
      <c r="C123" s="6" t="str">
        <f>VLOOKUP(TABLA_PRECIOS[Código],LISTADO_PRODUCTOS[#All],3)</f>
        <v>LIBRERÍA</v>
      </c>
      <c r="D123" s="6" t="str">
        <f>VLOOKUP(TABLA_PRECIOS[Código],LISTADO_PRODUCTOS[#All],4)</f>
        <v>Resaltador Pizzini Duo - Art. 1282 - 7793198128887</v>
      </c>
      <c r="E123" s="6" t="str">
        <f>VLOOKUP(TABLA_PRECIOS[Código],LISTADO_PRODUCTOS[#All],5)</f>
        <v>N/A</v>
      </c>
      <c r="F123" s="4">
        <v>1</v>
      </c>
      <c r="G123" s="4">
        <v>1</v>
      </c>
      <c r="H123" s="6">
        <v>1</v>
      </c>
      <c r="I123" s="6"/>
      <c r="J123" s="9"/>
    </row>
    <row r="124" spans="1:10" ht="12" customHeight="1" x14ac:dyDescent="0.3">
      <c r="A124" s="4">
        <v>1142</v>
      </c>
      <c r="B124" s="6">
        <f>VLOOKUP(TABLA_PRECIOS[Código],LISTADO_PRODUCTOS[#All],2)</f>
        <v>54295</v>
      </c>
      <c r="C124" s="6" t="str">
        <f>VLOOKUP(TABLA_PRECIOS[Código],LISTADO_PRODUCTOS[#All],3)</f>
        <v>LIBRERÍA</v>
      </c>
      <c r="D124" s="6" t="str">
        <f>VLOOKUP(TABLA_PRECIOS[Código],LISTADO_PRODUCTOS[#All],4)</f>
        <v>Resaltador edding 342</v>
      </c>
      <c r="E124" s="6" t="str">
        <f>VLOOKUP(TABLA_PRECIOS[Código],LISTADO_PRODUCTOS[#All],5)</f>
        <v>N/A</v>
      </c>
      <c r="F124" s="4">
        <v>1</v>
      </c>
      <c r="G124" s="4">
        <v>1</v>
      </c>
      <c r="H124" s="6">
        <v>1</v>
      </c>
      <c r="I124" s="6"/>
      <c r="J124" s="9"/>
    </row>
    <row r="125" spans="1:10" ht="12" customHeight="1" x14ac:dyDescent="0.3">
      <c r="A125" s="4">
        <v>1143</v>
      </c>
      <c r="B125" s="6">
        <f>VLOOKUP(TABLA_PRECIOS[Código],LISTADO_PRODUCTOS[#All],2)</f>
        <v>54296</v>
      </c>
      <c r="C125" s="6" t="str">
        <f>VLOOKUP(TABLA_PRECIOS[Código],LISTADO_PRODUCTOS[#All],3)</f>
        <v>LIBRERÍA</v>
      </c>
      <c r="D125" s="6" t="str">
        <f>VLOOKUP(TABLA_PRECIOS[Código],LISTADO_PRODUCTOS[#All],4)</f>
        <v>Resaltador Bic</v>
      </c>
      <c r="E125" s="6" t="str">
        <f>VLOOKUP(TABLA_PRECIOS[Código],LISTADO_PRODUCTOS[#All],5)</f>
        <v>N/A</v>
      </c>
      <c r="F125" s="4">
        <v>1</v>
      </c>
      <c r="G125" s="4">
        <v>1</v>
      </c>
      <c r="H125" s="6">
        <v>1</v>
      </c>
      <c r="I125" s="6"/>
      <c r="J125" s="9"/>
    </row>
    <row r="126" spans="1:10" ht="12" customHeight="1" x14ac:dyDescent="0.3">
      <c r="A126" s="4">
        <v>1144</v>
      </c>
      <c r="B126" s="6">
        <f>VLOOKUP(TABLA_PRECIOS[Código],LISTADO_PRODUCTOS[#All],2)</f>
        <v>54297</v>
      </c>
      <c r="C126" s="6" t="str">
        <f>VLOOKUP(TABLA_PRECIOS[Código],LISTADO_PRODUCTOS[#All],3)</f>
        <v>LIBRERÍA</v>
      </c>
      <c r="D126" s="6" t="str">
        <f>VLOOKUP(TABLA_PRECIOS[Código],LISTADO_PRODUCTOS[#All],4)</f>
        <v>Marcador escolar Maped DUO TIP x 10u</v>
      </c>
      <c r="E126" s="6" t="str">
        <f>VLOOKUP(TABLA_PRECIOS[Código],LISTADO_PRODUCTOS[#All],5)</f>
        <v>N/A</v>
      </c>
      <c r="F126" s="4">
        <v>1</v>
      </c>
      <c r="G126" s="4">
        <v>1</v>
      </c>
      <c r="H126" s="6">
        <v>1</v>
      </c>
      <c r="I126" s="6"/>
      <c r="J126" s="9"/>
    </row>
    <row r="127" spans="1:10" ht="12" customHeight="1" x14ac:dyDescent="0.3">
      <c r="A127" s="4">
        <v>1149</v>
      </c>
      <c r="B127" s="6">
        <f>VLOOKUP(TABLA_PRECIOS[Código],LISTADO_PRODUCTOS[#All],2)</f>
        <v>54298</v>
      </c>
      <c r="C127" s="6" t="str">
        <f>VLOOKUP(TABLA_PRECIOS[Código],LISTADO_PRODUCTOS[#All],3)</f>
        <v>LIBRERÍA</v>
      </c>
      <c r="D127" s="6" t="str">
        <f>VLOOKUP(TABLA_PRECIOS[Código],LISTADO_PRODUCTOS[#All],4)</f>
        <v>Fibron Bic Marking Biselado extra grueso</v>
      </c>
      <c r="E127" s="6" t="str">
        <f>VLOOKUP(TABLA_PRECIOS[Código],LISTADO_PRODUCTOS[#All],5)</f>
        <v>N/A</v>
      </c>
      <c r="F127" s="4">
        <v>1</v>
      </c>
      <c r="G127" s="4">
        <v>1</v>
      </c>
      <c r="H127" s="6">
        <v>1</v>
      </c>
      <c r="I127" s="6"/>
      <c r="J127" s="9"/>
    </row>
    <row r="128" spans="1:10" ht="12" customHeight="1" x14ac:dyDescent="0.3">
      <c r="A128" s="4">
        <v>1150</v>
      </c>
      <c r="B128" s="6">
        <f>VLOOKUP(TABLA_PRECIOS[Código],LISTADO_PRODUCTOS[#All],2)</f>
        <v>54299</v>
      </c>
      <c r="C128" s="6" t="str">
        <f>VLOOKUP(TABLA_PRECIOS[Código],LISTADO_PRODUCTOS[#All],3)</f>
        <v>LIBRERÍA</v>
      </c>
      <c r="D128" s="6" t="str">
        <f>VLOOKUP(TABLA_PRECIOS[Código],LISTADO_PRODUCTOS[#All],4)</f>
        <v>Fibron Bic Marking redondo</v>
      </c>
      <c r="E128" s="6" t="str">
        <f>VLOOKUP(TABLA_PRECIOS[Código],LISTADO_PRODUCTOS[#All],5)</f>
        <v>N/A</v>
      </c>
      <c r="F128" s="4">
        <v>1</v>
      </c>
      <c r="G128" s="4">
        <v>1</v>
      </c>
      <c r="H128" s="6">
        <v>1</v>
      </c>
      <c r="I128" s="6"/>
      <c r="J128" s="9"/>
    </row>
    <row r="129" spans="1:10" ht="12" customHeight="1" x14ac:dyDescent="0.3">
      <c r="A129" s="4">
        <v>1451</v>
      </c>
      <c r="B129" s="6">
        <f>VLOOKUP(TABLA_PRECIOS[Código],LISTADO_PRODUCTOS[#All],2)</f>
        <v>54392</v>
      </c>
      <c r="C129" s="6" t="str">
        <f>VLOOKUP(TABLA_PRECIOS[Código],LISTADO_PRODUCTOS[#All],3)</f>
        <v>LIBRERÍA</v>
      </c>
      <c r="D129" s="6" t="str">
        <f>VLOOKUP(TABLA_PRECIOS[Código],LISTADO_PRODUCTOS[#All],4)</f>
        <v>Set de Resaltadores NUWA x5u en dispenser</v>
      </c>
      <c r="E129" s="6" t="str">
        <f>VLOOKUP(TABLA_PRECIOS[Código],LISTADO_PRODUCTOS[#All],5)</f>
        <v>N/A</v>
      </c>
      <c r="F129" s="4">
        <v>1</v>
      </c>
      <c r="G129" s="4">
        <v>1</v>
      </c>
      <c r="H129" s="6">
        <v>1</v>
      </c>
      <c r="I129" s="6"/>
      <c r="J129" s="9"/>
    </row>
    <row r="130" spans="1:10" ht="12" customHeight="1" x14ac:dyDescent="0.3">
      <c r="A130" s="4">
        <v>1151</v>
      </c>
      <c r="B130" s="6">
        <f>VLOOKUP(TABLA_PRECIOS[Código],LISTADO_PRODUCTOS[#All],2)</f>
        <v>54299</v>
      </c>
      <c r="C130" s="6" t="str">
        <f>VLOOKUP(TABLA_PRECIOS[Código],LISTADO_PRODUCTOS[#All],3)</f>
        <v>LIBRERÍA</v>
      </c>
      <c r="D130" s="6" t="str">
        <f>VLOOKUP(TABLA_PRECIOS[Código],LISTADO_PRODUCTOS[#All],4)</f>
        <v>Fibron Bic Marking redondo</v>
      </c>
      <c r="E130" s="6" t="str">
        <f>VLOOKUP(TABLA_PRECIOS[Código],LISTADO_PRODUCTOS[#All],5)</f>
        <v>N/A</v>
      </c>
      <c r="F130" s="4">
        <v>1</v>
      </c>
      <c r="G130" s="4">
        <v>1</v>
      </c>
      <c r="H130" s="6">
        <v>1</v>
      </c>
      <c r="I130" s="6"/>
      <c r="J130" s="9"/>
    </row>
    <row r="131" spans="1:10" ht="12" customHeight="1" x14ac:dyDescent="0.3">
      <c r="A131" s="4">
        <v>1153</v>
      </c>
      <c r="B131" s="6">
        <f>VLOOKUP(TABLA_PRECIOS[Código],LISTADO_PRODUCTOS[#All],2)</f>
        <v>54299</v>
      </c>
      <c r="C131" s="6" t="str">
        <f>VLOOKUP(TABLA_PRECIOS[Código],LISTADO_PRODUCTOS[#All],3)</f>
        <v>LIBRERÍA</v>
      </c>
      <c r="D131" s="6" t="str">
        <f>VLOOKUP(TABLA_PRECIOS[Código],LISTADO_PRODUCTOS[#All],4)</f>
        <v>Fibron Bic Marking redondo</v>
      </c>
      <c r="E131" s="6" t="str">
        <f>VLOOKUP(TABLA_PRECIOS[Código],LISTADO_PRODUCTOS[#All],5)</f>
        <v>N/A</v>
      </c>
      <c r="F131" s="4">
        <v>1</v>
      </c>
      <c r="G131" s="4">
        <v>1</v>
      </c>
      <c r="H131" s="6">
        <v>1</v>
      </c>
      <c r="I131" s="6"/>
      <c r="J131" s="9"/>
    </row>
    <row r="132" spans="1:10" ht="12" customHeight="1" x14ac:dyDescent="0.3">
      <c r="A132" s="4">
        <v>1154</v>
      </c>
      <c r="B132" s="6">
        <f>VLOOKUP(TABLA_PRECIOS[Código],LISTADO_PRODUCTOS[#All],2)</f>
        <v>54303</v>
      </c>
      <c r="C132" s="6" t="str">
        <f>VLOOKUP(TABLA_PRECIOS[Código],LISTADO_PRODUCTOS[#All],3)</f>
        <v>LIBRERÍA</v>
      </c>
      <c r="D132" s="6" t="str">
        <f>VLOOKUP(TABLA_PRECIOS[Código],LISTADO_PRODUCTOS[#All],4)</f>
        <v>Tijera Maped advanced office 17cm</v>
      </c>
      <c r="E132" s="6" t="str">
        <f>VLOOKUP(TABLA_PRECIOS[Código],LISTADO_PRODUCTOS[#All],5)</f>
        <v>N/A</v>
      </c>
      <c r="F132" s="4">
        <v>1</v>
      </c>
      <c r="G132" s="4">
        <v>1</v>
      </c>
      <c r="H132" s="6">
        <v>1</v>
      </c>
      <c r="I132" s="6"/>
      <c r="J132" s="9"/>
    </row>
    <row r="133" spans="1:10" ht="12" customHeight="1" x14ac:dyDescent="0.3">
      <c r="A133" s="4">
        <v>1155</v>
      </c>
      <c r="B133" s="6">
        <f>VLOOKUP(TABLA_PRECIOS[Código],LISTADO_PRODUCTOS[#All],2)</f>
        <v>54304</v>
      </c>
      <c r="C133" s="6" t="str">
        <f>VLOOKUP(TABLA_PRECIOS[Código],LISTADO_PRODUCTOS[#All],3)</f>
        <v>LIBRERÍA</v>
      </c>
      <c r="D133" s="6" t="str">
        <f>VLOOKUP(TABLA_PRECIOS[Código],LISTADO_PRODUCTOS[#All],4)</f>
        <v>Tijera Maped Universal 21cm</v>
      </c>
      <c r="E133" s="6" t="str">
        <f>VLOOKUP(TABLA_PRECIOS[Código],LISTADO_PRODUCTOS[#All],5)</f>
        <v>N/A</v>
      </c>
      <c r="F133" s="4">
        <v>1</v>
      </c>
      <c r="G133" s="4">
        <v>1</v>
      </c>
      <c r="H133" s="6">
        <v>1</v>
      </c>
      <c r="I133" s="6"/>
      <c r="J133" s="9"/>
    </row>
    <row r="134" spans="1:10" ht="12" customHeight="1" x14ac:dyDescent="0.3">
      <c r="A134" s="4">
        <v>1156</v>
      </c>
      <c r="B134" s="6">
        <f>VLOOKUP(TABLA_PRECIOS[Código],LISTADO_PRODUCTOS[#All],2)</f>
        <v>54305</v>
      </c>
      <c r="C134" s="6" t="str">
        <f>VLOOKUP(TABLA_PRECIOS[Código],LISTADO_PRODUCTOS[#All],3)</f>
        <v>LIBRERÍA</v>
      </c>
      <c r="D134" s="6" t="str">
        <f>VLOOKUP(TABLA_PRECIOS[Código],LISTADO_PRODUCTOS[#All],4)</f>
        <v>Tijera Olami Standard 17.5cm</v>
      </c>
      <c r="E134" s="6" t="str">
        <f>VLOOKUP(TABLA_PRECIOS[Código],LISTADO_PRODUCTOS[#All],5)</f>
        <v>N/A</v>
      </c>
      <c r="F134" s="4">
        <v>1</v>
      </c>
      <c r="G134" s="4">
        <v>1</v>
      </c>
      <c r="H134" s="6">
        <v>1</v>
      </c>
      <c r="I134" s="6"/>
      <c r="J134" s="9"/>
    </row>
    <row r="135" spans="1:10" ht="12" customHeight="1" x14ac:dyDescent="0.3">
      <c r="A135" s="4">
        <v>1161</v>
      </c>
      <c r="B135" s="6">
        <f>VLOOKUP(TABLA_PRECIOS[Código],LISTADO_PRODUCTOS[#All],2)</f>
        <v>54306</v>
      </c>
      <c r="C135" s="6" t="str">
        <f>VLOOKUP(TABLA_PRECIOS[Código],LISTADO_PRODUCTOS[#All],3)</f>
        <v>LIBRERÍA</v>
      </c>
      <c r="D135" s="6" t="str">
        <f>VLOOKUP(TABLA_PRECIOS[Código],LISTADO_PRODUCTOS[#All],4)</f>
        <v>Crayon Ezco Jumbo x 12u</v>
      </c>
      <c r="E135" s="6" t="str">
        <f>VLOOKUP(TABLA_PRECIOS[Código],LISTADO_PRODUCTOS[#All],5)</f>
        <v>N/A</v>
      </c>
      <c r="F135" s="4">
        <v>1</v>
      </c>
      <c r="G135" s="4">
        <v>1</v>
      </c>
      <c r="H135" s="6">
        <v>1</v>
      </c>
      <c r="I135" s="6"/>
      <c r="J135" s="9"/>
    </row>
    <row r="136" spans="1:10" ht="12" customHeight="1" x14ac:dyDescent="0.3">
      <c r="A136" s="4">
        <v>1162</v>
      </c>
      <c r="B136" s="6">
        <f>VLOOKUP(TABLA_PRECIOS[Código],LISTADO_PRODUCTOS[#All],2)</f>
        <v>54307</v>
      </c>
      <c r="C136" s="6" t="str">
        <f>VLOOKUP(TABLA_PRECIOS[Código],LISTADO_PRODUCTOS[#All],3)</f>
        <v>LIBRERÍA</v>
      </c>
      <c r="D136" s="6" t="str">
        <f>VLOOKUP(TABLA_PRECIOS[Código],LISTADO_PRODUCTOS[#All],4)</f>
        <v>Lapices de colores Bic Evolution x 24</v>
      </c>
      <c r="E136" s="6" t="str">
        <f>VLOOKUP(TABLA_PRECIOS[Código],LISTADO_PRODUCTOS[#All],5)</f>
        <v>N/A</v>
      </c>
      <c r="F136" s="4">
        <v>1</v>
      </c>
      <c r="G136" s="4">
        <v>1</v>
      </c>
      <c r="H136" s="6">
        <v>1</v>
      </c>
      <c r="I136" s="6"/>
      <c r="J136" s="9"/>
    </row>
    <row r="137" spans="1:10" ht="12" customHeight="1" x14ac:dyDescent="0.3">
      <c r="A137" s="4">
        <v>1163</v>
      </c>
      <c r="B137" s="6">
        <f>VLOOKUP(TABLA_PRECIOS[Código],LISTADO_PRODUCTOS[#All],2)</f>
        <v>54308</v>
      </c>
      <c r="C137" s="6" t="str">
        <f>VLOOKUP(TABLA_PRECIOS[Código],LISTADO_PRODUCTOS[#All],3)</f>
        <v>LIBRERÍA</v>
      </c>
      <c r="D137" s="6" t="str">
        <f>VLOOKUP(TABLA_PRECIOS[Código],LISTADO_PRODUCTOS[#All],4)</f>
        <v>Lapices de colores Skycolor pastel x 12</v>
      </c>
      <c r="E137" s="6" t="str">
        <f>VLOOKUP(TABLA_PRECIOS[Código],LISTADO_PRODUCTOS[#All],5)</f>
        <v>N/A</v>
      </c>
      <c r="F137" s="4">
        <v>1</v>
      </c>
      <c r="G137" s="4">
        <v>1</v>
      </c>
      <c r="H137" s="6">
        <v>1</v>
      </c>
      <c r="I137" s="6"/>
      <c r="J137" s="9"/>
    </row>
    <row r="138" spans="1:10" ht="12" customHeight="1" x14ac:dyDescent="0.3">
      <c r="A138" s="4">
        <v>1164</v>
      </c>
      <c r="B138" s="6">
        <f>VLOOKUP(TABLA_PRECIOS[Código],LISTADO_PRODUCTOS[#All],2)</f>
        <v>54309</v>
      </c>
      <c r="C138" s="38" t="str">
        <f>VLOOKUP(TABLA_PRECIOS[Código],LISTADO_PRODUCTOS[#All],3)</f>
        <v>LIBRERÍA</v>
      </c>
      <c r="D138" s="6" t="str">
        <f>VLOOKUP(TABLA_PRECIOS[Código],LISTADO_PRODUCTOS[#All],4)</f>
        <v>Lapices de colores Maped Star pinturitas x 36 u</v>
      </c>
      <c r="E138" s="6" t="str">
        <f>VLOOKUP(TABLA_PRECIOS[Código],LISTADO_PRODUCTOS[#All],5)</f>
        <v>N/A</v>
      </c>
      <c r="F138" s="4">
        <v>1</v>
      </c>
      <c r="G138" s="4">
        <v>1</v>
      </c>
      <c r="H138" s="6">
        <v>1</v>
      </c>
      <c r="I138" s="6"/>
      <c r="J138" s="9"/>
    </row>
    <row r="139" spans="1:10" ht="12" customHeight="1" x14ac:dyDescent="0.3">
      <c r="A139" s="4">
        <v>1165</v>
      </c>
      <c r="B139" s="6">
        <f>VLOOKUP(TABLA_PRECIOS[Código],LISTADO_PRODUCTOS[#All],2)</f>
        <v>54310</v>
      </c>
      <c r="C139" s="6" t="str">
        <f>VLOOKUP(TABLA_PRECIOS[Código],LISTADO_PRODUCTOS[#All],3)</f>
        <v>LIBRERÍA</v>
      </c>
      <c r="D139" s="6" t="str">
        <f>VLOOKUP(TABLA_PRECIOS[Código],LISTADO_PRODUCTOS[#All],4)</f>
        <v>Lapices de colores Maped Star pinturitas x 48 u</v>
      </c>
      <c r="E139" s="6" t="str">
        <f>VLOOKUP(TABLA_PRECIOS[Código],LISTADO_PRODUCTOS[#All],5)</f>
        <v>N/A</v>
      </c>
      <c r="F139" s="4">
        <v>1</v>
      </c>
      <c r="G139" s="4">
        <v>1</v>
      </c>
      <c r="H139" s="6">
        <v>1</v>
      </c>
      <c r="I139" s="6"/>
      <c r="J139" s="9"/>
    </row>
    <row r="140" spans="1:10" ht="12" customHeight="1" x14ac:dyDescent="0.3">
      <c r="A140" s="4">
        <v>1167</v>
      </c>
      <c r="B140" s="6">
        <f>VLOOKUP(TABLA_PRECIOS[Código],LISTADO_PRODUCTOS[#All],2)</f>
        <v>54311</v>
      </c>
      <c r="C140" s="6" t="str">
        <f>VLOOKUP(TABLA_PRECIOS[Código],LISTADO_PRODUCTOS[#All],3)</f>
        <v>LIBRERÍA</v>
      </c>
      <c r="D140" s="6" t="str">
        <f>VLOOKUP(TABLA_PRECIOS[Código],LISTADO_PRODUCTOS[#All],4)</f>
        <v>Colores Sylvapen x6 Fluo</v>
      </c>
      <c r="E140" s="6" t="str">
        <f>VLOOKUP(TABLA_PRECIOS[Código],LISTADO_PRODUCTOS[#All],5)</f>
        <v>N/A</v>
      </c>
      <c r="F140" s="4">
        <v>1</v>
      </c>
      <c r="G140" s="4">
        <v>1</v>
      </c>
      <c r="H140" s="6">
        <v>1</v>
      </c>
      <c r="I140" s="6"/>
      <c r="J140" s="9"/>
    </row>
    <row r="141" spans="1:10" ht="12" customHeight="1" x14ac:dyDescent="0.3">
      <c r="A141" s="4">
        <v>1168</v>
      </c>
      <c r="B141" s="6">
        <f>VLOOKUP(TABLA_PRECIOS[Código],LISTADO_PRODUCTOS[#All],2)</f>
        <v>54312</v>
      </c>
      <c r="C141" s="6" t="str">
        <f>VLOOKUP(TABLA_PRECIOS[Código],LISTADO_PRODUCTOS[#All],3)</f>
        <v>LIBRERÍA</v>
      </c>
      <c r="D141" s="6" t="str">
        <f>VLOOKUP(TABLA_PRECIOS[Código],LISTADO_PRODUCTOS[#All],4)</f>
        <v>Colores x 12 Simball Largos Acuarelables</v>
      </c>
      <c r="E141" s="6" t="str">
        <f>VLOOKUP(TABLA_PRECIOS[Código],LISTADO_PRODUCTOS[#All],5)</f>
        <v>N/A</v>
      </c>
      <c r="F141" s="4">
        <v>1</v>
      </c>
      <c r="G141" s="4">
        <v>1</v>
      </c>
      <c r="H141" s="6">
        <v>1</v>
      </c>
      <c r="I141" s="6"/>
      <c r="J141" s="9"/>
    </row>
    <row r="142" spans="1:10" ht="12" customHeight="1" x14ac:dyDescent="0.3">
      <c r="A142" s="4">
        <v>1169</v>
      </c>
      <c r="B142" s="6">
        <f>VLOOKUP(TABLA_PRECIOS[Código],LISTADO_PRODUCTOS[#All],2)</f>
        <v>54313</v>
      </c>
      <c r="C142" s="6" t="str">
        <f>VLOOKUP(TABLA_PRECIOS[Código],LISTADO_PRODUCTOS[#All],3)</f>
        <v>LIBRERÍA</v>
      </c>
      <c r="D142" s="6" t="str">
        <f>VLOOKUP(TABLA_PRECIOS[Código],LISTADO_PRODUCTOS[#All],4)</f>
        <v>Colores Simball x 12 largos innovation</v>
      </c>
      <c r="E142" s="6" t="str">
        <f>VLOOKUP(TABLA_PRECIOS[Código],LISTADO_PRODUCTOS[#All],5)</f>
        <v>N/A</v>
      </c>
      <c r="F142" s="4">
        <v>1</v>
      </c>
      <c r="G142" s="4">
        <v>1</v>
      </c>
      <c r="H142" s="6">
        <v>1</v>
      </c>
      <c r="I142" s="6"/>
      <c r="J142" s="9"/>
    </row>
    <row r="143" spans="1:10" ht="12" customHeight="1" x14ac:dyDescent="0.3">
      <c r="A143" s="4">
        <v>1171</v>
      </c>
      <c r="B143" s="6">
        <f>VLOOKUP(TABLA_PRECIOS[Código],LISTADO_PRODUCTOS[#All],2)</f>
        <v>54314</v>
      </c>
      <c r="C143" s="6" t="str">
        <f>VLOOKUP(TABLA_PRECIOS[Código],LISTADO_PRODUCTOS[#All],3)</f>
        <v>LIBRERÍA</v>
      </c>
      <c r="D143" s="6" t="str">
        <f>VLOOKUP(TABLA_PRECIOS[Código],LISTADO_PRODUCTOS[#All],4)</f>
        <v>Lapices de colores Pastel Mooving Dulce pastel x 10</v>
      </c>
      <c r="E143" s="6" t="str">
        <f>VLOOKUP(TABLA_PRECIOS[Código],LISTADO_PRODUCTOS[#All],5)</f>
        <v>N/A</v>
      </c>
      <c r="F143" s="4">
        <v>1</v>
      </c>
      <c r="G143" s="4">
        <v>1</v>
      </c>
      <c r="H143" s="6">
        <v>1</v>
      </c>
      <c r="I143" s="6"/>
      <c r="J143" s="9"/>
    </row>
    <row r="144" spans="1:10" ht="12" customHeight="1" x14ac:dyDescent="0.3">
      <c r="A144" s="4">
        <v>1173</v>
      </c>
      <c r="B144" s="6">
        <f>VLOOKUP(TABLA_PRECIOS[Código],LISTADO_PRODUCTOS[#All],2)</f>
        <v>54315</v>
      </c>
      <c r="C144" s="6" t="str">
        <f>VLOOKUP(TABLA_PRECIOS[Código],LISTADO_PRODUCTOS[#All],3)</f>
        <v>LIBRERÍA</v>
      </c>
      <c r="D144" s="6" t="str">
        <f>VLOOKUP(TABLA_PRECIOS[Código],LISTADO_PRODUCTOS[#All],4)</f>
        <v>Lapices de colores Paper mate x 15u incluye 3 NEON</v>
      </c>
      <c r="E144" s="6" t="str">
        <f>VLOOKUP(TABLA_PRECIOS[Código],LISTADO_PRODUCTOS[#All],5)</f>
        <v>N/A</v>
      </c>
      <c r="F144" s="4">
        <v>1</v>
      </c>
      <c r="G144" s="4">
        <v>1</v>
      </c>
      <c r="H144" s="6">
        <v>1</v>
      </c>
      <c r="I144" s="6"/>
      <c r="J144" s="9"/>
    </row>
    <row r="145" spans="1:10" ht="12" customHeight="1" x14ac:dyDescent="0.3">
      <c r="A145" s="4">
        <v>1174</v>
      </c>
      <c r="B145" s="6">
        <f>VLOOKUP(TABLA_PRECIOS[Código],LISTADO_PRODUCTOS[#All],2)</f>
        <v>54316</v>
      </c>
      <c r="C145" s="6" t="str">
        <f>VLOOKUP(TABLA_PRECIOS[Código],LISTADO_PRODUCTOS[#All],3)</f>
        <v>LIBRERÍA</v>
      </c>
      <c r="D145" s="6" t="str">
        <f>VLOOKUP(TABLA_PRECIOS[Código],LISTADO_PRODUCTOS[#All],4)</f>
        <v xml:space="preserve">Colores Faber castell x24 </v>
      </c>
      <c r="E145" s="6" t="str">
        <f>VLOOKUP(TABLA_PRECIOS[Código],LISTADO_PRODUCTOS[#All],5)</f>
        <v>N/A</v>
      </c>
      <c r="F145" s="4">
        <v>1</v>
      </c>
      <c r="G145" s="4">
        <v>1</v>
      </c>
      <c r="H145" s="6">
        <v>1</v>
      </c>
      <c r="I145" s="6"/>
      <c r="J145" s="9"/>
    </row>
    <row r="146" spans="1:10" ht="12" customHeight="1" x14ac:dyDescent="0.3">
      <c r="A146" s="4">
        <v>1175</v>
      </c>
      <c r="B146" s="6">
        <f>VLOOKUP(TABLA_PRECIOS[Código],LISTADO_PRODUCTOS[#All],2)</f>
        <v>54317</v>
      </c>
      <c r="C146" s="6" t="str">
        <f>VLOOKUP(TABLA_PRECIOS[Código],LISTADO_PRODUCTOS[#All],3)</f>
        <v>LIBRERÍA</v>
      </c>
      <c r="D146" s="6" t="str">
        <f>VLOOKUP(TABLA_PRECIOS[Código],LISTADO_PRODUCTOS[#All],4)</f>
        <v xml:space="preserve">Colores Faber Castell x12 +2N </v>
      </c>
      <c r="E146" s="6" t="str">
        <f>VLOOKUP(TABLA_PRECIOS[Código],LISTADO_PRODUCTOS[#All],5)</f>
        <v>N/A</v>
      </c>
      <c r="F146" s="4">
        <v>1</v>
      </c>
      <c r="G146" s="4">
        <v>1</v>
      </c>
      <c r="H146" s="6">
        <v>1</v>
      </c>
      <c r="I146" s="6"/>
      <c r="J146" s="9"/>
    </row>
    <row r="147" spans="1:10" ht="12" customHeight="1" x14ac:dyDescent="0.3">
      <c r="A147" s="4">
        <v>1176</v>
      </c>
      <c r="B147" s="6">
        <f>VLOOKUP(TABLA_PRECIOS[Código],LISTADO_PRODUCTOS[#All],2)</f>
        <v>54318</v>
      </c>
      <c r="C147" s="6" t="str">
        <f>VLOOKUP(TABLA_PRECIOS[Código],LISTADO_PRODUCTOS[#All],3)</f>
        <v>LIBRERÍA</v>
      </c>
      <c r="D147" s="6" t="str">
        <f>VLOOKUP(TABLA_PRECIOS[Código],LISTADO_PRODUCTOS[#All],4)</f>
        <v>Marcadores escolares Skycolor x 10</v>
      </c>
      <c r="E147" s="6" t="str">
        <f>VLOOKUP(TABLA_PRECIOS[Código],LISTADO_PRODUCTOS[#All],5)</f>
        <v>N/A</v>
      </c>
      <c r="F147" s="4">
        <v>1</v>
      </c>
      <c r="G147" s="4">
        <v>1</v>
      </c>
      <c r="H147" s="6">
        <v>1</v>
      </c>
      <c r="I147" s="6"/>
      <c r="J147" s="9"/>
    </row>
    <row r="148" spans="1:10" ht="12" customHeight="1" x14ac:dyDescent="0.3">
      <c r="A148" s="4">
        <v>1180</v>
      </c>
      <c r="B148" s="6">
        <f>VLOOKUP(TABLA_PRECIOS[Código],LISTADO_PRODUCTOS[#All],2)</f>
        <v>54319</v>
      </c>
      <c r="C148" s="6" t="str">
        <f>VLOOKUP(TABLA_PRECIOS[Código],LISTADO_PRODUCTOS[#All],3)</f>
        <v>LIBRERÍA</v>
      </c>
      <c r="D148" s="6" t="str">
        <f>VLOOKUP(TABLA_PRECIOS[Código],LISTADO_PRODUCTOS[#All],4)</f>
        <v>Marcadores Maped Long Life punta conica</v>
      </c>
      <c r="E148" s="6" t="str">
        <f>VLOOKUP(TABLA_PRECIOS[Código],LISTADO_PRODUCTOS[#All],5)</f>
        <v>N/A</v>
      </c>
      <c r="F148" s="4">
        <v>1</v>
      </c>
      <c r="G148" s="4">
        <v>1</v>
      </c>
      <c r="H148" s="6">
        <v>1</v>
      </c>
      <c r="I148" s="6"/>
      <c r="J148" s="9"/>
    </row>
    <row r="149" spans="1:10" ht="12" customHeight="1" x14ac:dyDescent="0.3">
      <c r="A149" s="4">
        <v>1181</v>
      </c>
      <c r="B149" s="6">
        <f>VLOOKUP(TABLA_PRECIOS[Código],LISTADO_PRODUCTOS[#All],2)</f>
        <v>54320</v>
      </c>
      <c r="C149" s="6" t="str">
        <f>VLOOKUP(TABLA_PRECIOS[Código],LISTADO_PRODUCTOS[#All],3)</f>
        <v>LIBRERÍA</v>
      </c>
      <c r="D149" s="6" t="str">
        <f>VLOOKUP(TABLA_PRECIOS[Código],LISTADO_PRODUCTOS[#All],4)</f>
        <v>Cuaderno America T/Flex 48h</v>
      </c>
      <c r="E149" s="6" t="str">
        <f>VLOOKUP(TABLA_PRECIOS[Código],LISTADO_PRODUCTOS[#All],5)</f>
        <v>N/A</v>
      </c>
      <c r="F149" s="4">
        <v>1</v>
      </c>
      <c r="G149" s="4">
        <v>1</v>
      </c>
      <c r="H149" s="6">
        <v>1</v>
      </c>
      <c r="I149" s="6"/>
      <c r="J149" s="9"/>
    </row>
    <row r="150" spans="1:10" ht="12" customHeight="1" x14ac:dyDescent="0.3">
      <c r="A150" s="4">
        <v>1183</v>
      </c>
      <c r="B150" s="6">
        <f>VLOOKUP(TABLA_PRECIOS[Código],LISTADO_PRODUCTOS[#All],2)</f>
        <v>54321</v>
      </c>
      <c r="C150" s="6" t="str">
        <f>VLOOKUP(TABLA_PRECIOS[Código],LISTADO_PRODUCTOS[#All],3)</f>
        <v>LIBRERÍA</v>
      </c>
      <c r="D150" s="6" t="str">
        <f>VLOOKUP(TABLA_PRECIOS[Código],LISTADO_PRODUCTOS[#All],4)</f>
        <v>Marcadores Deli Sketch triangular Doble punta Box x 12u</v>
      </c>
      <c r="E150" s="6" t="str">
        <f>VLOOKUP(TABLA_PRECIOS[Código],LISTADO_PRODUCTOS[#All],5)</f>
        <v>N/A</v>
      </c>
      <c r="F150" s="4">
        <v>1</v>
      </c>
      <c r="G150" s="4">
        <v>1</v>
      </c>
      <c r="H150" s="6">
        <v>1</v>
      </c>
      <c r="I150" s="6"/>
      <c r="J150" s="9"/>
    </row>
    <row r="151" spans="1:10" ht="12" customHeight="1" x14ac:dyDescent="0.3">
      <c r="A151" s="4">
        <v>1186</v>
      </c>
      <c r="B151" s="6">
        <f>VLOOKUP(TABLA_PRECIOS[Código],LISTADO_PRODUCTOS[#All],2)</f>
        <v>54322</v>
      </c>
      <c r="C151" s="6" t="str">
        <f>VLOOKUP(TABLA_PRECIOS[Código],LISTADO_PRODUCTOS[#All],3)</f>
        <v>LIBRERÍA</v>
      </c>
      <c r="D151" s="6" t="str">
        <f>VLOOKUP(TABLA_PRECIOS[Código],LISTADO_PRODUCTOS[#All],4)</f>
        <v>Marcador Trabí Art Brush Pastel x 6u</v>
      </c>
      <c r="E151" s="6" t="str">
        <f>VLOOKUP(TABLA_PRECIOS[Código],LISTADO_PRODUCTOS[#All],5)</f>
        <v>N/A</v>
      </c>
      <c r="F151" s="4">
        <v>1</v>
      </c>
      <c r="G151" s="4">
        <v>1</v>
      </c>
      <c r="H151" s="6">
        <v>1</v>
      </c>
      <c r="I151" s="6"/>
      <c r="J151" s="9"/>
    </row>
    <row r="152" spans="1:10" ht="12" customHeight="1" x14ac:dyDescent="0.3">
      <c r="A152" s="4">
        <v>1187</v>
      </c>
      <c r="B152" s="6">
        <f>VLOOKUP(TABLA_PRECIOS[Código],LISTADO_PRODUCTOS[#All],2)</f>
        <v>54323</v>
      </c>
      <c r="C152" s="6" t="str">
        <f>VLOOKUP(TABLA_PRECIOS[Código],LISTADO_PRODUCTOS[#All],3)</f>
        <v>LIBRERÍA</v>
      </c>
      <c r="D152" s="6" t="str">
        <f>VLOOKUP(TABLA_PRECIOS[Código],LISTADO_PRODUCTOS[#All],4)</f>
        <v>Tijera Maped Advanced 21cm Asim Try Me</v>
      </c>
      <c r="E152" s="6" t="str">
        <f>VLOOKUP(TABLA_PRECIOS[Código],LISTADO_PRODUCTOS[#All],5)</f>
        <v>N/A</v>
      </c>
      <c r="F152" s="4">
        <v>1</v>
      </c>
      <c r="G152" s="4">
        <v>1</v>
      </c>
      <c r="H152" s="6">
        <v>1</v>
      </c>
      <c r="I152" s="6"/>
      <c r="J152" s="9"/>
    </row>
    <row r="153" spans="1:10" ht="12" customHeight="1" x14ac:dyDescent="0.3">
      <c r="A153" s="4">
        <v>1188</v>
      </c>
      <c r="B153" s="6">
        <f>VLOOKUP(TABLA_PRECIOS[Código],LISTADO_PRODUCTOS[#All],2)</f>
        <v>54324</v>
      </c>
      <c r="C153" s="6" t="str">
        <f>VLOOKUP(TABLA_PRECIOS[Código],LISTADO_PRODUCTOS[#All],3)</f>
        <v>LIBRERÍA</v>
      </c>
      <c r="D153" s="6" t="str">
        <f>VLOOKUP(TABLA_PRECIOS[Código],LISTADO_PRODUCTOS[#All],4)</f>
        <v>Portaminas Micro Executive 0,7</v>
      </c>
      <c r="E153" s="6" t="str">
        <f>VLOOKUP(TABLA_PRECIOS[Código],LISTADO_PRODUCTOS[#All],5)</f>
        <v>N/A</v>
      </c>
      <c r="F153" s="4">
        <v>1</v>
      </c>
      <c r="G153" s="4">
        <v>1</v>
      </c>
      <c r="H153" s="6">
        <v>1</v>
      </c>
      <c r="I153" s="6"/>
      <c r="J153" s="9"/>
    </row>
    <row r="154" spans="1:10" ht="12" customHeight="1" x14ac:dyDescent="0.3">
      <c r="A154" s="4">
        <v>1189</v>
      </c>
      <c r="B154" s="6">
        <f>VLOOKUP(TABLA_PRECIOS[Código],LISTADO_PRODUCTOS[#All],2)</f>
        <v>54325</v>
      </c>
      <c r="C154" s="6" t="str">
        <f>VLOOKUP(TABLA_PRECIOS[Código],LISTADO_PRODUCTOS[#All],3)</f>
        <v>LIBRERÍA</v>
      </c>
      <c r="D154" s="6" t="str">
        <f>VLOOKUP(TABLA_PRECIOS[Código],LISTADO_PRODUCTOS[#All],4)</f>
        <v>Adhesivo Sintetico Pizzini x 30ml</v>
      </c>
      <c r="E154" s="6" t="str">
        <f>VLOOKUP(TABLA_PRECIOS[Código],LISTADO_PRODUCTOS[#All],5)</f>
        <v>N/A</v>
      </c>
      <c r="F154" s="4">
        <v>1</v>
      </c>
      <c r="G154" s="4">
        <v>1</v>
      </c>
      <c r="H154" s="6">
        <v>1</v>
      </c>
      <c r="I154" s="6"/>
      <c r="J154" s="9"/>
    </row>
    <row r="155" spans="1:10" ht="12" customHeight="1" x14ac:dyDescent="0.3">
      <c r="A155" s="4">
        <v>1190</v>
      </c>
      <c r="B155" s="6">
        <f>VLOOKUP(TABLA_PRECIOS[Código],LISTADO_PRODUCTOS[#All],2)</f>
        <v>54326</v>
      </c>
      <c r="C155" s="6" t="str">
        <f>VLOOKUP(TABLA_PRECIOS[Código],LISTADO_PRODUCTOS[#All],3)</f>
        <v>LIBRERÍA</v>
      </c>
      <c r="D155" s="6" t="str">
        <f>VLOOKUP(TABLA_PRECIOS[Código],LISTADO_PRODUCTOS[#All],4)</f>
        <v>Adhesivo Sintetico Voligoma x 30ml</v>
      </c>
      <c r="E155" s="6" t="str">
        <f>VLOOKUP(TABLA_PRECIOS[Código],LISTADO_PRODUCTOS[#All],5)</f>
        <v>N/A</v>
      </c>
      <c r="F155" s="4">
        <v>1</v>
      </c>
      <c r="G155" s="4">
        <v>1</v>
      </c>
      <c r="H155" s="6">
        <v>1</v>
      </c>
      <c r="I155" s="6"/>
      <c r="J155" s="9"/>
    </row>
    <row r="156" spans="1:10" ht="12" customHeight="1" x14ac:dyDescent="0.3">
      <c r="A156" s="4">
        <v>1191</v>
      </c>
      <c r="B156" s="6">
        <f>VLOOKUP(TABLA_PRECIOS[Código],LISTADO_PRODUCTOS[#All],2)</f>
        <v>54327</v>
      </c>
      <c r="C156" s="6" t="str">
        <f>VLOOKUP(TABLA_PRECIOS[Código],LISTADO_PRODUCTOS[#All],3)</f>
        <v>LIBRERÍA</v>
      </c>
      <c r="D156" s="6" t="str">
        <f>VLOOKUP(TABLA_PRECIOS[Código],LISTADO_PRODUCTOS[#All],4)</f>
        <v>Adhesivo Sintetico Voligoma x 50ml</v>
      </c>
      <c r="E156" s="6" t="str">
        <f>VLOOKUP(TABLA_PRECIOS[Código],LISTADO_PRODUCTOS[#All],5)</f>
        <v>N/A</v>
      </c>
      <c r="F156" s="4">
        <v>1</v>
      </c>
      <c r="G156" s="4">
        <v>1</v>
      </c>
      <c r="H156" s="6">
        <v>1</v>
      </c>
      <c r="I156" s="6"/>
      <c r="J156" s="9"/>
    </row>
    <row r="157" spans="1:10" ht="12" customHeight="1" x14ac:dyDescent="0.3">
      <c r="A157" s="4">
        <v>1192</v>
      </c>
      <c r="B157" s="6">
        <f>VLOOKUP(TABLA_PRECIOS[Código],LISTADO_PRODUCTOS[#All],2)</f>
        <v>54328</v>
      </c>
      <c r="C157" s="6" t="str">
        <f>VLOOKUP(TABLA_PRECIOS[Código],LISTADO_PRODUCTOS[#All],3)</f>
        <v>LIBRERÍA</v>
      </c>
      <c r="D157" s="6" t="str">
        <f>VLOOKUP(TABLA_PRECIOS[Código],LISTADO_PRODUCTOS[#All],4)</f>
        <v>Silicona liquida Pritt 105gr</v>
      </c>
      <c r="E157" s="6" t="str">
        <f>VLOOKUP(TABLA_PRECIOS[Código],LISTADO_PRODUCTOS[#All],5)</f>
        <v>N/A</v>
      </c>
      <c r="F157" s="4">
        <v>1</v>
      </c>
      <c r="G157" s="4">
        <v>1</v>
      </c>
      <c r="H157" s="6">
        <v>1</v>
      </c>
      <c r="I157" s="6"/>
      <c r="J157" s="9"/>
    </row>
    <row r="158" spans="1:10" ht="12" customHeight="1" x14ac:dyDescent="0.3">
      <c r="A158" s="4">
        <v>1194</v>
      </c>
      <c r="B158" s="6">
        <f>VLOOKUP(TABLA_PRECIOS[Código],LISTADO_PRODUCTOS[#All],2)</f>
        <v>54329</v>
      </c>
      <c r="C158" s="6" t="str">
        <f>VLOOKUP(TABLA_PRECIOS[Código],LISTADO_PRODUCTOS[#All],3)</f>
        <v>LIBRERÍA</v>
      </c>
      <c r="D158" s="6" t="str">
        <f>VLOOKUP(TABLA_PRECIOS[Código],LISTADO_PRODUCTOS[#All],4)</f>
        <v>Adhesivo vinilico Señorita x 1Kg</v>
      </c>
      <c r="E158" s="6" t="str">
        <f>VLOOKUP(TABLA_PRECIOS[Código],LISTADO_PRODUCTOS[#All],5)</f>
        <v>N/A</v>
      </c>
      <c r="F158" s="4">
        <v>1</v>
      </c>
      <c r="G158" s="4">
        <v>1</v>
      </c>
      <c r="H158" s="6">
        <v>1</v>
      </c>
      <c r="I158" s="6"/>
      <c r="J158" s="9"/>
    </row>
    <row r="159" spans="1:10" ht="12" customHeight="1" x14ac:dyDescent="0.3">
      <c r="A159" s="4">
        <v>1195</v>
      </c>
      <c r="B159" s="6">
        <f>VLOOKUP(TABLA_PRECIOS[Código],LISTADO_PRODUCTOS[#All],2)</f>
        <v>54330</v>
      </c>
      <c r="C159" s="6" t="str">
        <f>VLOOKUP(TABLA_PRECIOS[Código],LISTADO_PRODUCTOS[#All],3)</f>
        <v>LIBRERÍA</v>
      </c>
      <c r="D159" s="6" t="str">
        <f>VLOOKUP(TABLA_PRECIOS[Código],LISTADO_PRODUCTOS[#All],4)</f>
        <v>Adhesivo vinilico Señorita/Maped x 500gr</v>
      </c>
      <c r="E159" s="6" t="str">
        <f>VLOOKUP(TABLA_PRECIOS[Código],LISTADO_PRODUCTOS[#All],5)</f>
        <v>N/A</v>
      </c>
      <c r="F159" s="4">
        <v>1</v>
      </c>
      <c r="G159" s="4">
        <v>1</v>
      </c>
      <c r="H159" s="6">
        <v>1</v>
      </c>
      <c r="I159" s="6"/>
      <c r="J159" s="9"/>
    </row>
    <row r="160" spans="1:10" ht="12" customHeight="1" x14ac:dyDescent="0.3">
      <c r="A160" s="4">
        <v>1196</v>
      </c>
      <c r="B160" s="6">
        <f>VLOOKUP(TABLA_PRECIOS[Código],LISTADO_PRODUCTOS[#All],2)</f>
        <v>54331</v>
      </c>
      <c r="C160" s="6" t="str">
        <f>VLOOKUP(TABLA_PRECIOS[Código],LISTADO_PRODUCTOS[#All],3)</f>
        <v>LIBRERÍA</v>
      </c>
      <c r="D160" s="6" t="str">
        <f>VLOOKUP(TABLA_PRECIOS[Código],LISTADO_PRODUCTOS[#All],4)</f>
        <v>Adhesivo vinilico Señorita/Maped x 250gr</v>
      </c>
      <c r="E160" s="6" t="str">
        <f>VLOOKUP(TABLA_PRECIOS[Código],LISTADO_PRODUCTOS[#All],5)</f>
        <v>N/A</v>
      </c>
      <c r="F160" s="4">
        <v>1</v>
      </c>
      <c r="G160" s="4">
        <v>1</v>
      </c>
      <c r="H160" s="6">
        <v>1</v>
      </c>
      <c r="I160" s="6"/>
      <c r="J160" s="9"/>
    </row>
    <row r="161" spans="1:10" ht="12" customHeight="1" x14ac:dyDescent="0.3">
      <c r="A161" s="4">
        <v>1197</v>
      </c>
      <c r="B161" s="6">
        <f>VLOOKUP(TABLA_PRECIOS[Código],LISTADO_PRODUCTOS[#All],2)</f>
        <v>54332</v>
      </c>
      <c r="C161" s="6" t="str">
        <f>VLOOKUP(TABLA_PRECIOS[Código],LISTADO_PRODUCTOS[#All],3)</f>
        <v>LIBRERÍA</v>
      </c>
      <c r="D161" s="6" t="str">
        <f>VLOOKUP(TABLA_PRECIOS[Código],LISTADO_PRODUCTOS[#All],4)</f>
        <v>Adhesivo vinilico Señorita/Maped x 100gr/125gr</v>
      </c>
      <c r="E161" s="6" t="str">
        <f>VLOOKUP(TABLA_PRECIOS[Código],LISTADO_PRODUCTOS[#All],5)</f>
        <v>N/A</v>
      </c>
      <c r="F161" s="4">
        <v>1</v>
      </c>
      <c r="G161" s="4">
        <v>1</v>
      </c>
      <c r="H161" s="6">
        <v>1</v>
      </c>
      <c r="I161" s="6"/>
      <c r="J161" s="9"/>
    </row>
    <row r="162" spans="1:10" ht="12" customHeight="1" x14ac:dyDescent="0.3">
      <c r="A162" s="4">
        <v>1199</v>
      </c>
      <c r="B162" s="6">
        <f>VLOOKUP(TABLA_PRECIOS[Código],LISTADO_PRODUCTOS[#All],2)</f>
        <v>54333</v>
      </c>
      <c r="C162" s="6" t="str">
        <f>VLOOKUP(TABLA_PRECIOS[Código],LISTADO_PRODUCTOS[#All],3)</f>
        <v>LIBRERÍA</v>
      </c>
      <c r="D162" s="6" t="str">
        <f>VLOOKUP(TABLA_PRECIOS[Código],LISTADO_PRODUCTOS[#All],4)</f>
        <v>Goma de borrar Maped Technic</v>
      </c>
      <c r="E162" s="6" t="str">
        <f>VLOOKUP(TABLA_PRECIOS[Código],LISTADO_PRODUCTOS[#All],5)</f>
        <v>N/A</v>
      </c>
      <c r="F162" s="4">
        <v>1</v>
      </c>
      <c r="G162" s="4">
        <v>1</v>
      </c>
      <c r="H162" s="6">
        <v>1</v>
      </c>
      <c r="I162" s="6"/>
      <c r="J162" s="9"/>
    </row>
    <row r="163" spans="1:10" ht="12" customHeight="1" x14ac:dyDescent="0.3">
      <c r="A163" s="4">
        <v>1205</v>
      </c>
      <c r="B163" s="6">
        <f>VLOOKUP(TABLA_PRECIOS[Código],LISTADO_PRODUCTOS[#All],2)</f>
        <v>54334</v>
      </c>
      <c r="C163" s="6" t="str">
        <f>VLOOKUP(TABLA_PRECIOS[Código],LISTADO_PRODUCTOS[#All],3)</f>
        <v>LIBRERÍA</v>
      </c>
      <c r="D163" s="6" t="str">
        <f>VLOOKUP(TABLA_PRECIOS[Código],LISTADO_PRODUCTOS[#All],4)</f>
        <v xml:space="preserve">Papel Glace Lustre </v>
      </c>
      <c r="E163" s="6" t="str">
        <f>VLOOKUP(TABLA_PRECIOS[Código],LISTADO_PRODUCTOS[#All],5)</f>
        <v>N/A</v>
      </c>
      <c r="F163" s="4">
        <v>1</v>
      </c>
      <c r="G163" s="4">
        <v>1</v>
      </c>
      <c r="H163" s="6">
        <v>1</v>
      </c>
      <c r="I163" s="6"/>
      <c r="J163" s="9"/>
    </row>
    <row r="164" spans="1:10" ht="12" customHeight="1" x14ac:dyDescent="0.3">
      <c r="A164" s="4">
        <v>1206</v>
      </c>
      <c r="B164" s="6">
        <f>VLOOKUP(TABLA_PRECIOS[Código],LISTADO_PRODUCTOS[#All],2)</f>
        <v>54335</v>
      </c>
      <c r="C164" s="6" t="str">
        <f>VLOOKUP(TABLA_PRECIOS[Código],LISTADO_PRODUCTOS[#All],3)</f>
        <v>LIBRERÍA</v>
      </c>
      <c r="D164" s="6" t="str">
        <f>VLOOKUP(TABLA_PRECIOS[Código],LISTADO_PRODUCTOS[#All],4)</f>
        <v xml:space="preserve">Papel Glace Fluo - </v>
      </c>
      <c r="E164" s="6" t="str">
        <f>VLOOKUP(TABLA_PRECIOS[Código],LISTADO_PRODUCTOS[#All],5)</f>
        <v>N/A</v>
      </c>
      <c r="F164" s="4">
        <v>1</v>
      </c>
      <c r="G164" s="4">
        <v>1</v>
      </c>
      <c r="H164" s="6">
        <v>1</v>
      </c>
      <c r="I164" s="6"/>
      <c r="J164" s="9"/>
    </row>
    <row r="165" spans="1:10" ht="12" customHeight="1" x14ac:dyDescent="0.3">
      <c r="A165" s="4">
        <v>1207</v>
      </c>
      <c r="B165" s="6">
        <f>VLOOKUP(TABLA_PRECIOS[Código],LISTADO_PRODUCTOS[#All],2)</f>
        <v>54336</v>
      </c>
      <c r="C165" s="6" t="str">
        <f>VLOOKUP(TABLA_PRECIOS[Código],LISTADO_PRODUCTOS[#All],3)</f>
        <v>LIBRERÍA</v>
      </c>
      <c r="D165" s="6" t="str">
        <f>VLOOKUP(TABLA_PRECIOS[Código],LISTADO_PRODUCTOS[#All],4)</f>
        <v>Papel Glace metalizado -</v>
      </c>
      <c r="E165" s="6" t="str">
        <f>VLOOKUP(TABLA_PRECIOS[Código],LISTADO_PRODUCTOS[#All],5)</f>
        <v>N/A</v>
      </c>
      <c r="F165" s="4">
        <v>1</v>
      </c>
      <c r="G165" s="4">
        <v>1</v>
      </c>
      <c r="H165" s="6">
        <v>1</v>
      </c>
      <c r="I165" s="6"/>
      <c r="J165" s="9"/>
    </row>
    <row r="166" spans="1:10" ht="12" customHeight="1" x14ac:dyDescent="0.3">
      <c r="A166" s="4">
        <v>1208</v>
      </c>
      <c r="B166" s="6">
        <f>VLOOKUP(TABLA_PRECIOS[Código],LISTADO_PRODUCTOS[#All],2)</f>
        <v>54337</v>
      </c>
      <c r="C166" s="6" t="str">
        <f>VLOOKUP(TABLA_PRECIOS[Código],LISTADO_PRODUCTOS[#All],3)</f>
        <v>LIBRERÍA</v>
      </c>
      <c r="D166" s="6" t="str">
        <f>VLOOKUP(TABLA_PRECIOS[Código],LISTADO_PRODUCTOS[#All],4)</f>
        <v>Sacapuntas Maped Vivo</v>
      </c>
      <c r="E166" s="6" t="str">
        <f>VLOOKUP(TABLA_PRECIOS[Código],LISTADO_PRODUCTOS[#All],5)</f>
        <v>N/A</v>
      </c>
      <c r="F166" s="4">
        <v>1</v>
      </c>
      <c r="G166" s="4">
        <v>1</v>
      </c>
      <c r="H166" s="6">
        <v>1</v>
      </c>
      <c r="I166" s="6"/>
      <c r="J166" s="9"/>
    </row>
    <row r="167" spans="1:10" ht="12" customHeight="1" x14ac:dyDescent="0.3">
      <c r="A167" s="4">
        <v>1209</v>
      </c>
      <c r="B167" s="6">
        <f>VLOOKUP(TABLA_PRECIOS[Código],LISTADO_PRODUCTOS[#All],2)</f>
        <v>54338</v>
      </c>
      <c r="C167" s="6" t="str">
        <f>VLOOKUP(TABLA_PRECIOS[Código],LISTADO_PRODUCTOS[#All],3)</f>
        <v>LIBRERÍA</v>
      </c>
      <c r="D167" s="6" t="str">
        <f>VLOOKUP(TABLA_PRECIOS[Código],LISTADO_PRODUCTOS[#All],4)</f>
        <v>Sacapuntas Maped monstruito</v>
      </c>
      <c r="E167" s="6" t="str">
        <f>VLOOKUP(TABLA_PRECIOS[Código],LISTADO_PRODUCTOS[#All],5)</f>
        <v>N/A</v>
      </c>
      <c r="F167" s="4">
        <v>1</v>
      </c>
      <c r="G167" s="4">
        <v>1</v>
      </c>
      <c r="H167" s="6">
        <v>1</v>
      </c>
      <c r="I167" s="6"/>
      <c r="J167" s="9"/>
    </row>
    <row r="168" spans="1:10" ht="12" customHeight="1" x14ac:dyDescent="0.3">
      <c r="A168" s="4">
        <v>1210</v>
      </c>
      <c r="B168" s="6">
        <f>VLOOKUP(TABLA_PRECIOS[Código],LISTADO_PRODUCTOS[#All],2)</f>
        <v>54339</v>
      </c>
      <c r="C168" s="6" t="str">
        <f>VLOOKUP(TABLA_PRECIOS[Código],LISTADO_PRODUCTOS[#All],3)</f>
        <v>LIBRERÍA</v>
      </c>
      <c r="D168" s="6" t="str">
        <f>VLOOKUP(TABLA_PRECIOS[Código],LISTADO_PRODUCTOS[#All],4)</f>
        <v>Sacapuntas Metal</v>
      </c>
      <c r="E168" s="6" t="str">
        <f>VLOOKUP(TABLA_PRECIOS[Código],LISTADO_PRODUCTOS[#All],5)</f>
        <v>N/A</v>
      </c>
      <c r="F168" s="4">
        <v>1</v>
      </c>
      <c r="G168" s="4">
        <v>1</v>
      </c>
      <c r="H168" s="6">
        <v>1</v>
      </c>
      <c r="I168" s="6"/>
      <c r="J168" s="9"/>
    </row>
    <row r="169" spans="1:10" ht="12" customHeight="1" x14ac:dyDescent="0.3">
      <c r="A169" s="4">
        <v>1211</v>
      </c>
      <c r="B169" s="6">
        <f>VLOOKUP(TABLA_PRECIOS[Código],LISTADO_PRODUCTOS[#All],2)</f>
        <v>54340</v>
      </c>
      <c r="C169" s="6" t="str">
        <f>VLOOKUP(TABLA_PRECIOS[Código],LISTADO_PRODUCTOS[#All],3)</f>
        <v>LIBRERÍA</v>
      </c>
      <c r="D169" s="6" t="str">
        <f>VLOOKUP(TABLA_PRECIOS[Código],LISTADO_PRODUCTOS[#All],4)</f>
        <v>Lapiz Negro Filgo Pinto</v>
      </c>
      <c r="E169" s="6" t="str">
        <f>VLOOKUP(TABLA_PRECIOS[Código],LISTADO_PRODUCTOS[#All],5)</f>
        <v>N/A</v>
      </c>
      <c r="F169" s="4">
        <v>1</v>
      </c>
      <c r="G169" s="4">
        <v>1</v>
      </c>
      <c r="H169" s="6">
        <v>1</v>
      </c>
      <c r="I169" s="6"/>
      <c r="J169" s="9"/>
    </row>
    <row r="170" spans="1:10" ht="12" customHeight="1" x14ac:dyDescent="0.3">
      <c r="A170" s="4">
        <v>1212</v>
      </c>
      <c r="B170" s="6">
        <f>VLOOKUP(TABLA_PRECIOS[Código],LISTADO_PRODUCTOS[#All],2)</f>
        <v>54341</v>
      </c>
      <c r="C170" s="6" t="str">
        <f>VLOOKUP(TABLA_PRECIOS[Código],LISTADO_PRODUCTOS[#All],3)</f>
        <v>LIBRERÍA</v>
      </c>
      <c r="D170" s="6" t="str">
        <f>VLOOKUP(TABLA_PRECIOS[Código],LISTADO_PRODUCTOS[#All],4)</f>
        <v>Lapiz Negro Bic Evolution</v>
      </c>
      <c r="E170" s="6" t="str">
        <f>VLOOKUP(TABLA_PRECIOS[Código],LISTADO_PRODUCTOS[#All],5)</f>
        <v>N/A</v>
      </c>
      <c r="F170" s="4">
        <v>1</v>
      </c>
      <c r="G170" s="4">
        <v>1</v>
      </c>
      <c r="H170" s="6">
        <v>1</v>
      </c>
      <c r="I170" s="6"/>
      <c r="J170" s="9"/>
    </row>
    <row r="171" spans="1:10" ht="12" customHeight="1" x14ac:dyDescent="0.3">
      <c r="A171" s="4">
        <v>1213</v>
      </c>
      <c r="B171" s="6">
        <f>VLOOKUP(TABLA_PRECIOS[Código],LISTADO_PRODUCTOS[#All],2)</f>
        <v>54342</v>
      </c>
      <c r="C171" s="6" t="str">
        <f>VLOOKUP(TABLA_PRECIOS[Código],LISTADO_PRODUCTOS[#All],3)</f>
        <v>LIBRERÍA</v>
      </c>
      <c r="D171" s="6" t="str">
        <f>VLOOKUP(TABLA_PRECIOS[Código],LISTADO_PRODUCTOS[#All],4)</f>
        <v xml:space="preserve">Lapiz Negro Skycolor </v>
      </c>
      <c r="E171" s="6" t="str">
        <f>VLOOKUP(TABLA_PRECIOS[Código],LISTADO_PRODUCTOS[#All],5)</f>
        <v>N/A</v>
      </c>
      <c r="F171" s="4">
        <v>1</v>
      </c>
      <c r="G171" s="4">
        <v>1</v>
      </c>
      <c r="H171" s="6">
        <v>1</v>
      </c>
      <c r="I171" s="6"/>
      <c r="J171" s="9"/>
    </row>
    <row r="172" spans="1:10" ht="12" customHeight="1" x14ac:dyDescent="0.3">
      <c r="A172" s="4">
        <v>1215</v>
      </c>
      <c r="B172" s="6">
        <f>VLOOKUP(TABLA_PRECIOS[Código],LISTADO_PRODUCTOS[#All],2)</f>
        <v>54343</v>
      </c>
      <c r="C172" s="6" t="str">
        <f>VLOOKUP(TABLA_PRECIOS[Código],LISTADO_PRODUCTOS[#All],3)</f>
        <v>LIBRERÍA</v>
      </c>
      <c r="D172" s="6" t="str">
        <f>VLOOKUP(TABLA_PRECIOS[Código],LISTADO_PRODUCTOS[#All],4)</f>
        <v>Regla Pizzini 20cm Art. 1702 - 170268</v>
      </c>
      <c r="E172" s="6" t="str">
        <f>VLOOKUP(TABLA_PRECIOS[Código],LISTADO_PRODUCTOS[#All],5)</f>
        <v>N/A</v>
      </c>
      <c r="F172" s="4">
        <v>1</v>
      </c>
      <c r="G172" s="4">
        <v>1</v>
      </c>
      <c r="H172" s="6">
        <v>1</v>
      </c>
      <c r="I172" s="6"/>
      <c r="J172" s="9"/>
    </row>
    <row r="173" spans="1:10" ht="12" customHeight="1" x14ac:dyDescent="0.3">
      <c r="A173" s="4">
        <v>1216</v>
      </c>
      <c r="B173" s="6">
        <f>VLOOKUP(TABLA_PRECIOS[Código],LISTADO_PRODUCTOS[#All],2)</f>
        <v>54344</v>
      </c>
      <c r="C173" s="6" t="str">
        <f>VLOOKUP(TABLA_PRECIOS[Código],LISTADO_PRODUCTOS[#All],3)</f>
        <v>LIBRERÍA</v>
      </c>
      <c r="D173" s="6" t="str">
        <f>VLOOKUP(TABLA_PRECIOS[Código],LISTADO_PRODUCTOS[#All],4)</f>
        <v>Regla Pizzini 30cm Art. 170230 - 7793198170275</v>
      </c>
      <c r="E173" s="6" t="str">
        <f>VLOOKUP(TABLA_PRECIOS[Código],LISTADO_PRODUCTOS[#All],5)</f>
        <v>N/A</v>
      </c>
      <c r="F173" s="4">
        <v>1</v>
      </c>
      <c r="G173" s="4">
        <v>1</v>
      </c>
      <c r="H173" s="6">
        <v>1</v>
      </c>
      <c r="I173" s="6"/>
      <c r="J173" s="9"/>
    </row>
    <row r="174" spans="1:10" ht="12" customHeight="1" x14ac:dyDescent="0.3">
      <c r="A174" s="4">
        <v>1219</v>
      </c>
      <c r="B174" s="6">
        <f>VLOOKUP(TABLA_PRECIOS[Código],LISTADO_PRODUCTOS[#All],2)</f>
        <v>54345</v>
      </c>
      <c r="C174" s="6" t="str">
        <f>VLOOKUP(TABLA_PRECIOS[Código],LISTADO_PRODUCTOS[#All],3)</f>
        <v>LIBRERÍA</v>
      </c>
      <c r="D174" s="6" t="str">
        <f>VLOOKUP(TABLA_PRECIOS[Código],LISTADO_PRODUCTOS[#All],4)</f>
        <v>Set de Geometria Pizzini Mi mundo Pastel</v>
      </c>
      <c r="E174" s="6" t="str">
        <f>VLOOKUP(TABLA_PRECIOS[Código],LISTADO_PRODUCTOS[#All],5)</f>
        <v>N/A</v>
      </c>
      <c r="F174" s="4">
        <v>1</v>
      </c>
      <c r="G174" s="4">
        <v>1</v>
      </c>
      <c r="H174" s="6">
        <v>1</v>
      </c>
      <c r="I174" s="6"/>
      <c r="J174" s="9"/>
    </row>
    <row r="175" spans="1:10" ht="12" customHeight="1" x14ac:dyDescent="0.3">
      <c r="A175" s="4">
        <v>1223</v>
      </c>
      <c r="B175" s="6">
        <f>VLOOKUP(TABLA_PRECIOS[Código],LISTADO_PRODUCTOS[#All],2)</f>
        <v>54346</v>
      </c>
      <c r="C175" s="6" t="str">
        <f>VLOOKUP(TABLA_PRECIOS[Código],LISTADO_PRODUCTOS[#All],3)</f>
        <v>LIBRERÍA</v>
      </c>
      <c r="D175" s="6" t="str">
        <f>VLOOKUP(TABLA_PRECIOS[Código],LISTADO_PRODUCTOS[#All],4)</f>
        <v>Regla Flexible x20cm Keyroad/util uno</v>
      </c>
      <c r="E175" s="6" t="str">
        <f>VLOOKUP(TABLA_PRECIOS[Código],LISTADO_PRODUCTOS[#All],5)</f>
        <v>N/A</v>
      </c>
      <c r="F175" s="4">
        <v>1</v>
      </c>
      <c r="G175" s="4">
        <v>1</v>
      </c>
      <c r="H175" s="6">
        <v>1</v>
      </c>
      <c r="I175" s="6"/>
      <c r="J175" s="9"/>
    </row>
    <row r="176" spans="1:10" ht="12" customHeight="1" x14ac:dyDescent="0.3">
      <c r="A176" s="4">
        <v>1224</v>
      </c>
      <c r="B176" s="6">
        <f>VLOOKUP(TABLA_PRECIOS[Código],LISTADO_PRODUCTOS[#All],2)</f>
        <v>54347</v>
      </c>
      <c r="C176" s="6" t="str">
        <f>VLOOKUP(TABLA_PRECIOS[Código],LISTADO_PRODUCTOS[#All],3)</f>
        <v>LIBRERÍA</v>
      </c>
      <c r="D176" s="6" t="str">
        <f>VLOOKUP(TABLA_PRECIOS[Código],LISTADO_PRODUCTOS[#All],4)</f>
        <v>Regla de aluminio con porta lapiz Keyroad 20cm</v>
      </c>
      <c r="E176" s="6" t="str">
        <f>VLOOKUP(TABLA_PRECIOS[Código],LISTADO_PRODUCTOS[#All],5)</f>
        <v>N/A</v>
      </c>
      <c r="F176" s="4">
        <v>1</v>
      </c>
      <c r="G176" s="4">
        <v>1</v>
      </c>
      <c r="H176" s="6">
        <v>1</v>
      </c>
      <c r="I176" s="6"/>
      <c r="J176" s="9"/>
    </row>
    <row r="177" spans="1:10" ht="12" customHeight="1" x14ac:dyDescent="0.3">
      <c r="A177" s="4">
        <v>1227</v>
      </c>
      <c r="B177" s="6">
        <f>VLOOKUP(TABLA_PRECIOS[Código],LISTADO_PRODUCTOS[#All],2)</f>
        <v>54348</v>
      </c>
      <c r="C177" s="6" t="str">
        <f>VLOOKUP(TABLA_PRECIOS[Código],LISTADO_PRODUCTOS[#All],3)</f>
        <v>LIBRERÍA</v>
      </c>
      <c r="D177" s="6" t="str">
        <f>VLOOKUP(TABLA_PRECIOS[Código],LISTADO_PRODUCTOS[#All],4)</f>
        <v>Escuadra 45º Pizzini 20cm</v>
      </c>
      <c r="E177" s="6" t="str">
        <f>VLOOKUP(TABLA_PRECIOS[Código],LISTADO_PRODUCTOS[#All],5)</f>
        <v>N/A</v>
      </c>
      <c r="F177" s="4">
        <v>1</v>
      </c>
      <c r="G177" s="4">
        <v>1</v>
      </c>
      <c r="H177" s="6">
        <v>1</v>
      </c>
      <c r="I177" s="6"/>
      <c r="J177" s="9"/>
    </row>
    <row r="178" spans="1:10" ht="12" customHeight="1" x14ac:dyDescent="0.3">
      <c r="A178" s="4">
        <v>1228</v>
      </c>
      <c r="B178" s="6">
        <f>VLOOKUP(TABLA_PRECIOS[Código],LISTADO_PRODUCTOS[#All],2)</f>
        <v>54349</v>
      </c>
      <c r="C178" s="6" t="str">
        <f>VLOOKUP(TABLA_PRECIOS[Código],LISTADO_PRODUCTOS[#All],3)</f>
        <v>LIBRERÍA</v>
      </c>
      <c r="D178" s="6" t="str">
        <f>VLOOKUP(TABLA_PRECIOS[Código],LISTADO_PRODUCTOS[#All],4)</f>
        <v>Escuadra 30º Pizzini 20cm</v>
      </c>
      <c r="E178" s="6" t="str">
        <f>VLOOKUP(TABLA_PRECIOS[Código],LISTADO_PRODUCTOS[#All],5)</f>
        <v>N/A</v>
      </c>
      <c r="F178" s="4">
        <v>1</v>
      </c>
      <c r="G178" s="4">
        <v>1</v>
      </c>
      <c r="H178" s="6">
        <v>1</v>
      </c>
      <c r="I178" s="6"/>
      <c r="J178" s="9"/>
    </row>
    <row r="179" spans="1:10" ht="12" customHeight="1" x14ac:dyDescent="0.3">
      <c r="A179" s="4">
        <v>1430</v>
      </c>
      <c r="B179" s="6">
        <f>VLOOKUP(TABLA_PRECIOS[Código],LISTADO_PRODUCTOS[#All],2)</f>
        <v>54392</v>
      </c>
      <c r="C179" s="6" t="str">
        <f>VLOOKUP(TABLA_PRECIOS[Código],LISTADO_PRODUCTOS[#All],3)</f>
        <v>LIBRERÍA</v>
      </c>
      <c r="D179" s="6" t="str">
        <f>VLOOKUP(TABLA_PRECIOS[Código],LISTADO_PRODUCTOS[#All],4)</f>
        <v>Set de Resaltadores NUWA x5u en dispenser</v>
      </c>
      <c r="E179" s="6" t="str">
        <f>VLOOKUP(TABLA_PRECIOS[Código],LISTADO_PRODUCTOS[#All],5)</f>
        <v>N/A</v>
      </c>
      <c r="F179" s="4">
        <v>1</v>
      </c>
      <c r="G179" s="4">
        <v>1</v>
      </c>
      <c r="H179" s="6">
        <v>1</v>
      </c>
      <c r="I179" s="6"/>
      <c r="J179" s="9"/>
    </row>
    <row r="180" spans="1:10" ht="12" customHeight="1" x14ac:dyDescent="0.3">
      <c r="A180" s="4">
        <v>1432</v>
      </c>
      <c r="B180" s="6">
        <f>VLOOKUP(TABLA_PRECIOS[Código],LISTADO_PRODUCTOS[#All],2)</f>
        <v>54392</v>
      </c>
      <c r="C180" s="6" t="str">
        <f>VLOOKUP(TABLA_PRECIOS[Código],LISTADO_PRODUCTOS[#All],3)</f>
        <v>LIBRERÍA</v>
      </c>
      <c r="D180" s="6" t="str">
        <f>VLOOKUP(TABLA_PRECIOS[Código],LISTADO_PRODUCTOS[#All],4)</f>
        <v>Set de Resaltadores NUWA x5u en dispenser</v>
      </c>
      <c r="E180" s="6" t="str">
        <f>VLOOKUP(TABLA_PRECIOS[Código],LISTADO_PRODUCTOS[#All],5)</f>
        <v>N/A</v>
      </c>
      <c r="F180" s="4">
        <v>1</v>
      </c>
      <c r="G180" s="4">
        <v>1</v>
      </c>
      <c r="H180" s="6">
        <v>1</v>
      </c>
      <c r="I180" s="6"/>
      <c r="J180" s="9"/>
    </row>
    <row r="181" spans="1:10" ht="12" customHeight="1" x14ac:dyDescent="0.3">
      <c r="A181" s="4">
        <v>1230</v>
      </c>
      <c r="B181" s="6">
        <f>VLOOKUP(TABLA_PRECIOS[Código],LISTADO_PRODUCTOS[#All],2)</f>
        <v>54349</v>
      </c>
      <c r="C181" s="6" t="str">
        <f>VLOOKUP(TABLA_PRECIOS[Código],LISTADO_PRODUCTOS[#All],3)</f>
        <v>LIBRERÍA</v>
      </c>
      <c r="D181" s="6" t="str">
        <f>VLOOKUP(TABLA_PRECIOS[Código],LISTADO_PRODUCTOS[#All],4)</f>
        <v>Escuadra 30º Pizzini 20cm</v>
      </c>
      <c r="E181" s="6" t="str">
        <f>VLOOKUP(TABLA_PRECIOS[Código],LISTADO_PRODUCTOS[#All],5)</f>
        <v>N/A</v>
      </c>
      <c r="F181" s="4">
        <v>1</v>
      </c>
      <c r="G181" s="4">
        <v>1</v>
      </c>
      <c r="H181" s="6">
        <v>1</v>
      </c>
      <c r="I181" s="6"/>
      <c r="J181" s="9"/>
    </row>
    <row r="182" spans="1:10" ht="12" customHeight="1" x14ac:dyDescent="0.3">
      <c r="A182" s="4">
        <v>1231</v>
      </c>
      <c r="B182" s="6">
        <f>VLOOKUP(TABLA_PRECIOS[Código],LISTADO_PRODUCTOS[#All],2)</f>
        <v>54349</v>
      </c>
      <c r="C182" s="6" t="str">
        <f>VLOOKUP(TABLA_PRECIOS[Código],LISTADO_PRODUCTOS[#All],3)</f>
        <v>LIBRERÍA</v>
      </c>
      <c r="D182" s="6" t="str">
        <f>VLOOKUP(TABLA_PRECIOS[Código],LISTADO_PRODUCTOS[#All],4)</f>
        <v>Escuadra 30º Pizzini 20cm</v>
      </c>
      <c r="E182" s="6" t="str">
        <f>VLOOKUP(TABLA_PRECIOS[Código],LISTADO_PRODUCTOS[#All],5)</f>
        <v>N/A</v>
      </c>
      <c r="F182" s="4">
        <v>1</v>
      </c>
      <c r="G182" s="4">
        <v>1</v>
      </c>
      <c r="H182" s="6">
        <v>1</v>
      </c>
      <c r="I182" s="6"/>
      <c r="J182" s="9"/>
    </row>
    <row r="183" spans="1:10" ht="12" customHeight="1" x14ac:dyDescent="0.3">
      <c r="A183" s="4">
        <v>1232</v>
      </c>
      <c r="B183" s="6">
        <f>VLOOKUP(TABLA_PRECIOS[Código],LISTADO_PRODUCTOS[#All],2)</f>
        <v>54349</v>
      </c>
      <c r="C183" s="6" t="str">
        <f>VLOOKUP(TABLA_PRECIOS[Código],LISTADO_PRODUCTOS[#All],3)</f>
        <v>LIBRERÍA</v>
      </c>
      <c r="D183" s="6" t="str">
        <f>VLOOKUP(TABLA_PRECIOS[Código],LISTADO_PRODUCTOS[#All],4)</f>
        <v>Escuadra 30º Pizzini 20cm</v>
      </c>
      <c r="E183" s="6" t="str">
        <f>VLOOKUP(TABLA_PRECIOS[Código],LISTADO_PRODUCTOS[#All],5)</f>
        <v>N/A</v>
      </c>
      <c r="F183" s="4">
        <v>1</v>
      </c>
      <c r="G183" s="4">
        <v>1</v>
      </c>
      <c r="H183" s="6">
        <v>1</v>
      </c>
      <c r="I183" s="6"/>
      <c r="J183" s="9"/>
    </row>
    <row r="184" spans="1:10" ht="12" customHeight="1" x14ac:dyDescent="0.3">
      <c r="A184" s="4">
        <v>1233</v>
      </c>
      <c r="B184" s="6">
        <f>VLOOKUP(TABLA_PRECIOS[Código],LISTADO_PRODUCTOS[#All],2)</f>
        <v>54349</v>
      </c>
      <c r="C184" s="6" t="str">
        <f>VLOOKUP(TABLA_PRECIOS[Código],LISTADO_PRODUCTOS[#All],3)</f>
        <v>LIBRERÍA</v>
      </c>
      <c r="D184" s="6" t="str">
        <f>VLOOKUP(TABLA_PRECIOS[Código],LISTADO_PRODUCTOS[#All],4)</f>
        <v>Escuadra 30º Pizzini 20cm</v>
      </c>
      <c r="E184" s="6" t="str">
        <f>VLOOKUP(TABLA_PRECIOS[Código],LISTADO_PRODUCTOS[#All],5)</f>
        <v>N/A</v>
      </c>
      <c r="F184" s="4">
        <v>1</v>
      </c>
      <c r="G184" s="4">
        <v>1</v>
      </c>
      <c r="H184" s="6">
        <v>1</v>
      </c>
      <c r="I184" s="6"/>
      <c r="J184" s="9"/>
    </row>
    <row r="185" spans="1:10" ht="12" customHeight="1" x14ac:dyDescent="0.3">
      <c r="A185" s="4">
        <v>1234</v>
      </c>
      <c r="B185" s="6">
        <f>VLOOKUP(TABLA_PRECIOS[Código],LISTADO_PRODUCTOS[#All],2)</f>
        <v>54349</v>
      </c>
      <c r="C185" s="6" t="str">
        <f>VLOOKUP(TABLA_PRECIOS[Código],LISTADO_PRODUCTOS[#All],3)</f>
        <v>LIBRERÍA</v>
      </c>
      <c r="D185" s="6" t="str">
        <f>VLOOKUP(TABLA_PRECIOS[Código],LISTADO_PRODUCTOS[#All],4)</f>
        <v>Escuadra 30º Pizzini 20cm</v>
      </c>
      <c r="E185" s="6" t="str">
        <f>VLOOKUP(TABLA_PRECIOS[Código],LISTADO_PRODUCTOS[#All],5)</f>
        <v>N/A</v>
      </c>
      <c r="F185" s="4">
        <v>1</v>
      </c>
      <c r="G185" s="4">
        <v>1</v>
      </c>
      <c r="H185" s="6">
        <v>1</v>
      </c>
      <c r="I185" s="6"/>
      <c r="J185" s="9"/>
    </row>
    <row r="186" spans="1:10" ht="12" customHeight="1" x14ac:dyDescent="0.3">
      <c r="A186" s="4">
        <v>1236</v>
      </c>
      <c r="B186" s="6">
        <f>VLOOKUP(TABLA_PRECIOS[Código],LISTADO_PRODUCTOS[#All],2)</f>
        <v>54349</v>
      </c>
      <c r="C186" s="6" t="str">
        <f>VLOOKUP(TABLA_PRECIOS[Código],LISTADO_PRODUCTOS[#All],3)</f>
        <v>LIBRERÍA</v>
      </c>
      <c r="D186" s="6" t="str">
        <f>VLOOKUP(TABLA_PRECIOS[Código],LISTADO_PRODUCTOS[#All],4)</f>
        <v>Escuadra 30º Pizzini 20cm</v>
      </c>
      <c r="E186" s="6" t="str">
        <f>VLOOKUP(TABLA_PRECIOS[Código],LISTADO_PRODUCTOS[#All],5)</f>
        <v>N/A</v>
      </c>
      <c r="F186" s="4">
        <v>1</v>
      </c>
      <c r="G186" s="4">
        <v>1</v>
      </c>
      <c r="H186" s="6">
        <v>1</v>
      </c>
      <c r="I186" s="6"/>
      <c r="J186" s="9"/>
    </row>
    <row r="187" spans="1:10" ht="12" customHeight="1" x14ac:dyDescent="0.3">
      <c r="A187" s="4">
        <v>1237</v>
      </c>
      <c r="B187" s="6">
        <f>VLOOKUP(TABLA_PRECIOS[Código],LISTADO_PRODUCTOS[#All],2)</f>
        <v>54349</v>
      </c>
      <c r="C187" s="6" t="str">
        <f>VLOOKUP(TABLA_PRECIOS[Código],LISTADO_PRODUCTOS[#All],3)</f>
        <v>LIBRERÍA</v>
      </c>
      <c r="D187" s="6" t="str">
        <f>VLOOKUP(TABLA_PRECIOS[Código],LISTADO_PRODUCTOS[#All],4)</f>
        <v>Escuadra 30º Pizzini 20cm</v>
      </c>
      <c r="E187" s="6" t="str">
        <f>VLOOKUP(TABLA_PRECIOS[Código],LISTADO_PRODUCTOS[#All],5)</f>
        <v>N/A</v>
      </c>
      <c r="F187" s="4">
        <v>1</v>
      </c>
      <c r="G187" s="4">
        <v>1</v>
      </c>
      <c r="H187" s="6">
        <v>1</v>
      </c>
      <c r="I187" s="6"/>
      <c r="J187" s="9"/>
    </row>
    <row r="188" spans="1:10" ht="12" customHeight="1" x14ac:dyDescent="0.3">
      <c r="A188" s="4">
        <v>1238</v>
      </c>
      <c r="B188" s="6">
        <f>VLOOKUP(TABLA_PRECIOS[Código],LISTADO_PRODUCTOS[#All],2)</f>
        <v>54349</v>
      </c>
      <c r="C188" s="6" t="str">
        <f>VLOOKUP(TABLA_PRECIOS[Código],LISTADO_PRODUCTOS[#All],3)</f>
        <v>LIBRERÍA</v>
      </c>
      <c r="D188" s="6" t="str">
        <f>VLOOKUP(TABLA_PRECIOS[Código],LISTADO_PRODUCTOS[#All],4)</f>
        <v>Escuadra 30º Pizzini 20cm</v>
      </c>
      <c r="E188" s="6" t="str">
        <f>VLOOKUP(TABLA_PRECIOS[Código],LISTADO_PRODUCTOS[#All],5)</f>
        <v>N/A</v>
      </c>
      <c r="F188" s="4">
        <v>1</v>
      </c>
      <c r="G188" s="4">
        <v>1</v>
      </c>
      <c r="H188" s="6">
        <v>1</v>
      </c>
      <c r="I188" s="6"/>
      <c r="J188" s="9"/>
    </row>
    <row r="189" spans="1:10" ht="12" customHeight="1" x14ac:dyDescent="0.3">
      <c r="A189" s="4">
        <v>1239</v>
      </c>
      <c r="B189" s="6">
        <f>VLOOKUP(TABLA_PRECIOS[Código],LISTADO_PRODUCTOS[#All],2)</f>
        <v>54349</v>
      </c>
      <c r="C189" s="6" t="str">
        <f>VLOOKUP(TABLA_PRECIOS[Código],LISTADO_PRODUCTOS[#All],3)</f>
        <v>LIBRERÍA</v>
      </c>
      <c r="D189" s="6" t="str">
        <f>VLOOKUP(TABLA_PRECIOS[Código],LISTADO_PRODUCTOS[#All],4)</f>
        <v>Escuadra 30º Pizzini 20cm</v>
      </c>
      <c r="E189" s="6" t="str">
        <f>VLOOKUP(TABLA_PRECIOS[Código],LISTADO_PRODUCTOS[#All],5)</f>
        <v>N/A</v>
      </c>
      <c r="F189" s="4">
        <v>1</v>
      </c>
      <c r="G189" s="4">
        <v>1</v>
      </c>
      <c r="H189" s="6">
        <v>1</v>
      </c>
      <c r="I189" s="6"/>
      <c r="J189" s="9"/>
    </row>
    <row r="190" spans="1:10" ht="12" customHeight="1" x14ac:dyDescent="0.3">
      <c r="A190" s="4">
        <v>1241</v>
      </c>
      <c r="B190" s="6">
        <f>VLOOKUP(TABLA_PRECIOS[Código],LISTADO_PRODUCTOS[#All],2)</f>
        <v>54349</v>
      </c>
      <c r="C190" s="6" t="str">
        <f>VLOOKUP(TABLA_PRECIOS[Código],LISTADO_PRODUCTOS[#All],3)</f>
        <v>LIBRERÍA</v>
      </c>
      <c r="D190" s="6" t="str">
        <f>VLOOKUP(TABLA_PRECIOS[Código],LISTADO_PRODUCTOS[#All],4)</f>
        <v>Escuadra 30º Pizzini 20cm</v>
      </c>
      <c r="E190" s="6" t="str">
        <f>VLOOKUP(TABLA_PRECIOS[Código],LISTADO_PRODUCTOS[#All],5)</f>
        <v>N/A</v>
      </c>
      <c r="F190" s="4">
        <v>1</v>
      </c>
      <c r="G190" s="4">
        <v>1</v>
      </c>
      <c r="H190" s="6">
        <v>1</v>
      </c>
      <c r="I190" s="6"/>
      <c r="J190" s="9"/>
    </row>
    <row r="191" spans="1:10" ht="12" customHeight="1" x14ac:dyDescent="0.3">
      <c r="A191" s="4">
        <v>1245</v>
      </c>
      <c r="B191" s="6">
        <f>VLOOKUP(TABLA_PRECIOS[Código],LISTADO_PRODUCTOS[#All],2)</f>
        <v>54349</v>
      </c>
      <c r="C191" s="6" t="str">
        <f>VLOOKUP(TABLA_PRECIOS[Código],LISTADO_PRODUCTOS[#All],3)</f>
        <v>LIBRERÍA</v>
      </c>
      <c r="D191" s="6" t="str">
        <f>VLOOKUP(TABLA_PRECIOS[Código],LISTADO_PRODUCTOS[#All],4)</f>
        <v>Escuadra 30º Pizzini 20cm</v>
      </c>
      <c r="E191" s="6" t="str">
        <f>VLOOKUP(TABLA_PRECIOS[Código],LISTADO_PRODUCTOS[#All],5)</f>
        <v>N/A</v>
      </c>
      <c r="F191" s="4">
        <v>1</v>
      </c>
      <c r="G191" s="4">
        <v>1</v>
      </c>
      <c r="H191" s="6">
        <v>1</v>
      </c>
      <c r="I191" s="6"/>
      <c r="J191" s="9"/>
    </row>
    <row r="192" spans="1:10" ht="12" customHeight="1" x14ac:dyDescent="0.3">
      <c r="A192" s="4">
        <v>1246</v>
      </c>
      <c r="B192" s="6">
        <f>VLOOKUP(TABLA_PRECIOS[Código],LISTADO_PRODUCTOS[#All],2)</f>
        <v>54363</v>
      </c>
      <c r="C192" s="6" t="str">
        <f>VLOOKUP(TABLA_PRECIOS[Código],LISTADO_PRODUCTOS[#All],3)</f>
        <v>LIBRERÍA</v>
      </c>
      <c r="D192" s="6" t="str">
        <f>VLOOKUP(TABLA_PRECIOS[Código],LISTADO_PRODUCTOS[#All],4)</f>
        <v>Escarapela Tela</v>
      </c>
      <c r="E192" s="6" t="str">
        <f>VLOOKUP(TABLA_PRECIOS[Código],LISTADO_PRODUCTOS[#All],5)</f>
        <v>N/A</v>
      </c>
      <c r="F192" s="4">
        <v>1</v>
      </c>
      <c r="G192" s="4">
        <v>1</v>
      </c>
      <c r="H192" s="6">
        <v>1</v>
      </c>
      <c r="I192" s="6"/>
      <c r="J192" s="9"/>
    </row>
    <row r="193" spans="1:10" ht="12" customHeight="1" x14ac:dyDescent="0.3">
      <c r="A193" s="4">
        <v>1300</v>
      </c>
      <c r="B193" s="6">
        <f>VLOOKUP(TABLA_PRECIOS[Código],LISTADO_PRODUCTOS[#All],2)</f>
        <v>54364</v>
      </c>
      <c r="C193" s="6" t="str">
        <f>VLOOKUP(TABLA_PRECIOS[Código],LISTADO_PRODUCTOS[#All],3)</f>
        <v>LIBRERÍA</v>
      </c>
      <c r="D193" s="6" t="str">
        <f>VLOOKUP(TABLA_PRECIOS[Código],LISTADO_PRODUCTOS[#All],4)</f>
        <v>Goma Maped Technic Duo New Generation</v>
      </c>
      <c r="E193" s="6" t="str">
        <f>VLOOKUP(TABLA_PRECIOS[Código],LISTADO_PRODUCTOS[#All],5)</f>
        <v>N/A</v>
      </c>
      <c r="F193" s="4">
        <v>1</v>
      </c>
      <c r="G193" s="4">
        <v>1</v>
      </c>
      <c r="H193" s="6">
        <v>1</v>
      </c>
      <c r="I193" s="6"/>
      <c r="J193" s="9"/>
    </row>
    <row r="194" spans="1:10" ht="12" customHeight="1" x14ac:dyDescent="0.3">
      <c r="A194" s="4">
        <v>1301</v>
      </c>
      <c r="B194" s="6">
        <f>VLOOKUP(TABLA_PRECIOS[Código],LISTADO_PRODUCTOS[#All],2)</f>
        <v>54365</v>
      </c>
      <c r="C194" s="6" t="str">
        <f>VLOOKUP(TABLA_PRECIOS[Código],LISTADO_PRODUCTOS[#All],3)</f>
        <v>LIBRERÍA</v>
      </c>
      <c r="D194" s="6" t="str">
        <f>VLOOKUP(TABLA_PRECIOS[Código],LISTADO_PRODUCTOS[#All],4)</f>
        <v>Boligrafo Filgo Fastrack retractil</v>
      </c>
      <c r="E194" s="6" t="str">
        <f>VLOOKUP(TABLA_PRECIOS[Código],LISTADO_PRODUCTOS[#All],5)</f>
        <v>N/A</v>
      </c>
      <c r="F194" s="4">
        <v>1</v>
      </c>
      <c r="G194" s="4">
        <v>1</v>
      </c>
      <c r="H194" s="6">
        <v>1</v>
      </c>
      <c r="I194" s="6"/>
      <c r="J194" s="9"/>
    </row>
    <row r="195" spans="1:10" ht="12" customHeight="1" x14ac:dyDescent="0.3">
      <c r="A195" s="4">
        <v>1302</v>
      </c>
      <c r="B195" s="6">
        <f>VLOOKUP(TABLA_PRECIOS[Código],LISTADO_PRODUCTOS[#All],2)</f>
        <v>54366</v>
      </c>
      <c r="C195" s="6" t="str">
        <f>VLOOKUP(TABLA_PRECIOS[Código],LISTADO_PRODUCTOS[#All],3)</f>
        <v>LIBRERÍA</v>
      </c>
      <c r="D195" s="6" t="str">
        <f>VLOOKUP(TABLA_PRECIOS[Código],LISTADO_PRODUCTOS[#All],4)</f>
        <v>Tabla Periodica</v>
      </c>
      <c r="E195" s="6" t="str">
        <f>VLOOKUP(TABLA_PRECIOS[Código],LISTADO_PRODUCTOS[#All],5)</f>
        <v>N/A</v>
      </c>
      <c r="F195" s="4">
        <v>1</v>
      </c>
      <c r="G195" s="4">
        <v>1</v>
      </c>
      <c r="H195" s="6">
        <v>1</v>
      </c>
      <c r="I195" s="6"/>
      <c r="J195" s="9"/>
    </row>
    <row r="196" spans="1:10" ht="12" customHeight="1" x14ac:dyDescent="0.3">
      <c r="A196" s="4">
        <v>1304</v>
      </c>
      <c r="B196" s="6">
        <f>VLOOKUP(TABLA_PRECIOS[Código],LISTADO_PRODUCTOS[#All],2)</f>
        <v>54367</v>
      </c>
      <c r="C196" s="6" t="str">
        <f>VLOOKUP(TABLA_PRECIOS[Código],LISTADO_PRODUCTOS[#All],3)</f>
        <v>LIBRERÍA</v>
      </c>
      <c r="D196" s="6" t="str">
        <f>VLOOKUP(TABLA_PRECIOS[Código],LISTADO_PRODUCTOS[#All],4)</f>
        <v>Escarapelas varias tela</v>
      </c>
      <c r="E196" s="6" t="str">
        <f>VLOOKUP(TABLA_PRECIOS[Código],LISTADO_PRODUCTOS[#All],5)</f>
        <v>N/A</v>
      </c>
      <c r="F196" s="4">
        <v>1</v>
      </c>
      <c r="G196" s="4">
        <v>1</v>
      </c>
      <c r="H196" s="6">
        <v>1</v>
      </c>
      <c r="I196" s="6"/>
      <c r="J196" s="9"/>
    </row>
    <row r="197" spans="1:10" ht="12" customHeight="1" x14ac:dyDescent="0.3">
      <c r="A197" s="4">
        <v>1305</v>
      </c>
      <c r="B197" s="6">
        <f>VLOOKUP(TABLA_PRECIOS[Código],LISTADO_PRODUCTOS[#All],2)</f>
        <v>54368</v>
      </c>
      <c r="C197" s="6" t="str">
        <f>VLOOKUP(TABLA_PRECIOS[Código],LISTADO_PRODUCTOS[#All],3)</f>
        <v>LIBRERÍA</v>
      </c>
      <c r="D197" s="6" t="str">
        <f>VLOOKUP(TABLA_PRECIOS[Código],LISTADO_PRODUCTOS[#All],4)</f>
        <v>Lapiz Negro Trabí Neon por fuera y diseño C/Goma</v>
      </c>
      <c r="E197" s="6" t="str">
        <f>VLOOKUP(TABLA_PRECIOS[Código],LISTADO_PRODUCTOS[#All],5)</f>
        <v>N/A</v>
      </c>
      <c r="F197" s="4">
        <v>1</v>
      </c>
      <c r="G197" s="4">
        <v>1</v>
      </c>
      <c r="H197" s="6">
        <v>1</v>
      </c>
      <c r="I197" s="6"/>
      <c r="J197" s="9"/>
    </row>
    <row r="198" spans="1:10" ht="12" customHeight="1" x14ac:dyDescent="0.3">
      <c r="A198" s="4">
        <v>1306</v>
      </c>
      <c r="B198" s="6">
        <f>VLOOKUP(TABLA_PRECIOS[Código],LISTADO_PRODUCTOS[#All],2)</f>
        <v>54369</v>
      </c>
      <c r="C198" s="6" t="str">
        <f>VLOOKUP(TABLA_PRECIOS[Código],LISTADO_PRODUCTOS[#All],3)</f>
        <v>LIBRERÍA</v>
      </c>
      <c r="D198" s="6" t="str">
        <f>VLOOKUP(TABLA_PRECIOS[Código],LISTADO_PRODUCTOS[#All],4)</f>
        <v>Blister Lapiz Negro Mooving Disney x 6u</v>
      </c>
      <c r="E198" s="6" t="str">
        <f>VLOOKUP(TABLA_PRECIOS[Código],LISTADO_PRODUCTOS[#All],5)</f>
        <v>N/A</v>
      </c>
      <c r="F198" s="4">
        <v>1</v>
      </c>
      <c r="G198" s="4">
        <v>1</v>
      </c>
      <c r="H198" s="6">
        <v>1</v>
      </c>
      <c r="I198" s="6"/>
      <c r="J198" s="9"/>
    </row>
    <row r="199" spans="1:10" ht="12" customHeight="1" x14ac:dyDescent="0.3">
      <c r="A199" s="4">
        <v>1307</v>
      </c>
      <c r="B199" s="6">
        <f>VLOOKUP(TABLA_PRECIOS[Código],LISTADO_PRODUCTOS[#All],2)</f>
        <v>54370</v>
      </c>
      <c r="C199" s="6" t="str">
        <f>VLOOKUP(TABLA_PRECIOS[Código],LISTADO_PRODUCTOS[#All],3)</f>
        <v>LIBRERÍA</v>
      </c>
      <c r="D199" s="6" t="str">
        <f>VLOOKUP(TABLA_PRECIOS[Código],LISTADO_PRODUCTOS[#All],4)</f>
        <v>Roller Tinta Gel Mooving x10</v>
      </c>
      <c r="E199" s="6" t="str">
        <f>VLOOKUP(TABLA_PRECIOS[Código],LISTADO_PRODUCTOS[#All],5)</f>
        <v>N/A</v>
      </c>
      <c r="F199" s="4">
        <v>1</v>
      </c>
      <c r="G199" s="4">
        <v>1</v>
      </c>
      <c r="H199" s="6">
        <v>1</v>
      </c>
      <c r="I199" s="6"/>
      <c r="J199" s="9"/>
    </row>
    <row r="200" spans="1:10" ht="12" customHeight="1" x14ac:dyDescent="0.3">
      <c r="A200" s="4">
        <v>1308</v>
      </c>
      <c r="B200" s="6">
        <f>VLOOKUP(TABLA_PRECIOS[Código],LISTADO_PRODUCTOS[#All],2)</f>
        <v>54371</v>
      </c>
      <c r="C200" s="6" t="str">
        <f>VLOOKUP(TABLA_PRECIOS[Código],LISTADO_PRODUCTOS[#All],3)</f>
        <v>LIBRERÍA</v>
      </c>
      <c r="D200" s="6" t="str">
        <f>VLOOKUP(TABLA_PRECIOS[Código],LISTADO_PRODUCTOS[#All],4)</f>
        <v>Roller Silky NEON/PASTEL Mooving x5</v>
      </c>
      <c r="E200" s="6" t="str">
        <f>VLOOKUP(TABLA_PRECIOS[Código],LISTADO_PRODUCTOS[#All],5)</f>
        <v>N/A</v>
      </c>
      <c r="F200" s="4">
        <v>1</v>
      </c>
      <c r="G200" s="4">
        <v>1</v>
      </c>
      <c r="H200" s="6">
        <v>1</v>
      </c>
      <c r="I200" s="6"/>
      <c r="J200" s="9"/>
    </row>
    <row r="201" spans="1:10" ht="12" customHeight="1" x14ac:dyDescent="0.3">
      <c r="A201" s="4">
        <v>1309</v>
      </c>
      <c r="B201" s="6">
        <f>VLOOKUP(TABLA_PRECIOS[Código],LISTADO_PRODUCTOS[#All],2)</f>
        <v>54372</v>
      </c>
      <c r="C201" s="6" t="str">
        <f>VLOOKUP(TABLA_PRECIOS[Código],LISTADO_PRODUCTOS[#All],3)</f>
        <v>LIBRERÍA</v>
      </c>
      <c r="D201" s="6" t="str">
        <f>VLOOKUP(TABLA_PRECIOS[Código],LISTADO_PRODUCTOS[#All],4)</f>
        <v>Resaltadores NEON / PASTEL Dupla ideal Mooving x 4</v>
      </c>
      <c r="E201" s="6" t="str">
        <f>VLOOKUP(TABLA_PRECIOS[Código],LISTADO_PRODUCTOS[#All],5)</f>
        <v>N/A</v>
      </c>
      <c r="F201" s="4">
        <v>1</v>
      </c>
      <c r="G201" s="4">
        <v>1</v>
      </c>
      <c r="H201" s="6">
        <v>1</v>
      </c>
      <c r="I201" s="6"/>
      <c r="J201" s="9"/>
    </row>
    <row r="202" spans="1:10" ht="12" customHeight="1" x14ac:dyDescent="0.3">
      <c r="A202" s="4">
        <v>1310</v>
      </c>
      <c r="B202" s="6">
        <f>VLOOKUP(TABLA_PRECIOS[Código],LISTADO_PRODUCTOS[#All],2)</f>
        <v>54373</v>
      </c>
      <c r="C202" s="6" t="str">
        <f>VLOOKUP(TABLA_PRECIOS[Código],LISTADO_PRODUCTOS[#All],3)</f>
        <v>LIBRERÍA</v>
      </c>
      <c r="D202" s="6" t="str">
        <f>VLOOKUP(TABLA_PRECIOS[Código],LISTADO_PRODUCTOS[#All],4)</f>
        <v>Resaltador NEON Colores Aroma Perfumados x 4u</v>
      </c>
      <c r="E202" s="6" t="str">
        <f>VLOOKUP(TABLA_PRECIOS[Código],LISTADO_PRODUCTOS[#All],5)</f>
        <v>N/A</v>
      </c>
      <c r="F202" s="4">
        <v>1</v>
      </c>
      <c r="G202" s="4">
        <v>1</v>
      </c>
      <c r="H202" s="6">
        <v>1</v>
      </c>
      <c r="I202" s="6"/>
      <c r="J202" s="9"/>
    </row>
    <row r="203" spans="1:10" ht="12" customHeight="1" x14ac:dyDescent="0.3">
      <c r="A203" s="4">
        <v>1311</v>
      </c>
      <c r="B203" s="6">
        <f>VLOOKUP(TABLA_PRECIOS[Código],LISTADO_PRODUCTOS[#All],2)</f>
        <v>54374</v>
      </c>
      <c r="C203" s="6" t="str">
        <f>VLOOKUP(TABLA_PRECIOS[Código],LISTADO_PRODUCTOS[#All],3)</f>
        <v>LIBRERÍA</v>
      </c>
      <c r="D203" s="6" t="str">
        <f>VLOOKUP(TABLA_PRECIOS[Código],LISTADO_PRODUCTOS[#All],4)</f>
        <v>Resaltadores Glitter Mooving x4</v>
      </c>
      <c r="E203" s="6" t="str">
        <f>VLOOKUP(TABLA_PRECIOS[Código],LISTADO_PRODUCTOS[#All],5)</f>
        <v>N/A</v>
      </c>
      <c r="F203" s="4">
        <v>1</v>
      </c>
      <c r="G203" s="4">
        <v>1</v>
      </c>
      <c r="H203" s="6">
        <v>1</v>
      </c>
      <c r="I203" s="6"/>
      <c r="J203" s="9"/>
    </row>
    <row r="204" spans="1:10" ht="12" customHeight="1" x14ac:dyDescent="0.3">
      <c r="A204" s="4">
        <v>1400</v>
      </c>
      <c r="B204" s="6">
        <f>VLOOKUP(TABLA_PRECIOS[Código],LISTADO_PRODUCTOS[#All],2)</f>
        <v>54375</v>
      </c>
      <c r="C204" s="6" t="str">
        <f>VLOOKUP(TABLA_PRECIOS[Código],LISTADO_PRODUCTOS[#All],3)</f>
        <v>LIBRERÍA</v>
      </c>
      <c r="D204" s="6" t="str">
        <f>VLOOKUP(TABLA_PRECIOS[Código],LISTADO_PRODUCTOS[#All],4)</f>
        <v>Libreta NAT Ledesma tapa flexible 16.21 42h</v>
      </c>
      <c r="E204" s="6" t="str">
        <f>VLOOKUP(TABLA_PRECIOS[Código],LISTADO_PRODUCTOS[#All],5)</f>
        <v>N/A</v>
      </c>
      <c r="F204" s="4">
        <v>1</v>
      </c>
      <c r="G204" s="4">
        <v>1</v>
      </c>
      <c r="H204" s="6">
        <v>1</v>
      </c>
      <c r="I204" s="6"/>
      <c r="J204" s="9"/>
    </row>
    <row r="205" spans="1:10" ht="12" customHeight="1" x14ac:dyDescent="0.3">
      <c r="A205" s="4">
        <v>1405</v>
      </c>
      <c r="B205" s="6">
        <f>VLOOKUP(TABLA_PRECIOS[Código],LISTADO_PRODUCTOS[#All],2)</f>
        <v>54376</v>
      </c>
      <c r="C205" s="6" t="str">
        <f>VLOOKUP(TABLA_PRECIOS[Código],LISTADO_PRODUCTOS[#All],3)</f>
        <v>LIBRERÍA</v>
      </c>
      <c r="D205" s="6" t="str">
        <f>VLOOKUP(TABLA_PRECIOS[Código],LISTADO_PRODUCTOS[#All],4)</f>
        <v>Marcador doble punta Trabí Duplo Permanente</v>
      </c>
      <c r="E205" s="6" t="str">
        <f>VLOOKUP(TABLA_PRECIOS[Código],LISTADO_PRODUCTOS[#All],5)</f>
        <v>N/A</v>
      </c>
      <c r="F205" s="4">
        <v>1</v>
      </c>
      <c r="G205" s="4">
        <v>1</v>
      </c>
      <c r="H205" s="6">
        <v>1</v>
      </c>
      <c r="I205" s="6"/>
      <c r="J205" s="9"/>
    </row>
    <row r="206" spans="1:10" ht="12" customHeight="1" x14ac:dyDescent="0.3">
      <c r="A206" s="4">
        <v>1408</v>
      </c>
      <c r="B206" s="6">
        <f>VLOOKUP(TABLA_PRECIOS[Código],LISTADO_PRODUCTOS[#All],2)</f>
        <v>54377</v>
      </c>
      <c r="C206" s="6" t="str">
        <f>VLOOKUP(TABLA_PRECIOS[Código],LISTADO_PRODUCTOS[#All],3)</f>
        <v>LIBRERÍA</v>
      </c>
      <c r="D206" s="6" t="str">
        <f>VLOOKUP(TABLA_PRECIOS[Código],LISTADO_PRODUCTOS[#All],4)</f>
        <v>Cuaderno Triunfante 16.21 T/Carton 120hs</v>
      </c>
      <c r="E206" s="6" t="str">
        <f>VLOOKUP(TABLA_PRECIOS[Código],LISTADO_PRODUCTOS[#All],5)</f>
        <v>N/A</v>
      </c>
      <c r="F206" s="4">
        <v>1</v>
      </c>
      <c r="G206" s="4">
        <v>1</v>
      </c>
      <c r="H206" s="6">
        <v>1</v>
      </c>
      <c r="I206" s="6"/>
      <c r="J206" s="9"/>
    </row>
    <row r="207" spans="1:10" ht="12" customHeight="1" x14ac:dyDescent="0.3">
      <c r="A207" s="4">
        <v>1409</v>
      </c>
      <c r="B207" s="6">
        <f>VLOOKUP(TABLA_PRECIOS[Código],LISTADO_PRODUCTOS[#All],2)</f>
        <v>54378</v>
      </c>
      <c r="C207" s="6" t="str">
        <f>VLOOKUP(TABLA_PRECIOS[Código],LISTADO_PRODUCTOS[#All],3)</f>
        <v>LIBRERÍA</v>
      </c>
      <c r="D207" s="6" t="str">
        <f>VLOOKUP(TABLA_PRECIOS[Código],LISTADO_PRODUCTOS[#All],4)</f>
        <v>Repuesto Éxito NAT x288h C/Margen Reforzado N°3</v>
      </c>
      <c r="E207" s="6" t="str">
        <f>VLOOKUP(TABLA_PRECIOS[Código],LISTADO_PRODUCTOS[#All],5)</f>
        <v>N/A</v>
      </c>
      <c r="F207" s="4">
        <v>1</v>
      </c>
      <c r="G207" s="4">
        <v>1</v>
      </c>
      <c r="H207" s="6">
        <v>1</v>
      </c>
      <c r="I207" s="6"/>
      <c r="J207" s="9"/>
    </row>
    <row r="208" spans="1:10" ht="12" customHeight="1" x14ac:dyDescent="0.3">
      <c r="A208" s="4">
        <v>1411</v>
      </c>
      <c r="B208" s="6">
        <f>VLOOKUP(TABLA_PRECIOS[Código],LISTADO_PRODUCTOS[#All],2)</f>
        <v>54379</v>
      </c>
      <c r="C208" s="6" t="str">
        <f>VLOOKUP(TABLA_PRECIOS[Código],LISTADO_PRODUCTOS[#All],3)</f>
        <v>LIBRERÍA</v>
      </c>
      <c r="D208" s="6" t="str">
        <f>VLOOKUP(TABLA_PRECIOS[Código],LISTADO_PRODUCTOS[#All],4)</f>
        <v>Repuesto Éxito N°3 NAT M/R x 96h</v>
      </c>
      <c r="E208" s="6" t="str">
        <f>VLOOKUP(TABLA_PRECIOS[Código],LISTADO_PRODUCTOS[#All],5)</f>
        <v>N/A</v>
      </c>
      <c r="F208" s="4">
        <v>1</v>
      </c>
      <c r="G208" s="4">
        <v>1</v>
      </c>
      <c r="H208" s="6">
        <v>1</v>
      </c>
      <c r="I208" s="6"/>
      <c r="J208" s="9"/>
    </row>
    <row r="209" spans="1:10" ht="12" customHeight="1" x14ac:dyDescent="0.3">
      <c r="A209" s="4">
        <v>1414</v>
      </c>
      <c r="B209" s="6">
        <f>VLOOKUP(TABLA_PRECIOS[Código],LISTADO_PRODUCTOS[#All],2)</f>
        <v>54380</v>
      </c>
      <c r="C209" s="6" t="str">
        <f>VLOOKUP(TABLA_PRECIOS[Código],LISTADO_PRODUCTOS[#All],3)</f>
        <v>LIBRERÍA</v>
      </c>
      <c r="D209" s="6" t="str">
        <f>VLOOKUP(TABLA_PRECIOS[Código],LISTADO_PRODUCTOS[#All],4)</f>
        <v>Repuesto escolar N°3 Éxito NAT con Margen Reforzado x 96h</v>
      </c>
      <c r="E209" s="6" t="str">
        <f>VLOOKUP(TABLA_PRECIOS[Código],LISTADO_PRODUCTOS[#All],5)</f>
        <v>N/A</v>
      </c>
      <c r="F209" s="4">
        <v>1</v>
      </c>
      <c r="G209" s="4">
        <v>1</v>
      </c>
      <c r="H209" s="6">
        <v>1</v>
      </c>
      <c r="I209" s="6"/>
      <c r="J209" s="9"/>
    </row>
    <row r="210" spans="1:10" ht="12" customHeight="1" x14ac:dyDescent="0.3">
      <c r="A210" s="4">
        <v>1415</v>
      </c>
      <c r="B210" s="6">
        <f>VLOOKUP(TABLA_PRECIOS[Código],LISTADO_PRODUCTOS[#All],2)</f>
        <v>54381</v>
      </c>
      <c r="C210" s="6" t="str">
        <f>VLOOKUP(TABLA_PRECIOS[Código],LISTADO_PRODUCTOS[#All],3)</f>
        <v>LIBRERÍA</v>
      </c>
      <c r="D210" s="6" t="str">
        <f>VLOOKUP(TABLA_PRECIOS[Código],LISTADO_PRODUCTOS[#All],4)</f>
        <v>Repuesto Calcar Nº5 Luma</v>
      </c>
      <c r="E210" s="6" t="str">
        <f>VLOOKUP(TABLA_PRECIOS[Código],LISTADO_PRODUCTOS[#All],5)</f>
        <v>N/A</v>
      </c>
      <c r="F210" s="4">
        <v>1</v>
      </c>
      <c r="G210" s="4">
        <v>1</v>
      </c>
      <c r="H210" s="6">
        <v>1</v>
      </c>
      <c r="I210" s="6"/>
      <c r="J210" s="9"/>
    </row>
    <row r="211" spans="1:10" ht="12" customHeight="1" x14ac:dyDescent="0.3">
      <c r="A211" s="4">
        <v>1416</v>
      </c>
      <c r="B211" s="6">
        <f>VLOOKUP(TABLA_PRECIOS[Código],LISTADO_PRODUCTOS[#All],2)</f>
        <v>54382</v>
      </c>
      <c r="C211" s="6" t="str">
        <f>VLOOKUP(TABLA_PRECIOS[Código],LISTADO_PRODUCTOS[#All],3)</f>
        <v>LIBRERÍA</v>
      </c>
      <c r="D211" s="6" t="str">
        <f>VLOOKUP(TABLA_PRECIOS[Código],LISTADO_PRODUCTOS[#All],4)</f>
        <v>Repuesto Calcar Nº3 Luma</v>
      </c>
      <c r="E211" s="6" t="str">
        <f>VLOOKUP(TABLA_PRECIOS[Código],LISTADO_PRODUCTOS[#All],5)</f>
        <v>N/A</v>
      </c>
      <c r="F211" s="4">
        <v>1</v>
      </c>
      <c r="G211" s="4">
        <v>1</v>
      </c>
      <c r="H211" s="6">
        <v>1</v>
      </c>
      <c r="I211" s="6"/>
      <c r="J211" s="9"/>
    </row>
    <row r="212" spans="1:10" ht="12" customHeight="1" x14ac:dyDescent="0.3">
      <c r="A212" s="4">
        <v>1417</v>
      </c>
      <c r="B212" s="6">
        <f>VLOOKUP(TABLA_PRECIOS[Código],LISTADO_PRODUCTOS[#All],2)</f>
        <v>54383</v>
      </c>
      <c r="C212" s="6" t="str">
        <f>VLOOKUP(TABLA_PRECIOS[Código],LISTADO_PRODUCTOS[#All],3)</f>
        <v>LIBRERÍA</v>
      </c>
      <c r="D212" s="6" t="str">
        <f>VLOOKUP(TABLA_PRECIOS[Código],LISTADO_PRODUCTOS[#All],4)</f>
        <v>Mapa Nº6</v>
      </c>
      <c r="E212" s="6" t="str">
        <f>VLOOKUP(TABLA_PRECIOS[Código],LISTADO_PRODUCTOS[#All],5)</f>
        <v>N/A</v>
      </c>
      <c r="F212" s="4">
        <v>1</v>
      </c>
      <c r="G212" s="4">
        <v>1</v>
      </c>
      <c r="H212" s="6">
        <v>1</v>
      </c>
      <c r="I212" s="6"/>
      <c r="J212" s="9"/>
    </row>
    <row r="213" spans="1:10" ht="12" customHeight="1" x14ac:dyDescent="0.3">
      <c r="A213" s="4">
        <v>1418</v>
      </c>
      <c r="B213" s="6">
        <f>VLOOKUP(TABLA_PRECIOS[Código],LISTADO_PRODUCTOS[#All],2)</f>
        <v>54384</v>
      </c>
      <c r="C213" s="6" t="str">
        <f>VLOOKUP(TABLA_PRECIOS[Código],LISTADO_PRODUCTOS[#All],3)</f>
        <v>LIBRERÍA</v>
      </c>
      <c r="D213" s="6" t="str">
        <f>VLOOKUP(TABLA_PRECIOS[Código],LISTADO_PRODUCTOS[#All],4)</f>
        <v>Cuaderno Triunfante/Laprida Nº3 x 50h - 7792216049913</v>
      </c>
      <c r="E213" s="6" t="str">
        <f>VLOOKUP(TABLA_PRECIOS[Código],LISTADO_PRODUCTOS[#All],5)</f>
        <v>N/A</v>
      </c>
      <c r="F213" s="4">
        <v>1</v>
      </c>
      <c r="G213" s="4">
        <v>1</v>
      </c>
      <c r="H213" s="6">
        <v>1</v>
      </c>
      <c r="I213" s="6"/>
      <c r="J213" s="9"/>
    </row>
    <row r="214" spans="1:10" ht="12" customHeight="1" x14ac:dyDescent="0.3">
      <c r="A214" s="4">
        <v>1420</v>
      </c>
      <c r="B214" s="6">
        <f>VLOOKUP(TABLA_PRECIOS[Código],LISTADO_PRODUCTOS[#All],2)</f>
        <v>54385</v>
      </c>
      <c r="C214" s="6" t="str">
        <f>VLOOKUP(TABLA_PRECIOS[Código],LISTADO_PRODUCTOS[#All],3)</f>
        <v>LIBRERÍA</v>
      </c>
      <c r="D214" s="6" t="str">
        <f>VLOOKUP(TABLA_PRECIOS[Código],LISTADO_PRODUCTOS[#All],4)</f>
        <v>Flauta Blester NC</v>
      </c>
      <c r="E214" s="6" t="str">
        <f>VLOOKUP(TABLA_PRECIOS[Código],LISTADO_PRODUCTOS[#All],5)</f>
        <v>N/A</v>
      </c>
      <c r="F214" s="4">
        <v>1</v>
      </c>
      <c r="G214" s="4">
        <v>1</v>
      </c>
      <c r="H214" s="6">
        <v>1</v>
      </c>
      <c r="I214" s="6"/>
      <c r="J214" s="9"/>
    </row>
    <row r="215" spans="1:10" ht="12" customHeight="1" x14ac:dyDescent="0.3">
      <c r="A215" s="4">
        <v>1421</v>
      </c>
      <c r="B215" s="6">
        <f>VLOOKUP(TABLA_PRECIOS[Código],LISTADO_PRODUCTOS[#All],2)</f>
        <v>54386</v>
      </c>
      <c r="C215" s="6" t="str">
        <f>VLOOKUP(TABLA_PRECIOS[Código],LISTADO_PRODUCTOS[#All],3)</f>
        <v>LIBRERÍA</v>
      </c>
      <c r="D215" s="6" t="str">
        <f>VLOOKUP(TABLA_PRECIOS[Código],LISTADO_PRODUCTOS[#All],4)</f>
        <v>Escalimetro Maped en estuche</v>
      </c>
      <c r="E215" s="6" t="str">
        <f>VLOOKUP(TABLA_PRECIOS[Código],LISTADO_PRODUCTOS[#All],5)</f>
        <v>N/A</v>
      </c>
      <c r="F215" s="4">
        <v>1</v>
      </c>
      <c r="G215" s="4">
        <v>1</v>
      </c>
      <c r="H215" s="6">
        <v>1</v>
      </c>
      <c r="I215" s="6"/>
      <c r="J215" s="9"/>
    </row>
    <row r="216" spans="1:10" ht="12" customHeight="1" x14ac:dyDescent="0.3">
      <c r="A216" s="4">
        <v>1423</v>
      </c>
      <c r="B216" s="6">
        <f>VLOOKUP(TABLA_PRECIOS[Código],LISTADO_PRODUCTOS[#All],2)</f>
        <v>54387</v>
      </c>
      <c r="C216" s="6" t="str">
        <f>VLOOKUP(TABLA_PRECIOS[Código],LISTADO_PRODUCTOS[#All],3)</f>
        <v>LIBRERÍA</v>
      </c>
      <c r="D216" s="6" t="str">
        <f>VLOOKUP(TABLA_PRECIOS[Código],LISTADO_PRODUCTOS[#All],4)</f>
        <v>Adhesivo vinilico Tintoretto/model/playcolor/Maxxum x 250gr</v>
      </c>
      <c r="E216" s="6" t="str">
        <f>VLOOKUP(TABLA_PRECIOS[Código],LISTADO_PRODUCTOS[#All],5)</f>
        <v>N/A</v>
      </c>
      <c r="F216" s="4">
        <v>1</v>
      </c>
      <c r="G216" s="4">
        <v>1</v>
      </c>
      <c r="H216" s="6">
        <v>1</v>
      </c>
      <c r="I216" s="6"/>
      <c r="J216" s="9"/>
    </row>
    <row r="217" spans="1:10" ht="12" customHeight="1" x14ac:dyDescent="0.3">
      <c r="A217" s="4">
        <v>1424</v>
      </c>
      <c r="B217" s="6">
        <f>VLOOKUP(TABLA_PRECIOS[Código],LISTADO_PRODUCTOS[#All],2)</f>
        <v>54388</v>
      </c>
      <c r="C217" s="6" t="str">
        <f>VLOOKUP(TABLA_PRECIOS[Código],LISTADO_PRODUCTOS[#All],3)</f>
        <v>LIBRERÍA</v>
      </c>
      <c r="D217" s="6" t="str">
        <f>VLOOKUP(TABLA_PRECIOS[Código],LISTADO_PRODUCTOS[#All],4)</f>
        <v>Transportador Maped 10cm en bolsa</v>
      </c>
      <c r="E217" s="6" t="str">
        <f>VLOOKUP(TABLA_PRECIOS[Código],LISTADO_PRODUCTOS[#All],5)</f>
        <v>N/A</v>
      </c>
      <c r="F217" s="4">
        <v>1</v>
      </c>
      <c r="G217" s="4">
        <v>1</v>
      </c>
      <c r="H217" s="6">
        <v>1</v>
      </c>
      <c r="I217" s="6"/>
      <c r="J217" s="9"/>
    </row>
    <row r="218" spans="1:10" ht="12" customHeight="1" x14ac:dyDescent="0.3">
      <c r="A218" s="4">
        <v>1425</v>
      </c>
      <c r="B218" s="6">
        <f>VLOOKUP(TABLA_PRECIOS[Código],LISTADO_PRODUCTOS[#All],2)</f>
        <v>54389</v>
      </c>
      <c r="C218" s="6" t="str">
        <f>VLOOKUP(TABLA_PRECIOS[Código],LISTADO_PRODUCTOS[#All],3)</f>
        <v>LIBRERÍA</v>
      </c>
      <c r="D218" s="6" t="str">
        <f>VLOOKUP(TABLA_PRECIOS[Código],LISTADO_PRODUCTOS[#All],4)</f>
        <v>Corrector Filgo 012 - 7795513049518</v>
      </c>
      <c r="E218" s="6" t="str">
        <f>VLOOKUP(TABLA_PRECIOS[Código],LISTADO_PRODUCTOS[#All],5)</f>
        <v>N/A</v>
      </c>
      <c r="F218" s="4">
        <v>1</v>
      </c>
      <c r="G218" s="4">
        <v>1</v>
      </c>
      <c r="H218" s="6">
        <v>1</v>
      </c>
      <c r="I218" s="6"/>
      <c r="J218" s="9"/>
    </row>
    <row r="219" spans="1:10" ht="12" customHeight="1" x14ac:dyDescent="0.3">
      <c r="A219" s="4">
        <v>1426</v>
      </c>
      <c r="B219" s="6">
        <f>VLOOKUP(TABLA_PRECIOS[Código],LISTADO_PRODUCTOS[#All],2)</f>
        <v>54390</v>
      </c>
      <c r="C219" s="6" t="str">
        <f>VLOOKUP(TABLA_PRECIOS[Código],LISTADO_PRODUCTOS[#All],3)</f>
        <v>LIBRERÍA</v>
      </c>
      <c r="D219" s="6" t="str">
        <f>VLOOKUP(TABLA_PRECIOS[Código],LISTADO_PRODUCTOS[#All],4)</f>
        <v>Multibase de madera</v>
      </c>
      <c r="E219" s="6" t="str">
        <f>VLOOKUP(TABLA_PRECIOS[Código],LISTADO_PRODUCTOS[#All],5)</f>
        <v>N/A</v>
      </c>
      <c r="F219" s="4">
        <v>1</v>
      </c>
      <c r="G219" s="4">
        <v>1</v>
      </c>
      <c r="H219" s="6">
        <v>1</v>
      </c>
      <c r="I219" s="6"/>
      <c r="J219" s="9"/>
    </row>
    <row r="220" spans="1:10" ht="12" customHeight="1" x14ac:dyDescent="0.3">
      <c r="A220" s="4">
        <v>1427</v>
      </c>
      <c r="B220" s="6">
        <f>VLOOKUP(TABLA_PRECIOS[Código],LISTADO_PRODUCTOS[#All],2)</f>
        <v>54391</v>
      </c>
      <c r="C220" s="6" t="str">
        <f>VLOOKUP(TABLA_PRECIOS[Código],LISTADO_PRODUCTOS[#All],3)</f>
        <v>LIBRERÍA</v>
      </c>
      <c r="D220" s="6" t="str">
        <f>VLOOKUP(TABLA_PRECIOS[Código],LISTADO_PRODUCTOS[#All],4)</f>
        <v>Resaltador en Blister Mini tubo x 6</v>
      </c>
      <c r="E220" s="6" t="str">
        <f>VLOOKUP(TABLA_PRECIOS[Código],LISTADO_PRODUCTOS[#All],5)</f>
        <v>N/A</v>
      </c>
      <c r="F220" s="4">
        <v>1</v>
      </c>
      <c r="G220" s="4">
        <v>1</v>
      </c>
      <c r="H220" s="6">
        <v>1</v>
      </c>
      <c r="I220" s="6"/>
      <c r="J220" s="9"/>
    </row>
    <row r="221" spans="1:10" ht="12" customHeight="1" x14ac:dyDescent="0.3">
      <c r="A221" s="4">
        <v>1428</v>
      </c>
      <c r="B221" s="6">
        <f>VLOOKUP(TABLA_PRECIOS[Código],LISTADO_PRODUCTOS[#All],2)</f>
        <v>54392</v>
      </c>
      <c r="C221" s="6" t="str">
        <f>VLOOKUP(TABLA_PRECIOS[Código],LISTADO_PRODUCTOS[#All],3)</f>
        <v>LIBRERÍA</v>
      </c>
      <c r="D221" s="6" t="str">
        <f>VLOOKUP(TABLA_PRECIOS[Código],LISTADO_PRODUCTOS[#All],4)</f>
        <v>Set de Resaltadores NUWA x5u en dispenser</v>
      </c>
      <c r="E221" s="6" t="str">
        <f>VLOOKUP(TABLA_PRECIOS[Código],LISTADO_PRODUCTOS[#All],5)</f>
        <v>N/A</v>
      </c>
      <c r="F221" s="4">
        <v>1</v>
      </c>
      <c r="G221" s="4">
        <v>1</v>
      </c>
      <c r="H221" s="6">
        <v>1</v>
      </c>
      <c r="I221" s="6"/>
      <c r="J221" s="9"/>
    </row>
    <row r="222" spans="1:10" ht="12" customHeight="1" x14ac:dyDescent="0.3">
      <c r="A222" s="4">
        <v>1500</v>
      </c>
      <c r="B222" s="6">
        <f>VLOOKUP(TABLA_PRECIOS[Código],LISTADO_PRODUCTOS[#All],2)</f>
        <v>54393</v>
      </c>
      <c r="C222" s="6" t="str">
        <f>VLOOKUP(TABLA_PRECIOS[Código],LISTADO_PRODUCTOS[#All],3)</f>
        <v>LIBRERÍA</v>
      </c>
      <c r="D222" s="6" t="str">
        <f>VLOOKUP(TABLA_PRECIOS[Código],LISTADO_PRODUCTOS[#All],4)</f>
        <v>Carpeta N°5 Kraft color</v>
      </c>
      <c r="E222" s="6" t="str">
        <f>VLOOKUP(TABLA_PRECIOS[Código],LISTADO_PRODUCTOS[#All],5)</f>
        <v>N/A</v>
      </c>
      <c r="F222" s="4">
        <v>1</v>
      </c>
      <c r="G222" s="4">
        <v>1</v>
      </c>
      <c r="H222" s="6">
        <v>1</v>
      </c>
      <c r="I222" s="6"/>
      <c r="J222" s="9"/>
    </row>
    <row r="223" spans="1:10" ht="12" customHeight="1" x14ac:dyDescent="0.3">
      <c r="A223" s="4">
        <v>1501</v>
      </c>
      <c r="B223" s="6">
        <f>VLOOKUP(TABLA_PRECIOS[Código],LISTADO_PRODUCTOS[#All],2)</f>
        <v>54394</v>
      </c>
      <c r="C223" s="6" t="str">
        <f>VLOOKUP(TABLA_PRECIOS[Código],LISTADO_PRODUCTOS[#All],3)</f>
        <v>LIBRERÍA</v>
      </c>
      <c r="D223" s="6" t="str">
        <f>VLOOKUP(TABLA_PRECIOS[Código],LISTADO_PRODUCTOS[#All],4)</f>
        <v>Goma Keyroad Windmill</v>
      </c>
      <c r="E223" s="6" t="str">
        <f>VLOOKUP(TABLA_PRECIOS[Código],LISTADO_PRODUCTOS[#All],5)</f>
        <v>N/A</v>
      </c>
      <c r="F223" s="4">
        <v>1</v>
      </c>
      <c r="G223" s="4">
        <v>1</v>
      </c>
      <c r="H223" s="6">
        <v>1</v>
      </c>
      <c r="I223" s="6"/>
      <c r="J223" s="9"/>
    </row>
    <row r="224" spans="1:10" ht="12" customHeight="1" x14ac:dyDescent="0.3">
      <c r="A224" s="4">
        <v>1504</v>
      </c>
      <c r="B224" s="6">
        <f>VLOOKUP(TABLA_PRECIOS[Código],LISTADO_PRODUCTOS[#All],2)</f>
        <v>54395</v>
      </c>
      <c r="C224" s="6" t="str">
        <f>VLOOKUP(TABLA_PRECIOS[Código],LISTADO_PRODUCTOS[#All],3)</f>
        <v>LIBRERÍA</v>
      </c>
      <c r="D224" s="6" t="str">
        <f>VLOOKUP(TABLA_PRECIOS[Código],LISTADO_PRODUCTOS[#All],4)</f>
        <v>Cuaderno ABC Inicial</v>
      </c>
      <c r="E224" s="6" t="str">
        <f>VLOOKUP(TABLA_PRECIOS[Código],LISTADO_PRODUCTOS[#All],5)</f>
        <v>N/A</v>
      </c>
      <c r="F224" s="4">
        <v>1</v>
      </c>
      <c r="G224" s="4">
        <v>1</v>
      </c>
      <c r="H224" s="6">
        <v>1</v>
      </c>
      <c r="I224" s="6"/>
      <c r="J224" s="9"/>
    </row>
    <row r="225" spans="1:10" ht="12" customHeight="1" x14ac:dyDescent="0.3">
      <c r="A225" s="4">
        <v>1505</v>
      </c>
      <c r="B225" s="6">
        <f>VLOOKUP(TABLA_PRECIOS[Código],LISTADO_PRODUCTOS[#All],2)</f>
        <v>54396</v>
      </c>
      <c r="C225" s="6" t="str">
        <f>VLOOKUP(TABLA_PRECIOS[Código],LISTADO_PRODUCTOS[#All],3)</f>
        <v>LIBRERÍA</v>
      </c>
      <c r="D225" s="6" t="str">
        <f>VLOOKUP(TABLA_PRECIOS[Código],LISTADO_PRODUCTOS[#All],4)</f>
        <v>Bandera Argentina 1,3 x 2,5 S/sol</v>
      </c>
      <c r="E225" s="6" t="str">
        <f>VLOOKUP(TABLA_PRECIOS[Código],LISTADO_PRODUCTOS[#All],5)</f>
        <v>N/A</v>
      </c>
      <c r="F225" s="4">
        <v>1</v>
      </c>
      <c r="G225" s="4">
        <v>1</v>
      </c>
      <c r="H225" s="6">
        <v>1</v>
      </c>
      <c r="I225" s="6"/>
      <c r="J225" s="9"/>
    </row>
    <row r="226" spans="1:10" ht="12" customHeight="1" x14ac:dyDescent="0.3">
      <c r="A226" s="4">
        <v>1506</v>
      </c>
      <c r="B226" s="6">
        <f>VLOOKUP(TABLA_PRECIOS[Código],LISTADO_PRODUCTOS[#All],2)</f>
        <v>54397</v>
      </c>
      <c r="C226" s="6" t="str">
        <f>VLOOKUP(TABLA_PRECIOS[Código],LISTADO_PRODUCTOS[#All],3)</f>
        <v>LIBRERÍA</v>
      </c>
      <c r="D226" s="6" t="str">
        <f>VLOOKUP(TABLA_PRECIOS[Código],LISTADO_PRODUCTOS[#All],4)</f>
        <v>Block de dibujo Muresco D/especiales x 20h Nº5</v>
      </c>
      <c r="E226" s="6" t="str">
        <f>VLOOKUP(TABLA_PRECIOS[Código],LISTADO_PRODUCTOS[#All],5)</f>
        <v>N/A</v>
      </c>
      <c r="F226" s="4">
        <v>1</v>
      </c>
      <c r="G226" s="4">
        <v>1</v>
      </c>
      <c r="H226" s="6">
        <v>1</v>
      </c>
      <c r="I226" s="6"/>
      <c r="J226" s="9"/>
    </row>
    <row r="227" spans="1:10" ht="12" customHeight="1" x14ac:dyDescent="0.3">
      <c r="A227" s="4">
        <v>1507</v>
      </c>
      <c r="B227" s="6">
        <f>VLOOKUP(TABLA_PRECIOS[Código],LISTADO_PRODUCTOS[#All],2)</f>
        <v>54398</v>
      </c>
      <c r="C227" s="6" t="str">
        <f>VLOOKUP(TABLA_PRECIOS[Código],LISTADO_PRODUCTOS[#All],3)</f>
        <v>LIBRERÍA</v>
      </c>
      <c r="D227" s="6" t="str">
        <f>VLOOKUP(TABLA_PRECIOS[Código],LISTADO_PRODUCTOS[#All],4)</f>
        <v>Cartulina entretenida Muresco pre cortada formas varias presentacion A4</v>
      </c>
      <c r="E227" s="6" t="str">
        <f>VLOOKUP(TABLA_PRECIOS[Código],LISTADO_PRODUCTOS[#All],5)</f>
        <v>N/A</v>
      </c>
      <c r="F227" s="4">
        <v>1</v>
      </c>
      <c r="G227" s="4">
        <v>1</v>
      </c>
      <c r="H227" s="6">
        <v>1</v>
      </c>
      <c r="I227" s="6"/>
      <c r="J227" s="9"/>
    </row>
    <row r="228" spans="1:10" ht="12" customHeight="1" x14ac:dyDescent="0.3">
      <c r="A228" s="4">
        <v>1508</v>
      </c>
      <c r="B228" s="6">
        <f>VLOOKUP(TABLA_PRECIOS[Código],LISTADO_PRODUCTOS[#All],2)</f>
        <v>54399</v>
      </c>
      <c r="C228" s="6" t="str">
        <f>VLOOKUP(TABLA_PRECIOS[Código],LISTADO_PRODUCTOS[#All],3)</f>
        <v>LIBRERÍA</v>
      </c>
      <c r="D228" s="6" t="str">
        <f>VLOOKUP(TABLA_PRECIOS[Código],LISTADO_PRODUCTOS[#All],4)</f>
        <v>Marcadores Color Peps Glitter x 10</v>
      </c>
      <c r="E228" s="6" t="str">
        <f>VLOOKUP(TABLA_PRECIOS[Código],LISTADO_PRODUCTOS[#All],5)</f>
        <v>N/A</v>
      </c>
      <c r="F228" s="4">
        <v>1</v>
      </c>
      <c r="G228" s="4">
        <v>1</v>
      </c>
      <c r="H228" s="6">
        <v>1</v>
      </c>
      <c r="I228" s="6"/>
      <c r="J228" s="9"/>
    </row>
    <row r="229" spans="1:10" ht="12" customHeight="1" x14ac:dyDescent="0.3">
      <c r="A229" s="4">
        <v>1511</v>
      </c>
      <c r="B229" s="6">
        <f>VLOOKUP(TABLA_PRECIOS[Código],LISTADO_PRODUCTOS[#All],2)</f>
        <v>54400</v>
      </c>
      <c r="C229" s="6" t="str">
        <f>VLOOKUP(TABLA_PRECIOS[Código],LISTADO_PRODUCTOS[#All],3)</f>
        <v>LIBRERÍA</v>
      </c>
      <c r="D229" s="6" t="str">
        <f>VLOOKUP(TABLA_PRECIOS[Código],LISTADO_PRODUCTOS[#All],4)</f>
        <v>Adhesivo vinilico Tintoretto x 100gr</v>
      </c>
      <c r="E229" s="6" t="str">
        <f>VLOOKUP(TABLA_PRECIOS[Código],LISTADO_PRODUCTOS[#All],5)</f>
        <v>N/A</v>
      </c>
      <c r="F229" s="4">
        <v>1</v>
      </c>
      <c r="G229" s="4">
        <v>1</v>
      </c>
      <c r="H229" s="6">
        <v>1</v>
      </c>
      <c r="I229" s="6"/>
      <c r="J229" s="9"/>
    </row>
    <row r="230" spans="1:10" ht="12" customHeight="1" x14ac:dyDescent="0.3">
      <c r="A230" s="4">
        <v>1512</v>
      </c>
      <c r="B230" s="6">
        <f>VLOOKUP(TABLA_PRECIOS[Código],LISTADO_PRODUCTOS[#All],2)</f>
        <v>54401</v>
      </c>
      <c r="C230" s="6" t="str">
        <f>VLOOKUP(TABLA_PRECIOS[Código],LISTADO_PRODUCTOS[#All],3)</f>
        <v>LIBRERÍA</v>
      </c>
      <c r="D230" s="6" t="str">
        <f>VLOOKUP(TABLA_PRECIOS[Código],LISTADO_PRODUCTOS[#All],4)</f>
        <v>Marcador Trabí para Pizarra blanca Recargable 450</v>
      </c>
      <c r="E230" s="6" t="str">
        <f>VLOOKUP(TABLA_PRECIOS[Código],LISTADO_PRODUCTOS[#All],5)</f>
        <v>N/A</v>
      </c>
      <c r="F230" s="4">
        <v>1</v>
      </c>
      <c r="G230" s="4">
        <v>1</v>
      </c>
      <c r="H230" s="6">
        <v>1</v>
      </c>
      <c r="I230" s="6"/>
      <c r="J230" s="9"/>
    </row>
    <row r="231" spans="1:10" ht="12" customHeight="1" x14ac:dyDescent="0.3">
      <c r="A231" s="4">
        <v>1514</v>
      </c>
      <c r="B231" s="6">
        <f>VLOOKUP(TABLA_PRECIOS[Código],LISTADO_PRODUCTOS[#All],2)</f>
        <v>54402</v>
      </c>
      <c r="C231" s="6" t="str">
        <f>VLOOKUP(TABLA_PRECIOS[Código],LISTADO_PRODUCTOS[#All],3)</f>
        <v>LIBRERÍA</v>
      </c>
      <c r="D231" s="6" t="str">
        <f>VLOOKUP(TABLA_PRECIOS[Código],LISTADO_PRODUCTOS[#All],4)</f>
        <v>Block Dibujo Éxito/Luma Nº5 Blanco - 7791762319426</v>
      </c>
      <c r="E231" s="6" t="str">
        <f>VLOOKUP(TABLA_PRECIOS[Código],LISTADO_PRODUCTOS[#All],5)</f>
        <v>N/A</v>
      </c>
      <c r="F231" s="4">
        <v>1</v>
      </c>
      <c r="G231" s="4">
        <v>1</v>
      </c>
      <c r="H231" s="6">
        <v>1</v>
      </c>
      <c r="I231" s="6"/>
      <c r="J231" s="9"/>
    </row>
    <row r="232" spans="1:10" ht="12" customHeight="1" x14ac:dyDescent="0.3">
      <c r="A232" s="4">
        <v>1515</v>
      </c>
      <c r="B232" s="6">
        <f>VLOOKUP(TABLA_PRECIOS[Código],LISTADO_PRODUCTOS[#All],2)</f>
        <v>54403</v>
      </c>
      <c r="C232" s="6" t="str">
        <f>VLOOKUP(TABLA_PRECIOS[Código],LISTADO_PRODUCTOS[#All],3)</f>
        <v>LIBRERÍA</v>
      </c>
      <c r="D232" s="6" t="str">
        <f>VLOOKUP(TABLA_PRECIOS[Código],LISTADO_PRODUCTOS[#All],4)</f>
        <v>Block Dibujo Éxito/Luma Nº6 Blanco</v>
      </c>
      <c r="E232" s="6" t="str">
        <f>VLOOKUP(TABLA_PRECIOS[Código],LISTADO_PRODUCTOS[#All],5)</f>
        <v>N/A</v>
      </c>
      <c r="F232" s="4">
        <v>1</v>
      </c>
      <c r="G232" s="4">
        <v>1</v>
      </c>
      <c r="H232" s="6">
        <v>1</v>
      </c>
      <c r="I232" s="6"/>
      <c r="J232" s="9"/>
    </row>
    <row r="233" spans="1:10" ht="12" customHeight="1" x14ac:dyDescent="0.3">
      <c r="A233" s="4">
        <v>1516</v>
      </c>
      <c r="B233" s="6">
        <f>VLOOKUP(TABLA_PRECIOS[Código],LISTADO_PRODUCTOS[#All],2)</f>
        <v>54404</v>
      </c>
      <c r="C233" s="6" t="str">
        <f>VLOOKUP(TABLA_PRECIOS[Código],LISTADO_PRODUCTOS[#All],3)</f>
        <v>LIBRERÍA</v>
      </c>
      <c r="D233" s="6" t="str">
        <f>VLOOKUP(TABLA_PRECIOS[Código],LISTADO_PRODUCTOS[#All],4)</f>
        <v>Set de Geometria Maped x4 piezas 30cm</v>
      </c>
      <c r="E233" s="6" t="str">
        <f>VLOOKUP(TABLA_PRECIOS[Código],LISTADO_PRODUCTOS[#All],5)</f>
        <v>N/A</v>
      </c>
      <c r="F233" s="4">
        <v>1</v>
      </c>
      <c r="G233" s="4">
        <v>1</v>
      </c>
      <c r="H233" s="6">
        <v>1</v>
      </c>
      <c r="I233" s="6"/>
      <c r="J233" s="9"/>
    </row>
    <row r="234" spans="1:10" ht="12" customHeight="1" x14ac:dyDescent="0.3">
      <c r="A234" s="4">
        <v>1517</v>
      </c>
      <c r="B234" s="6">
        <f>VLOOKUP(TABLA_PRECIOS[Código],LISTADO_PRODUCTOS[#All],2)</f>
        <v>54405</v>
      </c>
      <c r="C234" s="6" t="str">
        <f>VLOOKUP(TABLA_PRECIOS[Código],LISTADO_PRODUCTOS[#All],3)</f>
        <v>LIBRERÍA</v>
      </c>
      <c r="D234" s="6" t="str">
        <f>VLOOKUP(TABLA_PRECIOS[Código],LISTADO_PRODUCTOS[#All],4)</f>
        <v>Tijera para zurdos Maped</v>
      </c>
      <c r="E234" s="6" t="str">
        <f>VLOOKUP(TABLA_PRECIOS[Código],LISTADO_PRODUCTOS[#All],5)</f>
        <v>N/A</v>
      </c>
      <c r="F234" s="4">
        <v>1</v>
      </c>
      <c r="G234" s="4">
        <v>1</v>
      </c>
      <c r="H234" s="6">
        <v>1</v>
      </c>
      <c r="I234" s="6"/>
      <c r="J234" s="9"/>
    </row>
    <row r="235" spans="1:10" ht="12" customHeight="1" x14ac:dyDescent="0.3">
      <c r="A235" s="4">
        <v>1518</v>
      </c>
      <c r="B235" s="6">
        <f>VLOOKUP(TABLA_PRECIOS[Código],LISTADO_PRODUCTOS[#All],2)</f>
        <v>54406</v>
      </c>
      <c r="C235" s="6" t="str">
        <f>VLOOKUP(TABLA_PRECIOS[Código],LISTADO_PRODUCTOS[#All],3)</f>
        <v>LIBRERÍA</v>
      </c>
      <c r="D235" s="6" t="str">
        <f>VLOOKUP(TABLA_PRECIOS[Código],LISTADO_PRODUCTOS[#All],4)</f>
        <v xml:space="preserve">Silicona Liquida CBX x 30ml </v>
      </c>
      <c r="E235" s="6" t="str">
        <f>VLOOKUP(TABLA_PRECIOS[Código],LISTADO_PRODUCTOS[#All],5)</f>
        <v>N/A</v>
      </c>
      <c r="F235" s="4">
        <v>1</v>
      </c>
      <c r="G235" s="4">
        <v>1</v>
      </c>
      <c r="H235" s="6">
        <v>1</v>
      </c>
      <c r="I235" s="6"/>
      <c r="J235" s="9"/>
    </row>
    <row r="236" spans="1:10" ht="12" customHeight="1" x14ac:dyDescent="0.3">
      <c r="A236" s="4">
        <v>1519</v>
      </c>
      <c r="B236" s="6">
        <f>VLOOKUP(TABLA_PRECIOS[Código],LISTADO_PRODUCTOS[#All],2)</f>
        <v>54407</v>
      </c>
      <c r="C236" s="6" t="str">
        <f>VLOOKUP(TABLA_PRECIOS[Código],LISTADO_PRODUCTOS[#All],3)</f>
        <v>LIBRERÍA</v>
      </c>
      <c r="D236" s="6" t="str">
        <f>VLOOKUP(TABLA_PRECIOS[Código],LISTADO_PRODUCTOS[#All],4)</f>
        <v>Colores Simball Largo x 24 innovation</v>
      </c>
      <c r="E236" s="6" t="str">
        <f>VLOOKUP(TABLA_PRECIOS[Código],LISTADO_PRODUCTOS[#All],5)</f>
        <v>N/A</v>
      </c>
      <c r="F236" s="4">
        <v>1</v>
      </c>
      <c r="G236" s="4">
        <v>1</v>
      </c>
      <c r="H236" s="6">
        <v>1</v>
      </c>
      <c r="I236" s="6"/>
      <c r="J236" s="9"/>
    </row>
    <row r="237" spans="1:10" ht="12" customHeight="1" x14ac:dyDescent="0.3">
      <c r="A237" s="4">
        <v>1520</v>
      </c>
      <c r="B237" s="6">
        <f>VLOOKUP(TABLA_PRECIOS[Código],LISTADO_PRODUCTOS[#All],2)</f>
        <v>54408</v>
      </c>
      <c r="C237" s="6" t="str">
        <f>VLOOKUP(TABLA_PRECIOS[Código],LISTADO_PRODUCTOS[#All],3)</f>
        <v>LIBRERÍA</v>
      </c>
      <c r="D237" s="6" t="str">
        <f>VLOOKUP(TABLA_PRECIOS[Código],LISTADO_PRODUCTOS[#All],4)</f>
        <v>Tijera Maped Office Advance Soft Gel 21cm</v>
      </c>
      <c r="E237" s="6" t="str">
        <f>VLOOKUP(TABLA_PRECIOS[Código],LISTADO_PRODUCTOS[#All],5)</f>
        <v>N/A</v>
      </c>
      <c r="F237" s="4">
        <v>1</v>
      </c>
      <c r="G237" s="4">
        <v>1</v>
      </c>
      <c r="H237" s="6">
        <v>1</v>
      </c>
      <c r="I237" s="6"/>
      <c r="J237" s="9"/>
    </row>
    <row r="238" spans="1:10" ht="12" customHeight="1" x14ac:dyDescent="0.3">
      <c r="A238" s="4">
        <v>1521</v>
      </c>
      <c r="B238" s="6">
        <f>VLOOKUP(TABLA_PRECIOS[Código],LISTADO_PRODUCTOS[#All],2)</f>
        <v>54409</v>
      </c>
      <c r="C238" s="6" t="str">
        <f>VLOOKUP(TABLA_PRECIOS[Código],LISTADO_PRODUCTOS[#All],3)</f>
        <v>LIBRERÍA</v>
      </c>
      <c r="D238" s="6" t="str">
        <f>VLOOKUP(TABLA_PRECIOS[Código],LISTADO_PRODUCTOS[#All],4)</f>
        <v>Set de Geometria Maped x 3 piezas</v>
      </c>
      <c r="E238" s="6" t="str">
        <f>VLOOKUP(TABLA_PRECIOS[Código],LISTADO_PRODUCTOS[#All],5)</f>
        <v>N/A</v>
      </c>
      <c r="F238" s="4">
        <v>1</v>
      </c>
      <c r="G238" s="4">
        <v>1</v>
      </c>
      <c r="H238" s="6">
        <v>1</v>
      </c>
      <c r="I238" s="6"/>
      <c r="J238" s="9"/>
    </row>
    <row r="239" spans="1:10" ht="12" customHeight="1" x14ac:dyDescent="0.3">
      <c r="A239" s="4">
        <v>1522</v>
      </c>
      <c r="B239" s="6">
        <f>VLOOKUP(TABLA_PRECIOS[Código],LISTADO_PRODUCTOS[#All],2)</f>
        <v>54410</v>
      </c>
      <c r="C239" s="6" t="str">
        <f>VLOOKUP(TABLA_PRECIOS[Código],LISTADO_PRODUCTOS[#All],3)</f>
        <v>LIBRERÍA</v>
      </c>
      <c r="D239" s="6" t="str">
        <f>VLOOKUP(TABLA_PRECIOS[Código],LISTADO_PRODUCTOS[#All],4)</f>
        <v>Set de Geometria Glee x 3 piezas</v>
      </c>
      <c r="E239" s="6" t="str">
        <f>VLOOKUP(TABLA_PRECIOS[Código],LISTADO_PRODUCTOS[#All],5)</f>
        <v>N/A</v>
      </c>
      <c r="F239" s="4">
        <v>1</v>
      </c>
      <c r="G239" s="4">
        <v>1</v>
      </c>
      <c r="H239" s="6">
        <v>1</v>
      </c>
      <c r="I239" s="6"/>
      <c r="J239" s="9"/>
    </row>
    <row r="240" spans="1:10" ht="12" customHeight="1" x14ac:dyDescent="0.3">
      <c r="A240" s="4">
        <v>1523</v>
      </c>
      <c r="B240" s="6">
        <f>VLOOKUP(TABLA_PRECIOS[Código],LISTADO_PRODUCTOS[#All],2)</f>
        <v>54411</v>
      </c>
      <c r="C240" s="6" t="str">
        <f>VLOOKUP(TABLA_PRECIOS[Código],LISTADO_PRODUCTOS[#All],3)</f>
        <v>LIBRERÍA</v>
      </c>
      <c r="D240" s="6" t="str">
        <f>VLOOKUP(TABLA_PRECIOS[Código],LISTADO_PRODUCTOS[#All],4)</f>
        <v>Resaltador Maped Glitter Pastel</v>
      </c>
      <c r="E240" s="6" t="str">
        <f>VLOOKUP(TABLA_PRECIOS[Código],LISTADO_PRODUCTOS[#All],5)</f>
        <v>N/A</v>
      </c>
      <c r="F240" s="4">
        <v>1</v>
      </c>
      <c r="G240" s="4">
        <v>1</v>
      </c>
      <c r="H240" s="6">
        <v>1</v>
      </c>
      <c r="I240" s="6"/>
      <c r="J240" s="9"/>
    </row>
    <row r="241" spans="1:10" ht="12" customHeight="1" x14ac:dyDescent="0.3">
      <c r="A241" s="4">
        <v>1524</v>
      </c>
      <c r="B241" s="6">
        <f>VLOOKUP(TABLA_PRECIOS[Código],LISTADO_PRODUCTOS[#All],2)</f>
        <v>54412</v>
      </c>
      <c r="C241" s="6" t="str">
        <f>VLOOKUP(TABLA_PRECIOS[Código],LISTADO_PRODUCTOS[#All],3)</f>
        <v>LIBRERÍA</v>
      </c>
      <c r="D241" s="6" t="str">
        <f>VLOOKUP(TABLA_PRECIOS[Código],LISTADO_PRODUCTOS[#All],4)</f>
        <v>Resaltador Maped  PASTEL</v>
      </c>
      <c r="E241" s="6" t="str">
        <f>VLOOKUP(TABLA_PRECIOS[Código],LISTADO_PRODUCTOS[#All],5)</f>
        <v>N/A</v>
      </c>
      <c r="F241" s="4">
        <v>1</v>
      </c>
      <c r="G241" s="4">
        <v>1</v>
      </c>
      <c r="H241" s="6">
        <v>1</v>
      </c>
      <c r="I241" s="6"/>
      <c r="J241" s="9"/>
    </row>
    <row r="242" spans="1:10" ht="12" customHeight="1" x14ac:dyDescent="0.3">
      <c r="A242" s="4">
        <v>1525</v>
      </c>
      <c r="B242" s="6">
        <f>VLOOKUP(TABLA_PRECIOS[Código],LISTADO_PRODUCTOS[#All],2)</f>
        <v>54413</v>
      </c>
      <c r="C242" s="6" t="str">
        <f>VLOOKUP(TABLA_PRECIOS[Código],LISTADO_PRODUCTOS[#All],3)</f>
        <v>LIBRERÍA</v>
      </c>
      <c r="D242" s="6" t="str">
        <f>VLOOKUP(TABLA_PRECIOS[Código],LISTADO_PRODUCTOS[#All],4)</f>
        <v xml:space="preserve">Resaltador Maped FLUO </v>
      </c>
      <c r="E242" s="6" t="str">
        <f>VLOOKUP(TABLA_PRECIOS[Código],LISTADO_PRODUCTOS[#All],5)</f>
        <v>N/A</v>
      </c>
      <c r="F242" s="4">
        <v>1</v>
      </c>
      <c r="G242" s="4">
        <v>1</v>
      </c>
      <c r="H242" s="6">
        <v>1</v>
      </c>
      <c r="I242" s="6"/>
      <c r="J242" s="9"/>
    </row>
    <row r="243" spans="1:10" ht="12" customHeight="1" x14ac:dyDescent="0.3">
      <c r="A243" s="4">
        <v>1532</v>
      </c>
      <c r="B243" s="6">
        <f>VLOOKUP(TABLA_PRECIOS[Código],LISTADO_PRODUCTOS[#All],2)</f>
        <v>54414</v>
      </c>
      <c r="C243" s="6" t="str">
        <f>VLOOKUP(TABLA_PRECIOS[Código],LISTADO_PRODUCTOS[#All],3)</f>
        <v>LIBRERÍA</v>
      </c>
      <c r="D243" s="6" t="str">
        <f>VLOOKUP(TABLA_PRECIOS[Código],LISTADO_PRODUCTOS[#All],4)</f>
        <v>Carpeta Rivadavia Nº3 con repuesto x96h ray y 48h cuad y separadores</v>
      </c>
      <c r="E243" s="6" t="str">
        <f>VLOOKUP(TABLA_PRECIOS[Código],LISTADO_PRODUCTOS[#All],5)</f>
        <v>N/A</v>
      </c>
      <c r="F243" s="4">
        <v>1</v>
      </c>
      <c r="G243" s="4">
        <v>1</v>
      </c>
      <c r="H243" s="6">
        <v>1</v>
      </c>
      <c r="I243" s="6"/>
      <c r="J243" s="9"/>
    </row>
    <row r="244" spans="1:10" ht="12" customHeight="1" x14ac:dyDescent="0.3">
      <c r="A244" s="4">
        <v>1533</v>
      </c>
      <c r="B244" s="6">
        <f>VLOOKUP(TABLA_PRECIOS[Código],LISTADO_PRODUCTOS[#All],2)</f>
        <v>54415</v>
      </c>
      <c r="C244" s="6" t="str">
        <f>VLOOKUP(TABLA_PRECIOS[Código],LISTADO_PRODUCTOS[#All],3)</f>
        <v>LIBRERÍA</v>
      </c>
      <c r="D244" s="6" t="str">
        <f>VLOOKUP(TABLA_PRECIOS[Código],LISTADO_PRODUCTOS[#All],4)</f>
        <v>Marcador Trabí Mega Pinturon x 10</v>
      </c>
      <c r="E244" s="6" t="str">
        <f>VLOOKUP(TABLA_PRECIOS[Código],LISTADO_PRODUCTOS[#All],5)</f>
        <v>N/A</v>
      </c>
      <c r="F244" s="4">
        <v>1</v>
      </c>
      <c r="G244" s="4">
        <v>1</v>
      </c>
      <c r="H244" s="6">
        <v>1</v>
      </c>
      <c r="I244" s="6"/>
      <c r="J244" s="9"/>
    </row>
    <row r="245" spans="1:10" ht="12" customHeight="1" x14ac:dyDescent="0.3">
      <c r="A245" s="4">
        <v>1534</v>
      </c>
      <c r="B245" s="6">
        <f>VLOOKUP(TABLA_PRECIOS[Código],LISTADO_PRODUCTOS[#All],2)</f>
        <v>54416</v>
      </c>
      <c r="C245" s="6" t="str">
        <f>VLOOKUP(TABLA_PRECIOS[Código],LISTADO_PRODUCTOS[#All],3)</f>
        <v>LIBRERÍA</v>
      </c>
      <c r="D245" s="6" t="str">
        <f>VLOOKUP(TABLA_PRECIOS[Código],LISTADO_PRODUCTOS[#All],4)</f>
        <v>MarcadorPelikan Colorella Star Jumbo x8u</v>
      </c>
      <c r="E245" s="6" t="str">
        <f>VLOOKUP(TABLA_PRECIOS[Código],LISTADO_PRODUCTOS[#All],5)</f>
        <v>N/A</v>
      </c>
      <c r="F245" s="4">
        <v>1</v>
      </c>
      <c r="G245" s="4">
        <v>1</v>
      </c>
      <c r="H245" s="6">
        <v>1</v>
      </c>
      <c r="I245" s="6"/>
      <c r="J245" s="9"/>
    </row>
    <row r="246" spans="1:10" ht="12" customHeight="1" x14ac:dyDescent="0.3">
      <c r="A246" s="4">
        <v>1535</v>
      </c>
      <c r="B246" s="6">
        <f>VLOOKUP(TABLA_PRECIOS[Código],LISTADO_PRODUCTOS[#All],2)</f>
        <v>54417</v>
      </c>
      <c r="C246" s="6" t="str">
        <f>VLOOKUP(TABLA_PRECIOS[Código],LISTADO_PRODUCTOS[#All],3)</f>
        <v>LIBRERÍA</v>
      </c>
      <c r="D246" s="6" t="str">
        <f>VLOOKUP(TABLA_PRECIOS[Código],LISTADO_PRODUCTOS[#All],4)</f>
        <v>Marcador Pizzini Mio x 10 - 7793198801001</v>
      </c>
      <c r="E246" s="6" t="str">
        <f>VLOOKUP(TABLA_PRECIOS[Código],LISTADO_PRODUCTOS[#All],5)</f>
        <v>N/A</v>
      </c>
      <c r="F246" s="4">
        <v>1</v>
      </c>
      <c r="G246" s="4">
        <v>1</v>
      </c>
      <c r="H246" s="6">
        <v>1</v>
      </c>
      <c r="I246" s="6"/>
      <c r="J246" s="9"/>
    </row>
    <row r="247" spans="1:10" ht="12" customHeight="1" x14ac:dyDescent="0.3">
      <c r="A247" s="4">
        <v>1536</v>
      </c>
      <c r="B247" s="6">
        <f>VLOOKUP(TABLA_PRECIOS[Código],LISTADO_PRODUCTOS[#All],2)</f>
        <v>54418</v>
      </c>
      <c r="C247" s="6" t="str">
        <f>VLOOKUP(TABLA_PRECIOS[Código],LISTADO_PRODUCTOS[#All],3)</f>
        <v>LIBRERÍA</v>
      </c>
      <c r="D247" s="6" t="str">
        <f>VLOOKUP(TABLA_PRECIOS[Código],LISTADO_PRODUCTOS[#All],4)</f>
        <v>Rompecabezas de madera</v>
      </c>
      <c r="E247" s="6" t="str">
        <f>VLOOKUP(TABLA_PRECIOS[Código],LISTADO_PRODUCTOS[#All],5)</f>
        <v>N/A</v>
      </c>
      <c r="F247" s="4">
        <v>1</v>
      </c>
      <c r="G247" s="4">
        <v>1</v>
      </c>
      <c r="H247" s="6">
        <v>1</v>
      </c>
      <c r="I247" s="6"/>
      <c r="J247" s="9"/>
    </row>
    <row r="248" spans="1:10" ht="12" customHeight="1" x14ac:dyDescent="0.3">
      <c r="A248" s="4">
        <v>1538</v>
      </c>
      <c r="B248" s="6">
        <f>VLOOKUP(TABLA_PRECIOS[Código],LISTADO_PRODUCTOS[#All],2)</f>
        <v>54419</v>
      </c>
      <c r="C248" s="6" t="str">
        <f>VLOOKUP(TABLA_PRECIOS[Código],LISTADO_PRODUCTOS[#All],3)</f>
        <v>LIBRERÍA</v>
      </c>
      <c r="D248" s="6" t="str">
        <f>VLOOKUP(TABLA_PRECIOS[Código],LISTADO_PRODUCTOS[#All],4)</f>
        <v>Block Triunfante Blanco N°6</v>
      </c>
      <c r="E248" s="6" t="str">
        <f>VLOOKUP(TABLA_PRECIOS[Código],LISTADO_PRODUCTOS[#All],5)</f>
        <v>N/A</v>
      </c>
      <c r="F248" s="4">
        <v>1</v>
      </c>
      <c r="G248" s="4">
        <v>1</v>
      </c>
      <c r="H248" s="6">
        <v>1</v>
      </c>
      <c r="I248" s="6"/>
      <c r="J248" s="9"/>
    </row>
    <row r="249" spans="1:10" ht="12" customHeight="1" x14ac:dyDescent="0.3">
      <c r="A249" s="4">
        <v>1541</v>
      </c>
      <c r="B249" s="6">
        <f>VLOOKUP(TABLA_PRECIOS[Código],LISTADO_PRODUCTOS[#All],2)</f>
        <v>54420</v>
      </c>
      <c r="C249" s="6" t="str">
        <f>VLOOKUP(TABLA_PRECIOS[Código],LISTADO_PRODUCTOS[#All],3)</f>
        <v>LIBRERÍA</v>
      </c>
      <c r="D249" s="6" t="str">
        <f>VLOOKUP(TABLA_PRECIOS[Código],LISTADO_PRODUCTOS[#All],4)</f>
        <v>Cuaderno de caligrafia Laprida T/Flex</v>
      </c>
      <c r="E249" s="6" t="str">
        <f>VLOOKUP(TABLA_PRECIOS[Código],LISTADO_PRODUCTOS[#All],5)</f>
        <v>N/A</v>
      </c>
      <c r="F249" s="4">
        <v>1</v>
      </c>
      <c r="G249" s="4">
        <v>1</v>
      </c>
      <c r="H249" s="6">
        <v>1</v>
      </c>
      <c r="I249" s="6"/>
      <c r="J249" s="9"/>
    </row>
    <row r="250" spans="1:10" ht="12" customHeight="1" x14ac:dyDescent="0.3">
      <c r="A250" s="4">
        <v>1544</v>
      </c>
      <c r="B250" s="6">
        <f>VLOOKUP(TABLA_PRECIOS[Código],LISTADO_PRODUCTOS[#All],2)</f>
        <v>54421</v>
      </c>
      <c r="C250" s="6" t="str">
        <f>VLOOKUP(TABLA_PRECIOS[Código],LISTADO_PRODUCTOS[#All],3)</f>
        <v>LIBRERÍA</v>
      </c>
      <c r="D250" s="6" t="str">
        <f>VLOOKUP(TABLA_PRECIOS[Código],LISTADO_PRODUCTOS[#All],4)</f>
        <v>Cuaderno colegial fantasia x 60h</v>
      </c>
      <c r="E250" s="6" t="str">
        <f>VLOOKUP(TABLA_PRECIOS[Código],LISTADO_PRODUCTOS[#All],5)</f>
        <v>N/A</v>
      </c>
      <c r="F250" s="4">
        <v>1</v>
      </c>
      <c r="G250" s="4">
        <v>1</v>
      </c>
      <c r="H250" s="6">
        <v>1</v>
      </c>
      <c r="I250" s="6"/>
      <c r="J250" s="9"/>
    </row>
    <row r="251" spans="1:10" ht="12" customHeight="1" x14ac:dyDescent="0.3">
      <c r="A251" s="4">
        <v>1545</v>
      </c>
      <c r="B251" s="6">
        <f>VLOOKUP(TABLA_PRECIOS[Código],LISTADO_PRODUCTOS[#All],2)</f>
        <v>54422</v>
      </c>
      <c r="C251" s="6" t="str">
        <f>VLOOKUP(TABLA_PRECIOS[Código],LISTADO_PRODUCTOS[#All],3)</f>
        <v>LIBRERÍA</v>
      </c>
      <c r="D251" s="6" t="str">
        <f>VLOOKUP(TABLA_PRECIOS[Código],LISTADO_PRODUCTOS[#All],4)</f>
        <v>Bandera Argentina 90x150 S/sol</v>
      </c>
      <c r="E251" s="6" t="str">
        <f>VLOOKUP(TABLA_PRECIOS[Código],LISTADO_PRODUCTOS[#All],5)</f>
        <v>N/A</v>
      </c>
      <c r="F251" s="4">
        <v>1</v>
      </c>
      <c r="G251" s="4">
        <v>1</v>
      </c>
      <c r="H251" s="6">
        <v>1</v>
      </c>
      <c r="I251" s="6"/>
      <c r="J251" s="9"/>
    </row>
    <row r="252" spans="1:10" ht="12" customHeight="1" x14ac:dyDescent="0.3">
      <c r="A252" s="4">
        <v>1546</v>
      </c>
      <c r="B252" s="6">
        <f>VLOOKUP(TABLA_PRECIOS[Código],LISTADO_PRODUCTOS[#All],2)</f>
        <v>54423</v>
      </c>
      <c r="C252" s="6" t="str">
        <f>VLOOKUP(TABLA_PRECIOS[Código],LISTADO_PRODUCTOS[#All],3)</f>
        <v>LIBRERÍA</v>
      </c>
      <c r="D252" s="6" t="str">
        <f>VLOOKUP(TABLA_PRECIOS[Código],LISTADO_PRODUCTOS[#All],4)</f>
        <v>Bandera Argentina 50x100 S/sol</v>
      </c>
      <c r="E252" s="6" t="str">
        <f>VLOOKUP(TABLA_PRECIOS[Código],LISTADO_PRODUCTOS[#All],5)</f>
        <v>N/A</v>
      </c>
      <c r="F252" s="4">
        <v>1</v>
      </c>
      <c r="G252" s="4">
        <v>1</v>
      </c>
      <c r="H252" s="6">
        <v>1</v>
      </c>
      <c r="I252" s="6"/>
      <c r="J252" s="9"/>
    </row>
    <row r="253" spans="1:10" ht="12" customHeight="1" x14ac:dyDescent="0.3">
      <c r="A253" s="4">
        <v>1548</v>
      </c>
      <c r="B253" s="6">
        <f>VLOOKUP(TABLA_PRECIOS[Código],LISTADO_PRODUCTOS[#All],2)</f>
        <v>54424</v>
      </c>
      <c r="C253" s="6" t="str">
        <f>VLOOKUP(TABLA_PRECIOS[Código],LISTADO_PRODUCTOS[#All],3)</f>
        <v>LIBRERÍA</v>
      </c>
      <c r="D253" s="6" t="str">
        <f>VLOOKUP(TABLA_PRECIOS[Código],LISTADO_PRODUCTOS[#All],4)</f>
        <v>Block Dibujo Nº6 Triunfante/Luma Color</v>
      </c>
      <c r="E253" s="6" t="str">
        <f>VLOOKUP(TABLA_PRECIOS[Código],LISTADO_PRODUCTOS[#All],5)</f>
        <v>N/A</v>
      </c>
      <c r="F253" s="4">
        <v>1</v>
      </c>
      <c r="G253" s="4">
        <v>1</v>
      </c>
      <c r="H253" s="6">
        <v>1</v>
      </c>
      <c r="I253" s="6"/>
      <c r="J253" s="9"/>
    </row>
    <row r="254" spans="1:10" ht="12" customHeight="1" x14ac:dyDescent="0.3">
      <c r="A254" s="4">
        <v>1553</v>
      </c>
      <c r="B254" s="6">
        <f>VLOOKUP(TABLA_PRECIOS[Código],LISTADO_PRODUCTOS[#All],2)</f>
        <v>54425</v>
      </c>
      <c r="C254" s="6" t="str">
        <f>VLOOKUP(TABLA_PRECIOS[Código],LISTADO_PRODUCTOS[#All],3)</f>
        <v>LIBRERÍA</v>
      </c>
      <c r="D254" s="6" t="str">
        <f>VLOOKUP(TABLA_PRECIOS[Código],LISTADO_PRODUCTOS[#All],4)</f>
        <v>Fibron Trabi permanente 411</v>
      </c>
      <c r="E254" s="6" t="str">
        <f>VLOOKUP(TABLA_PRECIOS[Código],LISTADO_PRODUCTOS[#All],5)</f>
        <v>N/A</v>
      </c>
      <c r="F254" s="4">
        <v>1</v>
      </c>
      <c r="G254" s="4">
        <v>1</v>
      </c>
      <c r="H254" s="6">
        <v>1</v>
      </c>
      <c r="I254" s="6"/>
      <c r="J254" s="9"/>
    </row>
    <row r="255" spans="1:10" ht="12" customHeight="1" x14ac:dyDescent="0.3">
      <c r="A255" s="4">
        <v>1556</v>
      </c>
      <c r="B255" s="6">
        <f>VLOOKUP(TABLA_PRECIOS[Código],LISTADO_PRODUCTOS[#All],2)</f>
        <v>54426</v>
      </c>
      <c r="C255" s="6" t="str">
        <f>VLOOKUP(TABLA_PRECIOS[Código],LISTADO_PRODUCTOS[#All],3)</f>
        <v>LIBRERÍA</v>
      </c>
      <c r="D255" s="6" t="str">
        <f>VLOOKUP(TABLA_PRECIOS[Código],LISTADO_PRODUCTOS[#All],4)</f>
        <v>Block art deco Alfa 20h Nº5</v>
      </c>
      <c r="E255" s="6" t="str">
        <f>VLOOKUP(TABLA_PRECIOS[Código],LISTADO_PRODUCTOS[#All],5)</f>
        <v>N/A</v>
      </c>
      <c r="F255" s="4">
        <v>1</v>
      </c>
      <c r="G255" s="4">
        <v>1</v>
      </c>
      <c r="H255" s="6">
        <v>1</v>
      </c>
      <c r="I255" s="6"/>
      <c r="J255" s="9"/>
    </row>
    <row r="256" spans="1:10" ht="12" customHeight="1" x14ac:dyDescent="0.3">
      <c r="A256" s="4">
        <v>1557</v>
      </c>
      <c r="B256" s="6">
        <f>VLOOKUP(TABLA_PRECIOS[Código],LISTADO_PRODUCTOS[#All],2)</f>
        <v>54427</v>
      </c>
      <c r="C256" s="6" t="str">
        <f>VLOOKUP(TABLA_PRECIOS[Código],LISTADO_PRODUCTOS[#All],3)</f>
        <v>LIBRERÍA</v>
      </c>
      <c r="D256" s="6" t="str">
        <f>VLOOKUP(TABLA_PRECIOS[Código],LISTADO_PRODUCTOS[#All],4)</f>
        <v>Regla 50cm PIZZINI PROFESIONAL 173250 - 7793198173252</v>
      </c>
      <c r="E256" s="6" t="str">
        <f>VLOOKUP(TABLA_PRECIOS[Código],LISTADO_PRODUCTOS[#All],5)</f>
        <v>N/A</v>
      </c>
      <c r="F256" s="4">
        <v>1</v>
      </c>
      <c r="G256" s="4">
        <v>1</v>
      </c>
      <c r="H256" s="6">
        <v>1</v>
      </c>
      <c r="I256" s="6"/>
      <c r="J256" s="9"/>
    </row>
    <row r="257" spans="1:10" ht="12" customHeight="1" x14ac:dyDescent="0.3">
      <c r="A257" s="4">
        <v>1558</v>
      </c>
      <c r="B257" s="6">
        <f>VLOOKUP(TABLA_PRECIOS[Código],LISTADO_PRODUCTOS[#All],2)</f>
        <v>54428</v>
      </c>
      <c r="C257" s="6" t="str">
        <f>VLOOKUP(TABLA_PRECIOS[Código],LISTADO_PRODUCTOS[#All],3)</f>
        <v>LIBRERÍA</v>
      </c>
      <c r="D257" s="6" t="str">
        <f>VLOOKUP(TABLA_PRECIOS[Código],LISTADO_PRODUCTOS[#All],4)</f>
        <v>Block Dibujo Blanco N°5 Gloria - 103602 - 7791762001154</v>
      </c>
      <c r="E257" s="6" t="str">
        <f>VLOOKUP(TABLA_PRECIOS[Código],LISTADO_PRODUCTOS[#All],5)</f>
        <v>N/A</v>
      </c>
      <c r="F257" s="4">
        <v>1</v>
      </c>
      <c r="G257" s="4">
        <v>1</v>
      </c>
      <c r="H257" s="6">
        <v>1</v>
      </c>
      <c r="I257" s="6"/>
      <c r="J257" s="9"/>
    </row>
    <row r="258" spans="1:10" ht="12" customHeight="1" x14ac:dyDescent="0.3">
      <c r="A258" s="4">
        <v>1559</v>
      </c>
      <c r="B258" s="6">
        <f>VLOOKUP(TABLA_PRECIOS[Código],LISTADO_PRODUCTOS[#All],2)</f>
        <v>54429</v>
      </c>
      <c r="C258" s="6" t="str">
        <f>VLOOKUP(TABLA_PRECIOS[Código],LISTADO_PRODUCTOS[#All],3)</f>
        <v>LIBRERÍA</v>
      </c>
      <c r="D258" s="6" t="str">
        <f>VLOOKUP(TABLA_PRECIOS[Código],LISTADO_PRODUCTOS[#All],4)</f>
        <v>Lapiz de Graduacion Staedtler</v>
      </c>
      <c r="E258" s="6" t="str">
        <f>VLOOKUP(TABLA_PRECIOS[Código],LISTADO_PRODUCTOS[#All],5)</f>
        <v>N/A</v>
      </c>
      <c r="F258" s="4">
        <v>1</v>
      </c>
      <c r="G258" s="4">
        <v>1</v>
      </c>
      <c r="H258" s="6">
        <v>1</v>
      </c>
      <c r="I258" s="6"/>
      <c r="J258" s="9"/>
    </row>
    <row r="259" spans="1:10" ht="12" customHeight="1" x14ac:dyDescent="0.3">
      <c r="A259" s="4">
        <v>1560</v>
      </c>
      <c r="B259" s="6">
        <f>VLOOKUP(TABLA_PRECIOS[Código],LISTADO_PRODUCTOS[#All],2)</f>
        <v>54430</v>
      </c>
      <c r="C259" s="6" t="str">
        <f>VLOOKUP(TABLA_PRECIOS[Código],LISTADO_PRODUCTOS[#All],3)</f>
        <v>LIBRERÍA</v>
      </c>
      <c r="D259" s="6" t="str">
        <f>VLOOKUP(TABLA_PRECIOS[Código],LISTADO_PRODUCTOS[#All],4)</f>
        <v>Lapiz de Graduacion Faber Castell</v>
      </c>
      <c r="E259" s="6" t="str">
        <f>VLOOKUP(TABLA_PRECIOS[Código],LISTADO_PRODUCTOS[#All],5)</f>
        <v>N/A</v>
      </c>
      <c r="F259" s="4">
        <v>1</v>
      </c>
      <c r="G259" s="4">
        <v>1</v>
      </c>
      <c r="H259" s="6">
        <v>1</v>
      </c>
      <c r="I259" s="6"/>
      <c r="J259" s="9"/>
    </row>
    <row r="260" spans="1:10" ht="12" customHeight="1" x14ac:dyDescent="0.3">
      <c r="A260" s="4">
        <v>1561</v>
      </c>
      <c r="B260" s="6">
        <f>VLOOKUP(TABLA_PRECIOS[Código],LISTADO_PRODUCTOS[#All],2)</f>
        <v>54431</v>
      </c>
      <c r="C260" s="6" t="str">
        <f>VLOOKUP(TABLA_PRECIOS[Código],LISTADO_PRODUCTOS[#All],3)</f>
        <v>LIBRERÍA</v>
      </c>
      <c r="D260" s="6" t="str">
        <f>VLOOKUP(TABLA_PRECIOS[Código],LISTADO_PRODUCTOS[#All],4)</f>
        <v>Tabla periodica para carpeta</v>
      </c>
      <c r="E260" s="6" t="str">
        <f>VLOOKUP(TABLA_PRECIOS[Código],LISTADO_PRODUCTOS[#All],5)</f>
        <v>N/A</v>
      </c>
      <c r="F260" s="4">
        <v>1</v>
      </c>
      <c r="G260" s="4">
        <v>1</v>
      </c>
      <c r="H260" s="6">
        <v>1</v>
      </c>
      <c r="I260" s="6"/>
      <c r="J260" s="9"/>
    </row>
    <row r="261" spans="1:10" ht="12" customHeight="1" x14ac:dyDescent="0.3">
      <c r="A261" s="4">
        <v>1563</v>
      </c>
      <c r="B261" s="6">
        <f>VLOOKUP(TABLA_PRECIOS[Código],LISTADO_PRODUCTOS[#All],2)</f>
        <v>54432</v>
      </c>
      <c r="C261" s="6" t="str">
        <f>VLOOKUP(TABLA_PRECIOS[Código],LISTADO_PRODUCTOS[#All],3)</f>
        <v>LIBRERÍA</v>
      </c>
      <c r="D261" s="6" t="str">
        <f>VLOOKUP(TABLA_PRECIOS[Código],LISTADO_PRODUCTOS[#All],4)</f>
        <v>Block Dibujo Color N°5 Gloria - 103603 - 7791762001161</v>
      </c>
      <c r="E261" s="6" t="str">
        <f>VLOOKUP(TABLA_PRECIOS[Código],LISTADO_PRODUCTOS[#All],5)</f>
        <v>N/A</v>
      </c>
      <c r="F261" s="4">
        <v>1</v>
      </c>
      <c r="G261" s="4">
        <v>1</v>
      </c>
      <c r="H261" s="6">
        <v>1</v>
      </c>
      <c r="I261" s="6"/>
      <c r="J261" s="9"/>
    </row>
    <row r="262" spans="1:10" ht="12" customHeight="1" x14ac:dyDescent="0.3">
      <c r="A262" s="4">
        <v>1565</v>
      </c>
      <c r="B262" s="6">
        <f>VLOOKUP(TABLA_PRECIOS[Código],LISTADO_PRODUCTOS[#All],2)</f>
        <v>54433</v>
      </c>
      <c r="C262" s="6" t="str">
        <f>VLOOKUP(TABLA_PRECIOS[Código],LISTADO_PRODUCTOS[#All],3)</f>
        <v>LIBRERÍA</v>
      </c>
      <c r="D262" s="6" t="str">
        <f>VLOOKUP(TABLA_PRECIOS[Código],LISTADO_PRODUCTOS[#All],4)</f>
        <v>Sacapuntas Maped Ñoki</v>
      </c>
      <c r="E262" s="6" t="str">
        <f>VLOOKUP(TABLA_PRECIOS[Código],LISTADO_PRODUCTOS[#All],5)</f>
        <v>N/A</v>
      </c>
      <c r="F262" s="4">
        <v>1</v>
      </c>
      <c r="G262" s="4">
        <v>1</v>
      </c>
      <c r="H262" s="6">
        <v>1</v>
      </c>
      <c r="I262" s="6"/>
      <c r="J262" s="9"/>
    </row>
    <row r="263" spans="1:10" ht="12" customHeight="1" x14ac:dyDescent="0.3">
      <c r="A263" s="4">
        <v>1569</v>
      </c>
      <c r="B263" s="6">
        <f>VLOOKUP(TABLA_PRECIOS[Código],LISTADO_PRODUCTOS[#All],2)</f>
        <v>54434</v>
      </c>
      <c r="C263" s="6" t="str">
        <f>VLOOKUP(TABLA_PRECIOS[Código],LISTADO_PRODUCTOS[#All],3)</f>
        <v>LIBRERÍA</v>
      </c>
      <c r="D263" s="6" t="str">
        <f>VLOOKUP(TABLA_PRECIOS[Código],LISTADO_PRODUCTOS[#All],4)</f>
        <v xml:space="preserve">Aro OTA Sifap 35mm c/u </v>
      </c>
      <c r="E263" s="6" t="str">
        <f>VLOOKUP(TABLA_PRECIOS[Código],LISTADO_PRODUCTOS[#All],5)</f>
        <v>N/A</v>
      </c>
      <c r="F263" s="4">
        <v>1</v>
      </c>
      <c r="G263" s="4">
        <v>1</v>
      </c>
      <c r="H263" s="6">
        <v>1</v>
      </c>
      <c r="I263" s="6"/>
      <c r="J263" s="9"/>
    </row>
    <row r="264" spans="1:10" ht="12" customHeight="1" x14ac:dyDescent="0.3">
      <c r="A264" s="4">
        <v>1570</v>
      </c>
      <c r="B264" s="6">
        <f>VLOOKUP(TABLA_PRECIOS[Código],LISTADO_PRODUCTOS[#All],2)</f>
        <v>54435</v>
      </c>
      <c r="C264" s="6" t="str">
        <f>VLOOKUP(TABLA_PRECIOS[Código],LISTADO_PRODUCTOS[#All],3)</f>
        <v>LIBRERÍA</v>
      </c>
      <c r="D264" s="6" t="str">
        <f>VLOOKUP(TABLA_PRECIOS[Código],LISTADO_PRODUCTOS[#All],4)</f>
        <v>Aro OTA Sifap 40mm c/u</v>
      </c>
      <c r="E264" s="6" t="str">
        <f>VLOOKUP(TABLA_PRECIOS[Código],LISTADO_PRODUCTOS[#All],5)</f>
        <v>N/A</v>
      </c>
      <c r="F264" s="4">
        <v>1</v>
      </c>
      <c r="G264" s="4">
        <v>1</v>
      </c>
      <c r="H264" s="6">
        <v>1</v>
      </c>
      <c r="I264" s="6"/>
      <c r="J264" s="9"/>
    </row>
    <row r="265" spans="1:10" ht="12" customHeight="1" x14ac:dyDescent="0.3">
      <c r="A265" s="4">
        <v>1571</v>
      </c>
      <c r="B265" s="6">
        <f>VLOOKUP(TABLA_PRECIOS[Código],LISTADO_PRODUCTOS[#All],2)</f>
        <v>54436</v>
      </c>
      <c r="C265" s="6" t="str">
        <f>VLOOKUP(TABLA_PRECIOS[Código],LISTADO_PRODUCTOS[#All],3)</f>
        <v>LIBRERÍA</v>
      </c>
      <c r="D265" s="6" t="str">
        <f>VLOOKUP(TABLA_PRECIOS[Código],LISTADO_PRODUCTOS[#All],4)</f>
        <v xml:space="preserve">Aro OTA Sifap 50mm c/u </v>
      </c>
      <c r="E265" s="6" t="str">
        <f>VLOOKUP(TABLA_PRECIOS[Código],LISTADO_PRODUCTOS[#All],5)</f>
        <v>N/A</v>
      </c>
      <c r="F265" s="4">
        <v>1</v>
      </c>
      <c r="G265" s="4">
        <v>1</v>
      </c>
      <c r="H265" s="6">
        <v>1</v>
      </c>
      <c r="I265" s="6"/>
      <c r="J265" s="9"/>
    </row>
    <row r="266" spans="1:10" ht="12" customHeight="1" x14ac:dyDescent="0.3">
      <c r="A266" s="4">
        <v>1578</v>
      </c>
      <c r="B266" s="6">
        <f>VLOOKUP(TABLA_PRECIOS[Código],LISTADO_PRODUCTOS[#All],2)</f>
        <v>54437</v>
      </c>
      <c r="C266" s="6" t="str">
        <f>VLOOKUP(TABLA_PRECIOS[Código],LISTADO_PRODUCTOS[#All],3)</f>
        <v>LIBRERÍA</v>
      </c>
      <c r="D266" s="6" t="str">
        <f>VLOOKUP(TABLA_PRECIOS[Código],LISTADO_PRODUCTOS[#All],4)</f>
        <v>Tijera simball escolar Pop 12cm</v>
      </c>
      <c r="E266" s="6" t="str">
        <f>VLOOKUP(TABLA_PRECIOS[Código],LISTADO_PRODUCTOS[#All],5)</f>
        <v>N/A</v>
      </c>
      <c r="F266" s="4">
        <v>1</v>
      </c>
      <c r="G266" s="4">
        <v>1</v>
      </c>
      <c r="H266" s="6">
        <v>1</v>
      </c>
      <c r="I266" s="6"/>
      <c r="J266" s="9"/>
    </row>
    <row r="267" spans="1:10" ht="12" customHeight="1" x14ac:dyDescent="0.3">
      <c r="A267" s="4">
        <v>1579</v>
      </c>
      <c r="B267" s="6">
        <f>VLOOKUP(TABLA_PRECIOS[Código],LISTADO_PRODUCTOS[#All],2)</f>
        <v>54438</v>
      </c>
      <c r="C267" s="6" t="str">
        <f>VLOOKUP(TABLA_PRECIOS[Código],LISTADO_PRODUCTOS[#All],3)</f>
        <v>LIBRERÍA</v>
      </c>
      <c r="D267" s="6" t="str">
        <f>VLOOKUP(TABLA_PRECIOS[Código],LISTADO_PRODUCTOS[#All],4)</f>
        <v>Compas Maped Portalapiz</v>
      </c>
      <c r="E267" s="6" t="str">
        <f>VLOOKUP(TABLA_PRECIOS[Código],LISTADO_PRODUCTOS[#All],5)</f>
        <v>N/A</v>
      </c>
      <c r="F267" s="4">
        <v>1</v>
      </c>
      <c r="G267" s="4">
        <v>1</v>
      </c>
      <c r="H267" s="6">
        <v>1</v>
      </c>
      <c r="I267" s="6"/>
      <c r="J267" s="9"/>
    </row>
    <row r="268" spans="1:10" ht="12" customHeight="1" x14ac:dyDescent="0.3">
      <c r="A268" s="4">
        <v>1580</v>
      </c>
      <c r="B268" s="6">
        <f>VLOOKUP(TABLA_PRECIOS[Código],LISTADO_PRODUCTOS[#All],2)</f>
        <v>54439</v>
      </c>
      <c r="C268" s="6" t="str">
        <f>VLOOKUP(TABLA_PRECIOS[Código],LISTADO_PRODUCTOS[#All],3)</f>
        <v>LIBRERÍA</v>
      </c>
      <c r="D268" s="6" t="str">
        <f>VLOOKUP(TABLA_PRECIOS[Código],LISTADO_PRODUCTOS[#All],4)</f>
        <v>Colores Faber Castell x12 cortos</v>
      </c>
      <c r="E268" s="6" t="str">
        <f>VLOOKUP(TABLA_PRECIOS[Código],LISTADO_PRODUCTOS[#All],5)</f>
        <v>N/A</v>
      </c>
      <c r="F268" s="4">
        <v>1</v>
      </c>
      <c r="G268" s="4">
        <v>1</v>
      </c>
      <c r="H268" s="6">
        <v>1</v>
      </c>
      <c r="I268" s="6"/>
      <c r="J268" s="9"/>
    </row>
    <row r="269" spans="1:10" ht="12" customHeight="1" x14ac:dyDescent="0.3">
      <c r="A269" s="4">
        <v>1581</v>
      </c>
      <c r="B269" s="6">
        <f>VLOOKUP(TABLA_PRECIOS[Código],LISTADO_PRODUCTOS[#All],2)</f>
        <v>54440</v>
      </c>
      <c r="C269" s="6" t="str">
        <f>VLOOKUP(TABLA_PRECIOS[Código],LISTADO_PRODUCTOS[#All],3)</f>
        <v>LIBRERÍA</v>
      </c>
      <c r="D269" s="6" t="str">
        <f>VLOOKUP(TABLA_PRECIOS[Código],LISTADO_PRODUCTOS[#All],4)</f>
        <v>Roller Simball Pöwer Gel Mix up x 10u 5 Gel + 5 Glitter</v>
      </c>
      <c r="E269" s="6" t="str">
        <f>VLOOKUP(TABLA_PRECIOS[Código],LISTADO_PRODUCTOS[#All],5)</f>
        <v>N/A</v>
      </c>
      <c r="F269" s="4">
        <v>1</v>
      </c>
      <c r="G269" s="4">
        <v>1</v>
      </c>
      <c r="H269" s="6">
        <v>1</v>
      </c>
      <c r="I269" s="6"/>
      <c r="J269" s="9"/>
    </row>
    <row r="270" spans="1:10" ht="12" customHeight="1" x14ac:dyDescent="0.3">
      <c r="A270" s="4">
        <v>1582</v>
      </c>
      <c r="B270" s="6">
        <f>VLOOKUP(TABLA_PRECIOS[Código],LISTADO_PRODUCTOS[#All],2)</f>
        <v>54441</v>
      </c>
      <c r="C270" s="6" t="str">
        <f>VLOOKUP(TABLA_PRECIOS[Código],LISTADO_PRODUCTOS[#All],3)</f>
        <v>LIBRERÍA</v>
      </c>
      <c r="D270" s="6" t="str">
        <f>VLOOKUP(TABLA_PRECIOS[Código],LISTADO_PRODUCTOS[#All],4)</f>
        <v>Marcador de Pintura Trabí MarkAll</v>
      </c>
      <c r="E270" s="6" t="str">
        <f>VLOOKUP(TABLA_PRECIOS[Código],LISTADO_PRODUCTOS[#All],5)</f>
        <v>N/A</v>
      </c>
      <c r="F270" s="4">
        <v>1</v>
      </c>
      <c r="G270" s="4">
        <v>1</v>
      </c>
      <c r="H270" s="6">
        <v>1</v>
      </c>
      <c r="I270" s="6"/>
      <c r="J270" s="9"/>
    </row>
    <row r="271" spans="1:10" ht="12" customHeight="1" x14ac:dyDescent="0.3">
      <c r="A271" s="4">
        <v>1583</v>
      </c>
      <c r="B271" s="6">
        <f>VLOOKUP(TABLA_PRECIOS[Código],LISTADO_PRODUCTOS[#All],2)</f>
        <v>54442</v>
      </c>
      <c r="C271" s="6" t="str">
        <f>VLOOKUP(TABLA_PRECIOS[Código],LISTADO_PRODUCTOS[#All],3)</f>
        <v>LIBRERÍA</v>
      </c>
      <c r="D271" s="6" t="str">
        <f>VLOOKUP(TABLA_PRECIOS[Código],LISTADO_PRODUCTOS[#All],4)</f>
        <v>Minas OTA para compas</v>
      </c>
      <c r="E271" s="6" t="str">
        <f>VLOOKUP(TABLA_PRECIOS[Código],LISTADO_PRODUCTOS[#All],5)</f>
        <v>N/A</v>
      </c>
      <c r="F271" s="4">
        <v>1</v>
      </c>
      <c r="G271" s="4">
        <v>1</v>
      </c>
      <c r="H271" s="6">
        <v>1</v>
      </c>
      <c r="I271" s="6"/>
      <c r="J271" s="9"/>
    </row>
    <row r="272" spans="1:10" ht="12" customHeight="1" x14ac:dyDescent="0.3">
      <c r="A272" s="4">
        <v>1584</v>
      </c>
      <c r="B272" s="6">
        <f>VLOOKUP(TABLA_PRECIOS[Código],LISTADO_PRODUCTOS[#All],2)</f>
        <v>54443</v>
      </c>
      <c r="C272" s="6" t="str">
        <f>VLOOKUP(TABLA_PRECIOS[Código],LISTADO_PRODUCTOS[#All],3)</f>
        <v>LIBRERÍA</v>
      </c>
      <c r="D272" s="6" t="str">
        <f>VLOOKUP(TABLA_PRECIOS[Código],LISTADO_PRODUCTOS[#All],4)</f>
        <v>Tubo portaplano</v>
      </c>
      <c r="E272" s="6" t="str">
        <f>VLOOKUP(TABLA_PRECIOS[Código],LISTADO_PRODUCTOS[#All],5)</f>
        <v>N/A</v>
      </c>
      <c r="F272" s="4">
        <v>1</v>
      </c>
      <c r="G272" s="4">
        <v>1</v>
      </c>
      <c r="H272" s="6">
        <v>1</v>
      </c>
      <c r="I272" s="6"/>
      <c r="J272" s="9"/>
    </row>
    <row r="273" spans="1:10" ht="12" customHeight="1" x14ac:dyDescent="0.3">
      <c r="A273" s="4">
        <v>1585</v>
      </c>
      <c r="B273" s="6">
        <f>VLOOKUP(TABLA_PRECIOS[Código],LISTADO_PRODUCTOS[#All],2)</f>
        <v>54444</v>
      </c>
      <c r="C273" s="6" t="str">
        <f>VLOOKUP(TABLA_PRECIOS[Código],LISTADO_PRODUCTOS[#All],3)</f>
        <v>LIBRERÍA</v>
      </c>
      <c r="D273" s="6" t="str">
        <f>VLOOKUP(TABLA_PRECIOS[Código],LISTADO_PRODUCTOS[#All],4)</f>
        <v>Boligrafo Paper mate lex Grip Ultra 1mm Retractil</v>
      </c>
      <c r="E273" s="6" t="str">
        <f>VLOOKUP(TABLA_PRECIOS[Código],LISTADO_PRODUCTOS[#All],5)</f>
        <v>N/A</v>
      </c>
      <c r="F273" s="4">
        <v>1</v>
      </c>
      <c r="G273" s="4">
        <v>1</v>
      </c>
      <c r="H273" s="6">
        <v>1</v>
      </c>
      <c r="I273" s="6"/>
      <c r="J273" s="9"/>
    </row>
    <row r="274" spans="1:10" ht="12" customHeight="1" x14ac:dyDescent="0.3">
      <c r="A274" s="4">
        <v>1587</v>
      </c>
      <c r="B274" s="6">
        <f>VLOOKUP(TABLA_PRECIOS[Código],LISTADO_PRODUCTOS[#All],2)</f>
        <v>54445</v>
      </c>
      <c r="C274" s="6" t="str">
        <f>VLOOKUP(TABLA_PRECIOS[Código],LISTADO_PRODUCTOS[#All],3)</f>
        <v>LIBRERÍA</v>
      </c>
      <c r="D274" s="6" t="str">
        <f>VLOOKUP(TABLA_PRECIOS[Código],LISTADO_PRODUCTOS[#All],4)</f>
        <v>Cuaderno Laprida Tapa dura escolar 98h 90gr</v>
      </c>
      <c r="E274" s="6" t="str">
        <f>VLOOKUP(TABLA_PRECIOS[Código],LISTADO_PRODUCTOS[#All],5)</f>
        <v>N/A</v>
      </c>
      <c r="F274" s="4">
        <v>1</v>
      </c>
      <c r="G274" s="4">
        <v>1</v>
      </c>
      <c r="H274" s="6">
        <v>1</v>
      </c>
      <c r="I274" s="6"/>
      <c r="J274" s="9"/>
    </row>
    <row r="275" spans="1:10" ht="12" customHeight="1" x14ac:dyDescent="0.3">
      <c r="A275" s="4">
        <v>1588</v>
      </c>
      <c r="B275" s="6">
        <f>VLOOKUP(TABLA_PRECIOS[Código],LISTADO_PRODUCTOS[#All],2)</f>
        <v>54446</v>
      </c>
      <c r="C275" s="6" t="str">
        <f>VLOOKUP(TABLA_PRECIOS[Código],LISTADO_PRODUCTOS[#All],3)</f>
        <v>LIBRERÍA</v>
      </c>
      <c r="D275" s="6" t="str">
        <f>VLOOKUP(TABLA_PRECIOS[Código],LISTADO_PRODUCTOS[#All],4)</f>
        <v>Repuesto Rescolar Rivadavia N°3 Clasico Con Rótulo Hojas Super Gruesas</v>
      </c>
      <c r="E275" s="6" t="str">
        <f>VLOOKUP(TABLA_PRECIOS[Código],LISTADO_PRODUCTOS[#All],5)</f>
        <v>N/A</v>
      </c>
      <c r="F275" s="4">
        <v>1</v>
      </c>
      <c r="G275" s="4">
        <v>1</v>
      </c>
      <c r="H275" s="6">
        <v>1</v>
      </c>
      <c r="I275" s="6"/>
      <c r="J275" s="9"/>
    </row>
    <row r="276" spans="1:10" ht="12" customHeight="1" x14ac:dyDescent="0.3">
      <c r="A276" s="4">
        <v>1589</v>
      </c>
      <c r="B276" s="6">
        <f>VLOOKUP(TABLA_PRECIOS[Código],LISTADO_PRODUCTOS[#All],2)</f>
        <v>54447</v>
      </c>
      <c r="C276" s="6" t="str">
        <f>VLOOKUP(TABLA_PRECIOS[Código],LISTADO_PRODUCTOS[#All],3)</f>
        <v>LIBRERÍA</v>
      </c>
      <c r="D276" s="6" t="str">
        <f>VLOOKUP(TABLA_PRECIOS[Código],LISTADO_PRODUCTOS[#All],4)</f>
        <v>Tablero de Dibujo Tecnico 40x50 C/atril 6 POS (7753) Pizzini - 7793198775302</v>
      </c>
      <c r="E276" s="6" t="str">
        <f>VLOOKUP(TABLA_PRECIOS[Código],LISTADO_PRODUCTOS[#All],5)</f>
        <v>N/A</v>
      </c>
      <c r="F276" s="4">
        <v>1</v>
      </c>
      <c r="G276" s="4">
        <v>1</v>
      </c>
      <c r="H276" s="6">
        <v>1</v>
      </c>
      <c r="I276" s="6"/>
      <c r="J276" s="9"/>
    </row>
    <row r="277" spans="1:10" ht="12" customHeight="1" x14ac:dyDescent="0.3">
      <c r="A277" s="4">
        <v>1591</v>
      </c>
      <c r="B277" s="6">
        <f>VLOOKUP(TABLA_PRECIOS[Código],LISTADO_PRODUCTOS[#All],2)</f>
        <v>54448</v>
      </c>
      <c r="C277" s="6" t="str">
        <f>VLOOKUP(TABLA_PRECIOS[Código],LISTADO_PRODUCTOS[#All],3)</f>
        <v>LIBRERÍA</v>
      </c>
      <c r="D277" s="6" t="str">
        <f>VLOOKUP(TABLA_PRECIOS[Código],LISTADO_PRODUCTOS[#All],4)</f>
        <v>Lapiz Negro de Graduacion Trabi</v>
      </c>
      <c r="E277" s="6" t="str">
        <f>VLOOKUP(TABLA_PRECIOS[Código],LISTADO_PRODUCTOS[#All],5)</f>
        <v>N/A</v>
      </c>
      <c r="F277" s="4">
        <v>1</v>
      </c>
      <c r="G277" s="4">
        <v>1</v>
      </c>
      <c r="H277" s="6">
        <v>1</v>
      </c>
      <c r="I277" s="6"/>
      <c r="J277" s="9"/>
    </row>
    <row r="278" spans="1:10" ht="12" customHeight="1" x14ac:dyDescent="0.3">
      <c r="A278" s="4">
        <v>1597</v>
      </c>
      <c r="B278" s="6">
        <f>VLOOKUP(TABLA_PRECIOS[Código],LISTADO_PRODUCTOS[#All],2)</f>
        <v>54449</v>
      </c>
      <c r="C278" s="6" t="str">
        <f>VLOOKUP(TABLA_PRECIOS[Código],LISTADO_PRODUCTOS[#All],3)</f>
        <v>LIBRERÍA</v>
      </c>
      <c r="D278" s="6" t="str">
        <f>VLOOKUP(TABLA_PRECIOS[Código],LISTADO_PRODUCTOS[#All],4)</f>
        <v>Boligrafo Borrable Filgo Borrax</v>
      </c>
      <c r="E278" s="6" t="str">
        <f>VLOOKUP(TABLA_PRECIOS[Código],LISTADO_PRODUCTOS[#All],5)</f>
        <v>N/A</v>
      </c>
      <c r="F278" s="4">
        <v>1</v>
      </c>
      <c r="G278" s="4">
        <v>1</v>
      </c>
      <c r="H278" s="6">
        <v>1</v>
      </c>
      <c r="I278" s="6"/>
      <c r="J278" s="9"/>
    </row>
    <row r="279" spans="1:10" ht="12" customHeight="1" x14ac:dyDescent="0.3">
      <c r="A279" s="4">
        <v>1600</v>
      </c>
      <c r="B279" s="6">
        <f>VLOOKUP(TABLA_PRECIOS[Código],LISTADO_PRODUCTOS[#All],2)</f>
        <v>54450</v>
      </c>
      <c r="C279" s="6" t="str">
        <f>VLOOKUP(TABLA_PRECIOS[Código],LISTADO_PRODUCTOS[#All],3)</f>
        <v>LIBRERÍA</v>
      </c>
      <c r="D279" s="6" t="str">
        <f>VLOOKUP(TABLA_PRECIOS[Código],LISTADO_PRODUCTOS[#All],4)</f>
        <v>Carpeta Nº6 para dibujo el nene c/repuestos</v>
      </c>
      <c r="E279" s="6" t="str">
        <f>VLOOKUP(TABLA_PRECIOS[Código],LISTADO_PRODUCTOS[#All],5)</f>
        <v>N/A</v>
      </c>
      <c r="F279" s="4">
        <v>1</v>
      </c>
      <c r="G279" s="4">
        <v>1</v>
      </c>
      <c r="H279" s="6">
        <v>1</v>
      </c>
      <c r="I279" s="6"/>
      <c r="J279" s="9"/>
    </row>
    <row r="280" spans="1:10" ht="12" customHeight="1" x14ac:dyDescent="0.3">
      <c r="A280" s="4">
        <v>1601</v>
      </c>
      <c r="B280" s="6">
        <f>VLOOKUP(TABLA_PRECIOS[Código],LISTADO_PRODUCTOS[#All],2)</f>
        <v>54451</v>
      </c>
      <c r="C280" s="6" t="str">
        <f>VLOOKUP(TABLA_PRECIOS[Código],LISTADO_PRODUCTOS[#All],3)</f>
        <v>LIBRERÍA</v>
      </c>
      <c r="D280" s="6" t="str">
        <f>VLOOKUP(TABLA_PRECIOS[Código],LISTADO_PRODUCTOS[#All],4)</f>
        <v>Carpeta Nº6 para dibujo asamblea s/rep</v>
      </c>
      <c r="E280" s="6" t="str">
        <f>VLOOKUP(TABLA_PRECIOS[Código],LISTADO_PRODUCTOS[#All],5)</f>
        <v>N/A</v>
      </c>
      <c r="F280" s="4">
        <v>1</v>
      </c>
      <c r="G280" s="4">
        <v>1</v>
      </c>
      <c r="H280" s="6">
        <v>1</v>
      </c>
      <c r="I280" s="6"/>
      <c r="J280" s="9"/>
    </row>
    <row r="281" spans="1:10" ht="12" customHeight="1" x14ac:dyDescent="0.3">
      <c r="A281" s="4">
        <v>1602</v>
      </c>
      <c r="B281" s="6">
        <f>VLOOKUP(TABLA_PRECIOS[Código],LISTADO_PRODUCTOS[#All],2)</f>
        <v>54452</v>
      </c>
      <c r="C281" s="6" t="str">
        <f>VLOOKUP(TABLA_PRECIOS[Código],LISTADO_PRODUCTOS[#All],3)</f>
        <v>LIBRERÍA</v>
      </c>
      <c r="D281" s="6" t="str">
        <f>VLOOKUP(TABLA_PRECIOS[Código],LISTADO_PRODUCTOS[#All],4)</f>
        <v>Sacapuntas Keyroad Rubber 2 tamaños</v>
      </c>
      <c r="E281" s="6" t="str">
        <f>VLOOKUP(TABLA_PRECIOS[Código],LISTADO_PRODUCTOS[#All],5)</f>
        <v>N/A</v>
      </c>
      <c r="F281" s="4">
        <v>1</v>
      </c>
      <c r="G281" s="4">
        <v>1</v>
      </c>
      <c r="H281" s="6">
        <v>1</v>
      </c>
      <c r="I281" s="6"/>
      <c r="J281" s="9"/>
    </row>
    <row r="282" spans="1:10" ht="12" customHeight="1" x14ac:dyDescent="0.3">
      <c r="A282" s="4">
        <v>1604</v>
      </c>
      <c r="B282" s="6">
        <f>VLOOKUP(TABLA_PRECIOS[Código],LISTADO_PRODUCTOS[#All],2)</f>
        <v>54453</v>
      </c>
      <c r="C282" s="6" t="str">
        <f>VLOOKUP(TABLA_PRECIOS[Código],LISTADO_PRODUCTOS[#All],3)</f>
        <v>LIBRERÍA</v>
      </c>
      <c r="D282" s="6" t="str">
        <f>VLOOKUP(TABLA_PRECIOS[Código],LISTADO_PRODUCTOS[#All],4)</f>
        <v>Colores largos Simball FLUO x 6</v>
      </c>
      <c r="E282" s="6" t="str">
        <f>VLOOKUP(TABLA_PRECIOS[Código],LISTADO_PRODUCTOS[#All],5)</f>
        <v>N/A</v>
      </c>
      <c r="F282" s="4">
        <v>1</v>
      </c>
      <c r="G282" s="4">
        <v>1</v>
      </c>
      <c r="H282" s="6">
        <v>1</v>
      </c>
      <c r="I282" s="6"/>
      <c r="J282" s="9"/>
    </row>
    <row r="283" spans="1:10" ht="12" customHeight="1" x14ac:dyDescent="0.3">
      <c r="A283" s="4">
        <v>1607</v>
      </c>
      <c r="B283" s="6">
        <f>VLOOKUP(TABLA_PRECIOS[Código],LISTADO_PRODUCTOS[#All],2)</f>
        <v>54454</v>
      </c>
      <c r="C283" s="6" t="str">
        <f>VLOOKUP(TABLA_PRECIOS[Código],LISTADO_PRODUCTOS[#All],3)</f>
        <v>LIBRERÍA</v>
      </c>
      <c r="D283" s="6" t="str">
        <f>VLOOKUP(TABLA_PRECIOS[Código],LISTADO_PRODUCTOS[#All],4)</f>
        <v>Repuesto azul borrable Borrax Filgo</v>
      </c>
      <c r="E283" s="6" t="str">
        <f>VLOOKUP(TABLA_PRECIOS[Código],LISTADO_PRODUCTOS[#All],5)</f>
        <v>N/A</v>
      </c>
      <c r="F283" s="4">
        <v>1</v>
      </c>
      <c r="G283" s="4">
        <v>1</v>
      </c>
      <c r="H283" s="6">
        <v>1</v>
      </c>
      <c r="I283" s="6"/>
      <c r="J283" s="9"/>
    </row>
    <row r="284" spans="1:10" ht="12" customHeight="1" x14ac:dyDescent="0.3">
      <c r="A284" s="4">
        <v>1608</v>
      </c>
      <c r="B284" s="6">
        <f>VLOOKUP(TABLA_PRECIOS[Código],LISTADO_PRODUCTOS[#All],2)</f>
        <v>54455</v>
      </c>
      <c r="C284" s="6" t="str">
        <f>VLOOKUP(TABLA_PRECIOS[Código],LISTADO_PRODUCTOS[#All],3)</f>
        <v>LIBRERÍA</v>
      </c>
      <c r="D284" s="6" t="str">
        <f>VLOOKUP(TABLA_PRECIOS[Código],LISTADO_PRODUCTOS[#All],4)</f>
        <v>Crayon Playcolor Jumbo FLUO x 6</v>
      </c>
      <c r="E284" s="6" t="str">
        <f>VLOOKUP(TABLA_PRECIOS[Código],LISTADO_PRODUCTOS[#All],5)</f>
        <v>N/A</v>
      </c>
      <c r="F284" s="4">
        <v>1</v>
      </c>
      <c r="G284" s="4">
        <v>1</v>
      </c>
      <c r="H284" s="6">
        <v>1</v>
      </c>
      <c r="I284" s="6"/>
      <c r="J284" s="9"/>
    </row>
    <row r="285" spans="1:10" ht="12" customHeight="1" x14ac:dyDescent="0.3">
      <c r="A285" s="4">
        <v>1609</v>
      </c>
      <c r="B285" s="6">
        <f>VLOOKUP(TABLA_PRECIOS[Código],LISTADO_PRODUCTOS[#All],2)</f>
        <v>54456</v>
      </c>
      <c r="C285" s="6" t="str">
        <f>VLOOKUP(TABLA_PRECIOS[Código],LISTADO_PRODUCTOS[#All],3)</f>
        <v>LIBRERÍA</v>
      </c>
      <c r="D285" s="6" t="str">
        <f>VLOOKUP(TABLA_PRECIOS[Código],LISTADO_PRODUCTOS[#All],4)</f>
        <v>Marcadores Mooving punta pincel pastel x 6u</v>
      </c>
      <c r="E285" s="6" t="str">
        <f>VLOOKUP(TABLA_PRECIOS[Código],LISTADO_PRODUCTOS[#All],5)</f>
        <v>N/A</v>
      </c>
      <c r="F285" s="4">
        <v>1</v>
      </c>
      <c r="G285" s="4">
        <v>1</v>
      </c>
      <c r="H285" s="6">
        <v>1</v>
      </c>
      <c r="I285" s="6"/>
      <c r="J285" s="9"/>
    </row>
    <row r="286" spans="1:10" ht="12" customHeight="1" x14ac:dyDescent="0.3">
      <c r="A286" s="4">
        <v>1610</v>
      </c>
      <c r="B286" s="6">
        <f>VLOOKUP(TABLA_PRECIOS[Código],LISTADO_PRODUCTOS[#All],2)</f>
        <v>54457</v>
      </c>
      <c r="C286" s="6" t="str">
        <f>VLOOKUP(TABLA_PRECIOS[Código],LISTADO_PRODUCTOS[#All],3)</f>
        <v>LIBRERÍA</v>
      </c>
      <c r="D286" s="6" t="str">
        <f>VLOOKUP(TABLA_PRECIOS[Código],LISTADO_PRODUCTOS[#All],4)</f>
        <v>Pizarra DELI A4 Magnetica con imanes</v>
      </c>
      <c r="E286" s="6" t="str">
        <f>VLOOKUP(TABLA_PRECIOS[Código],LISTADO_PRODUCTOS[#All],5)</f>
        <v>N/A</v>
      </c>
      <c r="F286" s="4">
        <v>1</v>
      </c>
      <c r="G286" s="4">
        <v>1</v>
      </c>
      <c r="H286" s="6">
        <v>1</v>
      </c>
      <c r="I286" s="6"/>
      <c r="J286" s="9"/>
    </row>
    <row r="287" spans="1:10" ht="12" customHeight="1" x14ac:dyDescent="0.3">
      <c r="A287" s="4">
        <v>1611</v>
      </c>
      <c r="B287" s="6">
        <f>VLOOKUP(TABLA_PRECIOS[Código],LISTADO_PRODUCTOS[#All],2)</f>
        <v>54458</v>
      </c>
      <c r="C287" s="6" t="str">
        <f>VLOOKUP(TABLA_PRECIOS[Código],LISTADO_PRODUCTOS[#All],3)</f>
        <v>LIBRERÍA</v>
      </c>
      <c r="D287" s="6" t="str">
        <f>VLOOKUP(TABLA_PRECIOS[Código],LISTADO_PRODUCTOS[#All],4)</f>
        <v>Folio Luma N°3 reforzado $25 C/u</v>
      </c>
      <c r="E287" s="6" t="str">
        <f>VLOOKUP(TABLA_PRECIOS[Código],LISTADO_PRODUCTOS[#All],5)</f>
        <v>N/A</v>
      </c>
      <c r="F287" s="4">
        <v>1</v>
      </c>
      <c r="G287" s="4">
        <v>1</v>
      </c>
      <c r="H287" s="6">
        <v>1</v>
      </c>
      <c r="I287" s="6"/>
      <c r="J287" s="9"/>
    </row>
    <row r="288" spans="1:10" ht="12" customHeight="1" x14ac:dyDescent="0.3">
      <c r="A288" s="4">
        <v>1612</v>
      </c>
      <c r="B288" s="6">
        <f>VLOOKUP(TABLA_PRECIOS[Código],LISTADO_PRODUCTOS[#All],2)</f>
        <v>54459</v>
      </c>
      <c r="C288" s="6" t="str">
        <f>VLOOKUP(TABLA_PRECIOS[Código],LISTADO_PRODUCTOS[#All],3)</f>
        <v>LIBRERÍA</v>
      </c>
      <c r="D288" s="6" t="str">
        <f>VLOOKUP(TABLA_PRECIOS[Código],LISTADO_PRODUCTOS[#All],4)</f>
        <v>Cuaderno Mooving Magnifique 80h T/C</v>
      </c>
      <c r="E288" s="6" t="str">
        <f>VLOOKUP(TABLA_PRECIOS[Código],LISTADO_PRODUCTOS[#All],5)</f>
        <v>N/A</v>
      </c>
      <c r="F288" s="4">
        <v>1</v>
      </c>
      <c r="G288" s="4">
        <v>1</v>
      </c>
      <c r="H288" s="6">
        <v>1</v>
      </c>
      <c r="I288" s="6"/>
      <c r="J288" s="9"/>
    </row>
    <row r="289" spans="1:10" ht="12" customHeight="1" x14ac:dyDescent="0.3">
      <c r="A289" s="4">
        <v>1613</v>
      </c>
      <c r="B289" s="6">
        <f>VLOOKUP(TABLA_PRECIOS[Código],LISTADO_PRODUCTOS[#All],2)</f>
        <v>54460</v>
      </c>
      <c r="C289" s="6" t="str">
        <f>VLOOKUP(TABLA_PRECIOS[Código],LISTADO_PRODUCTOS[#All],3)</f>
        <v>LIBRERÍA</v>
      </c>
      <c r="D289" s="6" t="str">
        <f>VLOOKUP(TABLA_PRECIOS[Código],LISTADO_PRODUCTOS[#All],4)</f>
        <v>Cuaderno Mooving Magnifique 120 Hojas Tapa Dura hojas con borde color</v>
      </c>
      <c r="E289" s="6" t="str">
        <f>VLOOKUP(TABLA_PRECIOS[Código],LISTADO_PRODUCTOS[#All],5)</f>
        <v>N/A</v>
      </c>
      <c r="F289" s="4">
        <v>1</v>
      </c>
      <c r="G289" s="4">
        <v>1</v>
      </c>
      <c r="H289" s="6">
        <v>1</v>
      </c>
      <c r="I289" s="6"/>
      <c r="J289" s="9"/>
    </row>
    <row r="290" spans="1:10" ht="12" customHeight="1" x14ac:dyDescent="0.3">
      <c r="A290" s="4">
        <v>1614</v>
      </c>
      <c r="B290" s="6">
        <f>VLOOKUP(TABLA_PRECIOS[Código],LISTADO_PRODUCTOS[#All],2)</f>
        <v>54461</v>
      </c>
      <c r="C290" s="6" t="str">
        <f>VLOOKUP(TABLA_PRECIOS[Código],LISTADO_PRODUCTOS[#All],3)</f>
        <v>LIBRERÍA</v>
      </c>
      <c r="D290" s="6" t="str">
        <f>VLOOKUP(TABLA_PRECIOS[Código],LISTADO_PRODUCTOS[#All],4)</f>
        <v>Cuaderno Mooving Minnie Mouse Tapa Carton Semi Rigida 80h</v>
      </c>
      <c r="E290" s="6" t="str">
        <f>VLOOKUP(TABLA_PRECIOS[Código],LISTADO_PRODUCTOS[#All],5)</f>
        <v>N/A</v>
      </c>
      <c r="F290" s="4">
        <v>1</v>
      </c>
      <c r="G290" s="4">
        <v>1</v>
      </c>
      <c r="H290" s="6">
        <v>1</v>
      </c>
      <c r="I290" s="6"/>
      <c r="J290" s="9"/>
    </row>
    <row r="291" spans="1:10" ht="12" customHeight="1" x14ac:dyDescent="0.3">
      <c r="A291" s="4">
        <v>1615</v>
      </c>
      <c r="B291" s="6">
        <f>VLOOKUP(TABLA_PRECIOS[Código],LISTADO_PRODUCTOS[#All],2)</f>
        <v>54462</v>
      </c>
      <c r="C291" s="6" t="str">
        <f>VLOOKUP(TABLA_PRECIOS[Código],LISTADO_PRODUCTOS[#All],3)</f>
        <v>LIBRERÍA</v>
      </c>
      <c r="D291" s="6" t="str">
        <f>VLOOKUP(TABLA_PRECIOS[Código],LISTADO_PRODUCTOS[#All],4)</f>
        <v xml:space="preserve">Boligrafo BIC Cristal UP 1.2mm x8col surtidos </v>
      </c>
      <c r="E291" s="6" t="str">
        <f>VLOOKUP(TABLA_PRECIOS[Código],LISTADO_PRODUCTOS[#All],5)</f>
        <v>N/A</v>
      </c>
      <c r="F291" s="4">
        <v>1</v>
      </c>
      <c r="G291" s="4">
        <v>1</v>
      </c>
      <c r="H291" s="6">
        <v>1</v>
      </c>
      <c r="I291" s="6"/>
      <c r="J291" s="9"/>
    </row>
    <row r="292" spans="1:10" ht="12" customHeight="1" x14ac:dyDescent="0.3">
      <c r="A292" s="4">
        <v>1616</v>
      </c>
      <c r="B292" s="6">
        <f>VLOOKUP(TABLA_PRECIOS[Código],LISTADO_PRODUCTOS[#All],2)</f>
        <v>54463</v>
      </c>
      <c r="C292" s="6" t="str">
        <f>VLOOKUP(TABLA_PRECIOS[Código],LISTADO_PRODUCTOS[#All],3)</f>
        <v>LIBRERÍA</v>
      </c>
      <c r="D292" s="6" t="str">
        <f>VLOOKUP(TABLA_PRECIOS[Código],LISTADO_PRODUCTOS[#All],4)</f>
        <v>Blister Resaltador Filgo Text Marker FLUO</v>
      </c>
      <c r="E292" s="6" t="str">
        <f>VLOOKUP(TABLA_PRECIOS[Código],LISTADO_PRODUCTOS[#All],5)</f>
        <v>N/A</v>
      </c>
      <c r="F292" s="4">
        <v>1</v>
      </c>
      <c r="G292" s="4">
        <v>1</v>
      </c>
      <c r="H292" s="6">
        <v>1</v>
      </c>
      <c r="I292" s="6"/>
      <c r="J292" s="9"/>
    </row>
    <row r="293" spans="1:10" ht="12" customHeight="1" x14ac:dyDescent="0.3">
      <c r="A293" s="4">
        <v>1617</v>
      </c>
      <c r="B293" s="6">
        <f>VLOOKUP(TABLA_PRECIOS[Código],LISTADO_PRODUCTOS[#All],2)</f>
        <v>54464</v>
      </c>
      <c r="C293" s="6" t="str">
        <f>VLOOKUP(TABLA_PRECIOS[Código],LISTADO_PRODUCTOS[#All],3)</f>
        <v>LIBRERÍA</v>
      </c>
      <c r="D293" s="6" t="str">
        <f>VLOOKUP(TABLA_PRECIOS[Código],LISTADO_PRODUCTOS[#All],4)</f>
        <v>Lapicera Punta Aguja Super Point Filgo</v>
      </c>
      <c r="E293" s="6" t="str">
        <f>VLOOKUP(TABLA_PRECIOS[Código],LISTADO_PRODUCTOS[#All],5)</f>
        <v>N/A</v>
      </c>
      <c r="F293" s="4">
        <v>1</v>
      </c>
      <c r="G293" s="4">
        <v>1</v>
      </c>
      <c r="H293" s="6">
        <v>1</v>
      </c>
      <c r="I293" s="6"/>
      <c r="J293" s="9"/>
    </row>
    <row r="294" spans="1:10" ht="12" customHeight="1" x14ac:dyDescent="0.3">
      <c r="A294" s="4">
        <v>1618</v>
      </c>
      <c r="B294" s="6">
        <f>VLOOKUP(TABLA_PRECIOS[Código],LISTADO_PRODUCTOS[#All],2)</f>
        <v>54465</v>
      </c>
      <c r="C294" s="6" t="str">
        <f>VLOOKUP(TABLA_PRECIOS[Código],LISTADO_PRODUCTOS[#All],3)</f>
        <v>LIBRERÍA</v>
      </c>
      <c r="D294" s="6" t="str">
        <f>VLOOKUP(TABLA_PRECIOS[Código],LISTADO_PRODUCTOS[#All],4)</f>
        <v>Rgla de Aluminio Keyroad C/Porta Lapiz 20cm KR9</v>
      </c>
      <c r="E294" s="6" t="str">
        <f>VLOOKUP(TABLA_PRECIOS[Código],LISTADO_PRODUCTOS[#All],5)</f>
        <v>N/A</v>
      </c>
      <c r="F294" s="4">
        <v>1</v>
      </c>
      <c r="G294" s="4">
        <v>1</v>
      </c>
      <c r="H294" s="6">
        <v>1</v>
      </c>
      <c r="I294" s="6"/>
      <c r="J294" s="9"/>
    </row>
    <row r="295" spans="1:10" ht="12" customHeight="1" x14ac:dyDescent="0.3">
      <c r="A295" s="4">
        <v>1619</v>
      </c>
      <c r="B295" s="6">
        <f>VLOOKUP(TABLA_PRECIOS[Código],LISTADO_PRODUCTOS[#All],2)</f>
        <v>54466</v>
      </c>
      <c r="C295" s="6" t="str">
        <f>VLOOKUP(TABLA_PRECIOS[Código],LISTADO_PRODUCTOS[#All],3)</f>
        <v>LIBRERÍA</v>
      </c>
      <c r="D295" s="6" t="str">
        <f>VLOOKUP(TABLA_PRECIOS[Código],LISTADO_PRODUCTOS[#All],4)</f>
        <v>Rgla de Aluminio Keyroad C/Porta Lapiz 30cm KR9</v>
      </c>
      <c r="E295" s="6" t="str">
        <f>VLOOKUP(TABLA_PRECIOS[Código],LISTADO_PRODUCTOS[#All],5)</f>
        <v>N/A</v>
      </c>
      <c r="F295" s="4">
        <v>1</v>
      </c>
      <c r="G295" s="4">
        <v>1</v>
      </c>
      <c r="H295" s="6">
        <v>1</v>
      </c>
      <c r="I295" s="6"/>
      <c r="J295" s="9"/>
    </row>
    <row r="296" spans="1:10" ht="12" customHeight="1" x14ac:dyDescent="0.3">
      <c r="A296" s="4">
        <v>1620</v>
      </c>
      <c r="B296" s="6">
        <f>VLOOKUP(TABLA_PRECIOS[Código],LISTADO_PRODUCTOS[#All],2)</f>
        <v>54467</v>
      </c>
      <c r="C296" s="6" t="str">
        <f>VLOOKUP(TABLA_PRECIOS[Código],LISTADO_PRODUCTOS[#All],3)</f>
        <v>LIBRERÍA</v>
      </c>
      <c r="D296" s="6" t="str">
        <f>VLOOKUP(TABLA_PRECIOS[Código],LISTADO_PRODUCTOS[#All],4)</f>
        <v>Marcador permanente Edding 404 punta fina</v>
      </c>
      <c r="E296" s="6" t="str">
        <f>VLOOKUP(TABLA_PRECIOS[Código],LISTADO_PRODUCTOS[#All],5)</f>
        <v>N/A</v>
      </c>
      <c r="F296" s="4">
        <v>1</v>
      </c>
      <c r="G296" s="4">
        <v>1</v>
      </c>
      <c r="H296" s="6">
        <v>1</v>
      </c>
      <c r="I296" s="6"/>
      <c r="J296" s="9"/>
    </row>
    <row r="297" spans="1:10" ht="12" customHeight="1" x14ac:dyDescent="0.3">
      <c r="A297" s="4">
        <v>1621</v>
      </c>
      <c r="B297" s="6">
        <f>VLOOKUP(TABLA_PRECIOS[Código],LISTADO_PRODUCTOS[#All],2)</f>
        <v>54468</v>
      </c>
      <c r="C297" s="6" t="str">
        <f>VLOOKUP(TABLA_PRECIOS[Código],LISTADO_PRODUCTOS[#All],3)</f>
        <v>LIBRERÍA</v>
      </c>
      <c r="D297" s="6" t="str">
        <f>VLOOKUP(TABLA_PRECIOS[Código],LISTADO_PRODUCTOS[#All],4)</f>
        <v>Roller Super Ball Filgo</v>
      </c>
      <c r="E297" s="6" t="str">
        <f>VLOOKUP(TABLA_PRECIOS[Código],LISTADO_PRODUCTOS[#All],5)</f>
        <v>N/A</v>
      </c>
      <c r="F297" s="4">
        <v>1</v>
      </c>
      <c r="G297" s="4">
        <v>1</v>
      </c>
      <c r="H297" s="6">
        <v>1</v>
      </c>
      <c r="I297" s="6"/>
      <c r="J297" s="9"/>
    </row>
    <row r="298" spans="1:10" ht="12" customHeight="1" x14ac:dyDescent="0.3">
      <c r="A298" s="4">
        <v>1624</v>
      </c>
      <c r="B298" s="6">
        <f>VLOOKUP(TABLA_PRECIOS[Código],LISTADO_PRODUCTOS[#All],2)</f>
        <v>54469</v>
      </c>
      <c r="C298" s="6" t="str">
        <f>VLOOKUP(TABLA_PRECIOS[Código],LISTADO_PRODUCTOS[#All],3)</f>
        <v>LIBRERÍA</v>
      </c>
      <c r="D298" s="6" t="str">
        <f>VLOOKUP(TABLA_PRECIOS[Código],LISTADO_PRODUCTOS[#All],4)</f>
        <v>Adhesivo Glitter NEON/Pastel/Glue 21gr colores surtidos C/U</v>
      </c>
      <c r="E298" s="6" t="str">
        <f>VLOOKUP(TABLA_PRECIOS[Código],LISTADO_PRODUCTOS[#All],5)</f>
        <v>N/A</v>
      </c>
      <c r="F298" s="4">
        <v>1</v>
      </c>
      <c r="G298" s="4">
        <v>1</v>
      </c>
      <c r="H298" s="6">
        <v>1</v>
      </c>
      <c r="I298" s="6"/>
      <c r="J298" s="9"/>
    </row>
    <row r="299" spans="1:10" ht="12" customHeight="1" x14ac:dyDescent="0.3">
      <c r="A299" s="4">
        <v>1627</v>
      </c>
      <c r="B299" s="6">
        <f>VLOOKUP(TABLA_PRECIOS[Código],LISTADO_PRODUCTOS[#All],2)</f>
        <v>54470</v>
      </c>
      <c r="C299" s="6" t="str">
        <f>VLOOKUP(TABLA_PRECIOS[Código],LISTADO_PRODUCTOS[#All],3)</f>
        <v>LIBRERÍA</v>
      </c>
      <c r="D299" s="6" t="str">
        <f>VLOOKUP(TABLA_PRECIOS[Código],LISTADO_PRODUCTOS[#All],4)</f>
        <v>Fibron Faber Castell al agua 56 P.Red.</v>
      </c>
      <c r="E299" s="6" t="str">
        <f>VLOOKUP(TABLA_PRECIOS[Código],LISTADO_PRODUCTOS[#All],5)</f>
        <v>N/A</v>
      </c>
      <c r="F299" s="4">
        <v>1</v>
      </c>
      <c r="G299" s="4">
        <v>1</v>
      </c>
      <c r="H299" s="6">
        <v>1</v>
      </c>
      <c r="I299" s="6"/>
      <c r="J299" s="9"/>
    </row>
    <row r="300" spans="1:10" ht="12" customHeight="1" x14ac:dyDescent="0.3">
      <c r="A300" s="4">
        <v>1628</v>
      </c>
      <c r="B300" s="6">
        <f>VLOOKUP(TABLA_PRECIOS[Código],LISTADO_PRODUCTOS[#All],2)</f>
        <v>54471</v>
      </c>
      <c r="C300" s="6" t="str">
        <f>VLOOKUP(TABLA_PRECIOS[Código],LISTADO_PRODUCTOS[#All],3)</f>
        <v>LIBRERÍA</v>
      </c>
      <c r="D300" s="6" t="str">
        <f>VLOOKUP(TABLA_PRECIOS[Código],LISTADO_PRODUCTOS[#All],4)</f>
        <v>Block Cartulina entretenida Antiestress anti stress Muresco</v>
      </c>
      <c r="E300" s="6" t="str">
        <f>VLOOKUP(TABLA_PRECIOS[Código],LISTADO_PRODUCTOS[#All],5)</f>
        <v>N/A</v>
      </c>
      <c r="F300" s="4">
        <v>1</v>
      </c>
      <c r="G300" s="4">
        <v>1</v>
      </c>
      <c r="H300" s="6">
        <v>1</v>
      </c>
      <c r="I300" s="6"/>
      <c r="J300" s="9"/>
    </row>
    <row r="301" spans="1:10" ht="12" customHeight="1" x14ac:dyDescent="0.3">
      <c r="A301" s="4">
        <v>1629</v>
      </c>
      <c r="B301" s="6">
        <f>VLOOKUP(TABLA_PRECIOS[Código],LISTADO_PRODUCTOS[#All],2)</f>
        <v>54472</v>
      </c>
      <c r="C301" s="6" t="str">
        <f>VLOOKUP(TABLA_PRECIOS[Código],LISTADO_PRODUCTOS[#All],3)</f>
        <v>LIBRERÍA</v>
      </c>
      <c r="D301" s="6" t="str">
        <f>VLOOKUP(TABLA_PRECIOS[Código],LISTADO_PRODUCTOS[#All],4)</f>
        <v>Block Cartulina entretenida Muresco Negra/celeste/amarillo/rosa surtida</v>
      </c>
      <c r="E301" s="6" t="str">
        <f>VLOOKUP(TABLA_PRECIOS[Código],LISTADO_PRODUCTOS[#All],5)</f>
        <v>N/A</v>
      </c>
      <c r="F301" s="4">
        <v>1</v>
      </c>
      <c r="G301" s="4">
        <v>1</v>
      </c>
      <c r="H301" s="6">
        <v>1</v>
      </c>
      <c r="I301" s="6"/>
      <c r="J301" s="9"/>
    </row>
    <row r="302" spans="1:10" ht="12" customHeight="1" x14ac:dyDescent="0.3">
      <c r="A302" s="4">
        <v>1634</v>
      </c>
      <c r="B302" s="6">
        <f>VLOOKUP(TABLA_PRECIOS[Código],LISTADO_PRODUCTOS[#All],2)</f>
        <v>54473</v>
      </c>
      <c r="C302" s="6" t="str">
        <f>VLOOKUP(TABLA_PRECIOS[Código],LISTADO_PRODUCTOS[#All],3)</f>
        <v>LIBRERÍA</v>
      </c>
      <c r="D302" s="6" t="str">
        <f>VLOOKUP(TABLA_PRECIOS[Código],LISTADO_PRODUCTOS[#All],4)</f>
        <v>Fibron Pelikan Permanente Punta Redonda 441</v>
      </c>
      <c r="E302" s="6" t="str">
        <f>VLOOKUP(TABLA_PRECIOS[Código],LISTADO_PRODUCTOS[#All],5)</f>
        <v>N/A</v>
      </c>
      <c r="F302" s="4">
        <v>1</v>
      </c>
      <c r="G302" s="4">
        <v>1</v>
      </c>
      <c r="H302" s="6">
        <v>1</v>
      </c>
      <c r="I302" s="6"/>
      <c r="J302" s="9"/>
    </row>
    <row r="303" spans="1:10" ht="12" customHeight="1" x14ac:dyDescent="0.3">
      <c r="A303" s="4">
        <v>1638</v>
      </c>
      <c r="B303" s="6">
        <f>VLOOKUP(TABLA_PRECIOS[Código],LISTADO_PRODUCTOS[#All],2)</f>
        <v>54474</v>
      </c>
      <c r="C303" s="6" t="str">
        <f>VLOOKUP(TABLA_PRECIOS[Código],LISTADO_PRODUCTOS[#All],3)</f>
        <v>LIBRERÍA</v>
      </c>
      <c r="D303" s="6" t="str">
        <f>VLOOKUP(TABLA_PRECIOS[Código],LISTADO_PRODUCTOS[#All],4)</f>
        <v>Block N°6 Capitolio Blanco</v>
      </c>
      <c r="E303" s="6" t="str">
        <f>VLOOKUP(TABLA_PRECIOS[Código],LISTADO_PRODUCTOS[#All],5)</f>
        <v>N/A</v>
      </c>
      <c r="F303" s="4">
        <v>1</v>
      </c>
      <c r="G303" s="4">
        <v>1</v>
      </c>
      <c r="H303" s="6">
        <v>1</v>
      </c>
      <c r="I303" s="6"/>
      <c r="J303" s="9"/>
    </row>
    <row r="304" spans="1:10" ht="12" customHeight="1" x14ac:dyDescent="0.3">
      <c r="A304" s="4">
        <v>1640</v>
      </c>
      <c r="B304" s="6">
        <f>VLOOKUP(TABLA_PRECIOS[Código],LISTADO_PRODUCTOS[#All],2)</f>
        <v>54475</v>
      </c>
      <c r="C304" s="6" t="str">
        <f>VLOOKUP(TABLA_PRECIOS[Código],LISTADO_PRODUCTOS[#All],3)</f>
        <v>LIBRERÍA</v>
      </c>
      <c r="D304" s="6" t="str">
        <f>VLOOKUP(TABLA_PRECIOS[Código],LISTADO_PRODUCTOS[#All],4)</f>
        <v>Block N°5 Muresco 22 x 29.5 Afiche color x 50h colores</v>
      </c>
      <c r="E304" s="6" t="str">
        <f>VLOOKUP(TABLA_PRECIOS[Código],LISTADO_PRODUCTOS[#All],5)</f>
        <v>N/A</v>
      </c>
      <c r="F304" s="4">
        <v>1</v>
      </c>
      <c r="G304" s="4">
        <v>1</v>
      </c>
      <c r="H304" s="6">
        <v>1</v>
      </c>
      <c r="I304" s="6"/>
      <c r="J304" s="9"/>
    </row>
    <row r="305" spans="1:10" ht="12" customHeight="1" x14ac:dyDescent="0.3">
      <c r="A305" s="4">
        <v>1641</v>
      </c>
      <c r="B305" s="6">
        <f>VLOOKUP(TABLA_PRECIOS[Código],LISTADO_PRODUCTOS[#All],2)</f>
        <v>54476</v>
      </c>
      <c r="C305" s="6" t="str">
        <f>VLOOKUP(TABLA_PRECIOS[Código],LISTADO_PRODUCTOS[#All],3)</f>
        <v>LIBRERÍA</v>
      </c>
      <c r="D305" s="6" t="str">
        <f>VLOOKUP(TABLA_PRECIOS[Código],LISTADO_PRODUCTOS[#All],4)</f>
        <v>Lapiz Borratinta Staedtler escobilla</v>
      </c>
      <c r="E305" s="6" t="str">
        <f>VLOOKUP(TABLA_PRECIOS[Código],LISTADO_PRODUCTOS[#All],5)</f>
        <v>N/A</v>
      </c>
      <c r="F305" s="4">
        <v>1</v>
      </c>
      <c r="G305" s="4">
        <v>1</v>
      </c>
      <c r="H305" s="6">
        <v>1</v>
      </c>
      <c r="I305" s="6"/>
      <c r="J305" s="9"/>
    </row>
    <row r="306" spans="1:10" ht="12" customHeight="1" x14ac:dyDescent="0.3">
      <c r="A306" s="4">
        <v>1643</v>
      </c>
      <c r="B306" s="6">
        <f>VLOOKUP(TABLA_PRECIOS[Código],LISTADO_PRODUCTOS[#All],2)</f>
        <v>54477</v>
      </c>
      <c r="C306" s="6" t="str">
        <f>VLOOKUP(TABLA_PRECIOS[Código],LISTADO_PRODUCTOS[#All],3)</f>
        <v>LIBRERÍA</v>
      </c>
      <c r="D306" s="6" t="str">
        <f>VLOOKUP(TABLA_PRECIOS[Código],LISTADO_PRODUCTOS[#All],4)</f>
        <v>Block Capitolio Collage 20h</v>
      </c>
      <c r="E306" s="6" t="str">
        <f>VLOOKUP(TABLA_PRECIOS[Código],LISTADO_PRODUCTOS[#All],5)</f>
        <v>N/A</v>
      </c>
      <c r="F306" s="4">
        <v>1</v>
      </c>
      <c r="G306" s="4">
        <v>1</v>
      </c>
      <c r="H306" s="6">
        <v>1</v>
      </c>
      <c r="I306" s="6"/>
      <c r="J306" s="9"/>
    </row>
    <row r="307" spans="1:10" ht="12" customHeight="1" x14ac:dyDescent="0.3">
      <c r="A307" s="4">
        <v>1644</v>
      </c>
      <c r="B307" s="6">
        <f>VLOOKUP(TABLA_PRECIOS[Código],LISTADO_PRODUCTOS[#All],2)</f>
        <v>54478</v>
      </c>
      <c r="C307" s="6" t="str">
        <f>VLOOKUP(TABLA_PRECIOS[Código],LISTADO_PRODUCTOS[#All],3)</f>
        <v>LIBRERÍA</v>
      </c>
      <c r="D307" s="6" t="str">
        <f>VLOOKUP(TABLA_PRECIOS[Código],LISTADO_PRODUCTOS[#All],4)</f>
        <v>Adhesivo en barra Giotto 36g</v>
      </c>
      <c r="E307" s="6" t="str">
        <f>VLOOKUP(TABLA_PRECIOS[Código],LISTADO_PRODUCTOS[#All],5)</f>
        <v>N/A</v>
      </c>
      <c r="F307" s="4">
        <v>1</v>
      </c>
      <c r="G307" s="4">
        <v>1</v>
      </c>
      <c r="H307" s="6">
        <v>1</v>
      </c>
      <c r="I307" s="6"/>
      <c r="J307" s="9"/>
    </row>
    <row r="308" spans="1:10" ht="12" customHeight="1" x14ac:dyDescent="0.3">
      <c r="A308" s="4">
        <v>1645</v>
      </c>
      <c r="B308" s="6">
        <f>VLOOKUP(TABLA_PRECIOS[Código],LISTADO_PRODUCTOS[#All],2)</f>
        <v>54479</v>
      </c>
      <c r="C308" s="6" t="str">
        <f>VLOOKUP(TABLA_PRECIOS[Código],LISTADO_PRODUCTOS[#All],3)</f>
        <v>LIBRERÍA</v>
      </c>
      <c r="D308" s="6" t="str">
        <f>VLOOKUP(TABLA_PRECIOS[Código],LISTADO_PRODUCTOS[#All],4)</f>
        <v>Goma DELI Scribe Eraser H00110</v>
      </c>
      <c r="E308" s="6" t="str">
        <f>VLOOKUP(TABLA_PRECIOS[Código],LISTADO_PRODUCTOS[#All],5)</f>
        <v>N/A</v>
      </c>
      <c r="F308" s="4">
        <v>1</v>
      </c>
      <c r="G308" s="4">
        <v>1</v>
      </c>
      <c r="H308" s="6">
        <v>1</v>
      </c>
      <c r="I308" s="6"/>
      <c r="J308" s="9"/>
    </row>
    <row r="309" spans="1:10" ht="12" customHeight="1" x14ac:dyDescent="0.3">
      <c r="A309" s="4">
        <v>1648</v>
      </c>
      <c r="B309" s="6">
        <f>VLOOKUP(TABLA_PRECIOS[Código],LISTADO_PRODUCTOS[#All],2)</f>
        <v>54480</v>
      </c>
      <c r="C309" s="6" t="str">
        <f>VLOOKUP(TABLA_PRECIOS[Código],LISTADO_PRODUCTOS[#All],3)</f>
        <v>LIBRERÍA</v>
      </c>
      <c r="D309" s="6" t="str">
        <f>VLOOKUP(TABLA_PRECIOS[Código],LISTADO_PRODUCTOS[#All],4)</f>
        <v>Carpeta Util-of</v>
      </c>
      <c r="E309" s="6" t="str">
        <f>VLOOKUP(TABLA_PRECIOS[Código],LISTADO_PRODUCTOS[#All],5)</f>
        <v>N/A</v>
      </c>
      <c r="F309" s="4">
        <v>1</v>
      </c>
      <c r="G309" s="4">
        <v>1</v>
      </c>
      <c r="H309" s="6">
        <v>1</v>
      </c>
      <c r="I309" s="6"/>
      <c r="J309" s="9"/>
    </row>
    <row r="310" spans="1:10" ht="12" customHeight="1" x14ac:dyDescent="0.3">
      <c r="A310" s="4">
        <v>1651</v>
      </c>
      <c r="B310" s="6">
        <f>VLOOKUP(TABLA_PRECIOS[Código],LISTADO_PRODUCTOS[#All],2)</f>
        <v>54481</v>
      </c>
      <c r="C310" s="6" t="str">
        <f>VLOOKUP(TABLA_PRECIOS[Código],LISTADO_PRODUCTOS[#All],3)</f>
        <v>LIBRERÍA</v>
      </c>
      <c r="D310" s="6" t="str">
        <f>VLOOKUP(TABLA_PRECIOS[Código],LISTADO_PRODUCTOS[#All],4)</f>
        <v>Set Microfibras Filgo Liner 038 x 10</v>
      </c>
      <c r="E310" s="6" t="str">
        <f>VLOOKUP(TABLA_PRECIOS[Código],LISTADO_PRODUCTOS[#All],5)</f>
        <v>N/A</v>
      </c>
      <c r="F310" s="4">
        <v>1</v>
      </c>
      <c r="G310" s="4">
        <v>1</v>
      </c>
      <c r="H310" s="6">
        <v>1</v>
      </c>
      <c r="I310" s="6"/>
      <c r="J310" s="9"/>
    </row>
    <row r="311" spans="1:10" ht="12" customHeight="1" x14ac:dyDescent="0.3">
      <c r="A311" s="4">
        <v>1652</v>
      </c>
      <c r="B311" s="6">
        <f>VLOOKUP(TABLA_PRECIOS[Código],LISTADO_PRODUCTOS[#All],2)</f>
        <v>54482</v>
      </c>
      <c r="C311" s="6" t="str">
        <f>VLOOKUP(TABLA_PRECIOS[Código],LISTADO_PRODUCTOS[#All],3)</f>
        <v>LIBRERÍA</v>
      </c>
      <c r="D311" s="6" t="str">
        <f>VLOOKUP(TABLA_PRECIOS[Código],LISTADO_PRODUCTOS[#All],4)</f>
        <v>Boligrafo Borrable Trabí Fantastic Tinta azul</v>
      </c>
      <c r="E311" s="6" t="str">
        <f>VLOOKUP(TABLA_PRECIOS[Código],LISTADO_PRODUCTOS[#All],5)</f>
        <v>N/A</v>
      </c>
      <c r="F311" s="4">
        <v>1</v>
      </c>
      <c r="G311" s="4">
        <v>1</v>
      </c>
      <c r="H311" s="6">
        <v>1</v>
      </c>
      <c r="I311" s="6"/>
      <c r="J311" s="9"/>
    </row>
    <row r="312" spans="1:10" ht="12" customHeight="1" x14ac:dyDescent="0.3">
      <c r="A312" s="4">
        <v>1661</v>
      </c>
      <c r="B312" s="6">
        <f>VLOOKUP(TABLA_PRECIOS[Código],LISTADO_PRODUCTOS[#All],2)</f>
        <v>54483</v>
      </c>
      <c r="C312" s="6" t="str">
        <f>VLOOKUP(TABLA_PRECIOS[Código],LISTADO_PRODUCTOS[#All],3)</f>
        <v>LIBRERÍA</v>
      </c>
      <c r="D312" s="6" t="str">
        <f>VLOOKUP(TABLA_PRECIOS[Código],LISTADO_PRODUCTOS[#All],4)</f>
        <v xml:space="preserve">Repuesto Roller borrable Trabí </v>
      </c>
      <c r="E312" s="6" t="str">
        <f>VLOOKUP(TABLA_PRECIOS[Código],LISTADO_PRODUCTOS[#All],5)</f>
        <v>N/A</v>
      </c>
      <c r="F312" s="4">
        <v>1</v>
      </c>
      <c r="G312" s="4">
        <v>1</v>
      </c>
      <c r="H312" s="6">
        <v>1</v>
      </c>
      <c r="I312" s="6"/>
      <c r="J312" s="9"/>
    </row>
    <row r="313" spans="1:10" ht="12" customHeight="1" x14ac:dyDescent="0.3">
      <c r="A313" s="4">
        <v>1662</v>
      </c>
      <c r="B313" s="6">
        <f>VLOOKUP(TABLA_PRECIOS[Código],LISTADO_PRODUCTOS[#All],2)</f>
        <v>54484</v>
      </c>
      <c r="C313" s="6" t="str">
        <f>VLOOKUP(TABLA_PRECIOS[Código],LISTADO_PRODUCTOS[#All],3)</f>
        <v>LIBRERÍA</v>
      </c>
      <c r="D313" s="6" t="str">
        <f>VLOOKUP(TABLA_PRECIOS[Código],LISTADO_PRODUCTOS[#All],4)</f>
        <v>Microfibra Filgo yo amo mis colores FLUO x 5 liner 038 - 7795513075296</v>
      </c>
      <c r="E313" s="6" t="str">
        <f>VLOOKUP(TABLA_PRECIOS[Código],LISTADO_PRODUCTOS[#All],5)</f>
        <v>N/A</v>
      </c>
      <c r="F313" s="4">
        <v>1</v>
      </c>
      <c r="G313" s="4">
        <v>1</v>
      </c>
      <c r="H313" s="6">
        <v>1</v>
      </c>
      <c r="I313" s="6"/>
      <c r="J313" s="9"/>
    </row>
    <row r="314" spans="1:10" ht="12" customHeight="1" x14ac:dyDescent="0.3">
      <c r="A314" s="4">
        <v>1666</v>
      </c>
      <c r="B314" s="6">
        <f>VLOOKUP(TABLA_PRECIOS[Código],LISTADO_PRODUCTOS[#All],2)</f>
        <v>54485</v>
      </c>
      <c r="C314" s="6" t="str">
        <f>VLOOKUP(TABLA_PRECIOS[Código],LISTADO_PRODUCTOS[#All],3)</f>
        <v>LIBRERÍA</v>
      </c>
      <c r="D314" s="6" t="str">
        <f>VLOOKUP(TABLA_PRECIOS[Código],LISTADO_PRODUCTOS[#All],4)</f>
        <v xml:space="preserve">Portaminas BIC AI con grip 0.5 en presentacion </v>
      </c>
      <c r="E314" s="6" t="str">
        <f>VLOOKUP(TABLA_PRECIOS[Código],LISTADO_PRODUCTOS[#All],5)</f>
        <v>N/A</v>
      </c>
      <c r="F314" s="4">
        <v>1</v>
      </c>
      <c r="G314" s="4">
        <v>1</v>
      </c>
      <c r="H314" s="6">
        <v>1</v>
      </c>
      <c r="I314" s="6"/>
      <c r="J314" s="9"/>
    </row>
    <row r="315" spans="1:10" ht="12" customHeight="1" x14ac:dyDescent="0.3">
      <c r="A315" s="4">
        <v>1670</v>
      </c>
      <c r="B315" s="6">
        <f>VLOOKUP(TABLA_PRECIOS[Código],LISTADO_PRODUCTOS[#All],2)</f>
        <v>54486</v>
      </c>
      <c r="C315" s="6" t="str">
        <f>VLOOKUP(TABLA_PRECIOS[Código],LISTADO_PRODUCTOS[#All],3)</f>
        <v>LIBRERÍA</v>
      </c>
      <c r="D315" s="6" t="str">
        <f>VLOOKUP(TABLA_PRECIOS[Código],LISTADO_PRODUCTOS[#All],4)</f>
        <v xml:space="preserve">Cuaderno LAPRIDA AB7 tradicional 21x27 100h Ray </v>
      </c>
      <c r="E315" s="6" t="str">
        <f>VLOOKUP(TABLA_PRECIOS[Código],LISTADO_PRODUCTOS[#All],5)</f>
        <v>N/A</v>
      </c>
      <c r="F315" s="4">
        <v>1</v>
      </c>
      <c r="G315" s="4">
        <v>1</v>
      </c>
      <c r="H315" s="6">
        <v>1</v>
      </c>
      <c r="I315" s="6"/>
      <c r="J315" s="9"/>
    </row>
    <row r="316" spans="1:10" ht="12" customHeight="1" x14ac:dyDescent="0.3">
      <c r="A316" s="4">
        <v>1671</v>
      </c>
      <c r="B316" s="6">
        <f>VLOOKUP(TABLA_PRECIOS[Código],LISTADO_PRODUCTOS[#All],2)</f>
        <v>54487</v>
      </c>
      <c r="C316" s="6" t="str">
        <f>VLOOKUP(TABLA_PRECIOS[Código],LISTADO_PRODUCTOS[#All],3)</f>
        <v>LIBRERÍA</v>
      </c>
      <c r="D316" s="6" t="str">
        <f>VLOOKUP(TABLA_PRECIOS[Código],LISTADO_PRODUCTOS[#All],4)</f>
        <v>Block Muresco Kraft x 30h Muresco</v>
      </c>
      <c r="E316" s="6" t="str">
        <f>VLOOKUP(TABLA_PRECIOS[Código],LISTADO_PRODUCTOS[#All],5)</f>
        <v>N/A</v>
      </c>
      <c r="F316" s="4">
        <v>1</v>
      </c>
      <c r="G316" s="4">
        <v>1</v>
      </c>
      <c r="H316" s="6">
        <v>1</v>
      </c>
      <c r="I316" s="6"/>
      <c r="J316" s="9"/>
    </row>
    <row r="317" spans="1:10" ht="12" customHeight="1" x14ac:dyDescent="0.3">
      <c r="A317" s="4">
        <v>1672</v>
      </c>
      <c r="B317" s="6">
        <f>VLOOKUP(TABLA_PRECIOS[Código],LISTADO_PRODUCTOS[#All],2)</f>
        <v>54488</v>
      </c>
      <c r="C317" s="6" t="str">
        <f>VLOOKUP(TABLA_PRECIOS[Código],LISTADO_PRODUCTOS[#All],3)</f>
        <v>LIBRERÍA</v>
      </c>
      <c r="D317" s="6" t="str">
        <f>VLOOKUP(TABLA_PRECIOS[Código],LISTADO_PRODUCTOS[#All],4)</f>
        <v>Marcadores Mooving Resaltador PWR Chic cuerpo triangular</v>
      </c>
      <c r="E317" s="6" t="str">
        <f>VLOOKUP(TABLA_PRECIOS[Código],LISTADO_PRODUCTOS[#All],5)</f>
        <v>N/A</v>
      </c>
      <c r="F317" s="4">
        <v>1</v>
      </c>
      <c r="G317" s="4">
        <v>1</v>
      </c>
      <c r="H317" s="6">
        <v>1</v>
      </c>
      <c r="I317" s="6"/>
      <c r="J317" s="9"/>
    </row>
    <row r="318" spans="1:10" ht="12" customHeight="1" x14ac:dyDescent="0.3">
      <c r="A318" s="4">
        <v>1674</v>
      </c>
      <c r="B318" s="6">
        <f>VLOOKUP(TABLA_PRECIOS[Código],LISTADO_PRODUCTOS[#All],2)</f>
        <v>54489</v>
      </c>
      <c r="C318" s="6" t="str">
        <f>VLOOKUP(TABLA_PRECIOS[Código],LISTADO_PRODUCTOS[#All],3)</f>
        <v>LIBRERÍA</v>
      </c>
      <c r="D318" s="6" t="str">
        <f>VLOOKUP(TABLA_PRECIOS[Código],LISTADO_PRODUCTOS[#All],4)</f>
        <v>Microfibra Mooving punta metalica 0.4mm estuche x 10u</v>
      </c>
      <c r="E318" s="6" t="str">
        <f>VLOOKUP(TABLA_PRECIOS[Código],LISTADO_PRODUCTOS[#All],5)</f>
        <v>N/A</v>
      </c>
      <c r="F318" s="4">
        <v>1</v>
      </c>
      <c r="G318" s="4">
        <v>1</v>
      </c>
      <c r="H318" s="6">
        <v>1</v>
      </c>
      <c r="I318" s="6"/>
      <c r="J318" s="9"/>
    </row>
    <row r="319" spans="1:10" ht="12" customHeight="1" x14ac:dyDescent="0.3">
      <c r="A319" s="4">
        <v>1675</v>
      </c>
      <c r="B319" s="6">
        <f>VLOOKUP(TABLA_PRECIOS[Código],LISTADO_PRODUCTOS[#All],2)</f>
        <v>54490</v>
      </c>
      <c r="C319" s="6" t="str">
        <f>VLOOKUP(TABLA_PRECIOS[Código],LISTADO_PRODUCTOS[#All],3)</f>
        <v>LIBRERÍA</v>
      </c>
      <c r="D319" s="6" t="str">
        <f>VLOOKUP(TABLA_PRECIOS[Código],LISTADO_PRODUCTOS[#All],4)</f>
        <v>Marcador Pizzini para vidrio x 9 colores</v>
      </c>
      <c r="E319" s="6" t="str">
        <f>VLOOKUP(TABLA_PRECIOS[Código],LISTADO_PRODUCTOS[#All],5)</f>
        <v>N/A</v>
      </c>
      <c r="F319" s="4">
        <v>1</v>
      </c>
      <c r="G319" s="4">
        <v>1</v>
      </c>
      <c r="H319" s="6">
        <v>1</v>
      </c>
      <c r="I319" s="6"/>
      <c r="J319" s="9"/>
    </row>
    <row r="320" spans="1:10" ht="12" customHeight="1" x14ac:dyDescent="0.3">
      <c r="A320" s="4">
        <v>1676</v>
      </c>
      <c r="B320" s="6">
        <f>VLOOKUP(TABLA_PRECIOS[Código],LISTADO_PRODUCTOS[#All],2)</f>
        <v>54491</v>
      </c>
      <c r="C320" s="6" t="str">
        <f>VLOOKUP(TABLA_PRECIOS[Código],LISTADO_PRODUCTOS[#All],3)</f>
        <v>LIBRERÍA</v>
      </c>
      <c r="D320" s="6" t="str">
        <f>VLOOKUP(TABLA_PRECIOS[Código],LISTADO_PRODUCTOS[#All],4)</f>
        <v xml:space="preserve">Marcador Maped Window Color Peps para vidrio </v>
      </c>
      <c r="E320" s="6" t="str">
        <f>VLOOKUP(TABLA_PRECIOS[Código],LISTADO_PRODUCTOS[#All],5)</f>
        <v>N/A</v>
      </c>
      <c r="F320" s="4">
        <v>1</v>
      </c>
      <c r="G320" s="4">
        <v>1</v>
      </c>
      <c r="H320" s="6">
        <v>1</v>
      </c>
      <c r="I320" s="6"/>
      <c r="J320" s="9"/>
    </row>
    <row r="321" spans="1:10" ht="12" customHeight="1" x14ac:dyDescent="0.3">
      <c r="A321" s="4">
        <v>1678</v>
      </c>
      <c r="B321" s="6">
        <f>VLOOKUP(TABLA_PRECIOS[Código],LISTADO_PRODUCTOS[#All],2)</f>
        <v>54492</v>
      </c>
      <c r="C321" s="6" t="str">
        <f>VLOOKUP(TABLA_PRECIOS[Código],LISTADO_PRODUCTOS[#All],3)</f>
        <v>LIBRERÍA</v>
      </c>
      <c r="D321" s="6" t="str">
        <f>VLOOKUP(TABLA_PRECIOS[Código],LISTADO_PRODUCTOS[#All],4)</f>
        <v>Goma de Borrar Dos Banderas 3036/ Minigoma Giotto Pastel</v>
      </c>
      <c r="E321" s="6" t="str">
        <f>VLOOKUP(TABLA_PRECIOS[Código],LISTADO_PRODUCTOS[#All],5)</f>
        <v>N/A</v>
      </c>
      <c r="F321" s="4">
        <v>1</v>
      </c>
      <c r="G321" s="4">
        <v>1</v>
      </c>
      <c r="H321" s="6">
        <v>1</v>
      </c>
      <c r="I321" s="6"/>
      <c r="J321" s="9"/>
    </row>
    <row r="322" spans="1:10" ht="12" customHeight="1" x14ac:dyDescent="0.3">
      <c r="A322" s="4">
        <v>1681</v>
      </c>
      <c r="B322" s="6">
        <f>VLOOKUP(TABLA_PRECIOS[Código],LISTADO_PRODUCTOS[#All],2)</f>
        <v>54493</v>
      </c>
      <c r="C322" s="6" t="str">
        <f>VLOOKUP(TABLA_PRECIOS[Código],LISTADO_PRODUCTOS[#All],3)</f>
        <v>LIBRERÍA</v>
      </c>
      <c r="D322" s="6" t="str">
        <f>VLOOKUP(TABLA_PRECIOS[Código],LISTADO_PRODUCTOS[#All],4)</f>
        <v>Boligrafo Paper mate kilometrico economico</v>
      </c>
      <c r="E322" s="6" t="str">
        <f>VLOOKUP(TABLA_PRECIOS[Código],LISTADO_PRODUCTOS[#All],5)</f>
        <v>N/A</v>
      </c>
      <c r="F322" s="4">
        <v>1</v>
      </c>
      <c r="G322" s="4">
        <v>1</v>
      </c>
      <c r="H322" s="6">
        <v>1</v>
      </c>
      <c r="I322" s="6"/>
      <c r="J322" s="9"/>
    </row>
    <row r="323" spans="1:10" ht="12" customHeight="1" x14ac:dyDescent="0.3">
      <c r="A323" s="4">
        <v>1684</v>
      </c>
      <c r="B323" s="6">
        <f>VLOOKUP(TABLA_PRECIOS[Código],LISTADO_PRODUCTOS[#All],2)</f>
        <v>54494</v>
      </c>
      <c r="C323" s="6" t="str">
        <f>VLOOKUP(TABLA_PRECIOS[Código],LISTADO_PRODUCTOS[#All],3)</f>
        <v>LIBRERÍA</v>
      </c>
      <c r="D323" s="6" t="str">
        <f>VLOOKUP(TABLA_PRECIOS[Código],LISTADO_PRODUCTOS[#All],4)</f>
        <v>Regla Flexible DELI 20cm</v>
      </c>
      <c r="E323" s="6" t="str">
        <f>VLOOKUP(TABLA_PRECIOS[Código],LISTADO_PRODUCTOS[#All],5)</f>
        <v>N/A</v>
      </c>
      <c r="F323" s="4">
        <v>1</v>
      </c>
      <c r="G323" s="4">
        <v>1</v>
      </c>
      <c r="H323" s="6">
        <v>1</v>
      </c>
      <c r="I323" s="6"/>
      <c r="J323" s="9"/>
    </row>
    <row r="324" spans="1:10" ht="12" customHeight="1" x14ac:dyDescent="0.3">
      <c r="A324" s="4">
        <v>1685</v>
      </c>
      <c r="B324" s="6">
        <f>VLOOKUP(TABLA_PRECIOS[Código],LISTADO_PRODUCTOS[#All],2)</f>
        <v>54495</v>
      </c>
      <c r="C324" s="6" t="str">
        <f>VLOOKUP(TABLA_PRECIOS[Código],LISTADO_PRODUCTOS[#All],3)</f>
        <v>LIBRERÍA</v>
      </c>
      <c r="D324" s="6" t="str">
        <f>VLOOKUP(TABLA_PRECIOS[Código],LISTADO_PRODUCTOS[#All],4)</f>
        <v>Boligrafo Maped Visio Pen p/zurdos</v>
      </c>
      <c r="E324" s="6" t="str">
        <f>VLOOKUP(TABLA_PRECIOS[Código],LISTADO_PRODUCTOS[#All],5)</f>
        <v>N/A</v>
      </c>
      <c r="F324" s="4">
        <v>1</v>
      </c>
      <c r="G324" s="4">
        <v>1</v>
      </c>
      <c r="H324" s="6">
        <v>1</v>
      </c>
      <c r="I324" s="6"/>
      <c r="J324" s="9"/>
    </row>
    <row r="325" spans="1:10" ht="12" customHeight="1" x14ac:dyDescent="0.3">
      <c r="A325" s="4">
        <v>1686</v>
      </c>
      <c r="B325" s="6">
        <f>VLOOKUP(TABLA_PRECIOS[Código],LISTADO_PRODUCTOS[#All],2)</f>
        <v>54496</v>
      </c>
      <c r="C325" s="6" t="str">
        <f>VLOOKUP(TABLA_PRECIOS[Código],LISTADO_PRODUCTOS[#All],3)</f>
        <v>LIBRERÍA</v>
      </c>
      <c r="D325" s="6" t="str">
        <f>VLOOKUP(TABLA_PRECIOS[Código],LISTADO_PRODUCTOS[#All],4)</f>
        <v>Lapices de colores Mooving Inseparables x 12 Doble punta (24 colore)</v>
      </c>
      <c r="E325" s="6" t="str">
        <f>VLOOKUP(TABLA_PRECIOS[Código],LISTADO_PRODUCTOS[#All],5)</f>
        <v>N/A</v>
      </c>
      <c r="F325" s="4">
        <v>1</v>
      </c>
      <c r="G325" s="4">
        <v>1</v>
      </c>
      <c r="H325" s="6">
        <v>1</v>
      </c>
      <c r="I325" s="6"/>
      <c r="J325" s="9"/>
    </row>
    <row r="326" spans="1:10" ht="12" customHeight="1" x14ac:dyDescent="0.3">
      <c r="A326" s="4">
        <v>1687</v>
      </c>
      <c r="B326" s="6">
        <f>VLOOKUP(TABLA_PRECIOS[Código],LISTADO_PRODUCTOS[#All],2)</f>
        <v>54497</v>
      </c>
      <c r="C326" s="6" t="str">
        <f>VLOOKUP(TABLA_PRECIOS[Código],LISTADO_PRODUCTOS[#All],3)</f>
        <v>LIBRERÍA</v>
      </c>
      <c r="D326" s="6" t="str">
        <f>VLOOKUP(TABLA_PRECIOS[Código],LISTADO_PRODUCTOS[#All],4)</f>
        <v xml:space="preserve">Goma Maped Technic Duo  </v>
      </c>
      <c r="E326" s="6" t="str">
        <f>VLOOKUP(TABLA_PRECIOS[Código],LISTADO_PRODUCTOS[#All],5)</f>
        <v>N/A</v>
      </c>
      <c r="F326" s="4">
        <v>1</v>
      </c>
      <c r="G326" s="4">
        <v>1</v>
      </c>
      <c r="H326" s="6">
        <v>1</v>
      </c>
      <c r="I326" s="6"/>
      <c r="J326" s="9"/>
    </row>
    <row r="327" spans="1:10" ht="12" customHeight="1" x14ac:dyDescent="0.3">
      <c r="A327" s="4">
        <v>1688</v>
      </c>
      <c r="B327" s="6">
        <f>VLOOKUP(TABLA_PRECIOS[Código],LISTADO_PRODUCTOS[#All],2)</f>
        <v>54498</v>
      </c>
      <c r="C327" s="6" t="str">
        <f>VLOOKUP(TABLA_PRECIOS[Código],LISTADO_PRODUCTOS[#All],3)</f>
        <v>LIBRERÍA</v>
      </c>
      <c r="D327" s="6" t="str">
        <f>VLOOKUP(TABLA_PRECIOS[Código],LISTADO_PRODUCTOS[#All],4)</f>
        <v>Cuaderno rivadavia  60h Tapa semi rigida metalizada ABC 21x27</v>
      </c>
      <c r="E327" s="6" t="str">
        <f>VLOOKUP(TABLA_PRECIOS[Código],LISTADO_PRODUCTOS[#All],5)</f>
        <v>N/A</v>
      </c>
      <c r="F327" s="4">
        <v>1</v>
      </c>
      <c r="G327" s="4">
        <v>1</v>
      </c>
      <c r="H327" s="6">
        <v>1</v>
      </c>
      <c r="I327" s="6"/>
      <c r="J327" s="9"/>
    </row>
    <row r="328" spans="1:10" ht="12" customHeight="1" x14ac:dyDescent="0.3">
      <c r="A328" s="4">
        <v>1689</v>
      </c>
      <c r="B328" s="6">
        <f>VLOOKUP(TABLA_PRECIOS[Código],LISTADO_PRODUCTOS[#All],2)</f>
        <v>54499</v>
      </c>
      <c r="C328" s="6" t="str">
        <f>VLOOKUP(TABLA_PRECIOS[Código],LISTADO_PRODUCTOS[#All],3)</f>
        <v>LIBRERÍA</v>
      </c>
      <c r="D328" s="6" t="str">
        <f>VLOOKUP(TABLA_PRECIOS[Código],LISTADO_PRODUCTOS[#All],4)</f>
        <v>Set de Microfibras Maped Graph peps x 4u</v>
      </c>
      <c r="E328" s="6" t="str">
        <f>VLOOKUP(TABLA_PRECIOS[Código],LISTADO_PRODUCTOS[#All],5)</f>
        <v>N/A</v>
      </c>
      <c r="F328" s="4">
        <v>1</v>
      </c>
      <c r="G328" s="4">
        <v>1</v>
      </c>
      <c r="H328" s="6">
        <v>1</v>
      </c>
      <c r="I328" s="6"/>
      <c r="J328" s="9"/>
    </row>
    <row r="329" spans="1:10" ht="12" customHeight="1" x14ac:dyDescent="0.3">
      <c r="A329" s="4">
        <v>1691</v>
      </c>
      <c r="B329" s="6">
        <f>VLOOKUP(TABLA_PRECIOS[Código],LISTADO_PRODUCTOS[#All],2)</f>
        <v>54500</v>
      </c>
      <c r="C329" s="6" t="str">
        <f>VLOOKUP(TABLA_PRECIOS[Código],LISTADO_PRODUCTOS[#All],3)</f>
        <v>LIBRERÍA</v>
      </c>
      <c r="D329" s="6" t="str">
        <f>VLOOKUP(TABLA_PRECIOS[Código],LISTADO_PRODUCTOS[#All],4)</f>
        <v>Boligrafo Paper Mate Kilometrico 100 3 x $300</v>
      </c>
      <c r="E329" s="6" t="str">
        <f>VLOOKUP(TABLA_PRECIOS[Código],LISTADO_PRODUCTOS[#All],5)</f>
        <v>N/A</v>
      </c>
      <c r="F329" s="4">
        <v>1</v>
      </c>
      <c r="G329" s="4">
        <v>1</v>
      </c>
      <c r="H329" s="6">
        <v>1</v>
      </c>
      <c r="I329" s="6"/>
      <c r="J329" s="9"/>
    </row>
    <row r="330" spans="1:10" ht="12" customHeight="1" x14ac:dyDescent="0.3">
      <c r="A330" s="4">
        <v>1692</v>
      </c>
      <c r="B330" s="6">
        <f>VLOOKUP(TABLA_PRECIOS[Código],LISTADO_PRODUCTOS[#All],2)</f>
        <v>54501</v>
      </c>
      <c r="C330" s="6" t="str">
        <f>VLOOKUP(TABLA_PRECIOS[Código],LISTADO_PRODUCTOS[#All],3)</f>
        <v>LIBRERÍA</v>
      </c>
      <c r="D330" s="6" t="str">
        <f>VLOOKUP(TABLA_PRECIOS[Código],LISTADO_PRODUCTOS[#All],4)</f>
        <v>Microfibra Maped Graph Peps fine 0.4</v>
      </c>
      <c r="E330" s="6" t="str">
        <f>VLOOKUP(TABLA_PRECIOS[Código],LISTADO_PRODUCTOS[#All],5)</f>
        <v>N/A</v>
      </c>
      <c r="F330" s="4">
        <v>1</v>
      </c>
      <c r="G330" s="4">
        <v>1</v>
      </c>
      <c r="H330" s="6">
        <v>1</v>
      </c>
      <c r="I330" s="6"/>
      <c r="J330" s="9"/>
    </row>
    <row r="331" spans="1:10" ht="12" customHeight="1" x14ac:dyDescent="0.3">
      <c r="A331" s="4">
        <v>1693</v>
      </c>
      <c r="B331" s="6">
        <f>VLOOKUP(TABLA_PRECIOS[Código],LISTADO_PRODUCTOS[#All],2)</f>
        <v>54502</v>
      </c>
      <c r="C331" s="6" t="str">
        <f>VLOOKUP(TABLA_PRECIOS[Código],LISTADO_PRODUCTOS[#All],3)</f>
        <v>LIBRERÍA</v>
      </c>
      <c r="D331" s="6" t="str">
        <f>VLOOKUP(TABLA_PRECIOS[Código],LISTADO_PRODUCTOS[#All],4)</f>
        <v>Block N°6 Luma Blanco</v>
      </c>
      <c r="E331" s="6" t="str">
        <f>VLOOKUP(TABLA_PRECIOS[Código],LISTADO_PRODUCTOS[#All],5)</f>
        <v>N/A</v>
      </c>
      <c r="F331" s="4">
        <v>1</v>
      </c>
      <c r="G331" s="4">
        <v>1</v>
      </c>
      <c r="H331" s="6">
        <v>1</v>
      </c>
      <c r="I331" s="6"/>
      <c r="J331" s="9"/>
    </row>
    <row r="332" spans="1:10" ht="12" customHeight="1" x14ac:dyDescent="0.3">
      <c r="A332" s="4">
        <v>1694</v>
      </c>
      <c r="B332" s="6">
        <f>VLOOKUP(TABLA_PRECIOS[Código],LISTADO_PRODUCTOS[#All],2)</f>
        <v>54503</v>
      </c>
      <c r="C332" s="6" t="str">
        <f>VLOOKUP(TABLA_PRECIOS[Código],LISTADO_PRODUCTOS[#All],3)</f>
        <v>LIBRERÍA</v>
      </c>
      <c r="D332" s="6" t="str">
        <f>VLOOKUP(TABLA_PRECIOS[Código],LISTADO_PRODUCTOS[#All],4)</f>
        <v>Microfibra Maped Graph Peps Colores vivos x 4</v>
      </c>
      <c r="E332" s="6" t="str">
        <f>VLOOKUP(TABLA_PRECIOS[Código],LISTADO_PRODUCTOS[#All],5)</f>
        <v>N/A</v>
      </c>
      <c r="F332" s="4">
        <v>1</v>
      </c>
      <c r="G332" s="4">
        <v>1</v>
      </c>
      <c r="H332" s="6">
        <v>1</v>
      </c>
      <c r="I332" s="6"/>
      <c r="J332" s="9"/>
    </row>
    <row r="333" spans="1:10" ht="12" customHeight="1" x14ac:dyDescent="0.3">
      <c r="A333" s="4">
        <v>1698</v>
      </c>
      <c r="B333" s="6">
        <f>VLOOKUP(TABLA_PRECIOS[Código],LISTADO_PRODUCTOS[#All],2)</f>
        <v>54504</v>
      </c>
      <c r="C333" s="6" t="str">
        <f>VLOOKUP(TABLA_PRECIOS[Código],LISTADO_PRODUCTOS[#All],3)</f>
        <v>LIBRERÍA</v>
      </c>
      <c r="D333" s="6" t="str">
        <f>VLOOKUP(TABLA_PRECIOS[Código],LISTADO_PRODUCTOS[#All],4)</f>
        <v>Lupa Maped ergo logic 75mm</v>
      </c>
      <c r="E333" s="6" t="str">
        <f>VLOOKUP(TABLA_PRECIOS[Código],LISTADO_PRODUCTOS[#All],5)</f>
        <v>N/A</v>
      </c>
      <c r="F333" s="4">
        <v>1</v>
      </c>
      <c r="G333" s="4">
        <v>1</v>
      </c>
      <c r="H333" s="6">
        <v>1</v>
      </c>
      <c r="I333" s="6"/>
      <c r="J333" s="9"/>
    </row>
    <row r="334" spans="1:10" ht="12" customHeight="1" x14ac:dyDescent="0.3">
      <c r="A334" s="4">
        <v>1701</v>
      </c>
      <c r="B334" s="6">
        <f>VLOOKUP(TABLA_PRECIOS[Código],LISTADO_PRODUCTOS[#All],2)</f>
        <v>54505</v>
      </c>
      <c r="C334" s="6" t="str">
        <f>VLOOKUP(TABLA_PRECIOS[Código],LISTADO_PRODUCTOS[#All],3)</f>
        <v>LIBRERÍA</v>
      </c>
      <c r="D334" s="6" t="str">
        <f>VLOOKUP(TABLA_PRECIOS[Código],LISTADO_PRODUCTOS[#All],4)</f>
        <v>Canopla Mooving estilo Trend Pastel 1522210</v>
      </c>
      <c r="E334" s="6" t="str">
        <f>VLOOKUP(TABLA_PRECIOS[Código],LISTADO_PRODUCTOS[#All],5)</f>
        <v>N/A</v>
      </c>
      <c r="F334" s="4">
        <v>1</v>
      </c>
      <c r="G334" s="4">
        <v>1</v>
      </c>
      <c r="H334" s="6">
        <v>1</v>
      </c>
      <c r="I334" s="6"/>
      <c r="J334" s="9"/>
    </row>
    <row r="335" spans="1:10" ht="12" customHeight="1" x14ac:dyDescent="0.3">
      <c r="A335" s="4">
        <v>1709</v>
      </c>
      <c r="B335" s="6">
        <f>VLOOKUP(TABLA_PRECIOS[Código],LISTADO_PRODUCTOS[#All],2)</f>
        <v>54506</v>
      </c>
      <c r="C335" s="6" t="str">
        <f>VLOOKUP(TABLA_PRECIOS[Código],LISTADO_PRODUCTOS[#All],3)</f>
        <v>LIBRERÍA</v>
      </c>
      <c r="D335" s="6" t="str">
        <f>VLOOKUP(TABLA_PRECIOS[Código],LISTADO_PRODUCTOS[#All],4)</f>
        <v>Folio Reforzado Borde color Luma N°3</v>
      </c>
      <c r="E335" s="6" t="str">
        <f>VLOOKUP(TABLA_PRECIOS[Código],LISTADO_PRODUCTOS[#All],5)</f>
        <v>N/A</v>
      </c>
      <c r="F335" s="4">
        <v>1</v>
      </c>
      <c r="G335" s="4">
        <v>1</v>
      </c>
      <c r="H335" s="6">
        <v>1</v>
      </c>
      <c r="I335" s="6"/>
      <c r="J335" s="9"/>
    </row>
    <row r="336" spans="1:10" ht="12" customHeight="1" x14ac:dyDescent="0.3">
      <c r="A336" s="4">
        <v>1713</v>
      </c>
      <c r="B336" s="6">
        <f>VLOOKUP(TABLA_PRECIOS[Código],LISTADO_PRODUCTOS[#All],2)</f>
        <v>54507</v>
      </c>
      <c r="C336" s="6" t="str">
        <f>VLOOKUP(TABLA_PRECIOS[Código],LISTADO_PRODUCTOS[#All],3)</f>
        <v>LIBRERÍA</v>
      </c>
      <c r="D336" s="6" t="str">
        <f>VLOOKUP(TABLA_PRECIOS[Código],LISTADO_PRODUCTOS[#All],4)</f>
        <v>Carpeta para aros Ota Lama A4 Carpeta N°4</v>
      </c>
      <c r="E336" s="6" t="str">
        <f>VLOOKUP(TABLA_PRECIOS[Código],LISTADO_PRODUCTOS[#All],5)</f>
        <v>N/A</v>
      </c>
      <c r="F336" s="4">
        <v>1</v>
      </c>
      <c r="G336" s="4">
        <v>1</v>
      </c>
      <c r="H336" s="6">
        <v>1</v>
      </c>
      <c r="I336" s="6"/>
      <c r="J336" s="9"/>
    </row>
    <row r="337" spans="1:10" ht="12" customHeight="1" x14ac:dyDescent="0.3">
      <c r="A337" s="4">
        <v>1717</v>
      </c>
      <c r="B337" s="6">
        <f>VLOOKUP(TABLA_PRECIOS[Código],LISTADO_PRODUCTOS[#All],2)</f>
        <v>54508</v>
      </c>
      <c r="C337" s="6" t="str">
        <f>VLOOKUP(TABLA_PRECIOS[Código],LISTADO_PRODUCTOS[#All],3)</f>
        <v>LIBRERÍA</v>
      </c>
      <c r="D337" s="6" t="str">
        <f>VLOOKUP(TABLA_PRECIOS[Código],LISTADO_PRODUCTOS[#All],4)</f>
        <v>Marcador doble punta Filgo Permanente 042</v>
      </c>
      <c r="E337" s="6" t="str">
        <f>VLOOKUP(TABLA_PRECIOS[Código],LISTADO_PRODUCTOS[#All],5)</f>
        <v>N/A</v>
      </c>
      <c r="F337" s="4">
        <v>1</v>
      </c>
      <c r="G337" s="4">
        <v>1</v>
      </c>
      <c r="H337" s="6">
        <v>1</v>
      </c>
      <c r="I337" s="6"/>
      <c r="J337" s="9"/>
    </row>
    <row r="338" spans="1:10" ht="12" customHeight="1" x14ac:dyDescent="0.3">
      <c r="A338" s="4">
        <v>1718</v>
      </c>
      <c r="B338" s="6">
        <f>VLOOKUP(TABLA_PRECIOS[Código],LISTADO_PRODUCTOS[#All],2)</f>
        <v>54509</v>
      </c>
      <c r="C338" s="6" t="str">
        <f>VLOOKUP(TABLA_PRECIOS[Código],LISTADO_PRODUCTOS[#All],3)</f>
        <v>LIBRERÍA</v>
      </c>
      <c r="D338" s="6" t="str">
        <f>VLOOKUP(TABLA_PRECIOS[Código],LISTADO_PRODUCTOS[#All],4)</f>
        <v>Cuaderno Tapa dura A4 AB7 Laprida 21x27 60h</v>
      </c>
      <c r="E338" s="6" t="str">
        <f>VLOOKUP(TABLA_PRECIOS[Código],LISTADO_PRODUCTOS[#All],5)</f>
        <v>N/A</v>
      </c>
      <c r="F338" s="4">
        <v>1</v>
      </c>
      <c r="G338" s="4">
        <v>1</v>
      </c>
      <c r="H338" s="6">
        <v>1</v>
      </c>
      <c r="I338" s="6"/>
      <c r="J338" s="9"/>
    </row>
    <row r="339" spans="1:10" ht="12" customHeight="1" x14ac:dyDescent="0.3">
      <c r="A339" s="4">
        <v>1719</v>
      </c>
      <c r="B339" s="6">
        <f>VLOOKUP(TABLA_PRECIOS[Código],LISTADO_PRODUCTOS[#All],2)</f>
        <v>54510</v>
      </c>
      <c r="C339" s="6" t="str">
        <f>VLOOKUP(TABLA_PRECIOS[Código],LISTADO_PRODUCTOS[#All],3)</f>
        <v>LIBRERÍA</v>
      </c>
      <c r="D339" s="6" t="str">
        <f>VLOOKUP(TABLA_PRECIOS[Código],LISTADO_PRODUCTOS[#All],4)</f>
        <v>Roller Mooving tinta Gel Silky Glitter x5</v>
      </c>
      <c r="E339" s="6" t="str">
        <f>VLOOKUP(TABLA_PRECIOS[Código],LISTADO_PRODUCTOS[#All],5)</f>
        <v>N/A</v>
      </c>
      <c r="F339" s="4">
        <v>1</v>
      </c>
      <c r="G339" s="4">
        <v>1</v>
      </c>
      <c r="H339" s="6">
        <v>1</v>
      </c>
      <c r="I339" s="6"/>
      <c r="J339" s="9"/>
    </row>
    <row r="340" spans="1:10" ht="12" customHeight="1" x14ac:dyDescent="0.3">
      <c r="A340" s="4">
        <v>1720</v>
      </c>
      <c r="B340" s="6">
        <f>VLOOKUP(TABLA_PRECIOS[Código],LISTADO_PRODUCTOS[#All],2)</f>
        <v>54511</v>
      </c>
      <c r="C340" s="6" t="str">
        <f>VLOOKUP(TABLA_PRECIOS[Código],LISTADO_PRODUCTOS[#All],3)</f>
        <v>LIBRERÍA</v>
      </c>
      <c r="D340" s="6" t="str">
        <f>VLOOKUP(TABLA_PRECIOS[Código],LISTADO_PRODUCTOS[#All],4)</f>
        <v>Boligrafo Gel Glitter Simball x 5u</v>
      </c>
      <c r="E340" s="6" t="str">
        <f>VLOOKUP(TABLA_PRECIOS[Código],LISTADO_PRODUCTOS[#All],5)</f>
        <v>N/A</v>
      </c>
      <c r="F340" s="4">
        <v>1</v>
      </c>
      <c r="G340" s="4">
        <v>1</v>
      </c>
      <c r="H340" s="6">
        <v>1</v>
      </c>
      <c r="I340" s="6"/>
      <c r="J340" s="9"/>
    </row>
    <row r="341" spans="1:10" ht="12" customHeight="1" x14ac:dyDescent="0.3">
      <c r="A341" s="4">
        <v>1721</v>
      </c>
      <c r="B341" s="6">
        <f>VLOOKUP(TABLA_PRECIOS[Código],LISTADO_PRODUCTOS[#All],2)</f>
        <v>54512</v>
      </c>
      <c r="C341" s="6" t="str">
        <f>VLOOKUP(TABLA_PRECIOS[Código],LISTADO_PRODUCTOS[#All],3)</f>
        <v>LIBRERÍA</v>
      </c>
      <c r="D341" s="6" t="str">
        <f>VLOOKUP(TABLA_PRECIOS[Código],LISTADO_PRODUCTOS[#All],4)</f>
        <v>Señaladore Deli Index Tab 100x4</v>
      </c>
      <c r="E341" s="6" t="str">
        <f>VLOOKUP(TABLA_PRECIOS[Código],LISTADO_PRODUCTOS[#All],5)</f>
        <v>N/A</v>
      </c>
      <c r="F341" s="4">
        <v>1</v>
      </c>
      <c r="G341" s="4">
        <v>1</v>
      </c>
      <c r="H341" s="6">
        <v>1</v>
      </c>
      <c r="I341" s="6"/>
      <c r="J341" s="9"/>
    </row>
    <row r="342" spans="1:10" ht="12" customHeight="1" x14ac:dyDescent="0.3">
      <c r="A342" s="4">
        <v>1722</v>
      </c>
      <c r="B342" s="6">
        <f>VLOOKUP(TABLA_PRECIOS[Código],LISTADO_PRODUCTOS[#All],2)</f>
        <v>54513</v>
      </c>
      <c r="C342" s="6" t="str">
        <f>VLOOKUP(TABLA_PRECIOS[Código],LISTADO_PRODUCTOS[#All],3)</f>
        <v>LIBRERÍA</v>
      </c>
      <c r="D342" s="6" t="str">
        <f>VLOOKUP(TABLA_PRECIOS[Código],LISTADO_PRODUCTOS[#All],4)</f>
        <v>Blister boligrafo Paper mate Ink Joy x8u</v>
      </c>
      <c r="E342" s="6" t="str">
        <f>VLOOKUP(TABLA_PRECIOS[Código],LISTADO_PRODUCTOS[#All],5)</f>
        <v>N/A</v>
      </c>
      <c r="F342" s="4">
        <v>1</v>
      </c>
      <c r="G342" s="4">
        <v>1</v>
      </c>
      <c r="H342" s="6">
        <v>1</v>
      </c>
      <c r="I342" s="6"/>
      <c r="J342" s="9"/>
    </row>
    <row r="343" spans="1:10" ht="12" customHeight="1" x14ac:dyDescent="0.3">
      <c r="A343" s="4">
        <v>1723</v>
      </c>
      <c r="B343" s="6">
        <f>VLOOKUP(TABLA_PRECIOS[Código],LISTADO_PRODUCTOS[#All],2)</f>
        <v>54514</v>
      </c>
      <c r="C343" s="6" t="str">
        <f>VLOOKUP(TABLA_PRECIOS[Código],LISTADO_PRODUCTOS[#All],3)</f>
        <v>LIBRERÍA</v>
      </c>
      <c r="D343" s="6" t="str">
        <f>VLOOKUP(TABLA_PRECIOS[Código],LISTADO_PRODUCTOS[#All],4)</f>
        <v>Pizarra blanca 30x40 Marco metal</v>
      </c>
      <c r="E343" s="6" t="str">
        <f>VLOOKUP(TABLA_PRECIOS[Código],LISTADO_PRODUCTOS[#All],5)</f>
        <v>N/A</v>
      </c>
      <c r="F343" s="4">
        <v>1</v>
      </c>
      <c r="G343" s="4">
        <v>1</v>
      </c>
      <c r="H343" s="6">
        <v>1</v>
      </c>
      <c r="I343" s="6"/>
      <c r="J343" s="9"/>
    </row>
    <row r="344" spans="1:10" ht="12" customHeight="1" x14ac:dyDescent="0.3">
      <c r="A344" s="4">
        <v>2000</v>
      </c>
      <c r="B344" s="6">
        <f>VLOOKUP(TABLA_PRECIOS[Código],LISTADO_PRODUCTOS[#All],2)</f>
        <v>54515</v>
      </c>
      <c r="C344" s="6" t="str">
        <f>VLOOKUP(TABLA_PRECIOS[Código],LISTADO_PRODUCTOS[#All],3)</f>
        <v>PAPELERIA Y ARTISTICA</v>
      </c>
      <c r="D344" s="6" t="str">
        <f>VLOOKUP(TABLA_PRECIOS[Código],LISTADO_PRODUCTOS[#All],4)</f>
        <v xml:space="preserve">Resma A4 Autor 75g </v>
      </c>
      <c r="E344" s="6" t="str">
        <f>VLOOKUP(TABLA_PRECIOS[Código],LISTADO_PRODUCTOS[#All],5)</f>
        <v>N/A</v>
      </c>
      <c r="F344" s="4">
        <v>1</v>
      </c>
      <c r="G344" s="4">
        <v>1</v>
      </c>
      <c r="H344" s="6">
        <v>1</v>
      </c>
      <c r="I344" s="6"/>
      <c r="J344" s="9"/>
    </row>
    <row r="345" spans="1:10" ht="12" customHeight="1" x14ac:dyDescent="0.3">
      <c r="A345" s="4">
        <v>2001</v>
      </c>
      <c r="B345" s="6">
        <f>VLOOKUP(TABLA_PRECIOS[Código],LISTADO_PRODUCTOS[#All],2)</f>
        <v>54516</v>
      </c>
      <c r="C345" s="6" t="str">
        <f>VLOOKUP(TABLA_PRECIOS[Código],LISTADO_PRODUCTOS[#All],3)</f>
        <v>PAPELERIA Y ARTISTICA</v>
      </c>
      <c r="D345" s="6" t="str">
        <f>VLOOKUP(TABLA_PRECIOS[Código],LISTADO_PRODUCTOS[#All],4)</f>
        <v>Resma A4 Autor 80g</v>
      </c>
      <c r="E345" s="6" t="str">
        <f>VLOOKUP(TABLA_PRECIOS[Código],LISTADO_PRODUCTOS[#All],5)</f>
        <v>N/A</v>
      </c>
      <c r="F345" s="4">
        <v>1</v>
      </c>
      <c r="G345" s="4">
        <v>1</v>
      </c>
      <c r="H345" s="6">
        <v>1</v>
      </c>
      <c r="I345" s="6"/>
      <c r="J345" s="9"/>
    </row>
    <row r="346" spans="1:10" ht="12" customHeight="1" x14ac:dyDescent="0.3">
      <c r="A346" s="4">
        <v>2002</v>
      </c>
      <c r="B346" s="6">
        <f>VLOOKUP(TABLA_PRECIOS[Código],LISTADO_PRODUCTOS[#All],2)</f>
        <v>54517</v>
      </c>
      <c r="C346" s="6" t="str">
        <f>VLOOKUP(TABLA_PRECIOS[Código],LISTADO_PRODUCTOS[#All],3)</f>
        <v>PAPELERIA Y ARTISTICA</v>
      </c>
      <c r="D346" s="6" t="str">
        <f>VLOOKUP(TABLA_PRECIOS[Código],LISTADO_PRODUCTOS[#All],4)</f>
        <v>Resma A4 Autor 90g</v>
      </c>
      <c r="E346" s="6" t="str">
        <f>VLOOKUP(TABLA_PRECIOS[Código],LISTADO_PRODUCTOS[#All],5)</f>
        <v>N/A</v>
      </c>
      <c r="F346" s="4">
        <v>1</v>
      </c>
      <c r="G346" s="4">
        <v>1</v>
      </c>
      <c r="H346" s="6">
        <v>1</v>
      </c>
      <c r="I346" s="6"/>
      <c r="J346" s="9"/>
    </row>
    <row r="347" spans="1:10" ht="12" customHeight="1" x14ac:dyDescent="0.3">
      <c r="A347" s="4">
        <v>2003</v>
      </c>
      <c r="B347" s="6">
        <f>VLOOKUP(TABLA_PRECIOS[Código],LISTADO_PRODUCTOS[#All],2)</f>
        <v>54518</v>
      </c>
      <c r="C347" s="6" t="str">
        <f>VLOOKUP(TABLA_PRECIOS[Código],LISTADO_PRODUCTOS[#All],3)</f>
        <v>PAPELERIA Y ARTISTICA</v>
      </c>
      <c r="D347" s="6" t="str">
        <f>VLOOKUP(TABLA_PRECIOS[Código],LISTADO_PRODUCTOS[#All],4)</f>
        <v>Resma Oficio Autor 75g</v>
      </c>
      <c r="E347" s="6" t="str">
        <f>VLOOKUP(TABLA_PRECIOS[Código],LISTADO_PRODUCTOS[#All],5)</f>
        <v>N/A</v>
      </c>
      <c r="F347" s="4">
        <v>1</v>
      </c>
      <c r="G347" s="4">
        <v>1</v>
      </c>
      <c r="H347" s="6">
        <v>1</v>
      </c>
      <c r="I347" s="6"/>
      <c r="J347" s="9"/>
    </row>
    <row r="348" spans="1:10" ht="12" customHeight="1" x14ac:dyDescent="0.3">
      <c r="A348" s="4">
        <v>2004</v>
      </c>
      <c r="B348" s="6">
        <f>VLOOKUP(TABLA_PRECIOS[Código],LISTADO_PRODUCTOS[#All],2)</f>
        <v>54519</v>
      </c>
      <c r="C348" s="6" t="str">
        <f>VLOOKUP(TABLA_PRECIOS[Código],LISTADO_PRODUCTOS[#All],3)</f>
        <v>PAPELERIA Y ARTISTICA</v>
      </c>
      <c r="D348" s="6" t="str">
        <f>VLOOKUP(TABLA_PRECIOS[Código],LISTADO_PRODUCTOS[#All],4)</f>
        <v>Resma Oficio Autor 80g</v>
      </c>
      <c r="E348" s="6" t="str">
        <f>VLOOKUP(TABLA_PRECIOS[Código],LISTADO_PRODUCTOS[#All],5)</f>
        <v>N/A</v>
      </c>
      <c r="F348" s="4">
        <v>1</v>
      </c>
      <c r="G348" s="4">
        <v>1</v>
      </c>
      <c r="H348" s="6">
        <v>1</v>
      </c>
      <c r="I348" s="6"/>
      <c r="J348" s="9"/>
    </row>
    <row r="349" spans="1:10" ht="12" customHeight="1" x14ac:dyDescent="0.3">
      <c r="A349" s="4">
        <v>2005</v>
      </c>
      <c r="B349" s="6">
        <f>VLOOKUP(TABLA_PRECIOS[Código],LISTADO_PRODUCTOS[#All],2)</f>
        <v>54520</v>
      </c>
      <c r="C349" s="6" t="str">
        <f>VLOOKUP(TABLA_PRECIOS[Código],LISTADO_PRODUCTOS[#All],3)</f>
        <v>PAPELERIA Y ARTISTICA</v>
      </c>
      <c r="D349" s="6" t="str">
        <f>VLOOKUP(TABLA_PRECIOS[Código],LISTADO_PRODUCTOS[#All],4)</f>
        <v>Resma A4 Chamex 75gr</v>
      </c>
      <c r="E349" s="6" t="str">
        <f>VLOOKUP(TABLA_PRECIOS[Código],LISTADO_PRODUCTOS[#All],5)</f>
        <v>N/A</v>
      </c>
      <c r="F349" s="4">
        <v>1</v>
      </c>
      <c r="G349" s="4">
        <v>1</v>
      </c>
      <c r="H349" s="6">
        <v>1</v>
      </c>
      <c r="I349" s="6"/>
      <c r="J349" s="9"/>
    </row>
    <row r="350" spans="1:10" ht="12" customHeight="1" x14ac:dyDescent="0.3">
      <c r="A350" s="4">
        <v>2006</v>
      </c>
      <c r="B350" s="6">
        <f>VLOOKUP(TABLA_PRECIOS[Código],LISTADO_PRODUCTOS[#All],2)</f>
        <v>54521</v>
      </c>
      <c r="C350" s="6" t="str">
        <f>VLOOKUP(TABLA_PRECIOS[Código],LISTADO_PRODUCTOS[#All],3)</f>
        <v>PAPELERIA Y ARTISTICA</v>
      </c>
      <c r="D350" s="6" t="str">
        <f>VLOOKUP(TABLA_PRECIOS[Código],LISTADO_PRODUCTOS[#All],4)</f>
        <v>Resma Ledesma NAT A4</v>
      </c>
      <c r="E350" s="6" t="str">
        <f>VLOOKUP(TABLA_PRECIOS[Código],LISTADO_PRODUCTOS[#All],5)</f>
        <v>N/A</v>
      </c>
      <c r="F350" s="4">
        <v>1</v>
      </c>
      <c r="G350" s="4">
        <v>1</v>
      </c>
      <c r="H350" s="6">
        <v>1</v>
      </c>
      <c r="I350" s="6"/>
      <c r="J350" s="9"/>
    </row>
    <row r="351" spans="1:10" ht="12" customHeight="1" x14ac:dyDescent="0.3">
      <c r="A351" s="4">
        <v>2007</v>
      </c>
      <c r="B351" s="6">
        <f>VLOOKUP(TABLA_PRECIOS[Código],LISTADO_PRODUCTOS[#All],2)</f>
        <v>54522</v>
      </c>
      <c r="C351" s="6" t="str">
        <f>VLOOKUP(TABLA_PRECIOS[Código],LISTADO_PRODUCTOS[#All],3)</f>
        <v>PAPELERIA Y ARTISTICA</v>
      </c>
      <c r="D351" s="6" t="str">
        <f>VLOOKUP(TABLA_PRECIOS[Código],LISTADO_PRODUCTOS[#All],4)</f>
        <v>Resma A4 color autor  x 250h</v>
      </c>
      <c r="E351" s="6" t="str">
        <f>VLOOKUP(TABLA_PRECIOS[Código],LISTADO_PRODUCTOS[#All],5)</f>
        <v>N/A</v>
      </c>
      <c r="F351" s="4">
        <v>1</v>
      </c>
      <c r="G351" s="4">
        <v>1</v>
      </c>
      <c r="H351" s="6">
        <v>1</v>
      </c>
      <c r="I351" s="6"/>
      <c r="J351" s="9"/>
    </row>
    <row r="352" spans="1:10" ht="12" customHeight="1" x14ac:dyDescent="0.3">
      <c r="A352" s="4">
        <v>2008</v>
      </c>
      <c r="B352" s="6">
        <f>VLOOKUP(TABLA_PRECIOS[Código],LISTADO_PRODUCTOS[#All],2)</f>
        <v>54523</v>
      </c>
      <c r="C352" s="6" t="str">
        <f>VLOOKUP(TABLA_PRECIOS[Código],LISTADO_PRODUCTOS[#All],3)</f>
        <v>PAPELERIA Y ARTISTICA</v>
      </c>
      <c r="D352" s="6" t="str">
        <f>VLOOKUP(TABLA_PRECIOS[Código],LISTADO_PRODUCTOS[#All],4)</f>
        <v>Resma Oficio Autor Color</v>
      </c>
      <c r="E352" s="6" t="str">
        <f>VLOOKUP(TABLA_PRECIOS[Código],LISTADO_PRODUCTOS[#All],5)</f>
        <v>N/A</v>
      </c>
      <c r="F352" s="4">
        <v>1</v>
      </c>
      <c r="G352" s="4">
        <v>1</v>
      </c>
      <c r="H352" s="6">
        <v>1</v>
      </c>
      <c r="I352" s="6"/>
      <c r="J352" s="9"/>
    </row>
    <row r="353" spans="1:10" ht="12" customHeight="1" x14ac:dyDescent="0.3">
      <c r="A353" s="4">
        <v>2010</v>
      </c>
      <c r="B353" s="6">
        <f>VLOOKUP(TABLA_PRECIOS[Código],LISTADO_PRODUCTOS[#All],2)</f>
        <v>54524</v>
      </c>
      <c r="C353" s="6" t="str">
        <f>VLOOKUP(TABLA_PRECIOS[Código],LISTADO_PRODUCTOS[#All],3)</f>
        <v>PAPELERIA Y ARTISTICA</v>
      </c>
      <c r="D353" s="6" t="str">
        <f>VLOOKUP(TABLA_PRECIOS[Código],LISTADO_PRODUCTOS[#All],4)</f>
        <v>Resma A4 Husares Fluo colores surtido x 20h</v>
      </c>
      <c r="E353" s="6" t="str">
        <f>VLOOKUP(TABLA_PRECIOS[Código],LISTADO_PRODUCTOS[#All],5)</f>
        <v>N/A</v>
      </c>
      <c r="F353" s="4">
        <v>1</v>
      </c>
      <c r="G353" s="4">
        <v>1</v>
      </c>
      <c r="H353" s="6">
        <v>1</v>
      </c>
      <c r="I353" s="6"/>
      <c r="J353" s="9"/>
    </row>
    <row r="354" spans="1:10" ht="12" customHeight="1" x14ac:dyDescent="0.3">
      <c r="A354" s="4">
        <v>2011</v>
      </c>
      <c r="B354" s="6">
        <f>VLOOKUP(TABLA_PRECIOS[Código],LISTADO_PRODUCTOS[#All],2)</f>
        <v>54525</v>
      </c>
      <c r="C354" s="6" t="str">
        <f>VLOOKUP(TABLA_PRECIOS[Código],LISTADO_PRODUCTOS[#All],3)</f>
        <v>PAPELERIA Y ARTISTICA</v>
      </c>
      <c r="D354" s="6" t="str">
        <f>VLOOKUP(TABLA_PRECIOS[Código],LISTADO_PRODUCTOS[#All],4)</f>
        <v>Palitos Brochet cortos 15cm</v>
      </c>
      <c r="E354" s="6" t="str">
        <f>VLOOKUP(TABLA_PRECIOS[Código],LISTADO_PRODUCTOS[#All],5)</f>
        <v>N/A</v>
      </c>
      <c r="F354" s="4">
        <v>1</v>
      </c>
      <c r="G354" s="4">
        <v>1</v>
      </c>
      <c r="H354" s="6">
        <v>1</v>
      </c>
      <c r="I354" s="6"/>
      <c r="J354" s="9"/>
    </row>
    <row r="355" spans="1:10" ht="12" customHeight="1" x14ac:dyDescent="0.3">
      <c r="A355" s="4">
        <v>2012</v>
      </c>
      <c r="B355" s="6">
        <f>VLOOKUP(TABLA_PRECIOS[Código],LISTADO_PRODUCTOS[#All],2)</f>
        <v>54526</v>
      </c>
      <c r="C355" s="6" t="str">
        <f>VLOOKUP(TABLA_PRECIOS[Código],LISTADO_PRODUCTOS[#All],3)</f>
        <v>PAPELERIA Y ARTISTICA</v>
      </c>
      <c r="D355" s="6" t="str">
        <f>VLOOKUP(TABLA_PRECIOS[Código],LISTADO_PRODUCTOS[#All],4)</f>
        <v>Palito de brochet largo 25cm</v>
      </c>
      <c r="E355" s="6" t="str">
        <f>VLOOKUP(TABLA_PRECIOS[Código],LISTADO_PRODUCTOS[#All],5)</f>
        <v>N/A</v>
      </c>
      <c r="F355" s="4">
        <v>1</v>
      </c>
      <c r="G355" s="4">
        <v>1</v>
      </c>
      <c r="H355" s="6">
        <v>1</v>
      </c>
      <c r="I355" s="6"/>
      <c r="J355" s="9"/>
    </row>
    <row r="356" spans="1:10" ht="12" customHeight="1" x14ac:dyDescent="0.3">
      <c r="A356" s="4">
        <v>2013</v>
      </c>
      <c r="B356" s="6">
        <f>VLOOKUP(TABLA_PRECIOS[Código],LISTADO_PRODUCTOS[#All],2)</f>
        <v>54527</v>
      </c>
      <c r="C356" s="6" t="str">
        <f>VLOOKUP(TABLA_PRECIOS[Código],LISTADO_PRODUCTOS[#All],3)</f>
        <v>PAPELERIA Y ARTISTICA</v>
      </c>
      <c r="D356" s="6" t="str">
        <f>VLOOKUP(TABLA_PRECIOS[Código],LISTADO_PRODUCTOS[#All],4)</f>
        <v>Plastificado en Frio BinderPlus 200gr</v>
      </c>
      <c r="E356" s="6" t="str">
        <f>VLOOKUP(TABLA_PRECIOS[Código],LISTADO_PRODUCTOS[#All],5)</f>
        <v>N/A</v>
      </c>
      <c r="F356" s="4">
        <v>1</v>
      </c>
      <c r="G356" s="4">
        <v>1</v>
      </c>
      <c r="H356" s="6">
        <v>1</v>
      </c>
      <c r="I356" s="6"/>
      <c r="J356" s="9"/>
    </row>
    <row r="357" spans="1:10" ht="12" customHeight="1" x14ac:dyDescent="0.3">
      <c r="A357" s="4">
        <v>2014</v>
      </c>
      <c r="B357" s="6">
        <f>VLOOKUP(TABLA_PRECIOS[Código],LISTADO_PRODUCTOS[#All],2)</f>
        <v>54528</v>
      </c>
      <c r="C357" s="6" t="str">
        <f>VLOOKUP(TABLA_PRECIOS[Código],LISTADO_PRODUCTOS[#All],3)</f>
        <v>PAPELERIA Y ARTISTICA</v>
      </c>
      <c r="D357" s="6" t="str">
        <f>VLOOKUP(TABLA_PRECIOS[Código],LISTADO_PRODUCTOS[#All],4)</f>
        <v xml:space="preserve">Plastificado en Frio LAMA </v>
      </c>
      <c r="E357" s="6" t="str">
        <f>VLOOKUP(TABLA_PRECIOS[Código],LISTADO_PRODUCTOS[#All],5)</f>
        <v>N/A</v>
      </c>
      <c r="F357" s="4">
        <v>1</v>
      </c>
      <c r="G357" s="4">
        <v>1</v>
      </c>
      <c r="H357" s="6">
        <v>1</v>
      </c>
      <c r="I357" s="6"/>
      <c r="J357" s="9"/>
    </row>
    <row r="358" spans="1:10" ht="12" customHeight="1" x14ac:dyDescent="0.3">
      <c r="A358" s="4">
        <v>2018</v>
      </c>
      <c r="B358" s="6">
        <f>VLOOKUP(TABLA_PRECIOS[Código],LISTADO_PRODUCTOS[#All],2)</f>
        <v>54529</v>
      </c>
      <c r="C358" s="6" t="str">
        <f>VLOOKUP(TABLA_PRECIOS[Código],LISTADO_PRODUCTOS[#All],3)</f>
        <v>PAPELERIA Y ARTISTICA</v>
      </c>
      <c r="D358" s="6" t="str">
        <f>VLOOKUP(TABLA_PRECIOS[Código],LISTADO_PRODUCTOS[#All],4)</f>
        <v>Resma Chamex A4 x 500h color</v>
      </c>
      <c r="E358" s="6" t="str">
        <f>VLOOKUP(TABLA_PRECIOS[Código],LISTADO_PRODUCTOS[#All],5)</f>
        <v>N/A</v>
      </c>
      <c r="F358" s="4">
        <v>1</v>
      </c>
      <c r="G358" s="4">
        <v>1</v>
      </c>
      <c r="H358" s="6">
        <v>1</v>
      </c>
      <c r="I358" s="6"/>
      <c r="J358" s="9"/>
    </row>
    <row r="359" spans="1:10" ht="12" customHeight="1" x14ac:dyDescent="0.3">
      <c r="A359" s="4">
        <v>2019</v>
      </c>
      <c r="B359" s="6">
        <f>VLOOKUP(TABLA_PRECIOS[Código],LISTADO_PRODUCTOS[#All],2)</f>
        <v>54530</v>
      </c>
      <c r="C359" s="6" t="str">
        <f>VLOOKUP(TABLA_PRECIOS[Código],LISTADO_PRODUCTOS[#All],3)</f>
        <v>PAPELERIA Y ARTISTICA</v>
      </c>
      <c r="D359" s="6" t="str">
        <f>VLOOKUP(TABLA_PRECIOS[Código],LISTADO_PRODUCTOS[#All],4)</f>
        <v>Papel celofan</v>
      </c>
      <c r="E359" s="6" t="str">
        <f>VLOOKUP(TABLA_PRECIOS[Código],LISTADO_PRODUCTOS[#All],5)</f>
        <v>N/A</v>
      </c>
      <c r="F359" s="4">
        <v>1</v>
      </c>
      <c r="G359" s="4">
        <v>1</v>
      </c>
      <c r="H359" s="6">
        <v>1</v>
      </c>
      <c r="I359" s="6"/>
      <c r="J359" s="9"/>
    </row>
    <row r="360" spans="1:10" ht="12" customHeight="1" x14ac:dyDescent="0.3">
      <c r="A360" s="4">
        <v>2020</v>
      </c>
      <c r="B360" s="6">
        <f>VLOOKUP(TABLA_PRECIOS[Código],LISTADO_PRODUCTOS[#All],2)</f>
        <v>54531</v>
      </c>
      <c r="C360" s="6" t="str">
        <f>VLOOKUP(TABLA_PRECIOS[Código],LISTADO_PRODUCTOS[#All],3)</f>
        <v>PAPELERIA Y ARTISTICA</v>
      </c>
      <c r="D360" s="6" t="str">
        <f>VLOOKUP(TABLA_PRECIOS[Código],LISTADO_PRODUCTOS[#All],4)</f>
        <v>Resma A3 150gr x240h Husares $60 c/u o 4 x $200</v>
      </c>
      <c r="E360" s="6" t="str">
        <f>VLOOKUP(TABLA_PRECIOS[Código],LISTADO_PRODUCTOS[#All],5)</f>
        <v>N/A</v>
      </c>
      <c r="F360" s="4">
        <v>1</v>
      </c>
      <c r="G360" s="4">
        <v>1</v>
      </c>
      <c r="H360" s="6">
        <v>1</v>
      </c>
      <c r="I360" s="6"/>
      <c r="J360" s="9"/>
    </row>
    <row r="361" spans="1:10" ht="12" customHeight="1" x14ac:dyDescent="0.3">
      <c r="A361" s="4">
        <v>2024</v>
      </c>
      <c r="B361" s="6">
        <f>VLOOKUP(TABLA_PRECIOS[Código],LISTADO_PRODUCTOS[#All],2)</f>
        <v>54532</v>
      </c>
      <c r="C361" s="6" t="str">
        <f>VLOOKUP(TABLA_PRECIOS[Código],LISTADO_PRODUCTOS[#All],3)</f>
        <v>PAPELERIA Y ARTISTICA</v>
      </c>
      <c r="D361" s="6" t="str">
        <f>VLOOKUP(TABLA_PRECIOS[Código],LISTADO_PRODUCTOS[#All],4)</f>
        <v xml:space="preserve">Brillantina x5u Fluo </v>
      </c>
      <c r="E361" s="6" t="str">
        <f>VLOOKUP(TABLA_PRECIOS[Código],LISTADO_PRODUCTOS[#All],5)</f>
        <v>N/A</v>
      </c>
      <c r="F361" s="4">
        <v>1</v>
      </c>
      <c r="G361" s="4">
        <v>1</v>
      </c>
      <c r="H361" s="6">
        <v>1</v>
      </c>
      <c r="I361" s="6"/>
      <c r="J361" s="9"/>
    </row>
    <row r="362" spans="1:10" ht="12" customHeight="1" x14ac:dyDescent="0.3">
      <c r="A362" s="4">
        <v>2025</v>
      </c>
      <c r="B362" s="6">
        <f>VLOOKUP(TABLA_PRECIOS[Código],LISTADO_PRODUCTOS[#All],2)</f>
        <v>54533</v>
      </c>
      <c r="C362" s="6" t="str">
        <f>VLOOKUP(TABLA_PRECIOS[Código],LISTADO_PRODUCTOS[#All],3)</f>
        <v>PAPELERIA Y ARTISTICA</v>
      </c>
      <c r="D362" s="6" t="str">
        <f>VLOOKUP(TABLA_PRECIOS[Código],LISTADO_PRODUCTOS[#All],4)</f>
        <v>Brillantina x 5u</v>
      </c>
      <c r="E362" s="6" t="str">
        <f>VLOOKUP(TABLA_PRECIOS[Código],LISTADO_PRODUCTOS[#All],5)</f>
        <v>N/A</v>
      </c>
      <c r="F362" s="4">
        <v>1</v>
      </c>
      <c r="G362" s="4">
        <v>1</v>
      </c>
      <c r="H362" s="6">
        <v>1</v>
      </c>
      <c r="I362" s="6"/>
      <c r="J362" s="9"/>
    </row>
    <row r="363" spans="1:10" ht="12" customHeight="1" x14ac:dyDescent="0.3">
      <c r="A363" s="4">
        <v>2026</v>
      </c>
      <c r="B363" s="6">
        <f>VLOOKUP(TABLA_PRECIOS[Código],LISTADO_PRODUCTOS[#All],2)</f>
        <v>54534</v>
      </c>
      <c r="C363" s="6" t="str">
        <f>VLOOKUP(TABLA_PRECIOS[Código],LISTADO_PRODUCTOS[#All],3)</f>
        <v>PAPELERIA Y ARTISTICA</v>
      </c>
      <c r="D363" s="6" t="str">
        <f>VLOOKUP(TABLA_PRECIOS[Código],LISTADO_PRODUCTOS[#All],4)</f>
        <v xml:space="preserve">Papel madera </v>
      </c>
      <c r="E363" s="6" t="str">
        <f>VLOOKUP(TABLA_PRECIOS[Código],LISTADO_PRODUCTOS[#All],5)</f>
        <v>N/A</v>
      </c>
      <c r="F363" s="4">
        <v>1</v>
      </c>
      <c r="G363" s="4">
        <v>1</v>
      </c>
      <c r="H363" s="6">
        <v>1</v>
      </c>
      <c r="I363" s="6"/>
      <c r="J363" s="9"/>
    </row>
    <row r="364" spans="1:10" ht="12" customHeight="1" x14ac:dyDescent="0.3">
      <c r="A364" s="4">
        <v>2027</v>
      </c>
      <c r="B364" s="6">
        <f>VLOOKUP(TABLA_PRECIOS[Código],LISTADO_PRODUCTOS[#All],2)</f>
        <v>54535</v>
      </c>
      <c r="C364" s="6" t="str">
        <f>VLOOKUP(TABLA_PRECIOS[Código],LISTADO_PRODUCTOS[#All],3)</f>
        <v>PAPELERIA Y ARTISTICA</v>
      </c>
      <c r="D364" s="6" t="str">
        <f>VLOOKUP(TABLA_PRECIOS[Código],LISTADO_PRODUCTOS[#All],4)</f>
        <v xml:space="preserve">Cartulina Comun </v>
      </c>
      <c r="E364" s="6" t="str">
        <f>VLOOKUP(TABLA_PRECIOS[Código],LISTADO_PRODUCTOS[#All],5)</f>
        <v>N/A</v>
      </c>
      <c r="F364" s="4">
        <v>1</v>
      </c>
      <c r="G364" s="4">
        <v>1</v>
      </c>
      <c r="H364" s="6">
        <v>1</v>
      </c>
      <c r="I364" s="6"/>
      <c r="J364" s="9"/>
    </row>
    <row r="365" spans="1:10" ht="12" customHeight="1" x14ac:dyDescent="0.3">
      <c r="A365" s="4">
        <v>2028</v>
      </c>
      <c r="B365" s="6">
        <f>VLOOKUP(TABLA_PRECIOS[Código],LISTADO_PRODUCTOS[#All],2)</f>
        <v>54536</v>
      </c>
      <c r="C365" s="6" t="str">
        <f>VLOOKUP(TABLA_PRECIOS[Código],LISTADO_PRODUCTOS[#All],3)</f>
        <v>PAPELERIA Y ARTISTICA</v>
      </c>
      <c r="D365" s="6" t="str">
        <f>VLOOKUP(TABLA_PRECIOS[Código],LISTADO_PRODUCTOS[#All],4)</f>
        <v xml:space="preserve">Cartulina Fluo </v>
      </c>
      <c r="E365" s="6" t="str">
        <f>VLOOKUP(TABLA_PRECIOS[Código],LISTADO_PRODUCTOS[#All],5)</f>
        <v>N/A</v>
      </c>
      <c r="F365" s="4">
        <v>1</v>
      </c>
      <c r="G365" s="4">
        <v>1</v>
      </c>
      <c r="H365" s="6">
        <v>1</v>
      </c>
      <c r="I365" s="6"/>
      <c r="J365" s="9"/>
    </row>
    <row r="366" spans="1:10" ht="12" customHeight="1" x14ac:dyDescent="0.3">
      <c r="A366" s="4">
        <v>2029</v>
      </c>
      <c r="B366" s="6">
        <f>VLOOKUP(TABLA_PRECIOS[Código],LISTADO_PRODUCTOS[#All],2)</f>
        <v>54537</v>
      </c>
      <c r="C366" s="6" t="str">
        <f>VLOOKUP(TABLA_PRECIOS[Código],LISTADO_PRODUCTOS[#All],3)</f>
        <v>PAPELERIA Y ARTISTICA</v>
      </c>
      <c r="D366" s="6" t="str">
        <f>VLOOKUP(TABLA_PRECIOS[Código],LISTADO_PRODUCTOS[#All],4)</f>
        <v>Cartulina Metalizada</v>
      </c>
      <c r="E366" s="6" t="str">
        <f>VLOOKUP(TABLA_PRECIOS[Código],LISTADO_PRODUCTOS[#All],5)</f>
        <v>N/A</v>
      </c>
      <c r="F366" s="4">
        <v>1</v>
      </c>
      <c r="G366" s="4">
        <v>1</v>
      </c>
      <c r="H366" s="6">
        <v>1</v>
      </c>
      <c r="I366" s="6"/>
      <c r="J366" s="9"/>
    </row>
    <row r="367" spans="1:10" ht="12" customHeight="1" x14ac:dyDescent="0.3">
      <c r="A367" s="4">
        <v>2030</v>
      </c>
      <c r="B367" s="6">
        <f>VLOOKUP(TABLA_PRECIOS[Código],LISTADO_PRODUCTOS[#All],2)</f>
        <v>54538</v>
      </c>
      <c r="C367" s="6" t="str">
        <f>VLOOKUP(TABLA_PRECIOS[Código],LISTADO_PRODUCTOS[#All],3)</f>
        <v>PAPELERIA Y ARTISTICA</v>
      </c>
      <c r="D367" s="6" t="str">
        <f>VLOOKUP(TABLA_PRECIOS[Código],LISTADO_PRODUCTOS[#All],4)</f>
        <v xml:space="preserve">Cartulina con Motivos </v>
      </c>
      <c r="E367" s="6" t="str">
        <f>VLOOKUP(TABLA_PRECIOS[Código],LISTADO_PRODUCTOS[#All],5)</f>
        <v>N/A</v>
      </c>
      <c r="F367" s="4">
        <v>1</v>
      </c>
      <c r="G367" s="4">
        <v>1</v>
      </c>
      <c r="H367" s="6">
        <v>1</v>
      </c>
      <c r="I367" s="6"/>
      <c r="J367" s="9"/>
    </row>
    <row r="368" spans="1:10" ht="12" customHeight="1" x14ac:dyDescent="0.3">
      <c r="A368" s="4">
        <v>2031</v>
      </c>
      <c r="B368" s="6">
        <f>VLOOKUP(TABLA_PRECIOS[Código],LISTADO_PRODUCTOS[#All],2)</f>
        <v>54539</v>
      </c>
      <c r="C368" s="6" t="str">
        <f>VLOOKUP(TABLA_PRECIOS[Código],LISTADO_PRODUCTOS[#All],3)</f>
        <v>PAPELERIA Y ARTISTICA</v>
      </c>
      <c r="D368" s="6" t="str">
        <f>VLOOKUP(TABLA_PRECIOS[Código],LISTADO_PRODUCTOS[#All],4)</f>
        <v>Cartulina Entretenida</v>
      </c>
      <c r="E368" s="6" t="str">
        <f>VLOOKUP(TABLA_PRECIOS[Código],LISTADO_PRODUCTOS[#All],5)</f>
        <v>N/A</v>
      </c>
      <c r="F368" s="4">
        <v>1</v>
      </c>
      <c r="G368" s="4">
        <v>1</v>
      </c>
      <c r="H368" s="6">
        <v>1</v>
      </c>
      <c r="I368" s="6"/>
      <c r="J368" s="9"/>
    </row>
    <row r="369" spans="1:10" ht="12" customHeight="1" x14ac:dyDescent="0.3">
      <c r="A369" s="4">
        <v>2032</v>
      </c>
      <c r="B369" s="6">
        <f>VLOOKUP(TABLA_PRECIOS[Código],LISTADO_PRODUCTOS[#All],2)</f>
        <v>54540</v>
      </c>
      <c r="C369" s="6" t="str">
        <f>VLOOKUP(TABLA_PRECIOS[Código],LISTADO_PRODUCTOS[#All],3)</f>
        <v>PAPELERIA Y ARTISTICA</v>
      </c>
      <c r="D369" s="6" t="str">
        <f>VLOOKUP(TABLA_PRECIOS[Código],LISTADO_PRODUCTOS[#All],4)</f>
        <v>Afiche</v>
      </c>
      <c r="E369" s="6" t="str">
        <f>VLOOKUP(TABLA_PRECIOS[Código],LISTADO_PRODUCTOS[#All],5)</f>
        <v>N/A</v>
      </c>
      <c r="F369" s="4">
        <v>1</v>
      </c>
      <c r="G369" s="4">
        <v>1</v>
      </c>
      <c r="H369" s="6">
        <v>1</v>
      </c>
      <c r="I369" s="6"/>
      <c r="J369" s="9"/>
    </row>
    <row r="370" spans="1:10" ht="12" customHeight="1" x14ac:dyDescent="0.3">
      <c r="A370" s="4">
        <v>2033</v>
      </c>
      <c r="B370" s="6">
        <f>VLOOKUP(TABLA_PRECIOS[Código],LISTADO_PRODUCTOS[#All],2)</f>
        <v>54541</v>
      </c>
      <c r="C370" s="6" t="str">
        <f>VLOOKUP(TABLA_PRECIOS[Código],LISTADO_PRODUCTOS[#All],3)</f>
        <v>PAPELERIA Y ARTISTICA</v>
      </c>
      <c r="D370" s="6" t="str">
        <f>VLOOKUP(TABLA_PRECIOS[Código],LISTADO_PRODUCTOS[#All],4)</f>
        <v>Papel Crepe Comun</v>
      </c>
      <c r="E370" s="6" t="str">
        <f>VLOOKUP(TABLA_PRECIOS[Código],LISTADO_PRODUCTOS[#All],5)</f>
        <v>N/A</v>
      </c>
      <c r="F370" s="4">
        <v>1</v>
      </c>
      <c r="G370" s="4">
        <v>1</v>
      </c>
      <c r="H370" s="6">
        <v>1</v>
      </c>
      <c r="I370" s="6"/>
      <c r="J370" s="9"/>
    </row>
    <row r="371" spans="1:10" ht="12" customHeight="1" x14ac:dyDescent="0.3">
      <c r="A371" s="4">
        <v>2034</v>
      </c>
      <c r="B371" s="6">
        <f>VLOOKUP(TABLA_PRECIOS[Código],LISTADO_PRODUCTOS[#All],2)</f>
        <v>54542</v>
      </c>
      <c r="C371" s="6" t="str">
        <f>VLOOKUP(TABLA_PRECIOS[Código],LISTADO_PRODUCTOS[#All],3)</f>
        <v>PAPELERIA Y ARTISTICA</v>
      </c>
      <c r="D371" s="6" t="str">
        <f>VLOOKUP(TABLA_PRECIOS[Código],LISTADO_PRODUCTOS[#All],4)</f>
        <v>Papel Crepe Perlado</v>
      </c>
      <c r="E371" s="6" t="str">
        <f>VLOOKUP(TABLA_PRECIOS[Código],LISTADO_PRODUCTOS[#All],5)</f>
        <v>N/A</v>
      </c>
      <c r="F371" s="4">
        <v>1</v>
      </c>
      <c r="G371" s="4">
        <v>1</v>
      </c>
      <c r="H371" s="6">
        <v>1</v>
      </c>
      <c r="I371" s="6"/>
      <c r="J371" s="9"/>
    </row>
    <row r="372" spans="1:10" ht="12" customHeight="1" x14ac:dyDescent="0.3">
      <c r="A372" s="4">
        <v>2035</v>
      </c>
      <c r="B372" s="6">
        <f>VLOOKUP(TABLA_PRECIOS[Código],LISTADO_PRODUCTOS[#All],2)</f>
        <v>54543</v>
      </c>
      <c r="C372" s="6" t="str">
        <f>VLOOKUP(TABLA_PRECIOS[Código],LISTADO_PRODUCTOS[#All],3)</f>
        <v>PAPELERIA Y ARTISTICA</v>
      </c>
      <c r="D372" s="6" t="str">
        <f>VLOOKUP(TABLA_PRECIOS[Código],LISTADO_PRODUCTOS[#All],4)</f>
        <v>Papel Crepe Fluo</v>
      </c>
      <c r="E372" s="6" t="str">
        <f>VLOOKUP(TABLA_PRECIOS[Código],LISTADO_PRODUCTOS[#All],5)</f>
        <v>N/A</v>
      </c>
      <c r="F372" s="4">
        <v>1</v>
      </c>
      <c r="G372" s="4">
        <v>1</v>
      </c>
      <c r="H372" s="6">
        <v>1</v>
      </c>
      <c r="I372" s="6"/>
      <c r="J372" s="9"/>
    </row>
    <row r="373" spans="1:10" ht="12" customHeight="1" x14ac:dyDescent="0.3">
      <c r="A373" s="4">
        <v>2036</v>
      </c>
      <c r="B373" s="6">
        <f>VLOOKUP(TABLA_PRECIOS[Código],LISTADO_PRODUCTOS[#All],2)</f>
        <v>54544</v>
      </c>
      <c r="C373" s="6" t="str">
        <f>VLOOKUP(TABLA_PRECIOS[Código],LISTADO_PRODUCTOS[#All],3)</f>
        <v>PAPELERIA Y ARTISTICA</v>
      </c>
      <c r="D373" s="6" t="str">
        <f>VLOOKUP(TABLA_PRECIOS[Código],LISTADO_PRODUCTOS[#All],4)</f>
        <v>Papel Crepe c/Motivos</v>
      </c>
      <c r="E373" s="6" t="str">
        <f>VLOOKUP(TABLA_PRECIOS[Código],LISTADO_PRODUCTOS[#All],5)</f>
        <v>N/A</v>
      </c>
      <c r="F373" s="4">
        <v>1</v>
      </c>
      <c r="G373" s="4">
        <v>1</v>
      </c>
      <c r="H373" s="6">
        <v>1</v>
      </c>
      <c r="I373" s="6"/>
      <c r="J373" s="9"/>
    </row>
    <row r="374" spans="1:10" ht="12" customHeight="1" x14ac:dyDescent="0.3">
      <c r="A374" s="4">
        <v>2037</v>
      </c>
      <c r="B374" s="6">
        <f>VLOOKUP(TABLA_PRECIOS[Código],LISTADO_PRODUCTOS[#All],2)</f>
        <v>54545</v>
      </c>
      <c r="C374" s="6" t="str">
        <f>VLOOKUP(TABLA_PRECIOS[Código],LISTADO_PRODUCTOS[#All],3)</f>
        <v>PAPELERIA Y ARTISTICA</v>
      </c>
      <c r="D374" s="6" t="str">
        <f>VLOOKUP(TABLA_PRECIOS[Código],LISTADO_PRODUCTOS[#All],4)</f>
        <v>Papel Crepe Bandera Argentina</v>
      </c>
      <c r="E374" s="6" t="str">
        <f>VLOOKUP(TABLA_PRECIOS[Código],LISTADO_PRODUCTOS[#All],5)</f>
        <v>N/A</v>
      </c>
      <c r="F374" s="4">
        <v>1</v>
      </c>
      <c r="G374" s="4">
        <v>1</v>
      </c>
      <c r="H374" s="6">
        <v>1</v>
      </c>
      <c r="I374" s="6"/>
      <c r="J374" s="9"/>
    </row>
    <row r="375" spans="1:10" ht="12" customHeight="1" x14ac:dyDescent="0.3">
      <c r="A375" s="4">
        <v>2038</v>
      </c>
      <c r="B375" s="6">
        <f>VLOOKUP(TABLA_PRECIOS[Código],LISTADO_PRODUCTOS[#All],2)</f>
        <v>54546</v>
      </c>
      <c r="C375" s="6" t="str">
        <f>VLOOKUP(TABLA_PRECIOS[Código],LISTADO_PRODUCTOS[#All],3)</f>
        <v>PAPELERIA Y ARTISTICA</v>
      </c>
      <c r="D375" s="6" t="str">
        <f>VLOOKUP(TABLA_PRECIOS[Código],LISTADO_PRODUCTOS[#All],4)</f>
        <v>Papel de Forrar Muresco</v>
      </c>
      <c r="E375" s="6" t="str">
        <f>VLOOKUP(TABLA_PRECIOS[Código],LISTADO_PRODUCTOS[#All],5)</f>
        <v>N/A</v>
      </c>
      <c r="F375" s="4">
        <v>1</v>
      </c>
      <c r="G375" s="4">
        <v>1</v>
      </c>
      <c r="H375" s="6">
        <v>1</v>
      </c>
      <c r="I375" s="6"/>
      <c r="J375" s="9"/>
    </row>
    <row r="376" spans="1:10" ht="12" customHeight="1" x14ac:dyDescent="0.3">
      <c r="A376" s="4">
        <v>2039</v>
      </c>
      <c r="B376" s="6">
        <f>VLOOKUP(TABLA_PRECIOS[Código],LISTADO_PRODUCTOS[#All],2)</f>
        <v>54547</v>
      </c>
      <c r="C376" s="6" t="str">
        <f>VLOOKUP(TABLA_PRECIOS[Código],LISTADO_PRODUCTOS[#All],3)</f>
        <v>PAPELERIA Y ARTISTICA</v>
      </c>
      <c r="D376" s="6" t="str">
        <f>VLOOKUP(TABLA_PRECIOS[Código],LISTADO_PRODUCTOS[#All],4)</f>
        <v>Papel de Forrar Comun</v>
      </c>
      <c r="E376" s="6" t="str">
        <f>VLOOKUP(TABLA_PRECIOS[Código],LISTADO_PRODUCTOS[#All],5)</f>
        <v>N/A</v>
      </c>
      <c r="F376" s="4">
        <v>1</v>
      </c>
      <c r="G376" s="4">
        <v>1</v>
      </c>
      <c r="H376" s="6">
        <v>1</v>
      </c>
      <c r="I376" s="6"/>
      <c r="J376" s="9"/>
    </row>
    <row r="377" spans="1:10" ht="12" customHeight="1" x14ac:dyDescent="0.3">
      <c r="A377" s="4">
        <v>2040</v>
      </c>
      <c r="B377" s="6">
        <f>VLOOKUP(TABLA_PRECIOS[Código],LISTADO_PRODUCTOS[#All],2)</f>
        <v>54548</v>
      </c>
      <c r="C377" s="6" t="str">
        <f>VLOOKUP(TABLA_PRECIOS[Código],LISTADO_PRODUCTOS[#All],3)</f>
        <v>PAPELERIA Y ARTISTICA</v>
      </c>
      <c r="D377" s="6" t="str">
        <f>VLOOKUP(TABLA_PRECIOS[Código],LISTADO_PRODUCTOS[#All],4)</f>
        <v>Marcador UNI ORO P. MEDIANA</v>
      </c>
      <c r="E377" s="6" t="str">
        <f>VLOOKUP(TABLA_PRECIOS[Código],LISTADO_PRODUCTOS[#All],5)</f>
        <v>N/A</v>
      </c>
      <c r="F377" s="4">
        <v>1</v>
      </c>
      <c r="G377" s="4">
        <v>1</v>
      </c>
      <c r="H377" s="6">
        <v>1</v>
      </c>
      <c r="I377" s="6"/>
      <c r="J377" s="9"/>
    </row>
    <row r="378" spans="1:10" ht="12" customHeight="1" x14ac:dyDescent="0.3">
      <c r="A378" s="4">
        <v>2041</v>
      </c>
      <c r="B378" s="6">
        <f>VLOOKUP(TABLA_PRECIOS[Código],LISTADO_PRODUCTOS[#All],2)</f>
        <v>54549</v>
      </c>
      <c r="C378" s="6" t="str">
        <f>VLOOKUP(TABLA_PRECIOS[Código],LISTADO_PRODUCTOS[#All],3)</f>
        <v>PAPELERIA Y ARTISTICA</v>
      </c>
      <c r="D378" s="6" t="str">
        <f>VLOOKUP(TABLA_PRECIOS[Código],LISTADO_PRODUCTOS[#All],4)</f>
        <v>Pinceleta Nª1</v>
      </c>
      <c r="E378" s="6" t="str">
        <f>VLOOKUP(TABLA_PRECIOS[Código],LISTADO_PRODUCTOS[#All],5)</f>
        <v>N/A</v>
      </c>
      <c r="F378" s="4">
        <v>1</v>
      </c>
      <c r="G378" s="4">
        <v>1</v>
      </c>
      <c r="H378" s="6">
        <v>1</v>
      </c>
      <c r="I378" s="6"/>
      <c r="J378" s="9"/>
    </row>
    <row r="379" spans="1:10" ht="12" customHeight="1" x14ac:dyDescent="0.3">
      <c r="A379" s="4">
        <v>2042</v>
      </c>
      <c r="B379" s="6">
        <f>VLOOKUP(TABLA_PRECIOS[Código],LISTADO_PRODUCTOS[#All],2)</f>
        <v>54550</v>
      </c>
      <c r="C379" s="6" t="str">
        <f>VLOOKUP(TABLA_PRECIOS[Código],LISTADO_PRODUCTOS[#All],3)</f>
        <v>PAPELERIA Y ARTISTICA</v>
      </c>
      <c r="D379" s="6" t="str">
        <f>VLOOKUP(TABLA_PRECIOS[Código],LISTADO_PRODUCTOS[#All],4)</f>
        <v>Pinceleta Nª2</v>
      </c>
      <c r="E379" s="6" t="str">
        <f>VLOOKUP(TABLA_PRECIOS[Código],LISTADO_PRODUCTOS[#All],5)</f>
        <v>N/A</v>
      </c>
      <c r="F379" s="4">
        <v>1</v>
      </c>
      <c r="G379" s="4">
        <v>1</v>
      </c>
      <c r="H379" s="6">
        <v>1</v>
      </c>
      <c r="I379" s="6"/>
      <c r="J379" s="9"/>
    </row>
    <row r="380" spans="1:10" ht="12" customHeight="1" x14ac:dyDescent="0.3">
      <c r="A380" s="4">
        <v>2043</v>
      </c>
      <c r="B380" s="6">
        <f>VLOOKUP(TABLA_PRECIOS[Código],LISTADO_PRODUCTOS[#All],2)</f>
        <v>54551</v>
      </c>
      <c r="C380" s="6" t="str">
        <f>VLOOKUP(TABLA_PRECIOS[Código],LISTADO_PRODUCTOS[#All],3)</f>
        <v>PAPELERIA Y ARTISTICA</v>
      </c>
      <c r="D380" s="6" t="str">
        <f>VLOOKUP(TABLA_PRECIOS[Código],LISTADO_PRODUCTOS[#All],4)</f>
        <v>Pinceleta Nª3</v>
      </c>
      <c r="E380" s="6" t="str">
        <f>VLOOKUP(TABLA_PRECIOS[Código],LISTADO_PRODUCTOS[#All],5)</f>
        <v>N/A</v>
      </c>
      <c r="F380" s="4">
        <v>1</v>
      </c>
      <c r="G380" s="4">
        <v>1</v>
      </c>
      <c r="H380" s="6">
        <v>1</v>
      </c>
      <c r="I380" s="6"/>
      <c r="J380" s="9"/>
    </row>
    <row r="381" spans="1:10" ht="12" customHeight="1" x14ac:dyDescent="0.3">
      <c r="A381" s="4">
        <v>2044</v>
      </c>
      <c r="B381" s="6">
        <f>VLOOKUP(TABLA_PRECIOS[Código],LISTADO_PRODUCTOS[#All],2)</f>
        <v>54552</v>
      </c>
      <c r="C381" s="6" t="str">
        <f>VLOOKUP(TABLA_PRECIOS[Código],LISTADO_PRODUCTOS[#All],3)</f>
        <v>PAPELERIA Y ARTISTICA</v>
      </c>
      <c r="D381" s="6" t="str">
        <f>VLOOKUP(TABLA_PRECIOS[Código],LISTADO_PRODUCTOS[#All],4)</f>
        <v>Pinceleta Nª4</v>
      </c>
      <c r="E381" s="6" t="str">
        <f>VLOOKUP(TABLA_PRECIOS[Código],LISTADO_PRODUCTOS[#All],5)</f>
        <v>N/A</v>
      </c>
      <c r="F381" s="4">
        <v>1</v>
      </c>
      <c r="G381" s="4">
        <v>1</v>
      </c>
      <c r="H381" s="6">
        <v>1</v>
      </c>
      <c r="I381" s="6"/>
      <c r="J381" s="9"/>
    </row>
    <row r="382" spans="1:10" ht="12" customHeight="1" x14ac:dyDescent="0.3">
      <c r="A382" s="4">
        <v>2045</v>
      </c>
      <c r="B382" s="6">
        <f>VLOOKUP(TABLA_PRECIOS[Código],LISTADO_PRODUCTOS[#All],2)</f>
        <v>54553</v>
      </c>
      <c r="C382" s="6" t="str">
        <f>VLOOKUP(TABLA_PRECIOS[Código],LISTADO_PRODUCTOS[#All],3)</f>
        <v>PAPELERIA Y ARTISTICA</v>
      </c>
      <c r="D382" s="6" t="str">
        <f>VLOOKUP(TABLA_PRECIOS[Código],LISTADO_PRODUCTOS[#All],4)</f>
        <v>Pinceleta Nº5</v>
      </c>
      <c r="E382" s="6" t="str">
        <f>VLOOKUP(TABLA_PRECIOS[Código],LISTADO_PRODUCTOS[#All],5)</f>
        <v>N/A</v>
      </c>
      <c r="F382" s="4">
        <v>1</v>
      </c>
      <c r="G382" s="4">
        <v>1</v>
      </c>
      <c r="H382" s="6">
        <v>1</v>
      </c>
      <c r="I382" s="6"/>
      <c r="J382" s="9"/>
    </row>
    <row r="383" spans="1:10" ht="12" customHeight="1" x14ac:dyDescent="0.3">
      <c r="A383" s="4">
        <v>2046</v>
      </c>
      <c r="B383" s="6">
        <f>VLOOKUP(TABLA_PRECIOS[Código],LISTADO_PRODUCTOS[#All],2)</f>
        <v>54554</v>
      </c>
      <c r="C383" s="6" t="str">
        <f>VLOOKUP(TABLA_PRECIOS[Código],LISTADO_PRODUCTOS[#All],3)</f>
        <v>PAPELERIA Y ARTISTICA</v>
      </c>
      <c r="D383" s="6" t="str">
        <f>VLOOKUP(TABLA_PRECIOS[Código],LISTADO_PRODUCTOS[#All],4)</f>
        <v>Pinceleta Nº6</v>
      </c>
      <c r="E383" s="6" t="str">
        <f>VLOOKUP(TABLA_PRECIOS[Código],LISTADO_PRODUCTOS[#All],5)</f>
        <v>N/A</v>
      </c>
      <c r="F383" s="4">
        <v>1</v>
      </c>
      <c r="G383" s="4">
        <v>1</v>
      </c>
      <c r="H383" s="6">
        <v>1</v>
      </c>
      <c r="I383" s="6"/>
      <c r="J383" s="9"/>
    </row>
    <row r="384" spans="1:10" ht="12" customHeight="1" x14ac:dyDescent="0.3">
      <c r="A384" s="4">
        <v>2047</v>
      </c>
      <c r="B384" s="6">
        <f>VLOOKUP(TABLA_PRECIOS[Código],LISTADO_PRODUCTOS[#All],2)</f>
        <v>54555</v>
      </c>
      <c r="C384" s="6" t="str">
        <f>VLOOKUP(TABLA_PRECIOS[Código],LISTADO_PRODUCTOS[#All],3)</f>
        <v>PAPELERIA Y ARTISTICA</v>
      </c>
      <c r="D384" s="6" t="str">
        <f>VLOOKUP(TABLA_PRECIOS[Código],LISTADO_PRODUCTOS[#All],4)</f>
        <v>Pinceleta Nº7</v>
      </c>
      <c r="E384" s="6" t="str">
        <f>VLOOKUP(TABLA_PRECIOS[Código],LISTADO_PRODUCTOS[#All],5)</f>
        <v>N/A</v>
      </c>
      <c r="F384" s="4">
        <v>1</v>
      </c>
      <c r="G384" s="4">
        <v>1</v>
      </c>
      <c r="H384" s="6">
        <v>1</v>
      </c>
      <c r="I384" s="6"/>
      <c r="J384" s="9"/>
    </row>
    <row r="385" spans="1:10" ht="12" customHeight="1" x14ac:dyDescent="0.3">
      <c r="A385" s="4">
        <v>2048</v>
      </c>
      <c r="B385" s="6">
        <f>VLOOKUP(TABLA_PRECIOS[Código],LISTADO_PRODUCTOS[#All],2)</f>
        <v>54556</v>
      </c>
      <c r="C385" s="6" t="str">
        <f>VLOOKUP(TABLA_PRECIOS[Código],LISTADO_PRODUCTOS[#All],3)</f>
        <v>PAPELERIA Y ARTISTICA</v>
      </c>
      <c r="D385" s="6" t="str">
        <f>VLOOKUP(TABLA_PRECIOS[Código],LISTADO_PRODUCTOS[#All],4)</f>
        <v>Broches CBX madera natural 45mm x 35u</v>
      </c>
      <c r="E385" s="6" t="str">
        <f>VLOOKUP(TABLA_PRECIOS[Código],LISTADO_PRODUCTOS[#All],5)</f>
        <v>N/A</v>
      </c>
      <c r="F385" s="4">
        <v>1</v>
      </c>
      <c r="G385" s="4">
        <v>1</v>
      </c>
      <c r="H385" s="6">
        <v>1</v>
      </c>
      <c r="I385" s="6"/>
      <c r="J385" s="9"/>
    </row>
    <row r="386" spans="1:10" ht="12" customHeight="1" x14ac:dyDescent="0.3">
      <c r="A386" s="4">
        <v>2049</v>
      </c>
      <c r="B386" s="6">
        <f>VLOOKUP(TABLA_PRECIOS[Código],LISTADO_PRODUCTOS[#All],2)</f>
        <v>54557</v>
      </c>
      <c r="C386" s="6" t="str">
        <f>VLOOKUP(TABLA_PRECIOS[Código],LISTADO_PRODUCTOS[#All],3)</f>
        <v>PAPELERIA Y ARTISTICA</v>
      </c>
      <c r="D386" s="6" t="str">
        <f>VLOOKUP(TABLA_PRECIOS[Código],LISTADO_PRODUCTOS[#All],4)</f>
        <v>Goma eva color comun</v>
      </c>
      <c r="E386" s="6" t="str">
        <f>VLOOKUP(TABLA_PRECIOS[Código],LISTADO_PRODUCTOS[#All],5)</f>
        <v>N/A</v>
      </c>
      <c r="F386" s="4">
        <v>1</v>
      </c>
      <c r="G386" s="4">
        <v>1</v>
      </c>
      <c r="H386" s="6">
        <v>1</v>
      </c>
      <c r="I386" s="6"/>
      <c r="J386" s="9"/>
    </row>
    <row r="387" spans="1:10" ht="12" customHeight="1" x14ac:dyDescent="0.3">
      <c r="A387" s="4">
        <v>2050</v>
      </c>
      <c r="B387" s="6">
        <f>VLOOKUP(TABLA_PRECIOS[Código],LISTADO_PRODUCTOS[#All],2)</f>
        <v>54558</v>
      </c>
      <c r="C387" s="6" t="str">
        <f>VLOOKUP(TABLA_PRECIOS[Código],LISTADO_PRODUCTOS[#All],3)</f>
        <v>PAPELERIA Y ARTISTICA</v>
      </c>
      <c r="D387" s="6" t="str">
        <f>VLOOKUP(TABLA_PRECIOS[Código],LISTADO_PRODUCTOS[#All],4)</f>
        <v>Goma eva corrugada</v>
      </c>
      <c r="E387" s="6" t="str">
        <f>VLOOKUP(TABLA_PRECIOS[Código],LISTADO_PRODUCTOS[#All],5)</f>
        <v>N/A</v>
      </c>
      <c r="F387" s="4">
        <v>1</v>
      </c>
      <c r="G387" s="4">
        <v>1</v>
      </c>
      <c r="H387" s="6">
        <v>1</v>
      </c>
      <c r="I387" s="6"/>
      <c r="J387" s="9"/>
    </row>
    <row r="388" spans="1:10" ht="12" customHeight="1" x14ac:dyDescent="0.3">
      <c r="A388" s="4">
        <v>2051</v>
      </c>
      <c r="B388" s="6">
        <f>VLOOKUP(TABLA_PRECIOS[Código],LISTADO_PRODUCTOS[#All],2)</f>
        <v>54559</v>
      </c>
      <c r="C388" s="6" t="str">
        <f>VLOOKUP(TABLA_PRECIOS[Código],LISTADO_PRODUCTOS[#All],3)</f>
        <v>PAPELERIA Y ARTISTICA</v>
      </c>
      <c r="D388" s="6" t="str">
        <f>VLOOKUP(TABLA_PRECIOS[Código],LISTADO_PRODUCTOS[#All],4)</f>
        <v>Goma Eva Super Glitter</v>
      </c>
      <c r="E388" s="6" t="str">
        <f>VLOOKUP(TABLA_PRECIOS[Código],LISTADO_PRODUCTOS[#All],5)</f>
        <v>N/A</v>
      </c>
      <c r="F388" s="4">
        <v>1</v>
      </c>
      <c r="G388" s="4">
        <v>1</v>
      </c>
      <c r="H388" s="6">
        <v>1</v>
      </c>
      <c r="I388" s="6"/>
      <c r="J388" s="9"/>
    </row>
    <row r="389" spans="1:10" ht="12" customHeight="1" x14ac:dyDescent="0.3">
      <c r="A389" s="4">
        <v>2052</v>
      </c>
      <c r="B389" s="6">
        <f>VLOOKUP(TABLA_PRECIOS[Código],LISTADO_PRODUCTOS[#All],2)</f>
        <v>54560</v>
      </c>
      <c r="C389" s="6" t="str">
        <f>VLOOKUP(TABLA_PRECIOS[Código],LISTADO_PRODUCTOS[#All],3)</f>
        <v>PAPELERIA Y ARTISTICA</v>
      </c>
      <c r="D389" s="6" t="str">
        <f>VLOOKUP(TABLA_PRECIOS[Código],LISTADO_PRODUCTOS[#All],4)</f>
        <v>Resma A3 Autor 80gr</v>
      </c>
      <c r="E389" s="6" t="str">
        <f>VLOOKUP(TABLA_PRECIOS[Código],LISTADO_PRODUCTOS[#All],5)</f>
        <v>N/A</v>
      </c>
      <c r="F389" s="4">
        <v>1</v>
      </c>
      <c r="G389" s="4">
        <v>1</v>
      </c>
      <c r="H389" s="6">
        <v>1</v>
      </c>
      <c r="I389" s="6"/>
      <c r="J389" s="9"/>
    </row>
    <row r="390" spans="1:10" ht="12" customHeight="1" x14ac:dyDescent="0.3">
      <c r="A390" s="4">
        <v>2054</v>
      </c>
      <c r="B390" s="6">
        <f>VLOOKUP(TABLA_PRECIOS[Código],LISTADO_PRODUCTOS[#All],2)</f>
        <v>54561</v>
      </c>
      <c r="C390" s="6" t="str">
        <f>VLOOKUP(TABLA_PRECIOS[Código],LISTADO_PRODUCTOS[#All],3)</f>
        <v>PAPELERIA Y ARTISTICA</v>
      </c>
      <c r="D390" s="6" t="str">
        <f>VLOOKUP(TABLA_PRECIOS[Código],LISTADO_PRODUCTOS[#All],4)</f>
        <v xml:space="preserve">Carton Corrugado Colores </v>
      </c>
      <c r="E390" s="6" t="str">
        <f>VLOOKUP(TABLA_PRECIOS[Código],LISTADO_PRODUCTOS[#All],5)</f>
        <v>N/A</v>
      </c>
      <c r="F390" s="4">
        <v>1</v>
      </c>
      <c r="G390" s="4">
        <v>1</v>
      </c>
      <c r="H390" s="6">
        <v>1</v>
      </c>
      <c r="I390" s="6"/>
      <c r="J390" s="9"/>
    </row>
    <row r="391" spans="1:10" ht="12" customHeight="1" x14ac:dyDescent="0.3">
      <c r="A391" s="4">
        <v>2055</v>
      </c>
      <c r="B391" s="6">
        <f>VLOOKUP(TABLA_PRECIOS[Código],LISTADO_PRODUCTOS[#All],2)</f>
        <v>54562</v>
      </c>
      <c r="C391" s="6" t="str">
        <f>VLOOKUP(TABLA_PRECIOS[Código],LISTADO_PRODUCTOS[#All],3)</f>
        <v>PAPELERIA Y ARTISTICA</v>
      </c>
      <c r="D391" s="6" t="str">
        <f>VLOOKUP(TABLA_PRECIOS[Código],LISTADO_PRODUCTOS[#All],4)</f>
        <v>Carton Corrugado Kraft</v>
      </c>
      <c r="E391" s="6" t="str">
        <f>VLOOKUP(TABLA_PRECIOS[Código],LISTADO_PRODUCTOS[#All],5)</f>
        <v>N/A</v>
      </c>
      <c r="F391" s="4">
        <v>1</v>
      </c>
      <c r="G391" s="4">
        <v>1</v>
      </c>
      <c r="H391" s="6">
        <v>1</v>
      </c>
      <c r="I391" s="6"/>
      <c r="J391" s="9"/>
    </row>
    <row r="392" spans="1:10" ht="12" customHeight="1" x14ac:dyDescent="0.3">
      <c r="A392" s="4">
        <v>2058</v>
      </c>
      <c r="B392" s="6">
        <f>VLOOKUP(TABLA_PRECIOS[Código],LISTADO_PRODUCTOS[#All],2)</f>
        <v>54563</v>
      </c>
      <c r="C392" s="6" t="str">
        <f>VLOOKUP(TABLA_PRECIOS[Código],LISTADO_PRODUCTOS[#All],3)</f>
        <v>PAPELERIA Y ARTISTICA</v>
      </c>
      <c r="D392" s="6" t="str">
        <f>VLOOKUP(TABLA_PRECIOS[Código],LISTADO_PRODUCTOS[#All],4)</f>
        <v>Cartulina Hologlitter x plancha</v>
      </c>
      <c r="E392" s="6" t="str">
        <f>VLOOKUP(TABLA_PRECIOS[Código],LISTADO_PRODUCTOS[#All],5)</f>
        <v>N/A</v>
      </c>
      <c r="F392" s="4">
        <v>1</v>
      </c>
      <c r="G392" s="4">
        <v>1</v>
      </c>
      <c r="H392" s="6">
        <v>1</v>
      </c>
      <c r="I392" s="6"/>
      <c r="J392" s="9"/>
    </row>
    <row r="393" spans="1:10" ht="12" customHeight="1" x14ac:dyDescent="0.3">
      <c r="A393" s="4">
        <v>2059</v>
      </c>
      <c r="B393" s="6">
        <f>VLOOKUP(TABLA_PRECIOS[Código],LISTADO_PRODUCTOS[#All],2)</f>
        <v>54564</v>
      </c>
      <c r="C393" s="6" t="str">
        <f>VLOOKUP(TABLA_PRECIOS[Código],LISTADO_PRODUCTOS[#All],3)</f>
        <v>PAPELERIA Y ARTISTICA</v>
      </c>
      <c r="D393" s="6" t="str">
        <f>VLOOKUP(TABLA_PRECIOS[Código],LISTADO_PRODUCTOS[#All],4)</f>
        <v>Papel Barrilete</v>
      </c>
      <c r="E393" s="6" t="str">
        <f>VLOOKUP(TABLA_PRECIOS[Código],LISTADO_PRODUCTOS[#All],5)</f>
        <v>N/A</v>
      </c>
      <c r="F393" s="4">
        <v>1</v>
      </c>
      <c r="G393" s="4">
        <v>1</v>
      </c>
      <c r="H393" s="6">
        <v>1</v>
      </c>
      <c r="I393" s="6"/>
      <c r="J393" s="9"/>
    </row>
    <row r="394" spans="1:10" ht="12" customHeight="1" x14ac:dyDescent="0.3">
      <c r="A394" s="4">
        <v>2060</v>
      </c>
      <c r="B394" s="6">
        <f>VLOOKUP(TABLA_PRECIOS[Código],LISTADO_PRODUCTOS[#All],2)</f>
        <v>54565</v>
      </c>
      <c r="C394" s="6" t="str">
        <f>VLOOKUP(TABLA_PRECIOS[Código],LISTADO_PRODUCTOS[#All],3)</f>
        <v>PAPELERIA Y ARTISTICA</v>
      </c>
      <c r="D394" s="6" t="str">
        <f>VLOOKUP(TABLA_PRECIOS[Código],LISTADO_PRODUCTOS[#All],4)</f>
        <v>Papel Barrilete</v>
      </c>
      <c r="E394" s="6" t="str">
        <f>VLOOKUP(TABLA_PRECIOS[Código],LISTADO_PRODUCTOS[#All],5)</f>
        <v>N/A</v>
      </c>
      <c r="F394" s="4">
        <v>1</v>
      </c>
      <c r="G394" s="4">
        <v>1</v>
      </c>
      <c r="H394" s="6">
        <v>1</v>
      </c>
      <c r="I394" s="6"/>
      <c r="J394" s="9"/>
    </row>
    <row r="395" spans="1:10" ht="12" customHeight="1" x14ac:dyDescent="0.3">
      <c r="A395" s="4">
        <v>2062</v>
      </c>
      <c r="B395" s="6">
        <f>VLOOKUP(TABLA_PRECIOS[Código],LISTADO_PRODUCTOS[#All],2)</f>
        <v>54566</v>
      </c>
      <c r="C395" s="6" t="str">
        <f>VLOOKUP(TABLA_PRECIOS[Código],LISTADO_PRODUCTOS[#All],3)</f>
        <v>PAPELERIA Y ARTISTICA</v>
      </c>
      <c r="D395" s="6" t="str">
        <f>VLOOKUP(TABLA_PRECIOS[Código],LISTADO_PRODUCTOS[#All],4)</f>
        <v>Papel de regalo Muresco</v>
      </c>
      <c r="E395" s="6" t="str">
        <f>VLOOKUP(TABLA_PRECIOS[Código],LISTADO_PRODUCTOS[#All],5)</f>
        <v>N/A</v>
      </c>
      <c r="F395" s="4">
        <v>1</v>
      </c>
      <c r="G395" s="4">
        <v>1</v>
      </c>
      <c r="H395" s="6">
        <v>1</v>
      </c>
      <c r="I395" s="6"/>
      <c r="J395" s="9"/>
    </row>
    <row r="396" spans="1:10" ht="12" customHeight="1" x14ac:dyDescent="0.3">
      <c r="A396" s="4">
        <v>2064</v>
      </c>
      <c r="B396" s="6">
        <f>VLOOKUP(TABLA_PRECIOS[Código],LISTADO_PRODUCTOS[#All],2)</f>
        <v>54567</v>
      </c>
      <c r="C396" s="6" t="str">
        <f>VLOOKUP(TABLA_PRECIOS[Código],LISTADO_PRODUCTOS[#All],3)</f>
        <v>PAPELERIA Y ARTISTICA</v>
      </c>
      <c r="D396" s="6" t="str">
        <f>VLOOKUP(TABLA_PRECIOS[Código],LISTADO_PRODUCTOS[#All],4)</f>
        <v>Cinta Scotch 12 mm x 30mt Cablefix</v>
      </c>
      <c r="E396" s="6" t="str">
        <f>VLOOKUP(TABLA_PRECIOS[Código],LISTADO_PRODUCTOS[#All],5)</f>
        <v>N/A</v>
      </c>
      <c r="F396" s="4">
        <v>1</v>
      </c>
      <c r="G396" s="4">
        <v>1</v>
      </c>
      <c r="H396" s="6">
        <v>1</v>
      </c>
      <c r="I396" s="6"/>
      <c r="J396" s="9"/>
    </row>
    <row r="397" spans="1:10" ht="12" customHeight="1" x14ac:dyDescent="0.3">
      <c r="A397" s="4">
        <v>2065</v>
      </c>
      <c r="B397" s="6">
        <f>VLOOKUP(TABLA_PRECIOS[Código],LISTADO_PRODUCTOS[#All],2)</f>
        <v>54568</v>
      </c>
      <c r="C397" s="6" t="str">
        <f>VLOOKUP(TABLA_PRECIOS[Código],LISTADO_PRODUCTOS[#All],3)</f>
        <v>PAPELERIA Y ARTISTICA</v>
      </c>
      <c r="D397" s="6" t="str">
        <f>VLOOKUP(TABLA_PRECIOS[Código],LISTADO_PRODUCTOS[#All],4)</f>
        <v>Banditas elasticas  caja x 250gr</v>
      </c>
      <c r="E397" s="6" t="str">
        <f>VLOOKUP(TABLA_PRECIOS[Código],LISTADO_PRODUCTOS[#All],5)</f>
        <v>N/A</v>
      </c>
      <c r="F397" s="4">
        <v>1</v>
      </c>
      <c r="G397" s="4">
        <v>1</v>
      </c>
      <c r="H397" s="6">
        <v>1</v>
      </c>
      <c r="I397" s="6"/>
      <c r="J397" s="9"/>
    </row>
    <row r="398" spans="1:10" ht="12" customHeight="1" x14ac:dyDescent="0.3">
      <c r="A398" s="4">
        <v>2066</v>
      </c>
      <c r="B398" s="6">
        <f>VLOOKUP(TABLA_PRECIOS[Código],LISTADO_PRODUCTOS[#All],2)</f>
        <v>54569</v>
      </c>
      <c r="C398" s="6" t="str">
        <f>VLOOKUP(TABLA_PRECIOS[Código],LISTADO_PRODUCTOS[#All],3)</f>
        <v>PAPELERIA Y ARTISTICA</v>
      </c>
      <c r="D398" s="6" t="str">
        <f>VLOOKUP(TABLA_PRECIOS[Código],LISTADO_PRODUCTOS[#All],4)</f>
        <v>Banditas elasticas caja x 50gr</v>
      </c>
      <c r="E398" s="6" t="str">
        <f>VLOOKUP(TABLA_PRECIOS[Código],LISTADO_PRODUCTOS[#All],5)</f>
        <v>N/A</v>
      </c>
      <c r="F398" s="4">
        <v>1</v>
      </c>
      <c r="G398" s="4">
        <v>1</v>
      </c>
      <c r="H398" s="6">
        <v>1</v>
      </c>
      <c r="I398" s="6"/>
      <c r="J398" s="9"/>
    </row>
    <row r="399" spans="1:10" ht="12" customHeight="1" x14ac:dyDescent="0.3">
      <c r="A399" s="4">
        <v>2067</v>
      </c>
      <c r="B399" s="6">
        <f>VLOOKUP(TABLA_PRECIOS[Código],LISTADO_PRODUCTOS[#All],2)</f>
        <v>54570</v>
      </c>
      <c r="C399" s="6" t="str">
        <f>VLOOKUP(TABLA_PRECIOS[Código],LISTADO_PRODUCTOS[#All],3)</f>
        <v>PAPELERIA Y ARTISTICA</v>
      </c>
      <c r="D399" s="6" t="str">
        <f>VLOOKUP(TABLA_PRECIOS[Código],LISTADO_PRODUCTOS[#All],4)</f>
        <v>Broche metalizado madera CBX m35mm x 25u</v>
      </c>
      <c r="E399" s="6" t="str">
        <f>VLOOKUP(TABLA_PRECIOS[Código],LISTADO_PRODUCTOS[#All],5)</f>
        <v>N/A</v>
      </c>
      <c r="F399" s="4">
        <v>1</v>
      </c>
      <c r="G399" s="4">
        <v>1</v>
      </c>
      <c r="H399" s="6">
        <v>1</v>
      </c>
      <c r="I399" s="6"/>
      <c r="J399" s="9"/>
    </row>
    <row r="400" spans="1:10" ht="12" customHeight="1" x14ac:dyDescent="0.3">
      <c r="A400" s="4">
        <v>2072</v>
      </c>
      <c r="B400" s="6">
        <f>VLOOKUP(TABLA_PRECIOS[Código],LISTADO_PRODUCTOS[#All],2)</f>
        <v>54571</v>
      </c>
      <c r="C400" s="6" t="str">
        <f>VLOOKUP(TABLA_PRECIOS[Código],LISTADO_PRODUCTOS[#All],3)</f>
        <v>PAPELERIA Y ARTISTICA</v>
      </c>
      <c r="D400" s="6" t="str">
        <f>VLOOKUP(TABLA_PRECIOS[Código],LISTADO_PRODUCTOS[#All],4)</f>
        <v>Plastilina Tintoretto x 10u</v>
      </c>
      <c r="E400" s="6" t="str">
        <f>VLOOKUP(TABLA_PRECIOS[Código],LISTADO_PRODUCTOS[#All],5)</f>
        <v>N/A</v>
      </c>
      <c r="F400" s="4">
        <v>1</v>
      </c>
      <c r="G400" s="4">
        <v>1</v>
      </c>
      <c r="H400" s="6">
        <v>1</v>
      </c>
      <c r="I400" s="6"/>
      <c r="J400" s="9"/>
    </row>
    <row r="401" spans="1:10" ht="12" customHeight="1" x14ac:dyDescent="0.3">
      <c r="A401" s="4">
        <v>2075</v>
      </c>
      <c r="B401" s="6">
        <f>VLOOKUP(TABLA_PRECIOS[Código],LISTADO_PRODUCTOS[#All],2)</f>
        <v>54572</v>
      </c>
      <c r="C401" s="6" t="str">
        <f>VLOOKUP(TABLA_PRECIOS[Código],LISTADO_PRODUCTOS[#All],3)</f>
        <v>PAPELERIA Y ARTISTICA</v>
      </c>
      <c r="D401" s="6" t="str">
        <f>VLOOKUP(TABLA_PRECIOS[Código],LISTADO_PRODUCTOS[#All],4)</f>
        <v>Plastilina Maped x 6u</v>
      </c>
      <c r="E401" s="6" t="str">
        <f>VLOOKUP(TABLA_PRECIOS[Código],LISTADO_PRODUCTOS[#All],5)</f>
        <v>N/A</v>
      </c>
      <c r="F401" s="4">
        <v>1</v>
      </c>
      <c r="G401" s="4">
        <v>1</v>
      </c>
      <c r="H401" s="6">
        <v>1</v>
      </c>
      <c r="I401" s="6"/>
      <c r="J401" s="9"/>
    </row>
    <row r="402" spans="1:10" ht="12" customHeight="1" x14ac:dyDescent="0.3">
      <c r="A402" s="4">
        <v>2076</v>
      </c>
      <c r="B402" s="6">
        <f>VLOOKUP(TABLA_PRECIOS[Código],LISTADO_PRODUCTOS[#All],2)</f>
        <v>54573</v>
      </c>
      <c r="C402" s="6" t="str">
        <f>VLOOKUP(TABLA_PRECIOS[Código],LISTADO_PRODUCTOS[#All],3)</f>
        <v>PAPELERIA Y ARTISTICA</v>
      </c>
      <c r="D402" s="6" t="str">
        <f>VLOOKUP(TABLA_PRECIOS[Código],LISTADO_PRODUCTOS[#All],4)</f>
        <v>Tempera Alba magic/Playcolor x10u</v>
      </c>
      <c r="E402" s="6" t="str">
        <f>VLOOKUP(TABLA_PRECIOS[Código],LISTADO_PRODUCTOS[#All],5)</f>
        <v>N/A</v>
      </c>
      <c r="F402" s="4">
        <v>1</v>
      </c>
      <c r="G402" s="4">
        <v>1</v>
      </c>
      <c r="H402" s="6">
        <v>1</v>
      </c>
      <c r="I402" s="6"/>
      <c r="J402" s="9"/>
    </row>
    <row r="403" spans="1:10" ht="12" customHeight="1" x14ac:dyDescent="0.3">
      <c r="A403" s="4">
        <v>2079</v>
      </c>
      <c r="B403" s="6">
        <f>VLOOKUP(TABLA_PRECIOS[Código],LISTADO_PRODUCTOS[#All],2)</f>
        <v>54574</v>
      </c>
      <c r="C403" s="6" t="str">
        <f>VLOOKUP(TABLA_PRECIOS[Código],LISTADO_PRODUCTOS[#All],3)</f>
        <v>PAPELERIA Y ARTISTICA</v>
      </c>
      <c r="D403" s="6" t="str">
        <f>VLOOKUP(TABLA_PRECIOS[Código],LISTADO_PRODUCTOS[#All],4)</f>
        <v>Tempera Alba x170gr</v>
      </c>
      <c r="E403" s="6" t="str">
        <f>VLOOKUP(TABLA_PRECIOS[Código],LISTADO_PRODUCTOS[#All],5)</f>
        <v>N/A</v>
      </c>
      <c r="F403" s="4">
        <v>1</v>
      </c>
      <c r="G403" s="4">
        <v>1</v>
      </c>
      <c r="H403" s="6">
        <v>1</v>
      </c>
      <c r="I403" s="6"/>
      <c r="J403" s="9"/>
    </row>
    <row r="404" spans="1:10" ht="12" customHeight="1" x14ac:dyDescent="0.3">
      <c r="A404" s="4">
        <v>2089</v>
      </c>
      <c r="B404" s="6">
        <f>VLOOKUP(TABLA_PRECIOS[Código],LISTADO_PRODUCTOS[#All],2)</f>
        <v>54575</v>
      </c>
      <c r="C404" s="6" t="str">
        <f>VLOOKUP(TABLA_PRECIOS[Código],LISTADO_PRODUCTOS[#All],3)</f>
        <v>PAPELERIA Y ARTISTICA</v>
      </c>
      <c r="D404" s="6" t="str">
        <f>VLOOKUP(TABLA_PRECIOS[Código],LISTADO_PRODUCTOS[#All],4)</f>
        <v>Pistolita de silicona Liggo garnde barra gruesa 40w</v>
      </c>
      <c r="E404" s="6" t="str">
        <f>VLOOKUP(TABLA_PRECIOS[Código],LISTADO_PRODUCTOS[#All],5)</f>
        <v>N/A</v>
      </c>
      <c r="F404" s="4">
        <v>1</v>
      </c>
      <c r="G404" s="4">
        <v>1</v>
      </c>
      <c r="H404" s="6">
        <v>1</v>
      </c>
      <c r="I404" s="6"/>
      <c r="J404" s="9"/>
    </row>
    <row r="405" spans="1:10" ht="12" customHeight="1" x14ac:dyDescent="0.3">
      <c r="A405" s="4">
        <v>2091</v>
      </c>
      <c r="B405" s="6">
        <f>VLOOKUP(TABLA_PRECIOS[Código],LISTADO_PRODUCTOS[#All],2)</f>
        <v>54576</v>
      </c>
      <c r="C405" s="6" t="str">
        <f>VLOOKUP(TABLA_PRECIOS[Código],LISTADO_PRODUCTOS[#All],3)</f>
        <v>PAPELERIA Y ARTISTICA</v>
      </c>
      <c r="D405" s="6" t="str">
        <f>VLOOKUP(TABLA_PRECIOS[Código],LISTADO_PRODUCTOS[#All],4)</f>
        <v>Pistolita encoladora chica 7mm LIGGO 10W</v>
      </c>
      <c r="E405" s="6" t="str">
        <f>VLOOKUP(TABLA_PRECIOS[Código],LISTADO_PRODUCTOS[#All],5)</f>
        <v>N/A</v>
      </c>
      <c r="F405" s="4">
        <v>1</v>
      </c>
      <c r="G405" s="4">
        <v>1</v>
      </c>
      <c r="H405" s="6">
        <v>1</v>
      </c>
      <c r="I405" s="6"/>
      <c r="J405" s="9"/>
    </row>
    <row r="406" spans="1:10" ht="12" customHeight="1" x14ac:dyDescent="0.3">
      <c r="A406" s="4">
        <v>2093</v>
      </c>
      <c r="B406" s="6">
        <f>VLOOKUP(TABLA_PRECIOS[Código],LISTADO_PRODUCTOS[#All],2)</f>
        <v>54577</v>
      </c>
      <c r="C406" s="6" t="str">
        <f>VLOOKUP(TABLA_PRECIOS[Código],LISTADO_PRODUCTOS[#All],3)</f>
        <v>PAPELERIA Y ARTISTICA</v>
      </c>
      <c r="D406" s="6" t="str">
        <f>VLOOKUP(TABLA_PRECIOS[Código],LISTADO_PRODUCTOS[#All],4)</f>
        <v>Pintura p/Tela</v>
      </c>
      <c r="E406" s="6" t="str">
        <f>VLOOKUP(TABLA_PRECIOS[Código],LISTADO_PRODUCTOS[#All],5)</f>
        <v>N/A</v>
      </c>
      <c r="F406" s="4">
        <v>1</v>
      </c>
      <c r="G406" s="4">
        <v>1</v>
      </c>
      <c r="H406" s="6">
        <v>1</v>
      </c>
      <c r="I406" s="6"/>
      <c r="J406" s="9"/>
    </row>
    <row r="407" spans="1:10" ht="12" customHeight="1" x14ac:dyDescent="0.3">
      <c r="A407" s="4">
        <v>2094</v>
      </c>
      <c r="B407" s="6">
        <f>VLOOKUP(TABLA_PRECIOS[Código],LISTADO_PRODUCTOS[#All],2)</f>
        <v>54578</v>
      </c>
      <c r="C407" s="6" t="str">
        <f>VLOOKUP(TABLA_PRECIOS[Código],LISTADO_PRODUCTOS[#All],3)</f>
        <v>PAPELERIA Y ARTISTICA</v>
      </c>
      <c r="D407" s="6" t="str">
        <f>VLOOKUP(TABLA_PRECIOS[Código],LISTADO_PRODUCTOS[#All],4)</f>
        <v>Acrilico EQ Arte 50cc</v>
      </c>
      <c r="E407" s="6" t="str">
        <f>VLOOKUP(TABLA_PRECIOS[Código],LISTADO_PRODUCTOS[#All],5)</f>
        <v>N/A</v>
      </c>
      <c r="F407" s="4">
        <v>1</v>
      </c>
      <c r="G407" s="4">
        <v>1</v>
      </c>
      <c r="H407" s="6">
        <v>1</v>
      </c>
      <c r="I407" s="6"/>
      <c r="J407" s="9"/>
    </row>
    <row r="408" spans="1:10" ht="12" customHeight="1" x14ac:dyDescent="0.3">
      <c r="A408" s="4">
        <v>2096</v>
      </c>
      <c r="B408" s="6">
        <f>VLOOKUP(TABLA_PRECIOS[Código],LISTADO_PRODUCTOS[#All],2)</f>
        <v>54579</v>
      </c>
      <c r="C408" s="6" t="str">
        <f>VLOOKUP(TABLA_PRECIOS[Código],LISTADO_PRODUCTOS[#All],3)</f>
        <v>PAPELERIA Y ARTISTICA</v>
      </c>
      <c r="D408" s="6" t="str">
        <f>VLOOKUP(TABLA_PRECIOS[Código],LISTADO_PRODUCTOS[#All],4)</f>
        <v>Brillo en tarro Sifap 25gr</v>
      </c>
      <c r="E408" s="6" t="str">
        <f>VLOOKUP(TABLA_PRECIOS[Código],LISTADO_PRODUCTOS[#All],5)</f>
        <v>N/A</v>
      </c>
      <c r="F408" s="4">
        <v>1</v>
      </c>
      <c r="G408" s="4">
        <v>1</v>
      </c>
      <c r="H408" s="6">
        <v>1</v>
      </c>
      <c r="I408" s="6"/>
      <c r="J408" s="9"/>
    </row>
    <row r="409" spans="1:10" ht="12" customHeight="1" x14ac:dyDescent="0.3">
      <c r="A409" s="4">
        <v>2097</v>
      </c>
      <c r="B409" s="6">
        <f>VLOOKUP(TABLA_PRECIOS[Código],LISTADO_PRODUCTOS[#All],2)</f>
        <v>54580</v>
      </c>
      <c r="C409" s="6" t="str">
        <f>VLOOKUP(TABLA_PRECIOS[Código],LISTADO_PRODUCTOS[#All],3)</f>
        <v>PAPELERIA Y ARTISTICA</v>
      </c>
      <c r="D409" s="6" t="str">
        <f>VLOOKUP(TABLA_PRECIOS[Código],LISTADO_PRODUCTOS[#All],4)</f>
        <v>Arcilla natural (color gris) Sifap x 300gr</v>
      </c>
      <c r="E409" s="6" t="str">
        <f>VLOOKUP(TABLA_PRECIOS[Código],LISTADO_PRODUCTOS[#All],5)</f>
        <v>N/A</v>
      </c>
      <c r="F409" s="4">
        <v>1</v>
      </c>
      <c r="G409" s="4">
        <v>1</v>
      </c>
      <c r="H409" s="6">
        <v>1</v>
      </c>
      <c r="I409" s="6"/>
      <c r="J409" s="9"/>
    </row>
    <row r="410" spans="1:10" ht="12" customHeight="1" x14ac:dyDescent="0.3">
      <c r="A410" s="4">
        <v>2262</v>
      </c>
      <c r="B410" s="6">
        <f>VLOOKUP(TABLA_PRECIOS[Código],LISTADO_PRODUCTOS[#All],2)</f>
        <v>54612</v>
      </c>
      <c r="C410" s="6" t="str">
        <f>VLOOKUP(TABLA_PRECIOS[Código],LISTADO_PRODUCTOS[#All],3)</f>
        <v>PAPELERIA Y ARTISTICA</v>
      </c>
      <c r="D410" s="6" t="str">
        <f>VLOOKUP(TABLA_PRECIOS[Código],LISTADO_PRODUCTOS[#All],4)</f>
        <v>Acuarela Filgo x 12u</v>
      </c>
      <c r="E410" s="6" t="str">
        <f>VLOOKUP(TABLA_PRECIOS[Código],LISTADO_PRODUCTOS[#All],5)</f>
        <v>N/A</v>
      </c>
      <c r="F410" s="4">
        <v>1</v>
      </c>
      <c r="G410" s="4">
        <v>1</v>
      </c>
      <c r="H410" s="6">
        <v>1</v>
      </c>
      <c r="I410" s="6"/>
      <c r="J410" s="9"/>
    </row>
    <row r="411" spans="1:10" ht="12" customHeight="1" x14ac:dyDescent="0.3">
      <c r="A411" s="4">
        <v>2102</v>
      </c>
      <c r="B411" s="6">
        <f>VLOOKUP(TABLA_PRECIOS[Código],LISTADO_PRODUCTOS[#All],2)</f>
        <v>54580</v>
      </c>
      <c r="C411" s="6" t="str">
        <f>VLOOKUP(TABLA_PRECIOS[Código],LISTADO_PRODUCTOS[#All],3)</f>
        <v>PAPELERIA Y ARTISTICA</v>
      </c>
      <c r="D411" s="6" t="str">
        <f>VLOOKUP(TABLA_PRECIOS[Código],LISTADO_PRODUCTOS[#All],4)</f>
        <v>Arcilla natural (color gris) Sifap x 300gr</v>
      </c>
      <c r="E411" s="6" t="str">
        <f>VLOOKUP(TABLA_PRECIOS[Código],LISTADO_PRODUCTOS[#All],5)</f>
        <v>N/A</v>
      </c>
      <c r="F411" s="4">
        <v>1</v>
      </c>
      <c r="G411" s="4">
        <v>1</v>
      </c>
      <c r="H411" s="6">
        <v>1</v>
      </c>
      <c r="I411" s="6"/>
      <c r="J411" s="9"/>
    </row>
    <row r="412" spans="1:10" ht="12" customHeight="1" x14ac:dyDescent="0.3">
      <c r="A412" s="4">
        <v>2103</v>
      </c>
      <c r="B412" s="6">
        <f>VLOOKUP(TABLA_PRECIOS[Código],LISTADO_PRODUCTOS[#All],2)</f>
        <v>54583</v>
      </c>
      <c r="C412" s="6" t="str">
        <f>VLOOKUP(TABLA_PRECIOS[Código],LISTADO_PRODUCTOS[#All],3)</f>
        <v>PAPELERIA Y ARTISTICA</v>
      </c>
      <c r="D412" s="6" t="str">
        <f>VLOOKUP(TABLA_PRECIOS[Código],LISTADO_PRODUCTOS[#All],4)</f>
        <v>Pistola para silicona fina Suprabond Hx-100 diseños especiales</v>
      </c>
      <c r="E412" s="6" t="str">
        <f>VLOOKUP(TABLA_PRECIOS[Código],LISTADO_PRODUCTOS[#All],5)</f>
        <v>N/A</v>
      </c>
      <c r="F412" s="4">
        <v>1</v>
      </c>
      <c r="G412" s="4">
        <v>1</v>
      </c>
      <c r="H412" s="6">
        <v>1</v>
      </c>
      <c r="I412" s="6"/>
      <c r="J412" s="9"/>
    </row>
    <row r="413" spans="1:10" ht="12" customHeight="1" x14ac:dyDescent="0.3">
      <c r="A413" s="4">
        <v>2104</v>
      </c>
      <c r="B413" s="6">
        <f>VLOOKUP(TABLA_PRECIOS[Código],LISTADO_PRODUCTOS[#All],2)</f>
        <v>54584</v>
      </c>
      <c r="C413" s="6" t="str">
        <f>VLOOKUP(TABLA_PRECIOS[Código],LISTADO_PRODUCTOS[#All],3)</f>
        <v>PAPELERIA Y ARTISTICA</v>
      </c>
      <c r="D413" s="6" t="str">
        <f>VLOOKUP(TABLA_PRECIOS[Código],LISTADO_PRODUCTOS[#All],4)</f>
        <v>Pistola para silicona gruesa Suprabond</v>
      </c>
      <c r="E413" s="6" t="str">
        <f>VLOOKUP(TABLA_PRECIOS[Código],LISTADO_PRODUCTOS[#All],5)</f>
        <v>N/A</v>
      </c>
      <c r="F413" s="4">
        <v>1</v>
      </c>
      <c r="G413" s="4">
        <v>1</v>
      </c>
      <c r="H413" s="6">
        <v>1</v>
      </c>
      <c r="I413" s="6"/>
      <c r="J413" s="9"/>
    </row>
    <row r="414" spans="1:10" ht="12" customHeight="1" x14ac:dyDescent="0.3">
      <c r="A414" s="4">
        <v>2105</v>
      </c>
      <c r="B414" s="6">
        <f>VLOOKUP(TABLA_PRECIOS[Código],LISTADO_PRODUCTOS[#All],2)</f>
        <v>54585</v>
      </c>
      <c r="C414" s="6" t="str">
        <f>VLOOKUP(TABLA_PRECIOS[Código],LISTADO_PRODUCTOS[#All],3)</f>
        <v>PAPELERIA Y ARTISTICA</v>
      </c>
      <c r="D414" s="6" t="str">
        <f>VLOOKUP(TABLA_PRECIOS[Código],LISTADO_PRODUCTOS[#All],4)</f>
        <v>Yeso Paris</v>
      </c>
      <c r="E414" s="6" t="str">
        <f>VLOOKUP(TABLA_PRECIOS[Código],LISTADO_PRODUCTOS[#All],5)</f>
        <v>N/A</v>
      </c>
      <c r="F414" s="4">
        <v>1</v>
      </c>
      <c r="G414" s="4">
        <v>1</v>
      </c>
      <c r="H414" s="6">
        <v>1</v>
      </c>
      <c r="I414" s="6"/>
      <c r="J414" s="9"/>
    </row>
    <row r="415" spans="1:10" ht="12" customHeight="1" x14ac:dyDescent="0.3">
      <c r="A415" s="4">
        <v>2106</v>
      </c>
      <c r="B415" s="6">
        <f>VLOOKUP(TABLA_PRECIOS[Código],LISTADO_PRODUCTOS[#All],2)</f>
        <v>54586</v>
      </c>
      <c r="C415" s="6" t="str">
        <f>VLOOKUP(TABLA_PRECIOS[Código],LISTADO_PRODUCTOS[#All],3)</f>
        <v>PAPELERIA Y ARTISTICA</v>
      </c>
      <c r="D415" s="6" t="str">
        <f>VLOOKUP(TABLA_PRECIOS[Código],LISTADO_PRODUCTOS[#All],4)</f>
        <v>Silicona Liquida Unipox ge 24ml</v>
      </c>
      <c r="E415" s="6" t="str">
        <f>VLOOKUP(TABLA_PRECIOS[Código],LISTADO_PRODUCTOS[#All],5)</f>
        <v>N/A</v>
      </c>
      <c r="F415" s="4">
        <v>1</v>
      </c>
      <c r="G415" s="4">
        <v>1</v>
      </c>
      <c r="H415" s="6">
        <v>1</v>
      </c>
      <c r="I415" s="6"/>
      <c r="J415" s="9"/>
    </row>
    <row r="416" spans="1:10" ht="12" customHeight="1" x14ac:dyDescent="0.3">
      <c r="A416" s="4">
        <v>2108</v>
      </c>
      <c r="B416" s="6">
        <f>VLOOKUP(TABLA_PRECIOS[Código],LISTADO_PRODUCTOS[#All],2)</f>
        <v>54587</v>
      </c>
      <c r="C416" s="6" t="str">
        <f>VLOOKUP(TABLA_PRECIOS[Código],LISTADO_PRODUCTOS[#All],3)</f>
        <v>PAPELERIA Y ARTISTICA</v>
      </c>
      <c r="D416" s="6" t="str">
        <f>VLOOKUP(TABLA_PRECIOS[Código],LISTADO_PRODUCTOS[#All],4)</f>
        <v>Brillantina Gibre Sifap blister x 5u</v>
      </c>
      <c r="E416" s="6" t="str">
        <f>VLOOKUP(TABLA_PRECIOS[Código],LISTADO_PRODUCTOS[#All],5)</f>
        <v>N/A</v>
      </c>
      <c r="F416" s="4">
        <v>1</v>
      </c>
      <c r="G416" s="4">
        <v>1</v>
      </c>
      <c r="H416" s="6">
        <v>1</v>
      </c>
      <c r="I416" s="6"/>
      <c r="J416" s="9"/>
    </row>
    <row r="417" spans="1:10" ht="12" customHeight="1" x14ac:dyDescent="0.3">
      <c r="A417" s="4">
        <v>2109</v>
      </c>
      <c r="B417" s="6">
        <f>VLOOKUP(TABLA_PRECIOS[Código],LISTADO_PRODUCTOS[#All],2)</f>
        <v>54588</v>
      </c>
      <c r="C417" s="6" t="str">
        <f>VLOOKUP(TABLA_PRECIOS[Código],LISTADO_PRODUCTOS[#All],3)</f>
        <v>PAPELERIA Y ARTISTICA</v>
      </c>
      <c r="D417" s="6" t="str">
        <f>VLOOKUP(TABLA_PRECIOS[Código],LISTADO_PRODUCTOS[#All],4)</f>
        <v>Chinche Forrada Sifap x 80u</v>
      </c>
      <c r="E417" s="6" t="str">
        <f>VLOOKUP(TABLA_PRECIOS[Código],LISTADO_PRODUCTOS[#All],5)</f>
        <v>N/A</v>
      </c>
      <c r="F417" s="4">
        <v>1</v>
      </c>
      <c r="G417" s="4">
        <v>1</v>
      </c>
      <c r="H417" s="6">
        <v>1</v>
      </c>
      <c r="I417" s="6"/>
      <c r="J417" s="9"/>
    </row>
    <row r="418" spans="1:10" ht="12" customHeight="1" x14ac:dyDescent="0.3">
      <c r="A418" s="4">
        <v>2111</v>
      </c>
      <c r="B418" s="6">
        <f>VLOOKUP(TABLA_PRECIOS[Código],LISTADO_PRODUCTOS[#All],2)</f>
        <v>54589</v>
      </c>
      <c r="C418" s="6" t="str">
        <f>VLOOKUP(TABLA_PRECIOS[Código],LISTADO_PRODUCTOS[#All],3)</f>
        <v>PAPELERIA Y ARTISTICA</v>
      </c>
      <c r="D418" s="6" t="str">
        <f>VLOOKUP(TABLA_PRECIOS[Código],LISTADO_PRODUCTOS[#All],4)</f>
        <v>Sobre carta chico blanco</v>
      </c>
      <c r="E418" s="6" t="str">
        <f>VLOOKUP(TABLA_PRECIOS[Código],LISTADO_PRODUCTOS[#All],5)</f>
        <v>N/A</v>
      </c>
      <c r="F418" s="4">
        <v>1</v>
      </c>
      <c r="G418" s="4">
        <v>1</v>
      </c>
      <c r="H418" s="6">
        <v>1</v>
      </c>
      <c r="I418" s="6"/>
      <c r="J418" s="9"/>
    </row>
    <row r="419" spans="1:10" ht="12" customHeight="1" x14ac:dyDescent="0.3">
      <c r="A419" s="4">
        <v>2113</v>
      </c>
      <c r="B419" s="6">
        <f>VLOOKUP(TABLA_PRECIOS[Código],LISTADO_PRODUCTOS[#All],2)</f>
        <v>54590</v>
      </c>
      <c r="C419" s="6" t="str">
        <f>VLOOKUP(TABLA_PRECIOS[Código],LISTADO_PRODUCTOS[#All],3)</f>
        <v>PAPELERIA Y ARTISTICA</v>
      </c>
      <c r="D419" s="6" t="str">
        <f>VLOOKUP(TABLA_PRECIOS[Código],LISTADO_PRODUCTOS[#All],4)</f>
        <v>Sobre Oficio ingles Blanco</v>
      </c>
      <c r="E419" s="6" t="str">
        <f>VLOOKUP(TABLA_PRECIOS[Código],LISTADO_PRODUCTOS[#All],5)</f>
        <v>N/A</v>
      </c>
      <c r="F419" s="4">
        <v>1</v>
      </c>
      <c r="G419" s="4">
        <v>1</v>
      </c>
      <c r="H419" s="6">
        <v>1</v>
      </c>
      <c r="I419" s="6"/>
      <c r="J419" s="9"/>
    </row>
    <row r="420" spans="1:10" ht="12" customHeight="1" x14ac:dyDescent="0.3">
      <c r="A420" s="4">
        <v>2114</v>
      </c>
      <c r="B420" s="6">
        <f>VLOOKUP(TABLA_PRECIOS[Código],LISTADO_PRODUCTOS[#All],2)</f>
        <v>54591</v>
      </c>
      <c r="C420" s="6" t="str">
        <f>VLOOKUP(TABLA_PRECIOS[Código],LISTADO_PRODUCTOS[#All],3)</f>
        <v>PAPELERIA Y ARTISTICA</v>
      </c>
      <c r="D420" s="6" t="str">
        <f>VLOOKUP(TABLA_PRECIOS[Código],LISTADO_PRODUCTOS[#All],4)</f>
        <v>Cinta de embalar 48mm x 100mts</v>
      </c>
      <c r="E420" s="6" t="str">
        <f>VLOOKUP(TABLA_PRECIOS[Código],LISTADO_PRODUCTOS[#All],5)</f>
        <v>N/A</v>
      </c>
      <c r="F420" s="4">
        <v>1</v>
      </c>
      <c r="G420" s="4">
        <v>1</v>
      </c>
      <c r="H420" s="6">
        <v>1</v>
      </c>
      <c r="I420" s="6"/>
      <c r="J420" s="9"/>
    </row>
    <row r="421" spans="1:10" ht="12" customHeight="1" x14ac:dyDescent="0.3">
      <c r="A421" s="4">
        <v>2115</v>
      </c>
      <c r="B421" s="6">
        <f>VLOOKUP(TABLA_PRECIOS[Código],LISTADO_PRODUCTOS[#All],2)</f>
        <v>54592</v>
      </c>
      <c r="C421" s="6" t="str">
        <f>VLOOKUP(TABLA_PRECIOS[Código],LISTADO_PRODUCTOS[#All],3)</f>
        <v>PAPELERIA Y ARTISTICA</v>
      </c>
      <c r="D421" s="6" t="str">
        <f>VLOOKUP(TABLA_PRECIOS[Código],LISTADO_PRODUCTOS[#All],4)</f>
        <v>Imanes Flexibles autoadhesivos A4 Sifap x plancha</v>
      </c>
      <c r="E421" s="6" t="str">
        <f>VLOOKUP(TABLA_PRECIOS[Código],LISTADO_PRODUCTOS[#All],5)</f>
        <v>N/A</v>
      </c>
      <c r="F421" s="4">
        <v>1</v>
      </c>
      <c r="G421" s="4">
        <v>1</v>
      </c>
      <c r="H421" s="6">
        <v>1</v>
      </c>
      <c r="I421" s="6"/>
      <c r="J421" s="9"/>
    </row>
    <row r="422" spans="1:10" ht="12" customHeight="1" x14ac:dyDescent="0.3">
      <c r="A422" s="4">
        <v>2119</v>
      </c>
      <c r="B422" s="6">
        <f>VLOOKUP(TABLA_PRECIOS[Código],LISTADO_PRODUCTOS[#All],2)</f>
        <v>54593</v>
      </c>
      <c r="C422" s="6" t="str">
        <f>VLOOKUP(TABLA_PRECIOS[Código],LISTADO_PRODUCTOS[#All],3)</f>
        <v>PAPELERIA Y ARTISTICA</v>
      </c>
      <c r="D422" s="6" t="str">
        <f>VLOOKUP(TABLA_PRECIOS[Código],LISTADO_PRODUCTOS[#All],4)</f>
        <v>Adhesivo en barra Ezco 21grs</v>
      </c>
      <c r="E422" s="6" t="str">
        <f>VLOOKUP(TABLA_PRECIOS[Código],LISTADO_PRODUCTOS[#All],5)</f>
        <v>N/A</v>
      </c>
      <c r="F422" s="4">
        <v>1</v>
      </c>
      <c r="G422" s="4">
        <v>1</v>
      </c>
      <c r="H422" s="6">
        <v>1</v>
      </c>
      <c r="I422" s="6"/>
      <c r="J422" s="9"/>
    </row>
    <row r="423" spans="1:10" ht="12" customHeight="1" x14ac:dyDescent="0.3">
      <c r="A423" s="4">
        <v>2120</v>
      </c>
      <c r="B423" s="6">
        <f>VLOOKUP(TABLA_PRECIOS[Código],LISTADO_PRODUCTOS[#All],2)</f>
        <v>54594</v>
      </c>
      <c r="C423" s="6" t="str">
        <f>VLOOKUP(TABLA_PRECIOS[Código],LISTADO_PRODUCTOS[#All],3)</f>
        <v>PAPELERIA Y ARTISTICA</v>
      </c>
      <c r="D423" s="6" t="str">
        <f>VLOOKUP(TABLA_PRECIOS[Código],LISTADO_PRODUCTOS[#All],4)</f>
        <v>Adhesivo en barra Giotto 36g</v>
      </c>
      <c r="E423" s="6" t="str">
        <f>VLOOKUP(TABLA_PRECIOS[Código],LISTADO_PRODUCTOS[#All],5)</f>
        <v>N/A</v>
      </c>
      <c r="F423" s="4">
        <v>1</v>
      </c>
      <c r="G423" s="4">
        <v>1</v>
      </c>
      <c r="H423" s="6">
        <v>1</v>
      </c>
      <c r="I423" s="6"/>
      <c r="J423" s="9"/>
    </row>
    <row r="424" spans="1:10" ht="12" customHeight="1" x14ac:dyDescent="0.3">
      <c r="A424" s="4">
        <v>2200</v>
      </c>
      <c r="B424" s="6">
        <f>VLOOKUP(TABLA_PRECIOS[Código],LISTADO_PRODUCTOS[#All],2)</f>
        <v>54595</v>
      </c>
      <c r="C424" s="6" t="str">
        <f>VLOOKUP(TABLA_PRECIOS[Código],LISTADO_PRODUCTOS[#All],3)</f>
        <v>PAPELERIA Y ARTISTICA</v>
      </c>
      <c r="D424" s="6" t="str">
        <f>VLOOKUP(TABLA_PRECIOS[Código],LISTADO_PRODUCTOS[#All],4)</f>
        <v>Cinta scotch transparente 18mm x 25mt</v>
      </c>
      <c r="E424" s="6" t="str">
        <f>VLOOKUP(TABLA_PRECIOS[Código],LISTADO_PRODUCTOS[#All],5)</f>
        <v>N/A</v>
      </c>
      <c r="F424" s="4">
        <v>1</v>
      </c>
      <c r="G424" s="4">
        <v>1</v>
      </c>
      <c r="H424" s="6">
        <v>1</v>
      </c>
      <c r="I424" s="6"/>
      <c r="J424" s="9"/>
    </row>
    <row r="425" spans="1:10" ht="12" customHeight="1" x14ac:dyDescent="0.3">
      <c r="A425" s="4">
        <v>2220</v>
      </c>
      <c r="B425" s="6">
        <f>VLOOKUP(TABLA_PRECIOS[Código],LISTADO_PRODUCTOS[#All],2)</f>
        <v>54596</v>
      </c>
      <c r="C425" s="6" t="str">
        <f>VLOOKUP(TABLA_PRECIOS[Código],LISTADO_PRODUCTOS[#All],3)</f>
        <v>PAPELERIA Y ARTISTICA</v>
      </c>
      <c r="D425" s="6" t="str">
        <f>VLOOKUP(TABLA_PRECIOS[Código],LISTADO_PRODUCTOS[#All],4)</f>
        <v>Cinta Scotch 18mm x 30m</v>
      </c>
      <c r="E425" s="6" t="str">
        <f>VLOOKUP(TABLA_PRECIOS[Código],LISTADO_PRODUCTOS[#All],5)</f>
        <v>N/A</v>
      </c>
      <c r="F425" s="4">
        <v>1</v>
      </c>
      <c r="G425" s="4">
        <v>1</v>
      </c>
      <c r="H425" s="6">
        <v>1</v>
      </c>
      <c r="I425" s="6"/>
      <c r="J425" s="9"/>
    </row>
    <row r="426" spans="1:10" ht="12" customHeight="1" x14ac:dyDescent="0.3">
      <c r="A426" s="4">
        <v>2221</v>
      </c>
      <c r="B426" s="6">
        <f>VLOOKUP(TABLA_PRECIOS[Código],LISTADO_PRODUCTOS[#All],2)</f>
        <v>54597</v>
      </c>
      <c r="C426" s="6" t="str">
        <f>VLOOKUP(TABLA_PRECIOS[Código],LISTADO_PRODUCTOS[#All],3)</f>
        <v>PAPELERIA Y ARTISTICA</v>
      </c>
      <c r="D426" s="6" t="str">
        <f>VLOOKUP(TABLA_PRECIOS[Código],LISTADO_PRODUCTOS[#All],4)</f>
        <v>Cinta confitera</v>
      </c>
      <c r="E426" s="6" t="str">
        <f>VLOOKUP(TABLA_PRECIOS[Código],LISTADO_PRODUCTOS[#All],5)</f>
        <v>N/A</v>
      </c>
      <c r="F426" s="4">
        <v>1</v>
      </c>
      <c r="G426" s="4">
        <v>1</v>
      </c>
      <c r="H426" s="6">
        <v>1</v>
      </c>
      <c r="I426" s="6"/>
      <c r="J426" s="9"/>
    </row>
    <row r="427" spans="1:10" ht="12" customHeight="1" x14ac:dyDescent="0.3">
      <c r="A427" s="4">
        <v>2222</v>
      </c>
      <c r="B427" s="6">
        <f>VLOOKUP(TABLA_PRECIOS[Código],LISTADO_PRODUCTOS[#All],2)</f>
        <v>54598</v>
      </c>
      <c r="C427" s="6" t="str">
        <f>VLOOKUP(TABLA_PRECIOS[Código],LISTADO_PRODUCTOS[#All],3)</f>
        <v>PAPELERIA Y ARTISTICA</v>
      </c>
      <c r="D427" s="6" t="str">
        <f>VLOOKUP(TABLA_PRECIOS[Código],LISTADO_PRODUCTOS[#All],4)</f>
        <v>Cinta embalar 48mm x 50m Stiko</v>
      </c>
      <c r="E427" s="6" t="str">
        <f>VLOOKUP(TABLA_PRECIOS[Código],LISTADO_PRODUCTOS[#All],5)</f>
        <v>N/A</v>
      </c>
      <c r="F427" s="4">
        <v>1</v>
      </c>
      <c r="G427" s="4">
        <v>1</v>
      </c>
      <c r="H427" s="6">
        <v>1</v>
      </c>
      <c r="I427" s="6"/>
      <c r="J427" s="9"/>
    </row>
    <row r="428" spans="1:10" ht="12" customHeight="1" x14ac:dyDescent="0.3">
      <c r="A428" s="4">
        <v>2113</v>
      </c>
      <c r="B428" s="6">
        <f>VLOOKUP(TABLA_PRECIOS[Código],LISTADO_PRODUCTOS[#All],2)</f>
        <v>54590</v>
      </c>
      <c r="C428" s="6" t="str">
        <f>VLOOKUP(TABLA_PRECIOS[Código],LISTADO_PRODUCTOS[#All],3)</f>
        <v>PAPELERIA Y ARTISTICA</v>
      </c>
      <c r="D428" s="6" t="str">
        <f>VLOOKUP(TABLA_PRECIOS[Código],LISTADO_PRODUCTOS[#All],4)</f>
        <v>Sobre Oficio ingles Blanco</v>
      </c>
      <c r="E428" s="6" t="str">
        <f>VLOOKUP(TABLA_PRECIOS[Código],LISTADO_PRODUCTOS[#All],5)</f>
        <v>N/A</v>
      </c>
      <c r="F428" s="4">
        <v>1</v>
      </c>
      <c r="G428" s="4">
        <v>1</v>
      </c>
      <c r="H428" s="6">
        <v>1</v>
      </c>
      <c r="I428" s="6"/>
      <c r="J428" s="9"/>
    </row>
    <row r="429" spans="1:10" ht="12" customHeight="1" x14ac:dyDescent="0.3">
      <c r="A429" s="4">
        <v>2119</v>
      </c>
      <c r="B429" s="6">
        <f>VLOOKUP(TABLA_PRECIOS[Código],LISTADO_PRODUCTOS[#All],2)</f>
        <v>54593</v>
      </c>
      <c r="C429" s="6" t="str">
        <f>VLOOKUP(TABLA_PRECIOS[Código],LISTADO_PRODUCTOS[#All],3)</f>
        <v>PAPELERIA Y ARTISTICA</v>
      </c>
      <c r="D429" s="6" t="str">
        <f>VLOOKUP(TABLA_PRECIOS[Código],LISTADO_PRODUCTOS[#All],4)</f>
        <v>Adhesivo en barra Ezco 21grs</v>
      </c>
      <c r="E429" s="6" t="str">
        <f>VLOOKUP(TABLA_PRECIOS[Código],LISTADO_PRODUCTOS[#All],5)</f>
        <v>N/A</v>
      </c>
      <c r="F429" s="4">
        <v>1</v>
      </c>
      <c r="G429" s="4">
        <v>1</v>
      </c>
      <c r="H429" s="6">
        <v>1</v>
      </c>
      <c r="I429" s="6"/>
      <c r="J429" s="9"/>
    </row>
    <row r="430" spans="1:10" ht="12" customHeight="1" x14ac:dyDescent="0.3">
      <c r="A430" s="4">
        <v>2120</v>
      </c>
      <c r="B430" s="6">
        <f>VLOOKUP(TABLA_PRECIOS[Código],LISTADO_PRODUCTOS[#All],2)</f>
        <v>54594</v>
      </c>
      <c r="C430" s="6" t="str">
        <f>VLOOKUP(TABLA_PRECIOS[Código],LISTADO_PRODUCTOS[#All],3)</f>
        <v>PAPELERIA Y ARTISTICA</v>
      </c>
      <c r="D430" s="6" t="str">
        <f>VLOOKUP(TABLA_PRECIOS[Código],LISTADO_PRODUCTOS[#All],4)</f>
        <v>Adhesivo en barra Giotto 36g</v>
      </c>
      <c r="E430" s="6" t="str">
        <f>VLOOKUP(TABLA_PRECIOS[Código],LISTADO_PRODUCTOS[#All],5)</f>
        <v>N/A</v>
      </c>
      <c r="F430" s="4">
        <v>1</v>
      </c>
      <c r="G430" s="4">
        <v>1</v>
      </c>
      <c r="H430" s="6">
        <v>1</v>
      </c>
      <c r="I430" s="6"/>
      <c r="J430" s="9"/>
    </row>
    <row r="431" spans="1:10" ht="12" customHeight="1" x14ac:dyDescent="0.3">
      <c r="A431" s="4">
        <v>2127</v>
      </c>
      <c r="B431" s="6">
        <f>VLOOKUP(TABLA_PRECIOS[Código],LISTADO_PRODUCTOS[#All],2)</f>
        <v>54594</v>
      </c>
      <c r="C431" s="6" t="str">
        <f>VLOOKUP(TABLA_PRECIOS[Código],LISTADO_PRODUCTOS[#All],3)</f>
        <v>PAPELERIA Y ARTISTICA</v>
      </c>
      <c r="D431" s="6" t="str">
        <f>VLOOKUP(TABLA_PRECIOS[Código],LISTADO_PRODUCTOS[#All],4)</f>
        <v>Adhesivo en barra Giotto 36g</v>
      </c>
      <c r="E431" s="6" t="str">
        <f>VLOOKUP(TABLA_PRECIOS[Código],LISTADO_PRODUCTOS[#All],5)</f>
        <v>N/A</v>
      </c>
      <c r="F431" s="4">
        <v>1</v>
      </c>
      <c r="G431" s="4">
        <v>1</v>
      </c>
      <c r="H431" s="6">
        <v>1</v>
      </c>
      <c r="I431" s="6"/>
      <c r="J431" s="9"/>
    </row>
    <row r="432" spans="1:10" ht="12" customHeight="1" x14ac:dyDescent="0.3">
      <c r="A432" s="4">
        <v>2125</v>
      </c>
      <c r="B432" s="6">
        <f>VLOOKUP(TABLA_PRECIOS[Código],LISTADO_PRODUCTOS[#All],2)</f>
        <v>54594</v>
      </c>
      <c r="C432" s="6" t="str">
        <f>VLOOKUP(TABLA_PRECIOS[Código],LISTADO_PRODUCTOS[#All],3)</f>
        <v>PAPELERIA Y ARTISTICA</v>
      </c>
      <c r="D432" s="6" t="str">
        <f>VLOOKUP(TABLA_PRECIOS[Código],LISTADO_PRODUCTOS[#All],4)</f>
        <v>Adhesivo en barra Giotto 36g</v>
      </c>
      <c r="E432" s="6" t="str">
        <f>VLOOKUP(TABLA_PRECIOS[Código],LISTADO_PRODUCTOS[#All],5)</f>
        <v>N/A</v>
      </c>
      <c r="F432" s="4">
        <v>1</v>
      </c>
      <c r="G432" s="4">
        <v>1</v>
      </c>
      <c r="H432" s="6">
        <v>1</v>
      </c>
      <c r="I432" s="6"/>
      <c r="J432" s="9"/>
    </row>
    <row r="433" spans="1:10" ht="12" customHeight="1" x14ac:dyDescent="0.3">
      <c r="A433" s="4">
        <v>2226</v>
      </c>
      <c r="B433" s="6">
        <f>VLOOKUP(TABLA_PRECIOS[Código],LISTADO_PRODUCTOS[#All],2)</f>
        <v>54604</v>
      </c>
      <c r="C433" s="6" t="str">
        <f>VLOOKUP(TABLA_PRECIOS[Código],LISTADO_PRODUCTOS[#All],3)</f>
        <v>PAPELERIA Y ARTISTICA</v>
      </c>
      <c r="D433" s="6" t="str">
        <f>VLOOKUP(TABLA_PRECIOS[Código],LISTADO_PRODUCTOS[#All],4)</f>
        <v>Tiza Giotto Color x 10</v>
      </c>
      <c r="E433" s="6" t="str">
        <f>VLOOKUP(TABLA_PRECIOS[Código],LISTADO_PRODUCTOS[#All],5)</f>
        <v>N/A</v>
      </c>
      <c r="F433" s="4">
        <v>1</v>
      </c>
      <c r="G433" s="4">
        <v>1</v>
      </c>
      <c r="H433" s="6">
        <v>1</v>
      </c>
      <c r="I433" s="6"/>
      <c r="J433" s="9"/>
    </row>
    <row r="434" spans="1:10" ht="12" customHeight="1" x14ac:dyDescent="0.3">
      <c r="A434" s="4">
        <v>2227</v>
      </c>
      <c r="B434" s="6">
        <f>VLOOKUP(TABLA_PRECIOS[Código],LISTADO_PRODUCTOS[#All],2)</f>
        <v>54605</v>
      </c>
      <c r="C434" s="6" t="str">
        <f>VLOOKUP(TABLA_PRECIOS[Código],LISTADO_PRODUCTOS[#All],3)</f>
        <v>PAPELERIA Y ARTISTICA</v>
      </c>
      <c r="D434" s="6" t="str">
        <f>VLOOKUP(TABLA_PRECIOS[Código],LISTADO_PRODUCTOS[#All],4)</f>
        <v>Tiza Playcolor/Giotto Blanca x 12</v>
      </c>
      <c r="E434" s="6" t="str">
        <f>VLOOKUP(TABLA_PRECIOS[Código],LISTADO_PRODUCTOS[#All],5)</f>
        <v>N/A</v>
      </c>
      <c r="F434" s="4">
        <v>1</v>
      </c>
      <c r="G434" s="4">
        <v>1</v>
      </c>
      <c r="H434" s="6">
        <v>1</v>
      </c>
      <c r="I434" s="6"/>
      <c r="J434" s="9"/>
    </row>
    <row r="435" spans="1:10" ht="12" customHeight="1" x14ac:dyDescent="0.3">
      <c r="A435" s="4">
        <v>2228</v>
      </c>
      <c r="B435" s="6">
        <f>VLOOKUP(TABLA_PRECIOS[Código],LISTADO_PRODUCTOS[#All],2)</f>
        <v>54606</v>
      </c>
      <c r="C435" s="6" t="str">
        <f>VLOOKUP(TABLA_PRECIOS[Código],LISTADO_PRODUCTOS[#All],3)</f>
        <v>PAPELERIA Y ARTISTICA</v>
      </c>
      <c r="D435" s="6" t="str">
        <f>VLOOKUP(TABLA_PRECIOS[Código],LISTADO_PRODUCTOS[#All],4)</f>
        <v>Palitos de helado natural x 50</v>
      </c>
      <c r="E435" s="6" t="str">
        <f>VLOOKUP(TABLA_PRECIOS[Código],LISTADO_PRODUCTOS[#All],5)</f>
        <v>N/A</v>
      </c>
      <c r="F435" s="4">
        <v>1</v>
      </c>
      <c r="G435" s="4">
        <v>1</v>
      </c>
      <c r="H435" s="6">
        <v>1</v>
      </c>
      <c r="I435" s="6"/>
      <c r="J435" s="9"/>
    </row>
    <row r="436" spans="1:10" ht="12" customHeight="1" x14ac:dyDescent="0.3">
      <c r="A436" s="4">
        <v>2233</v>
      </c>
      <c r="B436" s="6">
        <f>VLOOKUP(TABLA_PRECIOS[Código],LISTADO_PRODUCTOS[#All],2)</f>
        <v>54607</v>
      </c>
      <c r="C436" s="6" t="str">
        <f>VLOOKUP(TABLA_PRECIOS[Código],LISTADO_PRODUCTOS[#All],3)</f>
        <v>PAPELERIA Y ARTISTICA</v>
      </c>
      <c r="D436" s="6" t="str">
        <f>VLOOKUP(TABLA_PRECIOS[Código],LISTADO_PRODUCTOS[#All],4)</f>
        <v>Tiza Blanca Giotto x 100</v>
      </c>
      <c r="E436" s="6" t="str">
        <f>VLOOKUP(TABLA_PRECIOS[Código],LISTADO_PRODUCTOS[#All],5)</f>
        <v>N/A</v>
      </c>
      <c r="F436" s="4">
        <v>1</v>
      </c>
      <c r="G436" s="4">
        <v>1</v>
      </c>
      <c r="H436" s="6">
        <v>1</v>
      </c>
      <c r="I436" s="6"/>
      <c r="J436" s="9"/>
    </row>
    <row r="437" spans="1:10" ht="12" customHeight="1" x14ac:dyDescent="0.3">
      <c r="A437" s="4">
        <v>2237</v>
      </c>
      <c r="B437" s="6">
        <f>VLOOKUP(TABLA_PRECIOS[Código],LISTADO_PRODUCTOS[#All],2)</f>
        <v>54608</v>
      </c>
      <c r="C437" s="6" t="str">
        <f>VLOOKUP(TABLA_PRECIOS[Código],LISTADO_PRODUCTOS[#All],3)</f>
        <v>PAPELERIA Y ARTISTICA</v>
      </c>
      <c r="D437" s="6" t="str">
        <f>VLOOKUP(TABLA_PRECIOS[Código],LISTADO_PRODUCTOS[#All],4)</f>
        <v>Diamantina Maped</v>
      </c>
      <c r="E437" s="6" t="str">
        <f>VLOOKUP(TABLA_PRECIOS[Código],LISTADO_PRODUCTOS[#All],5)</f>
        <v>N/A</v>
      </c>
      <c r="F437" s="4">
        <v>1</v>
      </c>
      <c r="G437" s="4">
        <v>1</v>
      </c>
      <c r="H437" s="6">
        <v>1</v>
      </c>
      <c r="I437" s="6"/>
      <c r="J437" s="9"/>
    </row>
    <row r="438" spans="1:10" ht="12" customHeight="1" x14ac:dyDescent="0.3">
      <c r="A438" s="4">
        <v>2238</v>
      </c>
      <c r="B438" s="6">
        <f>VLOOKUP(TABLA_PRECIOS[Código],LISTADO_PRODUCTOS[#All],2)</f>
        <v>54609</v>
      </c>
      <c r="C438" s="6" t="str">
        <f>VLOOKUP(TABLA_PRECIOS[Código],LISTADO_PRODUCTOS[#All],3)</f>
        <v>PAPELERIA Y ARTISTICA</v>
      </c>
      <c r="D438" s="6" t="str">
        <f>VLOOKUP(TABLA_PRECIOS[Código],LISTADO_PRODUCTOS[#All],4)</f>
        <v>Tempera Señorita Comun x 250ml</v>
      </c>
      <c r="E438" s="6" t="str">
        <f>VLOOKUP(TABLA_PRECIOS[Código],LISTADO_PRODUCTOS[#All],5)</f>
        <v>N/A</v>
      </c>
      <c r="F438" s="4">
        <v>1</v>
      </c>
      <c r="G438" s="4">
        <v>1</v>
      </c>
      <c r="H438" s="6">
        <v>1</v>
      </c>
      <c r="I438" s="6"/>
      <c r="J438" s="9"/>
    </row>
    <row r="439" spans="1:10" ht="12" customHeight="1" x14ac:dyDescent="0.3">
      <c r="A439" s="4">
        <v>2239</v>
      </c>
      <c r="B439" s="6">
        <f>VLOOKUP(TABLA_PRECIOS[Código],LISTADO_PRODUCTOS[#All],2)</f>
        <v>54610</v>
      </c>
      <c r="C439" s="6" t="str">
        <f>VLOOKUP(TABLA_PRECIOS[Código],LISTADO_PRODUCTOS[#All],3)</f>
        <v>PAPELERIA Y ARTISTICA</v>
      </c>
      <c r="D439" s="6" t="str">
        <f>VLOOKUP(TABLA_PRECIOS[Código],LISTADO_PRODUCTOS[#All],4)</f>
        <v>Tempera Señorita FLUO x 250ml</v>
      </c>
      <c r="E439" s="6" t="str">
        <f>VLOOKUP(TABLA_PRECIOS[Código],LISTADO_PRODUCTOS[#All],5)</f>
        <v>N/A</v>
      </c>
      <c r="F439" s="4">
        <v>1</v>
      </c>
      <c r="G439" s="4">
        <v>1</v>
      </c>
      <c r="H439" s="6">
        <v>1</v>
      </c>
      <c r="I439" s="6"/>
      <c r="J439" s="9"/>
    </row>
    <row r="440" spans="1:10" ht="12" customHeight="1" x14ac:dyDescent="0.3">
      <c r="A440" s="4">
        <v>2240</v>
      </c>
      <c r="B440" s="6">
        <f>VLOOKUP(TABLA_PRECIOS[Código],LISTADO_PRODUCTOS[#All],2)</f>
        <v>54611</v>
      </c>
      <c r="C440" s="6" t="str">
        <f>VLOOKUP(TABLA_PRECIOS[Código],LISTADO_PRODUCTOS[#All],3)</f>
        <v>PAPELERIA Y ARTISTICA</v>
      </c>
      <c r="D440" s="6" t="str">
        <f>VLOOKUP(TABLA_PRECIOS[Código],LISTADO_PRODUCTOS[#All],4)</f>
        <v>Tempera Señorita Metalizado x 250ml</v>
      </c>
      <c r="E440" s="6" t="str">
        <f>VLOOKUP(TABLA_PRECIOS[Código],LISTADO_PRODUCTOS[#All],5)</f>
        <v>N/A</v>
      </c>
      <c r="F440" s="4">
        <v>1</v>
      </c>
      <c r="G440" s="4">
        <v>1</v>
      </c>
      <c r="H440" s="6">
        <v>1</v>
      </c>
      <c r="I440" s="6"/>
      <c r="J440" s="9"/>
    </row>
    <row r="441" spans="1:10" ht="12" customHeight="1" x14ac:dyDescent="0.3">
      <c r="A441" s="4">
        <v>2255</v>
      </c>
      <c r="B441" s="6">
        <f>VLOOKUP(TABLA_PRECIOS[Código],LISTADO_PRODUCTOS[#All],2)</f>
        <v>54612</v>
      </c>
      <c r="C441" s="6" t="str">
        <f>VLOOKUP(TABLA_PRECIOS[Código],LISTADO_PRODUCTOS[#All],3)</f>
        <v>PAPELERIA Y ARTISTICA</v>
      </c>
      <c r="D441" s="6" t="str">
        <f>VLOOKUP(TABLA_PRECIOS[Código],LISTADO_PRODUCTOS[#All],4)</f>
        <v>Acuarela Filgo x 12u</v>
      </c>
      <c r="E441" s="6" t="str">
        <f>VLOOKUP(TABLA_PRECIOS[Código],LISTADO_PRODUCTOS[#All],5)</f>
        <v>N/A</v>
      </c>
      <c r="F441" s="4">
        <v>1</v>
      </c>
      <c r="G441" s="4">
        <v>1</v>
      </c>
      <c r="H441" s="6">
        <v>1</v>
      </c>
      <c r="I441" s="6"/>
      <c r="J441" s="9"/>
    </row>
    <row r="442" spans="1:10" ht="12" customHeight="1" x14ac:dyDescent="0.3">
      <c r="A442" s="4">
        <v>2311</v>
      </c>
      <c r="B442" s="6">
        <f>VLOOKUP(TABLA_PRECIOS[Código],LISTADO_PRODUCTOS[#All],2)</f>
        <v>54613</v>
      </c>
      <c r="C442" s="6" t="str">
        <f>VLOOKUP(TABLA_PRECIOS[Código],LISTADO_PRODUCTOS[#All],3)</f>
        <v>PAPELERIA Y ARTISTICA</v>
      </c>
      <c r="D442" s="6" t="str">
        <f>VLOOKUP(TABLA_PRECIOS[Código],LISTADO_PRODUCTOS[#All],4)</f>
        <v>Lentejuelas sifap x9 surt</v>
      </c>
      <c r="E442" s="6" t="str">
        <f>VLOOKUP(TABLA_PRECIOS[Código],LISTADO_PRODUCTOS[#All],5)</f>
        <v>N/A</v>
      </c>
      <c r="F442" s="4">
        <v>1</v>
      </c>
      <c r="G442" s="4">
        <v>1</v>
      </c>
      <c r="H442" s="6">
        <v>1</v>
      </c>
      <c r="I442" s="6"/>
      <c r="J442" s="9"/>
    </row>
    <row r="443" spans="1:10" ht="12" customHeight="1" x14ac:dyDescent="0.3">
      <c r="A443" s="4">
        <v>2315</v>
      </c>
      <c r="B443" s="6">
        <f>VLOOKUP(TABLA_PRECIOS[Código],LISTADO_PRODUCTOS[#All],2)</f>
        <v>54614</v>
      </c>
      <c r="C443" s="6" t="str">
        <f>VLOOKUP(TABLA_PRECIOS[Código],LISTADO_PRODUCTOS[#All],3)</f>
        <v>PAPELERIA Y ARTISTICA</v>
      </c>
      <c r="D443" s="6" t="str">
        <f>VLOOKUP(TABLA_PRECIOS[Código],LISTADO_PRODUCTOS[#All],4)</f>
        <v xml:space="preserve">Pintura dimensional eterna colores </v>
      </c>
      <c r="E443" s="6" t="str">
        <f>VLOOKUP(TABLA_PRECIOS[Código],LISTADO_PRODUCTOS[#All],5)</f>
        <v>N/A</v>
      </c>
      <c r="F443" s="4">
        <v>1</v>
      </c>
      <c r="G443" s="4">
        <v>1</v>
      </c>
      <c r="H443" s="6">
        <v>1</v>
      </c>
      <c r="I443" s="6"/>
      <c r="J443" s="9"/>
    </row>
    <row r="444" spans="1:10" ht="12" customHeight="1" x14ac:dyDescent="0.3">
      <c r="A444" s="4">
        <v>2317</v>
      </c>
      <c r="B444" s="6">
        <f>VLOOKUP(TABLA_PRECIOS[Código],LISTADO_PRODUCTOS[#All],2)</f>
        <v>54615</v>
      </c>
      <c r="C444" s="6" t="str">
        <f>VLOOKUP(TABLA_PRECIOS[Código],LISTADO_PRODUCTOS[#All],3)</f>
        <v>PAPELERIA Y ARTISTICA</v>
      </c>
      <c r="D444" s="6" t="str">
        <f>VLOOKUP(TABLA_PRECIOS[Código],LISTADO_PRODUCTOS[#All],4)</f>
        <v>Anilina Yacolor</v>
      </c>
      <c r="E444" s="6" t="str">
        <f>VLOOKUP(TABLA_PRECIOS[Código],LISTADO_PRODUCTOS[#All],5)</f>
        <v>N/A</v>
      </c>
      <c r="F444" s="4">
        <v>1</v>
      </c>
      <c r="G444" s="4">
        <v>1</v>
      </c>
      <c r="H444" s="6">
        <v>1</v>
      </c>
      <c r="I444" s="6"/>
      <c r="J444" s="9"/>
    </row>
    <row r="445" spans="1:10" ht="12" customHeight="1" x14ac:dyDescent="0.3">
      <c r="A445" s="4">
        <v>2318</v>
      </c>
      <c r="B445" s="6">
        <f>VLOOKUP(TABLA_PRECIOS[Código],LISTADO_PRODUCTOS[#All],2)</f>
        <v>54616</v>
      </c>
      <c r="C445" s="6" t="str">
        <f>VLOOKUP(TABLA_PRECIOS[Código],LISTADO_PRODUCTOS[#All],3)</f>
        <v>PAPELERIA Y ARTISTICA</v>
      </c>
      <c r="D445" s="6" t="str">
        <f>VLOOKUP(TABLA_PRECIOS[Código],LISTADO_PRODUCTOS[#All],4)</f>
        <v>Block Nº6 Capitolio Fluo x 16h</v>
      </c>
      <c r="E445" s="6" t="str">
        <f>VLOOKUP(TABLA_PRECIOS[Código],LISTADO_PRODUCTOS[#All],5)</f>
        <v>N/A</v>
      </c>
      <c r="F445" s="4">
        <v>1</v>
      </c>
      <c r="G445" s="4">
        <v>1</v>
      </c>
      <c r="H445" s="6">
        <v>1</v>
      </c>
      <c r="I445" s="6"/>
      <c r="J445" s="9"/>
    </row>
    <row r="446" spans="1:10" ht="12" customHeight="1" x14ac:dyDescent="0.3">
      <c r="A446" s="4">
        <v>2320</v>
      </c>
      <c r="B446" s="6">
        <f>VLOOKUP(TABLA_PRECIOS[Código],LISTADO_PRODUCTOS[#All],2)</f>
        <v>54617</v>
      </c>
      <c r="C446" s="6" t="str">
        <f>VLOOKUP(TABLA_PRECIOS[Código],LISTADO_PRODUCTOS[#All],3)</f>
        <v>PAPELERIA Y ARTISTICA</v>
      </c>
      <c r="D446" s="6" t="str">
        <f>VLOOKUP(TABLA_PRECIOS[Código],LISTADO_PRODUCTOS[#All],4)</f>
        <v>Cutter Olami 18mm Mango de goma</v>
      </c>
      <c r="E446" s="6" t="str">
        <f>VLOOKUP(TABLA_PRECIOS[Código],LISTADO_PRODUCTOS[#All],5)</f>
        <v>N/A</v>
      </c>
      <c r="F446" s="4">
        <v>1</v>
      </c>
      <c r="G446" s="4">
        <v>1</v>
      </c>
      <c r="H446" s="6">
        <v>1</v>
      </c>
      <c r="I446" s="6"/>
      <c r="J446" s="9"/>
    </row>
    <row r="447" spans="1:10" ht="12" customHeight="1" x14ac:dyDescent="0.3">
      <c r="A447" s="4">
        <v>2321</v>
      </c>
      <c r="B447" s="6">
        <f>VLOOKUP(TABLA_PRECIOS[Código],LISTADO_PRODUCTOS[#All],2)</f>
        <v>54618</v>
      </c>
      <c r="C447" s="6" t="str">
        <f>VLOOKUP(TABLA_PRECIOS[Código],LISTADO_PRODUCTOS[#All],3)</f>
        <v>PAPELERIA Y ARTISTICA</v>
      </c>
      <c r="D447" s="6" t="str">
        <f>VLOOKUP(TABLA_PRECIOS[Código],LISTADO_PRODUCTOS[#All],4)</f>
        <v>Cutter Olami 9mm Guia metal Mango de Goma</v>
      </c>
      <c r="E447" s="6" t="str">
        <f>VLOOKUP(TABLA_PRECIOS[Código],LISTADO_PRODUCTOS[#All],5)</f>
        <v>N/A</v>
      </c>
      <c r="F447" s="4">
        <v>1</v>
      </c>
      <c r="G447" s="4">
        <v>1</v>
      </c>
      <c r="H447" s="6">
        <v>1</v>
      </c>
      <c r="I447" s="6"/>
      <c r="J447" s="9"/>
    </row>
    <row r="448" spans="1:10" ht="12" customHeight="1" x14ac:dyDescent="0.3">
      <c r="A448" s="4">
        <v>2326</v>
      </c>
      <c r="B448" s="6">
        <f>VLOOKUP(TABLA_PRECIOS[Código],LISTADO_PRODUCTOS[#All],2)</f>
        <v>54619</v>
      </c>
      <c r="C448" s="6" t="str">
        <f>VLOOKUP(TABLA_PRECIOS[Código],LISTADO_PRODUCTOS[#All],3)</f>
        <v>PAPELERIA Y ARTISTICA</v>
      </c>
      <c r="D448" s="6" t="str">
        <f>VLOOKUP(TABLA_PRECIOS[Código],LISTADO_PRODUCTOS[#All],4)</f>
        <v xml:space="preserve">Barrita de silicona fina Suprabond </v>
      </c>
      <c r="E448" s="6" t="str">
        <f>VLOOKUP(TABLA_PRECIOS[Código],LISTADO_PRODUCTOS[#All],5)</f>
        <v>N/A</v>
      </c>
      <c r="F448" s="4">
        <v>1</v>
      </c>
      <c r="G448" s="4">
        <v>1</v>
      </c>
      <c r="H448" s="6">
        <v>1</v>
      </c>
      <c r="I448" s="6"/>
      <c r="J448" s="9"/>
    </row>
    <row r="449" spans="1:10" x14ac:dyDescent="0.3">
      <c r="A449" s="4">
        <v>2327</v>
      </c>
      <c r="B449" s="6">
        <f>VLOOKUP(TABLA_PRECIOS[Código],LISTADO_PRODUCTOS[#All],2)</f>
        <v>54620</v>
      </c>
      <c r="C449" s="6" t="str">
        <f>VLOOKUP(TABLA_PRECIOS[Código],LISTADO_PRODUCTOS[#All],3)</f>
        <v>PAPELERIA Y ARTISTICA</v>
      </c>
      <c r="D449" s="6" t="str">
        <f>VLOOKUP(TABLA_PRECIOS[Código],LISTADO_PRODUCTOS[#All],4)</f>
        <v xml:space="preserve">Barrita de silicona Gruesa Suprabond </v>
      </c>
      <c r="E449" s="6" t="str">
        <f>VLOOKUP(TABLA_PRECIOS[Código],LISTADO_PRODUCTOS[#All],5)</f>
        <v>N/A</v>
      </c>
      <c r="F449" s="4">
        <v>1</v>
      </c>
      <c r="G449" s="4">
        <v>1</v>
      </c>
      <c r="H449" s="6">
        <v>1</v>
      </c>
      <c r="I449" s="6"/>
      <c r="J449" s="9"/>
    </row>
    <row r="450" spans="1:10" x14ac:dyDescent="0.3">
      <c r="A450" s="4">
        <v>2330</v>
      </c>
      <c r="B450" s="6">
        <f>VLOOKUP(TABLA_PRECIOS[Código],LISTADO_PRODUCTOS[#All],2)</f>
        <v>54621</v>
      </c>
      <c r="C450" s="6" t="str">
        <f>VLOOKUP(TABLA_PRECIOS[Código],LISTADO_PRODUCTOS[#All],3)</f>
        <v>PAPELERIA Y ARTISTICA</v>
      </c>
      <c r="D450" s="6" t="str">
        <f>VLOOKUP(TABLA_PRECIOS[Código],LISTADO_PRODUCTOS[#All],4)</f>
        <v>Palitos de helado colores surtidos x 50u</v>
      </c>
      <c r="E450" s="6" t="str">
        <f>VLOOKUP(TABLA_PRECIOS[Código],LISTADO_PRODUCTOS[#All],5)</f>
        <v>N/A</v>
      </c>
      <c r="F450" s="4">
        <v>1</v>
      </c>
      <c r="G450" s="4">
        <v>1</v>
      </c>
      <c r="H450" s="6">
        <v>1</v>
      </c>
      <c r="I450" s="6"/>
      <c r="J450" s="9"/>
    </row>
    <row r="451" spans="1:10" x14ac:dyDescent="0.3">
      <c r="A451" s="4">
        <v>2332</v>
      </c>
      <c r="B451" s="6">
        <f>VLOOKUP(TABLA_PRECIOS[Código],LISTADO_PRODUCTOS[#All],2)</f>
        <v>54622</v>
      </c>
      <c r="C451" s="6" t="str">
        <f>VLOOKUP(TABLA_PRECIOS[Código],LISTADO_PRODUCTOS[#All],3)</f>
        <v>PAPELERIA Y ARTISTICA</v>
      </c>
      <c r="D451" s="6" t="str">
        <f>VLOOKUP(TABLA_PRECIOS[Código],LISTADO_PRODUCTOS[#All],4)</f>
        <v>Block Origami El Nene x 24h bicolor</v>
      </c>
      <c r="E451" s="6" t="str">
        <f>VLOOKUP(TABLA_PRECIOS[Código],LISTADO_PRODUCTOS[#All],5)</f>
        <v>N/A</v>
      </c>
      <c r="F451" s="4">
        <v>1</v>
      </c>
      <c r="G451" s="4">
        <v>1</v>
      </c>
      <c r="H451" s="6">
        <v>1</v>
      </c>
      <c r="I451" s="6"/>
      <c r="J451" s="9"/>
    </row>
    <row r="452" spans="1:10" x14ac:dyDescent="0.3">
      <c r="A452" s="4">
        <v>2336</v>
      </c>
      <c r="B452" s="6">
        <f>VLOOKUP(TABLA_PRECIOS[Código],LISTADO_PRODUCTOS[#All],2)</f>
        <v>54623</v>
      </c>
      <c r="C452" s="6" t="str">
        <f>VLOOKUP(TABLA_PRECIOS[Código],LISTADO_PRODUCTOS[#All],3)</f>
        <v>PAPELERIA Y ARTISTICA</v>
      </c>
      <c r="D452" s="6" t="str">
        <f>VLOOKUP(TABLA_PRECIOS[Código],LISTADO_PRODUCTOS[#All],4)</f>
        <v>Palito de helado paleta/jumbo colores x 50u</v>
      </c>
      <c r="E452" s="6" t="str">
        <f>VLOOKUP(TABLA_PRECIOS[Código],LISTADO_PRODUCTOS[#All],5)</f>
        <v>N/A</v>
      </c>
      <c r="F452" s="4">
        <v>1</v>
      </c>
      <c r="G452" s="4">
        <v>1</v>
      </c>
      <c r="H452" s="6">
        <v>1</v>
      </c>
      <c r="I452" s="6"/>
      <c r="J452" s="9"/>
    </row>
    <row r="453" spans="1:10" x14ac:dyDescent="0.3">
      <c r="A453" s="4">
        <v>2338</v>
      </c>
      <c r="B453" s="6">
        <f>VLOOKUP(TABLA_PRECIOS[Código],LISTADO_PRODUCTOS[#All],2)</f>
        <v>54624</v>
      </c>
      <c r="C453" s="6" t="str">
        <f>VLOOKUP(TABLA_PRECIOS[Código],LISTADO_PRODUCTOS[#All],3)</f>
        <v>PAPELERIA Y ARTISTICA</v>
      </c>
      <c r="D453" s="6" t="str">
        <f>VLOOKUP(TABLA_PRECIOS[Código],LISTADO_PRODUCTOS[#All],4)</f>
        <v>Marcador Edding 4200 P/Porcelana x6u</v>
      </c>
      <c r="E453" s="6" t="str">
        <f>VLOOKUP(TABLA_PRECIOS[Código],LISTADO_PRODUCTOS[#All],5)</f>
        <v>N/A</v>
      </c>
      <c r="F453" s="4">
        <v>1</v>
      </c>
      <c r="G453" s="4">
        <v>1</v>
      </c>
      <c r="H453" s="6">
        <v>1</v>
      </c>
      <c r="I453" s="6"/>
      <c r="J453" s="9"/>
    </row>
    <row r="454" spans="1:10" x14ac:dyDescent="0.3">
      <c r="A454" s="4">
        <v>2348</v>
      </c>
      <c r="B454" s="6">
        <f>VLOOKUP(TABLA_PRECIOS[Código],LISTADO_PRODUCTOS[#All],2)</f>
        <v>54625</v>
      </c>
      <c r="C454" s="6" t="str">
        <f>VLOOKUP(TABLA_PRECIOS[Código],LISTADO_PRODUCTOS[#All],3)</f>
        <v>PAPELERIA Y ARTISTICA</v>
      </c>
      <c r="D454" s="6" t="str">
        <f>VLOOKUP(TABLA_PRECIOS[Código],LISTADO_PRODUCTOS[#All],4)</f>
        <v>Cutter Maped 9mm</v>
      </c>
      <c r="E454" s="6" t="str">
        <f>VLOOKUP(TABLA_PRECIOS[Código],LISTADO_PRODUCTOS[#All],5)</f>
        <v>N/A</v>
      </c>
      <c r="F454" s="4">
        <v>1</v>
      </c>
      <c r="G454" s="4">
        <v>1</v>
      </c>
      <c r="H454" s="6">
        <v>1</v>
      </c>
      <c r="I454" s="6"/>
      <c r="J454" s="9"/>
    </row>
    <row r="455" spans="1:10" x14ac:dyDescent="0.3">
      <c r="A455" s="4">
        <v>2356</v>
      </c>
      <c r="B455" s="6">
        <f>VLOOKUP(TABLA_PRECIOS[Código],LISTADO_PRODUCTOS[#All],2)</f>
        <v>54626</v>
      </c>
      <c r="C455" s="6" t="str">
        <f>VLOOKUP(TABLA_PRECIOS[Código],LISTADO_PRODUCTOS[#All],3)</f>
        <v>PAPELERIA Y ARTISTICA</v>
      </c>
      <c r="D455" s="6" t="str">
        <f>VLOOKUP(TABLA_PRECIOS[Código],LISTADO_PRODUCTOS[#All],4)</f>
        <v>Cutter Olami plastico en bolsa Hoja ancha</v>
      </c>
      <c r="E455" s="6" t="str">
        <f>VLOOKUP(TABLA_PRECIOS[Código],LISTADO_PRODUCTOS[#All],5)</f>
        <v>N/A</v>
      </c>
      <c r="F455" s="4">
        <v>1</v>
      </c>
      <c r="G455" s="4">
        <v>1</v>
      </c>
      <c r="H455" s="6">
        <v>1</v>
      </c>
      <c r="I455" s="6"/>
      <c r="J455" s="9"/>
    </row>
    <row r="456" spans="1:10" x14ac:dyDescent="0.3">
      <c r="A456" s="4">
        <v>2357</v>
      </c>
      <c r="B456" s="6">
        <f>VLOOKUP(TABLA_PRECIOS[Código],LISTADO_PRODUCTOS[#All],2)</f>
        <v>54627</v>
      </c>
      <c r="C456" s="6" t="str">
        <f>VLOOKUP(TABLA_PRECIOS[Código],LISTADO_PRODUCTOS[#All],3)</f>
        <v>PAPELERIA Y ARTISTICA</v>
      </c>
      <c r="D456" s="6" t="str">
        <f>VLOOKUP(TABLA_PRECIOS[Código],LISTADO_PRODUCTOS[#All],4)</f>
        <v>Cutter Olami c/freno plastico en bolsa hoja fina</v>
      </c>
      <c r="E456" s="6" t="str">
        <f>VLOOKUP(TABLA_PRECIOS[Código],LISTADO_PRODUCTOS[#All],5)</f>
        <v>N/A</v>
      </c>
      <c r="F456" s="4">
        <v>1</v>
      </c>
      <c r="G456" s="4">
        <v>1</v>
      </c>
      <c r="H456" s="6">
        <v>1</v>
      </c>
      <c r="I456" s="6"/>
      <c r="J456" s="9"/>
    </row>
    <row r="457" spans="1:10" x14ac:dyDescent="0.3">
      <c r="A457" s="4">
        <v>2364</v>
      </c>
      <c r="B457" s="6">
        <f>VLOOKUP(TABLA_PRECIOS[Código],LISTADO_PRODUCTOS[#All],2)</f>
        <v>54628</v>
      </c>
      <c r="C457" s="6" t="str">
        <f>VLOOKUP(TABLA_PRECIOS[Código],LISTADO_PRODUCTOS[#All],3)</f>
        <v>PAPELERIA Y ARTISTICA</v>
      </c>
      <c r="D457" s="6" t="str">
        <f>VLOOKUP(TABLA_PRECIOS[Código],LISTADO_PRODUCTOS[#All],4)</f>
        <v>Brillantina Stick/con formitas Sifap</v>
      </c>
      <c r="E457" s="6" t="str">
        <f>VLOOKUP(TABLA_PRECIOS[Código],LISTADO_PRODUCTOS[#All],5)</f>
        <v>N/A</v>
      </c>
      <c r="F457" s="4">
        <v>1</v>
      </c>
      <c r="G457" s="4">
        <v>1</v>
      </c>
      <c r="H457" s="6">
        <v>1</v>
      </c>
      <c r="I457" s="6"/>
      <c r="J457" s="9"/>
    </row>
    <row r="458" spans="1:10" x14ac:dyDescent="0.3">
      <c r="A458" s="4">
        <v>2374</v>
      </c>
      <c r="B458" s="6">
        <f>VLOOKUP(TABLA_PRECIOS[Código],LISTADO_PRODUCTOS[#All],2)</f>
        <v>54629</v>
      </c>
      <c r="C458" s="6" t="str">
        <f>VLOOKUP(TABLA_PRECIOS[Código],LISTADO_PRODUCTOS[#All],3)</f>
        <v>PAPELERIA Y ARTISTICA</v>
      </c>
      <c r="D458" s="6" t="str">
        <f>VLOOKUP(TABLA_PRECIOS[Código],LISTADO_PRODUCTOS[#All],4)</f>
        <v>Cinta Ribbonete lisa 11mm x 50m Azul/rosa/lila/verde/naranja</v>
      </c>
      <c r="E458" s="6" t="str">
        <f>VLOOKUP(TABLA_PRECIOS[Código],LISTADO_PRODUCTOS[#All],5)</f>
        <v>N/A</v>
      </c>
      <c r="F458" s="4">
        <v>1</v>
      </c>
      <c r="G458" s="4">
        <v>1</v>
      </c>
      <c r="H458" s="6">
        <v>1</v>
      </c>
      <c r="I458" s="6"/>
      <c r="J458" s="9"/>
    </row>
    <row r="459" spans="1:10" x14ac:dyDescent="0.3">
      <c r="A459" s="4">
        <v>2380</v>
      </c>
      <c r="B459" s="6">
        <f>VLOOKUP(TABLA_PRECIOS[Código],LISTADO_PRODUCTOS[#All],2)</f>
        <v>54630</v>
      </c>
      <c r="C459" s="6" t="str">
        <f>VLOOKUP(TABLA_PRECIOS[Código],LISTADO_PRODUCTOS[#All],3)</f>
        <v>PAPELERIA Y ARTISTICA</v>
      </c>
      <c r="D459" s="6" t="str">
        <f>VLOOKUP(TABLA_PRECIOS[Código],LISTADO_PRODUCTOS[#All],4)</f>
        <v>PVC contact Glitter x mt</v>
      </c>
      <c r="E459" s="6" t="str">
        <f>VLOOKUP(TABLA_PRECIOS[Código],LISTADO_PRODUCTOS[#All],5)</f>
        <v>N/A</v>
      </c>
      <c r="F459" s="4">
        <v>1</v>
      </c>
      <c r="G459" s="4">
        <v>1</v>
      </c>
      <c r="H459" s="6">
        <v>1</v>
      </c>
      <c r="I459" s="6"/>
      <c r="J459" s="9"/>
    </row>
    <row r="460" spans="1:10" x14ac:dyDescent="0.3">
      <c r="A460" s="4">
        <v>2381</v>
      </c>
      <c r="B460" s="6">
        <f>VLOOKUP(TABLA_PRECIOS[Código],LISTADO_PRODUCTOS[#All],2)</f>
        <v>54631</v>
      </c>
      <c r="C460" s="6" t="str">
        <f>VLOOKUP(TABLA_PRECIOS[Código],LISTADO_PRODUCTOS[#All],3)</f>
        <v>PAPELERIA Y ARTISTICA</v>
      </c>
      <c r="D460" s="6" t="str">
        <f>VLOOKUP(TABLA_PRECIOS[Código],LISTADO_PRODUCTOS[#All],4)</f>
        <v>PVC contact transparente x mt</v>
      </c>
      <c r="E460" s="6" t="str">
        <f>VLOOKUP(TABLA_PRECIOS[Código],LISTADO_PRODUCTOS[#All],5)</f>
        <v>N/A</v>
      </c>
      <c r="F460" s="4">
        <v>1</v>
      </c>
      <c r="G460" s="4">
        <v>1</v>
      </c>
      <c r="H460" s="6">
        <v>1</v>
      </c>
      <c r="I460" s="6"/>
      <c r="J460" s="9"/>
    </row>
    <row r="461" spans="1:10" x14ac:dyDescent="0.3">
      <c r="A461" s="4">
        <v>2382</v>
      </c>
      <c r="B461" s="6">
        <f>VLOOKUP(TABLA_PRECIOS[Código],LISTADO_PRODUCTOS[#All],2)</f>
        <v>54632</v>
      </c>
      <c r="C461" s="6" t="str">
        <f>VLOOKUP(TABLA_PRECIOS[Código],LISTADO_PRODUCTOS[#All],3)</f>
        <v>PAPELERIA Y ARTISTICA</v>
      </c>
      <c r="D461" s="6" t="str">
        <f>VLOOKUP(TABLA_PRECIOS[Código],LISTADO_PRODUCTOS[#All],4)</f>
        <v>PVC contact madera x mt</v>
      </c>
      <c r="E461" s="6" t="str">
        <f>VLOOKUP(TABLA_PRECIOS[Código],LISTADO_PRODUCTOS[#All],5)</f>
        <v>N/A</v>
      </c>
      <c r="F461" s="4">
        <v>1</v>
      </c>
      <c r="G461" s="4">
        <v>1</v>
      </c>
      <c r="H461" s="6">
        <v>1</v>
      </c>
      <c r="I461" s="6"/>
      <c r="J461" s="9"/>
    </row>
    <row r="462" spans="1:10" x14ac:dyDescent="0.3">
      <c r="A462" s="4">
        <v>2383</v>
      </c>
      <c r="B462" s="6">
        <f>VLOOKUP(TABLA_PRECIOS[Código],LISTADO_PRODUCTOS[#All],2)</f>
        <v>54633</v>
      </c>
      <c r="C462" s="6" t="str">
        <f>VLOOKUP(TABLA_PRECIOS[Código],LISTADO_PRODUCTOS[#All],3)</f>
        <v>PAPELERIA Y ARTISTICA</v>
      </c>
      <c r="D462" s="6" t="str">
        <f>VLOOKUP(TABLA_PRECIOS[Código],LISTADO_PRODUCTOS[#All],4)</f>
        <v>PVC contact color x mt</v>
      </c>
      <c r="E462" s="6" t="str">
        <f>VLOOKUP(TABLA_PRECIOS[Código],LISTADO_PRODUCTOS[#All],5)</f>
        <v>N/A</v>
      </c>
      <c r="F462" s="4">
        <v>1</v>
      </c>
      <c r="G462" s="4">
        <v>1</v>
      </c>
      <c r="H462" s="6">
        <v>1</v>
      </c>
      <c r="I462" s="6"/>
      <c r="J462" s="9"/>
    </row>
    <row r="463" spans="1:10" x14ac:dyDescent="0.3">
      <c r="A463" s="4">
        <v>2384</v>
      </c>
      <c r="B463" s="6">
        <f>VLOOKUP(TABLA_PRECIOS[Código],LISTADO_PRODUCTOS[#All],2)</f>
        <v>54634</v>
      </c>
      <c r="C463" s="6" t="str">
        <f>VLOOKUP(TABLA_PRECIOS[Código],LISTADO_PRODUCTOS[#All],3)</f>
        <v>PAPELERIA Y ARTISTICA</v>
      </c>
      <c r="D463" s="6" t="str">
        <f>VLOOKUP(TABLA_PRECIOS[Código],LISTADO_PRODUCTOS[#All],4)</f>
        <v>PVC holografiado x mt</v>
      </c>
      <c r="E463" s="6" t="str">
        <f>VLOOKUP(TABLA_PRECIOS[Código],LISTADO_PRODUCTOS[#All],5)</f>
        <v>N/A</v>
      </c>
      <c r="F463" s="4">
        <v>1</v>
      </c>
      <c r="G463" s="4">
        <v>1</v>
      </c>
      <c r="H463" s="6">
        <v>1</v>
      </c>
      <c r="I463" s="6"/>
      <c r="J463" s="9"/>
    </row>
    <row r="464" spans="1:10" x14ac:dyDescent="0.3">
      <c r="A464" s="4">
        <v>2385</v>
      </c>
      <c r="B464" s="6">
        <f>VLOOKUP(TABLA_PRECIOS[Código],LISTADO_PRODUCTOS[#All],2)</f>
        <v>54635</v>
      </c>
      <c r="C464" s="6" t="str">
        <f>VLOOKUP(TABLA_PRECIOS[Código],LISTADO_PRODUCTOS[#All],3)</f>
        <v>PAPELERIA Y ARTISTICA</v>
      </c>
      <c r="D464" s="6" t="str">
        <f>VLOOKUP(TABLA_PRECIOS[Código],LISTADO_PRODUCTOS[#All],4)</f>
        <v>PVC traslucido x mt</v>
      </c>
      <c r="E464" s="6" t="str">
        <f>VLOOKUP(TABLA_PRECIOS[Código],LISTADO_PRODUCTOS[#All],5)</f>
        <v>N/A</v>
      </c>
      <c r="F464" s="4">
        <v>1</v>
      </c>
      <c r="G464" s="4">
        <v>1</v>
      </c>
      <c r="H464" s="6">
        <v>1</v>
      </c>
      <c r="I464" s="6"/>
      <c r="J464" s="9"/>
    </row>
    <row r="465" spans="1:10" x14ac:dyDescent="0.3">
      <c r="A465" s="4">
        <v>2386</v>
      </c>
      <c r="B465" s="6">
        <f>VLOOKUP(TABLA_PRECIOS[Código],LISTADO_PRODUCTOS[#All],2)</f>
        <v>54636</v>
      </c>
      <c r="C465" s="6" t="str">
        <f>VLOOKUP(TABLA_PRECIOS[Código],LISTADO_PRODUCTOS[#All],3)</f>
        <v>PAPELERIA Y ARTISTICA</v>
      </c>
      <c r="D465" s="6" t="str">
        <f>VLOOKUP(TABLA_PRECIOS[Código],LISTADO_PRODUCTOS[#All],4)</f>
        <v>PVC contact ORO/PLATA x mt</v>
      </c>
      <c r="E465" s="6" t="str">
        <f>VLOOKUP(TABLA_PRECIOS[Código],LISTADO_PRODUCTOS[#All],5)</f>
        <v>N/A</v>
      </c>
      <c r="F465" s="4">
        <v>1</v>
      </c>
      <c r="G465" s="4">
        <v>1</v>
      </c>
      <c r="H465" s="6">
        <v>1</v>
      </c>
      <c r="I465" s="6"/>
      <c r="J465" s="9"/>
    </row>
    <row r="466" spans="1:10" x14ac:dyDescent="0.3">
      <c r="A466" s="4">
        <v>2387</v>
      </c>
      <c r="B466" s="6">
        <f>VLOOKUP(TABLA_PRECIOS[Código],LISTADO_PRODUCTOS[#All],2)</f>
        <v>54637</v>
      </c>
      <c r="C466" s="6" t="str">
        <f>VLOOKUP(TABLA_PRECIOS[Código],LISTADO_PRODUCTOS[#All],3)</f>
        <v>PAPELERIA Y ARTISTICA</v>
      </c>
      <c r="D466" s="6" t="str">
        <f>VLOOKUP(TABLA_PRECIOS[Código],LISTADO_PRODUCTOS[#All],4)</f>
        <v>PVC contact dibujos x mt</v>
      </c>
      <c r="E466" s="6" t="str">
        <f>VLOOKUP(TABLA_PRECIOS[Código],LISTADO_PRODUCTOS[#All],5)</f>
        <v>N/A</v>
      </c>
      <c r="F466" s="4">
        <v>1</v>
      </c>
      <c r="G466" s="4">
        <v>1</v>
      </c>
      <c r="H466" s="6">
        <v>1</v>
      </c>
      <c r="I466" s="6"/>
      <c r="J466" s="9"/>
    </row>
    <row r="467" spans="1:10" x14ac:dyDescent="0.3">
      <c r="A467" s="4">
        <v>2388</v>
      </c>
      <c r="B467" s="6">
        <f>VLOOKUP(TABLA_PRECIOS[Código],LISTADO_PRODUCTOS[#All],2)</f>
        <v>54638</v>
      </c>
      <c r="C467" s="6" t="str">
        <f>VLOOKUP(TABLA_PRECIOS[Código],LISTADO_PRODUCTOS[#All],3)</f>
        <v>PAPELERIA Y ARTISTICA</v>
      </c>
      <c r="D467" s="6" t="str">
        <f>VLOOKUP(TABLA_PRECIOS[Código],LISTADO_PRODUCTOS[#All],4)</f>
        <v>Cinta papel New-Tape 48mm x 40mts</v>
      </c>
      <c r="E467" s="6" t="str">
        <f>VLOOKUP(TABLA_PRECIOS[Código],LISTADO_PRODUCTOS[#All],5)</f>
        <v>N/A</v>
      </c>
      <c r="F467" s="4">
        <v>1</v>
      </c>
      <c r="G467" s="4">
        <v>1</v>
      </c>
      <c r="H467" s="6">
        <v>1</v>
      </c>
      <c r="I467" s="6"/>
      <c r="J467" s="9"/>
    </row>
    <row r="468" spans="1:10" x14ac:dyDescent="0.3">
      <c r="A468" s="4">
        <v>2389</v>
      </c>
      <c r="B468" s="6">
        <f>VLOOKUP(TABLA_PRECIOS[Código],LISTADO_PRODUCTOS[#All],2)</f>
        <v>54639</v>
      </c>
      <c r="C468" s="6" t="str">
        <f>VLOOKUP(TABLA_PRECIOS[Código],LISTADO_PRODUCTOS[#All],3)</f>
        <v>PAPELERIA Y ARTISTICA</v>
      </c>
      <c r="D468" s="6" t="str">
        <f>VLOOKUP(TABLA_PRECIOS[Código],LISTADO_PRODUCTOS[#All],4)</f>
        <v>Cinta Papel New-Tape/Stioko 36mm x 40mts</v>
      </c>
      <c r="E468" s="6" t="str">
        <f>VLOOKUP(TABLA_PRECIOS[Código],LISTADO_PRODUCTOS[#All],5)</f>
        <v>N/A</v>
      </c>
      <c r="F468" s="4">
        <v>1</v>
      </c>
      <c r="G468" s="4">
        <v>1</v>
      </c>
      <c r="H468" s="6">
        <v>1</v>
      </c>
      <c r="I468" s="6"/>
      <c r="J468" s="9"/>
    </row>
    <row r="469" spans="1:10" x14ac:dyDescent="0.3">
      <c r="A469" s="4">
        <v>2390</v>
      </c>
      <c r="B469" s="6">
        <f>VLOOKUP(TABLA_PRECIOS[Código],LISTADO_PRODUCTOS[#All],2)</f>
        <v>54640</v>
      </c>
      <c r="C469" s="6" t="str">
        <f>VLOOKUP(TABLA_PRECIOS[Código],LISTADO_PRODUCTOS[#All],3)</f>
        <v>PAPELERIA Y ARTISTICA</v>
      </c>
      <c r="D469" s="6" t="str">
        <f>VLOOKUP(TABLA_PRECIOS[Código],LISTADO_PRODUCTOS[#All],4)</f>
        <v>Cinta Papel New-Tape/Fijapel 24mm x 40mts</v>
      </c>
      <c r="E469" s="6" t="str">
        <f>VLOOKUP(TABLA_PRECIOS[Código],LISTADO_PRODUCTOS[#All],5)</f>
        <v>N/A</v>
      </c>
      <c r="F469" s="4">
        <v>1</v>
      </c>
      <c r="G469" s="4">
        <v>1</v>
      </c>
      <c r="H469" s="6">
        <v>1</v>
      </c>
      <c r="I469" s="6"/>
      <c r="J469" s="9"/>
    </row>
    <row r="470" spans="1:10" x14ac:dyDescent="0.3">
      <c r="A470" s="4">
        <v>2391</v>
      </c>
      <c r="B470" s="6">
        <f>VLOOKUP(TABLA_PRECIOS[Código],LISTADO_PRODUCTOS[#All],2)</f>
        <v>54641</v>
      </c>
      <c r="C470" s="6" t="str">
        <f>VLOOKUP(TABLA_PRECIOS[Código],LISTADO_PRODUCTOS[#All],3)</f>
        <v>PAPELERIA Y ARTISTICA</v>
      </c>
      <c r="D470" s="6" t="str">
        <f>VLOOKUP(TABLA_PRECIOS[Código],LISTADO_PRODUCTOS[#All],4)</f>
        <v>Sticker perritos goma eva</v>
      </c>
      <c r="E470" s="6" t="str">
        <f>VLOOKUP(TABLA_PRECIOS[Código],LISTADO_PRODUCTOS[#All],5)</f>
        <v>N/A</v>
      </c>
      <c r="F470" s="4">
        <v>1</v>
      </c>
      <c r="G470" s="4">
        <v>1</v>
      </c>
      <c r="H470" s="6">
        <v>1</v>
      </c>
      <c r="I470" s="6"/>
      <c r="J470" s="9"/>
    </row>
    <row r="471" spans="1:10" x14ac:dyDescent="0.3">
      <c r="A471" s="4">
        <v>2394</v>
      </c>
      <c r="B471" s="6">
        <f>VLOOKUP(TABLA_PRECIOS[Código],LISTADO_PRODUCTOS[#All],2)</f>
        <v>54642</v>
      </c>
      <c r="C471" s="6" t="str">
        <f>VLOOKUP(TABLA_PRECIOS[Código],LISTADO_PRODUCTOS[#All],3)</f>
        <v>PAPELERIA Y ARTISTICA</v>
      </c>
      <c r="D471" s="6" t="str">
        <f>VLOOKUP(TABLA_PRECIOS[Código],LISTADO_PRODUCTOS[#All],4)</f>
        <v>Repuesto cuchilla Cutter comun 18mm cuchilla ancha x10u $50 x u</v>
      </c>
      <c r="E471" s="6" t="str">
        <f>VLOOKUP(TABLA_PRECIOS[Código],LISTADO_PRODUCTOS[#All],5)</f>
        <v>N/A</v>
      </c>
      <c r="F471" s="4">
        <v>1</v>
      </c>
      <c r="G471" s="4">
        <v>1</v>
      </c>
      <c r="H471" s="6">
        <v>1</v>
      </c>
      <c r="I471" s="6"/>
      <c r="J471" s="9"/>
    </row>
    <row r="472" spans="1:10" x14ac:dyDescent="0.3">
      <c r="A472" s="4">
        <v>2395</v>
      </c>
      <c r="B472" s="6">
        <f>VLOOKUP(TABLA_PRECIOS[Código],LISTADO_PRODUCTOS[#All],2)</f>
        <v>54643</v>
      </c>
      <c r="C472" s="6" t="str">
        <f>VLOOKUP(TABLA_PRECIOS[Código],LISTADO_PRODUCTOS[#All],3)</f>
        <v>PAPELERIA Y ARTISTICA</v>
      </c>
      <c r="D472" s="6" t="str">
        <f>VLOOKUP(TABLA_PRECIOS[Código],LISTADO_PRODUCTOS[#All],4)</f>
        <v>Repuesto Cutter cuchilla SDI 18mm ancha x10u (la grande) $150 x u</v>
      </c>
      <c r="E472" s="6" t="str">
        <f>VLOOKUP(TABLA_PRECIOS[Código],LISTADO_PRODUCTOS[#All],5)</f>
        <v>N/A</v>
      </c>
      <c r="F472" s="4">
        <v>1</v>
      </c>
      <c r="G472" s="4">
        <v>1</v>
      </c>
      <c r="H472" s="6">
        <v>1</v>
      </c>
      <c r="I472" s="6"/>
      <c r="J472" s="9"/>
    </row>
    <row r="473" spans="1:10" x14ac:dyDescent="0.3">
      <c r="A473" s="4">
        <v>2396</v>
      </c>
      <c r="B473" s="6">
        <f>VLOOKUP(TABLA_PRECIOS[Código],LISTADO_PRODUCTOS[#All],2)</f>
        <v>54644</v>
      </c>
      <c r="C473" s="6" t="str">
        <f>VLOOKUP(TABLA_PRECIOS[Código],LISTADO_PRODUCTOS[#All],3)</f>
        <v>PAPELERIA Y ARTISTICA</v>
      </c>
      <c r="D473" s="6" t="str">
        <f>VLOOKUP(TABLA_PRECIOS[Código],LISTADO_PRODUCTOS[#All],4)</f>
        <v>Repuesto cuchilla Cutter x hoha 9mm (la chica) $50 x u</v>
      </c>
      <c r="E473" s="6" t="str">
        <f>VLOOKUP(TABLA_PRECIOS[Código],LISTADO_PRODUCTOS[#All],5)</f>
        <v>N/A</v>
      </c>
      <c r="F473" s="4">
        <v>1</v>
      </c>
      <c r="G473" s="4">
        <v>1</v>
      </c>
      <c r="H473" s="6">
        <v>1</v>
      </c>
      <c r="I473" s="6"/>
      <c r="J473" s="9"/>
    </row>
    <row r="474" spans="1:10" x14ac:dyDescent="0.3">
      <c r="A474" s="4">
        <v>2398</v>
      </c>
      <c r="B474" s="6">
        <f>VLOOKUP(TABLA_PRECIOS[Código],LISTADO_PRODUCTOS[#All],2)</f>
        <v>54645</v>
      </c>
      <c r="C474" s="6" t="str">
        <f>VLOOKUP(TABLA_PRECIOS[Código],LISTADO_PRODUCTOS[#All],3)</f>
        <v>PAPELERIA Y ARTISTICA</v>
      </c>
      <c r="D474" s="6" t="str">
        <f>VLOOKUP(TABLA_PRECIOS[Código],LISTADO_PRODUCTOS[#All],4)</f>
        <v>Pvc Contac Transparente x 2mt</v>
      </c>
      <c r="E474" s="6" t="str">
        <f>VLOOKUP(TABLA_PRECIOS[Código],LISTADO_PRODUCTOS[#All],5)</f>
        <v>N/A</v>
      </c>
      <c r="F474" s="4">
        <v>1</v>
      </c>
      <c r="G474" s="4">
        <v>1</v>
      </c>
      <c r="H474" s="6">
        <v>1</v>
      </c>
      <c r="I474" s="6"/>
      <c r="J474" s="9"/>
    </row>
    <row r="475" spans="1:10" x14ac:dyDescent="0.3">
      <c r="A475" s="4">
        <v>2399</v>
      </c>
      <c r="B475" s="6">
        <f>VLOOKUP(TABLA_PRECIOS[Código],LISTADO_PRODUCTOS[#All],2)</f>
        <v>54646</v>
      </c>
      <c r="C475" s="6" t="str">
        <f>VLOOKUP(TABLA_PRECIOS[Código],LISTADO_PRODUCTOS[#All],3)</f>
        <v>PAPELERIA Y ARTISTICA</v>
      </c>
      <c r="D475" s="6" t="str">
        <f>VLOOKUP(TABLA_PRECIOS[Código],LISTADO_PRODUCTOS[#All],4)</f>
        <v>Barrita de silicona Fina Liggo (85 x bolsa)</v>
      </c>
      <c r="E475" s="6" t="str">
        <f>VLOOKUP(TABLA_PRECIOS[Código],LISTADO_PRODUCTOS[#All],5)</f>
        <v>N/A</v>
      </c>
      <c r="F475" s="4">
        <v>1</v>
      </c>
      <c r="G475" s="4">
        <v>1</v>
      </c>
      <c r="H475" s="6">
        <v>1</v>
      </c>
      <c r="I475" s="6"/>
      <c r="J475" s="9"/>
    </row>
    <row r="476" spans="1:10" x14ac:dyDescent="0.3">
      <c r="A476" s="4">
        <v>2400</v>
      </c>
      <c r="B476" s="6">
        <f>VLOOKUP(TABLA_PRECIOS[Código],LISTADO_PRODUCTOS[#All],2)</f>
        <v>54647</v>
      </c>
      <c r="C476" s="6" t="str">
        <f>VLOOKUP(TABLA_PRECIOS[Código],LISTADO_PRODUCTOS[#All],3)</f>
        <v>PAPELERIA Y ARTISTICA</v>
      </c>
      <c r="D476" s="6" t="str">
        <f>VLOOKUP(TABLA_PRECIOS[Código],LISTADO_PRODUCTOS[#All],4)</f>
        <v xml:space="preserve">Barrita de silicona Gruesa Liggo </v>
      </c>
      <c r="E476" s="6" t="str">
        <f>VLOOKUP(TABLA_PRECIOS[Código],LISTADO_PRODUCTOS[#All],5)</f>
        <v>N/A</v>
      </c>
      <c r="F476" s="4">
        <v>1</v>
      </c>
      <c r="G476" s="4">
        <v>1</v>
      </c>
      <c r="H476" s="6">
        <v>1</v>
      </c>
      <c r="I476" s="6"/>
      <c r="J476" s="9"/>
    </row>
    <row r="477" spans="1:10" x14ac:dyDescent="0.3">
      <c r="A477" s="4">
        <v>2401</v>
      </c>
      <c r="B477" s="6">
        <f>VLOOKUP(TABLA_PRECIOS[Código],LISTADO_PRODUCTOS[#All],2)</f>
        <v>54648</v>
      </c>
      <c r="C477" s="6" t="str">
        <f>VLOOKUP(TABLA_PRECIOS[Código],LISTADO_PRODUCTOS[#All],3)</f>
        <v>PAPELERIA Y ARTISTICA</v>
      </c>
      <c r="D477" s="6" t="str">
        <f>VLOOKUP(TABLA_PRECIOS[Código],LISTADO_PRODUCTOS[#All],4)</f>
        <v>Tijera Maped Crea Cut 5 cortes</v>
      </c>
      <c r="E477" s="6" t="str">
        <f>VLOOKUP(TABLA_PRECIOS[Código],LISTADO_PRODUCTOS[#All],5)</f>
        <v>N/A</v>
      </c>
      <c r="F477" s="4">
        <v>1</v>
      </c>
      <c r="G477" s="4">
        <v>1</v>
      </c>
      <c r="H477" s="6">
        <v>1</v>
      </c>
      <c r="I477" s="6"/>
      <c r="J477" s="9"/>
    </row>
    <row r="478" spans="1:10" x14ac:dyDescent="0.3">
      <c r="A478" s="4">
        <v>2402</v>
      </c>
      <c r="B478" s="6">
        <f>VLOOKUP(TABLA_PRECIOS[Código],LISTADO_PRODUCTOS[#All],2)</f>
        <v>54649</v>
      </c>
      <c r="C478" s="6" t="str">
        <f>VLOOKUP(TABLA_PRECIOS[Código],LISTADO_PRODUCTOS[#All],3)</f>
        <v>PAPELERIA Y ARTISTICA</v>
      </c>
      <c r="D478" s="6" t="str">
        <f>VLOOKUP(TABLA_PRECIOS[Código],LISTADO_PRODUCTOS[#All],4)</f>
        <v>Tubo lanza papel</v>
      </c>
      <c r="E478" s="6" t="str">
        <f>VLOOKUP(TABLA_PRECIOS[Código],LISTADO_PRODUCTOS[#All],5)</f>
        <v>N/A</v>
      </c>
      <c r="F478" s="4">
        <v>1</v>
      </c>
      <c r="G478" s="4">
        <v>1</v>
      </c>
      <c r="H478" s="6">
        <v>1</v>
      </c>
      <c r="I478" s="6"/>
      <c r="J478" s="9"/>
    </row>
    <row r="479" spans="1:10" x14ac:dyDescent="0.3">
      <c r="A479" s="4">
        <v>2405</v>
      </c>
      <c r="B479" s="6">
        <f>VLOOKUP(TABLA_PRECIOS[Código],LISTADO_PRODUCTOS[#All],2)</f>
        <v>54650</v>
      </c>
      <c r="C479" s="6" t="str">
        <f>VLOOKUP(TABLA_PRECIOS[Código],LISTADO_PRODUCTOS[#All],3)</f>
        <v>PAPELERIA Y ARTISTICA</v>
      </c>
      <c r="D479" s="6" t="str">
        <f>VLOOKUP(TABLA_PRECIOS[Código],LISTADO_PRODUCTOS[#All],4)</f>
        <v>Tijera Ibi Craft corte con Formas</v>
      </c>
      <c r="E479" s="6" t="str">
        <f>VLOOKUP(TABLA_PRECIOS[Código],LISTADO_PRODUCTOS[#All],5)</f>
        <v>N/A</v>
      </c>
      <c r="F479" s="4">
        <v>1</v>
      </c>
      <c r="G479" s="4">
        <v>1</v>
      </c>
      <c r="H479" s="6">
        <v>1</v>
      </c>
      <c r="I479" s="6"/>
      <c r="J479" s="9"/>
    </row>
    <row r="480" spans="1:10" x14ac:dyDescent="0.3">
      <c r="A480" s="4">
        <v>2421</v>
      </c>
      <c r="B480" s="6">
        <f>VLOOKUP(TABLA_PRECIOS[Código],LISTADO_PRODUCTOS[#All],2)</f>
        <v>54651</v>
      </c>
      <c r="C480" s="6" t="str">
        <f>VLOOKUP(TABLA_PRECIOS[Código],LISTADO_PRODUCTOS[#All],3)</f>
        <v>PAPELERIA Y ARTISTICA</v>
      </c>
      <c r="D480" s="6" t="str">
        <f>VLOOKUP(TABLA_PRECIOS[Código],LISTADO_PRODUCTOS[#All],4)</f>
        <v>Cinta papel Enmascarar Stiko escolar Rollo chico 18mm x 20m</v>
      </c>
      <c r="E480" s="6" t="str">
        <f>VLOOKUP(TABLA_PRECIOS[Código],LISTADO_PRODUCTOS[#All],5)</f>
        <v>N/A</v>
      </c>
      <c r="F480" s="4">
        <v>1</v>
      </c>
      <c r="G480" s="4">
        <v>1</v>
      </c>
      <c r="H480" s="6">
        <v>1</v>
      </c>
      <c r="I480" s="6"/>
      <c r="J480" s="9"/>
    </row>
    <row r="481" spans="1:10" x14ac:dyDescent="0.3">
      <c r="A481" s="4">
        <v>2422</v>
      </c>
      <c r="B481" s="6">
        <f>VLOOKUP(TABLA_PRECIOS[Código],LISTADO_PRODUCTOS[#All],2)</f>
        <v>54652</v>
      </c>
      <c r="C481" s="6" t="str">
        <f>VLOOKUP(TABLA_PRECIOS[Código],LISTADO_PRODUCTOS[#All],3)</f>
        <v>PAPELERIA Y ARTISTICA</v>
      </c>
      <c r="D481" s="6" t="str">
        <f>VLOOKUP(TABLA_PRECIOS[Código],LISTADO_PRODUCTOS[#All],4)</f>
        <v>Stiker bien grande</v>
      </c>
      <c r="E481" s="6" t="str">
        <f>VLOOKUP(TABLA_PRECIOS[Código],LISTADO_PRODUCTOS[#All],5)</f>
        <v>N/A</v>
      </c>
      <c r="F481" s="4">
        <v>1</v>
      </c>
      <c r="G481" s="4">
        <v>1</v>
      </c>
      <c r="H481" s="6">
        <v>1</v>
      </c>
      <c r="I481" s="6"/>
      <c r="J481" s="9"/>
    </row>
    <row r="482" spans="1:10" x14ac:dyDescent="0.3">
      <c r="A482" s="4">
        <v>2424</v>
      </c>
      <c r="B482" s="6">
        <f>VLOOKUP(TABLA_PRECIOS[Código],LISTADO_PRODUCTOS[#All],2)</f>
        <v>54653</v>
      </c>
      <c r="C482" s="6" t="str">
        <f>VLOOKUP(TABLA_PRECIOS[Código],LISTADO_PRODUCTOS[#All],3)</f>
        <v>PAPELERIA Y ARTISTICA</v>
      </c>
      <c r="D482" s="6" t="str">
        <f>VLOOKUP(TABLA_PRECIOS[Código],LISTADO_PRODUCTOS[#All],4)</f>
        <v>Repuesto America x96h M/Ref. Rayado</v>
      </c>
      <c r="E482" s="6" t="str">
        <f>VLOOKUP(TABLA_PRECIOS[Código],LISTADO_PRODUCTOS[#All],5)</f>
        <v>N/A</v>
      </c>
      <c r="F482" s="4">
        <v>1</v>
      </c>
      <c r="G482" s="4">
        <v>1</v>
      </c>
      <c r="H482" s="6">
        <v>1</v>
      </c>
      <c r="I482" s="6"/>
      <c r="J482" s="9"/>
    </row>
    <row r="483" spans="1:10" x14ac:dyDescent="0.3">
      <c r="A483" s="4">
        <v>2427</v>
      </c>
      <c r="B483" s="6">
        <f>VLOOKUP(TABLA_PRECIOS[Código],LISTADO_PRODUCTOS[#All],2)</f>
        <v>54654</v>
      </c>
      <c r="C483" s="6" t="str">
        <f>VLOOKUP(TABLA_PRECIOS[Código],LISTADO_PRODUCTOS[#All],3)</f>
        <v>PAPELERIA Y ARTISTICA</v>
      </c>
      <c r="D483" s="6" t="str">
        <f>VLOOKUP(TABLA_PRECIOS[Código],LISTADO_PRODUCTOS[#All],4)</f>
        <v>Cinta New-tape enmascarar papel 18mm x 40mts</v>
      </c>
      <c r="E483" s="6" t="str">
        <f>VLOOKUP(TABLA_PRECIOS[Código],LISTADO_PRODUCTOS[#All],5)</f>
        <v>N/A</v>
      </c>
      <c r="F483" s="4">
        <v>1</v>
      </c>
      <c r="G483" s="4">
        <v>1</v>
      </c>
      <c r="H483" s="6">
        <v>1</v>
      </c>
      <c r="I483" s="6"/>
      <c r="J483" s="9"/>
    </row>
    <row r="484" spans="1:10" x14ac:dyDescent="0.3">
      <c r="A484" s="4">
        <v>2428</v>
      </c>
      <c r="B484" s="6">
        <f>VLOOKUP(TABLA_PRECIOS[Código],LISTADO_PRODUCTOS[#All],2)</f>
        <v>54655</v>
      </c>
      <c r="C484" s="6" t="str">
        <f>VLOOKUP(TABLA_PRECIOS[Código],LISTADO_PRODUCTOS[#All],3)</f>
        <v>PAPELERIA Y ARTISTICA</v>
      </c>
      <c r="D484" s="6" t="str">
        <f>VLOOKUP(TABLA_PRECIOS[Código],LISTADO_PRODUCTOS[#All],4)</f>
        <v>Cinta New-tape enmascarar papel 12mm x 40mts</v>
      </c>
      <c r="E484" s="6" t="str">
        <f>VLOOKUP(TABLA_PRECIOS[Código],LISTADO_PRODUCTOS[#All],5)</f>
        <v>N/A</v>
      </c>
      <c r="F484" s="4">
        <v>1</v>
      </c>
      <c r="G484" s="4">
        <v>1</v>
      </c>
      <c r="H484" s="6">
        <v>1</v>
      </c>
      <c r="I484" s="6"/>
      <c r="J484" s="9"/>
    </row>
    <row r="485" spans="1:10" x14ac:dyDescent="0.3">
      <c r="A485" s="4">
        <v>2429</v>
      </c>
      <c r="B485" s="6">
        <f>VLOOKUP(TABLA_PRECIOS[Código],LISTADO_PRODUCTOS[#All],2)</f>
        <v>54656</v>
      </c>
      <c r="C485" s="6" t="str">
        <f>VLOOKUP(TABLA_PRECIOS[Código],LISTADO_PRODUCTOS[#All],3)</f>
        <v>PAPELERIA Y ARTISTICA</v>
      </c>
      <c r="D485" s="6" t="str">
        <f>VLOOKUP(TABLA_PRECIOS[Código],LISTADO_PRODUCTOS[#All],4)</f>
        <v>Block/resma  A4 color Luma 100h 4 colores</v>
      </c>
      <c r="E485" s="6" t="str">
        <f>VLOOKUP(TABLA_PRECIOS[Código],LISTADO_PRODUCTOS[#All],5)</f>
        <v>N/A</v>
      </c>
      <c r="F485" s="4">
        <v>1</v>
      </c>
      <c r="G485" s="4">
        <v>1</v>
      </c>
      <c r="H485" s="6">
        <v>1</v>
      </c>
      <c r="I485" s="6"/>
      <c r="J485" s="9"/>
    </row>
    <row r="486" spans="1:10" x14ac:dyDescent="0.3">
      <c r="A486" s="4">
        <v>2443</v>
      </c>
      <c r="B486" s="6">
        <f>VLOOKUP(TABLA_PRECIOS[Código],LISTADO_PRODUCTOS[#All],2)</f>
        <v>54657</v>
      </c>
      <c r="C486" s="6" t="str">
        <f>VLOOKUP(TABLA_PRECIOS[Código],LISTADO_PRODUCTOS[#All],3)</f>
        <v>PAPELERIA Y ARTISTICA</v>
      </c>
      <c r="D486" s="6" t="str">
        <f>VLOOKUP(TABLA_PRECIOS[Código],LISTADO_PRODUCTOS[#All],4)</f>
        <v>Pinceleta N°4</v>
      </c>
      <c r="E486" s="6" t="str">
        <f>VLOOKUP(TABLA_PRECIOS[Código],LISTADO_PRODUCTOS[#All],5)</f>
        <v>N/A</v>
      </c>
      <c r="F486" s="4">
        <v>1</v>
      </c>
      <c r="G486" s="4">
        <v>1</v>
      </c>
      <c r="H486" s="6">
        <v>1</v>
      </c>
      <c r="I486" s="6"/>
      <c r="J486" s="9"/>
    </row>
    <row r="487" spans="1:10" x14ac:dyDescent="0.3">
      <c r="A487" s="4">
        <v>2444</v>
      </c>
      <c r="B487" s="6">
        <f>VLOOKUP(TABLA_PRECIOS[Código],LISTADO_PRODUCTOS[#All],2)</f>
        <v>54658</v>
      </c>
      <c r="C487" s="6" t="str">
        <f>VLOOKUP(TABLA_PRECIOS[Código],LISTADO_PRODUCTOS[#All],3)</f>
        <v>PAPELERIA Y ARTISTICA</v>
      </c>
      <c r="D487" s="6" t="str">
        <f>VLOOKUP(TABLA_PRECIOS[Código],LISTADO_PRODUCTOS[#All],4)</f>
        <v>Acuarela Trazos en caja plastica x12 + pincel</v>
      </c>
      <c r="E487" s="6" t="str">
        <f>VLOOKUP(TABLA_PRECIOS[Código],LISTADO_PRODUCTOS[#All],5)</f>
        <v>N/A</v>
      </c>
      <c r="F487" s="4">
        <v>1</v>
      </c>
      <c r="G487" s="4">
        <v>1</v>
      </c>
      <c r="H487" s="6">
        <v>1</v>
      </c>
      <c r="I487" s="6"/>
      <c r="J487" s="9"/>
    </row>
    <row r="488" spans="1:10" x14ac:dyDescent="0.3">
      <c r="A488" s="4">
        <v>2451</v>
      </c>
      <c r="B488" s="6">
        <f>VLOOKUP(TABLA_PRECIOS[Código],LISTADO_PRODUCTOS[#All],2)</f>
        <v>54659</v>
      </c>
      <c r="C488" s="6" t="str">
        <f>VLOOKUP(TABLA_PRECIOS[Código],LISTADO_PRODUCTOS[#All],3)</f>
        <v>PAPELERIA Y ARTISTICA</v>
      </c>
      <c r="D488" s="6" t="str">
        <f>VLOOKUP(TABLA_PRECIOS[Código],LISTADO_PRODUCTOS[#All],4)</f>
        <v xml:space="preserve">Porcelana Fria Nicronx 500gr </v>
      </c>
      <c r="E488" s="6" t="str">
        <f>VLOOKUP(TABLA_PRECIOS[Código],LISTADO_PRODUCTOS[#All],5)</f>
        <v>N/A</v>
      </c>
      <c r="F488" s="4">
        <v>1</v>
      </c>
      <c r="G488" s="4">
        <v>1</v>
      </c>
      <c r="H488" s="6">
        <v>1</v>
      </c>
      <c r="I488" s="6"/>
      <c r="J488" s="9"/>
    </row>
    <row r="489" spans="1:10" x14ac:dyDescent="0.3">
      <c r="A489" s="4">
        <v>2458</v>
      </c>
      <c r="B489" s="6">
        <f>VLOOKUP(TABLA_PRECIOS[Código],LISTADO_PRODUCTOS[#All],2)</f>
        <v>54660</v>
      </c>
      <c r="C489" s="6" t="str">
        <f>VLOOKUP(TABLA_PRECIOS[Código],LISTADO_PRODUCTOS[#All],3)</f>
        <v>PAPELERIA Y ARTISTICA</v>
      </c>
      <c r="D489" s="6" t="str">
        <f>VLOOKUP(TABLA_PRECIOS[Código],LISTADO_PRODUCTOS[#All],4)</f>
        <v>Tubo Pulceras luminicentes</v>
      </c>
      <c r="E489" s="6" t="str">
        <f>VLOOKUP(TABLA_PRECIOS[Código],LISTADO_PRODUCTOS[#All],5)</f>
        <v>N/A</v>
      </c>
      <c r="F489" s="4">
        <v>1</v>
      </c>
      <c r="G489" s="4">
        <v>1</v>
      </c>
      <c r="H489" s="6">
        <v>1</v>
      </c>
      <c r="I489" s="6"/>
      <c r="J489" s="9"/>
    </row>
    <row r="490" spans="1:10" x14ac:dyDescent="0.3">
      <c r="A490" s="4">
        <v>2466</v>
      </c>
      <c r="B490" s="6">
        <f>VLOOKUP(TABLA_PRECIOS[Código],LISTADO_PRODUCTOS[#All],2)</f>
        <v>54661</v>
      </c>
      <c r="C490" s="6" t="str">
        <f>VLOOKUP(TABLA_PRECIOS[Código],LISTADO_PRODUCTOS[#All],3)</f>
        <v>PAPELERIA Y ARTISTICA</v>
      </c>
      <c r="D490" s="6" t="str">
        <f>VLOOKUP(TABLA_PRECIOS[Código],LISTADO_PRODUCTOS[#All],4)</f>
        <v>Sobre polietileno grueso porta credencial</v>
      </c>
      <c r="E490" s="6" t="str">
        <f>VLOOKUP(TABLA_PRECIOS[Código],LISTADO_PRODUCTOS[#All],5)</f>
        <v>N/A</v>
      </c>
      <c r="F490" s="4">
        <v>1</v>
      </c>
      <c r="G490" s="4">
        <v>1</v>
      </c>
      <c r="H490" s="6">
        <v>1</v>
      </c>
      <c r="I490" s="6"/>
      <c r="J490" s="9"/>
    </row>
    <row r="491" spans="1:10" x14ac:dyDescent="0.3">
      <c r="A491" s="4">
        <v>2468</v>
      </c>
      <c r="B491" s="6">
        <f>VLOOKUP(TABLA_PRECIOS[Código],LISTADO_PRODUCTOS[#All],2)</f>
        <v>54662</v>
      </c>
      <c r="C491" s="6" t="str">
        <f>VLOOKUP(TABLA_PRECIOS[Código],LISTADO_PRODUCTOS[#All],3)</f>
        <v>PAPELERIA Y ARTISTICA</v>
      </c>
      <c r="D491" s="6" t="str">
        <f>VLOOKUP(TABLA_PRECIOS[Código],LISTADO_PRODUCTOS[#All],4)</f>
        <v>Papel metalizado Luma 5 mt X40cm / SE VENDE X METRO</v>
      </c>
      <c r="E491" s="6" t="str">
        <f>VLOOKUP(TABLA_PRECIOS[Código],LISTADO_PRODUCTOS[#All],5)</f>
        <v>N/A</v>
      </c>
      <c r="F491" s="4">
        <v>1</v>
      </c>
      <c r="G491" s="4">
        <v>1</v>
      </c>
      <c r="H491" s="6">
        <v>1</v>
      </c>
      <c r="I491" s="6"/>
      <c r="J491" s="9"/>
    </row>
    <row r="492" spans="1:10" x14ac:dyDescent="0.3">
      <c r="A492" s="4">
        <v>2471</v>
      </c>
      <c r="B492" s="6">
        <f>VLOOKUP(TABLA_PRECIOS[Código],LISTADO_PRODUCTOS[#All],2)</f>
        <v>54663</v>
      </c>
      <c r="C492" s="6" t="str">
        <f>VLOOKUP(TABLA_PRECIOS[Código],LISTADO_PRODUCTOS[#All],3)</f>
        <v>PAPELERIA Y ARTISTICA</v>
      </c>
      <c r="D492" s="6" t="str">
        <f>VLOOKUP(TABLA_PRECIOS[Código],LISTADO_PRODUCTOS[#All],4)</f>
        <v>Tempera Maped color peps x 12u</v>
      </c>
      <c r="E492" s="6" t="str">
        <f>VLOOKUP(TABLA_PRECIOS[Código],LISTADO_PRODUCTOS[#All],5)</f>
        <v>N/A</v>
      </c>
      <c r="F492" s="4">
        <v>1</v>
      </c>
      <c r="G492" s="4">
        <v>1</v>
      </c>
      <c r="H492" s="6">
        <v>1</v>
      </c>
      <c r="I492" s="6"/>
      <c r="J492" s="9"/>
    </row>
    <row r="493" spans="1:10" x14ac:dyDescent="0.3">
      <c r="A493" s="4">
        <v>2472</v>
      </c>
      <c r="B493" s="6">
        <f>VLOOKUP(TABLA_PRECIOS[Código],LISTADO_PRODUCTOS[#All],2)</f>
        <v>54664</v>
      </c>
      <c r="C493" s="6" t="str">
        <f>VLOOKUP(TABLA_PRECIOS[Código],LISTADO_PRODUCTOS[#All],3)</f>
        <v>PAPELERIA Y ARTISTICA</v>
      </c>
      <c r="D493" s="6" t="str">
        <f>VLOOKUP(TABLA_PRECIOS[Código],LISTADO_PRODUCTOS[#All],4)</f>
        <v>Hilo YUTE Natural ovillo x 20mts 2807</v>
      </c>
      <c r="E493" s="6" t="str">
        <f>VLOOKUP(TABLA_PRECIOS[Código],LISTADO_PRODUCTOS[#All],5)</f>
        <v>N/A</v>
      </c>
      <c r="F493" s="4">
        <v>1</v>
      </c>
      <c r="G493" s="4">
        <v>1</v>
      </c>
      <c r="H493" s="6">
        <v>1</v>
      </c>
      <c r="I493" s="6"/>
      <c r="J493" s="9"/>
    </row>
    <row r="494" spans="1:10" x14ac:dyDescent="0.3">
      <c r="A494" s="4">
        <v>2477</v>
      </c>
      <c r="B494" s="6">
        <f>VLOOKUP(TABLA_PRECIOS[Código],LISTADO_PRODUCTOS[#All],2)</f>
        <v>54665</v>
      </c>
      <c r="C494" s="6" t="str">
        <f>VLOOKUP(TABLA_PRECIOS[Código],LISTADO_PRODUCTOS[#All],3)</f>
        <v>PAPELERIA Y ARTISTICA</v>
      </c>
      <c r="D494" s="6" t="str">
        <f>VLOOKUP(TABLA_PRECIOS[Código],LISTADO_PRODUCTOS[#All],4)</f>
        <v>Pintura a la tiza 200cc EQ ARTE</v>
      </c>
      <c r="E494" s="6" t="str">
        <f>VLOOKUP(TABLA_PRECIOS[Código],LISTADO_PRODUCTOS[#All],5)</f>
        <v>N/A</v>
      </c>
      <c r="F494" s="4">
        <v>1</v>
      </c>
      <c r="G494" s="4">
        <v>1</v>
      </c>
      <c r="H494" s="6">
        <v>1</v>
      </c>
      <c r="I494" s="6"/>
      <c r="J494" s="9"/>
    </row>
    <row r="495" spans="1:10" x14ac:dyDescent="0.3">
      <c r="A495" s="4">
        <v>2484</v>
      </c>
      <c r="B495" s="6">
        <f>VLOOKUP(TABLA_PRECIOS[Código],LISTADO_PRODUCTOS[#All],2)</f>
        <v>54666</v>
      </c>
      <c r="C495" s="6" t="str">
        <f>VLOOKUP(TABLA_PRECIOS[Código],LISTADO_PRODUCTOS[#All],3)</f>
        <v>PAPELERIA Y ARTISTICA</v>
      </c>
      <c r="D495" s="6" t="str">
        <f>VLOOKUP(TABLA_PRECIOS[Código],LISTADO_PRODUCTOS[#All],4)</f>
        <v xml:space="preserve">Cinta regalo rollo (tipo ribbonete) 2cm x 50mt </v>
      </c>
      <c r="E495" s="6" t="str">
        <f>VLOOKUP(TABLA_PRECIOS[Código],LISTADO_PRODUCTOS[#All],5)</f>
        <v>N/A</v>
      </c>
      <c r="F495" s="4">
        <v>1</v>
      </c>
      <c r="G495" s="4">
        <v>1</v>
      </c>
      <c r="H495" s="6">
        <v>1</v>
      </c>
      <c r="I495" s="6"/>
      <c r="J495" s="9"/>
    </row>
    <row r="496" spans="1:10" x14ac:dyDescent="0.3">
      <c r="A496" s="4">
        <v>2487</v>
      </c>
      <c r="B496" s="6">
        <f>VLOOKUP(TABLA_PRECIOS[Código],LISTADO_PRODUCTOS[#All],2)</f>
        <v>54667</v>
      </c>
      <c r="C496" s="6" t="str">
        <f>VLOOKUP(TABLA_PRECIOS[Código],LISTADO_PRODUCTOS[#All],3)</f>
        <v>PAPELERIA Y ARTISTICA</v>
      </c>
      <c r="D496" s="6" t="str">
        <f>VLOOKUP(TABLA_PRECIOS[Código],LISTADO_PRODUCTOS[#All],4)</f>
        <v>Cinta Doble faz Motex 12mm x 10m</v>
      </c>
      <c r="E496" s="6" t="str">
        <f>VLOOKUP(TABLA_PRECIOS[Código],LISTADO_PRODUCTOS[#All],5)</f>
        <v>N/A</v>
      </c>
      <c r="F496" s="4">
        <v>1</v>
      </c>
      <c r="G496" s="4">
        <v>1</v>
      </c>
      <c r="H496" s="6">
        <v>1</v>
      </c>
      <c r="I496" s="6"/>
      <c r="J496" s="9"/>
    </row>
    <row r="497" spans="1:10" x14ac:dyDescent="0.3">
      <c r="A497" s="4">
        <v>2488</v>
      </c>
      <c r="B497" s="6">
        <f>VLOOKUP(TABLA_PRECIOS[Código],LISTADO_PRODUCTOS[#All],2)</f>
        <v>54668</v>
      </c>
      <c r="C497" s="6" t="str">
        <f>VLOOKUP(TABLA_PRECIOS[Código],LISTADO_PRODUCTOS[#All],3)</f>
        <v>PAPELERIA Y ARTISTICA</v>
      </c>
      <c r="D497" s="6" t="str">
        <f>VLOOKUP(TABLA_PRECIOS[Código],LISTADO_PRODUCTOS[#All],4)</f>
        <v>Broche Aprieta papel Sifap niquelado N°50 x unidad</v>
      </c>
      <c r="E497" s="6" t="str">
        <f>VLOOKUP(TABLA_PRECIOS[Código],LISTADO_PRODUCTOS[#All],5)</f>
        <v>N/A</v>
      </c>
      <c r="F497" s="4">
        <v>1</v>
      </c>
      <c r="G497" s="4">
        <v>1</v>
      </c>
      <c r="H497" s="6">
        <v>1</v>
      </c>
      <c r="I497" s="6"/>
      <c r="J497" s="9"/>
    </row>
    <row r="498" spans="1:10" x14ac:dyDescent="0.3">
      <c r="A498" s="4">
        <v>2489</v>
      </c>
      <c r="B498" s="6">
        <f>VLOOKUP(TABLA_PRECIOS[Código],LISTADO_PRODUCTOS[#All],2)</f>
        <v>54669</v>
      </c>
      <c r="C498" s="6" t="str">
        <f>VLOOKUP(TABLA_PRECIOS[Código],LISTADO_PRODUCTOS[#All],3)</f>
        <v>PAPELERIA Y ARTISTICA</v>
      </c>
      <c r="D498" s="6" t="str">
        <f>VLOOKUP(TABLA_PRECIOS[Código],LISTADO_PRODUCTOS[#All],4)</f>
        <v>Broche Aprieta papel N°75 niquelado Sifap x unidad</v>
      </c>
      <c r="E498" s="6" t="str">
        <f>VLOOKUP(TABLA_PRECIOS[Código],LISTADO_PRODUCTOS[#All],5)</f>
        <v>N/A</v>
      </c>
      <c r="F498" s="4">
        <v>1</v>
      </c>
      <c r="G498" s="4">
        <v>1</v>
      </c>
      <c r="H498" s="6">
        <v>1</v>
      </c>
      <c r="I498" s="6"/>
      <c r="J498" s="9"/>
    </row>
    <row r="499" spans="1:10" x14ac:dyDescent="0.3">
      <c r="A499" s="4">
        <v>2495</v>
      </c>
      <c r="B499" s="6">
        <f>VLOOKUP(TABLA_PRECIOS[Código],LISTADO_PRODUCTOS[#All],2)</f>
        <v>54670</v>
      </c>
      <c r="C499" s="6" t="str">
        <f>VLOOKUP(TABLA_PRECIOS[Código],LISTADO_PRODUCTOS[#All],3)</f>
        <v>PAPELERIA Y ARTISTICA</v>
      </c>
      <c r="D499" s="6" t="str">
        <f>VLOOKUP(TABLA_PRECIOS[Código],LISTADO_PRODUCTOS[#All],4)</f>
        <v>Plastilina Playcolor pastel x 6u</v>
      </c>
      <c r="E499" s="6" t="str">
        <f>VLOOKUP(TABLA_PRECIOS[Código],LISTADO_PRODUCTOS[#All],5)</f>
        <v>N/A</v>
      </c>
      <c r="F499" s="4">
        <v>1</v>
      </c>
      <c r="G499" s="4">
        <v>1</v>
      </c>
      <c r="H499" s="6">
        <v>1</v>
      </c>
      <c r="I499" s="6"/>
      <c r="J499" s="9"/>
    </row>
    <row r="500" spans="1:10" x14ac:dyDescent="0.3">
      <c r="A500" s="4">
        <v>2498</v>
      </c>
      <c r="B500" s="6">
        <f>VLOOKUP(TABLA_PRECIOS[Código],LISTADO_PRODUCTOS[#All],2)</f>
        <v>54671</v>
      </c>
      <c r="C500" s="6" t="str">
        <f>VLOOKUP(TABLA_PRECIOS[Código],LISTADO_PRODUCTOS[#All],3)</f>
        <v>PAPELERIA Y ARTISTICA</v>
      </c>
      <c r="D500" s="6" t="str">
        <f>VLOOKUP(TABLA_PRECIOS[Código],LISTADO_PRODUCTOS[#All],4)</f>
        <v>Tempera Playcolor Fluo x 6u</v>
      </c>
      <c r="E500" s="6" t="str">
        <f>VLOOKUP(TABLA_PRECIOS[Código],LISTADO_PRODUCTOS[#All],5)</f>
        <v>N/A</v>
      </c>
      <c r="F500" s="4">
        <v>1</v>
      </c>
      <c r="G500" s="4">
        <v>1</v>
      </c>
      <c r="H500" s="6">
        <v>1</v>
      </c>
      <c r="I500" s="6"/>
      <c r="J500" s="9"/>
    </row>
    <row r="501" spans="1:10" x14ac:dyDescent="0.3">
      <c r="A501" s="4">
        <v>2499</v>
      </c>
      <c r="B501" s="6">
        <f>VLOOKUP(TABLA_PRECIOS[Código],LISTADO_PRODUCTOS[#All],2)</f>
        <v>54672</v>
      </c>
      <c r="C501" s="6" t="str">
        <f>VLOOKUP(TABLA_PRECIOS[Código],LISTADO_PRODUCTOS[#All],3)</f>
        <v>PAPELERIA Y ARTISTICA</v>
      </c>
      <c r="D501" s="6" t="str">
        <f>VLOOKUP(TABLA_PRECIOS[Código],LISTADO_PRODUCTOS[#All],4)</f>
        <v>Cintas IBI CRAFT Glitter</v>
      </c>
      <c r="E501" s="6" t="str">
        <f>VLOOKUP(TABLA_PRECIOS[Código],LISTADO_PRODUCTOS[#All],5)</f>
        <v>N/A</v>
      </c>
      <c r="F501" s="4">
        <v>1</v>
      </c>
      <c r="G501" s="4">
        <v>1</v>
      </c>
      <c r="H501" s="6">
        <v>1</v>
      </c>
      <c r="I501" s="6"/>
      <c r="J501" s="9"/>
    </row>
    <row r="502" spans="1:10" x14ac:dyDescent="0.3">
      <c r="A502" s="4">
        <v>2500</v>
      </c>
      <c r="B502" s="6">
        <f>VLOOKUP(TABLA_PRECIOS[Código],LISTADO_PRODUCTOS[#All],2)</f>
        <v>54673</v>
      </c>
      <c r="C502" s="6" t="str">
        <f>VLOOKUP(TABLA_PRECIOS[Código],LISTADO_PRODUCTOS[#All],3)</f>
        <v>PAPELERIA Y ARTISTICA</v>
      </c>
      <c r="D502" s="6" t="str">
        <f>VLOOKUP(TABLA_PRECIOS[Código],LISTADO_PRODUCTOS[#All],4)</f>
        <v>Barrita de silicona fina c/brillo</v>
      </c>
      <c r="E502" s="6" t="str">
        <f>VLOOKUP(TABLA_PRECIOS[Código],LISTADO_PRODUCTOS[#All],5)</f>
        <v>N/A</v>
      </c>
      <c r="F502" s="4">
        <v>1</v>
      </c>
      <c r="G502" s="4">
        <v>1</v>
      </c>
      <c r="H502" s="6">
        <v>1</v>
      </c>
      <c r="I502" s="6"/>
      <c r="J502" s="9"/>
    </row>
    <row r="503" spans="1:10" x14ac:dyDescent="0.3">
      <c r="A503" s="4">
        <v>2502</v>
      </c>
      <c r="B503" s="6">
        <f>VLOOKUP(TABLA_PRECIOS[Código],LISTADO_PRODUCTOS[#All],2)</f>
        <v>54674</v>
      </c>
      <c r="C503" s="6" t="str">
        <f>VLOOKUP(TABLA_PRECIOS[Código],LISTADO_PRODUCTOS[#All],3)</f>
        <v>PAPELERIA Y ARTISTICA</v>
      </c>
      <c r="D503" s="6" t="str">
        <f>VLOOKUP(TABLA_PRECIOS[Código],LISTADO_PRODUCTOS[#All],4)</f>
        <v>Blister Pinceles Olami colores x 4</v>
      </c>
      <c r="E503" s="6" t="str">
        <f>VLOOKUP(TABLA_PRECIOS[Código],LISTADO_PRODUCTOS[#All],5)</f>
        <v>N/A</v>
      </c>
      <c r="F503" s="4">
        <v>1</v>
      </c>
      <c r="G503" s="4">
        <v>1</v>
      </c>
      <c r="H503" s="6">
        <v>1</v>
      </c>
      <c r="I503" s="6"/>
      <c r="J503" s="9"/>
    </row>
    <row r="504" spans="1:10" x14ac:dyDescent="0.3">
      <c r="A504" s="4">
        <v>2503</v>
      </c>
      <c r="B504" s="6">
        <f>VLOOKUP(TABLA_PRECIOS[Código],LISTADO_PRODUCTOS[#All],2)</f>
        <v>54675</v>
      </c>
      <c r="C504" s="6" t="str">
        <f>VLOOKUP(TABLA_PRECIOS[Código],LISTADO_PRODUCTOS[#All],3)</f>
        <v>PAPELERIA Y ARTISTICA</v>
      </c>
      <c r="D504" s="6" t="str">
        <f>VLOOKUP(TABLA_PRECIOS[Código],LISTADO_PRODUCTOS[#All],4)</f>
        <v>Papel Kraft x hoja</v>
      </c>
      <c r="E504" s="6" t="str">
        <f>VLOOKUP(TABLA_PRECIOS[Código],LISTADO_PRODUCTOS[#All],5)</f>
        <v>N/A</v>
      </c>
      <c r="F504" s="4">
        <v>1</v>
      </c>
      <c r="G504" s="4">
        <v>1</v>
      </c>
      <c r="H504" s="6">
        <v>1</v>
      </c>
      <c r="I504" s="6"/>
      <c r="J504" s="9"/>
    </row>
    <row r="505" spans="1:10" x14ac:dyDescent="0.3">
      <c r="A505" s="4">
        <v>2504</v>
      </c>
      <c r="B505" s="6">
        <f>VLOOKUP(TABLA_PRECIOS[Código],LISTADO_PRODUCTOS[#All],2)</f>
        <v>54676</v>
      </c>
      <c r="C505" s="6" t="str">
        <f>VLOOKUP(TABLA_PRECIOS[Código],LISTADO_PRODUCTOS[#All],3)</f>
        <v>PAPELERIA Y ARTISTICA</v>
      </c>
      <c r="D505" s="6" t="str">
        <f>VLOOKUP(TABLA_PRECIOS[Código],LISTADO_PRODUCTOS[#All],4)</f>
        <v>Alambre de aluminio CBX colores 1mm x 5mt</v>
      </c>
      <c r="E505" s="6" t="str">
        <f>VLOOKUP(TABLA_PRECIOS[Código],LISTADO_PRODUCTOS[#All],5)</f>
        <v>N/A</v>
      </c>
      <c r="F505" s="4">
        <v>1</v>
      </c>
      <c r="G505" s="4">
        <v>1</v>
      </c>
      <c r="H505" s="6">
        <v>1</v>
      </c>
      <c r="I505" s="6"/>
      <c r="J505" s="9"/>
    </row>
    <row r="506" spans="1:10" x14ac:dyDescent="0.3">
      <c r="A506" s="4">
        <v>3000</v>
      </c>
      <c r="B506" s="6">
        <f>VLOOKUP(TABLA_PRECIOS[Código],LISTADO_PRODUCTOS[#All],2)</f>
        <v>54677</v>
      </c>
      <c r="C506" s="6" t="str">
        <f>VLOOKUP(TABLA_PRECIOS[Código],LISTADO_PRODUCTOS[#All],3)</f>
        <v>MARROQUINERIA</v>
      </c>
      <c r="D506" s="6" t="str">
        <f>VLOOKUP(TABLA_PRECIOS[Código],LISTADO_PRODUCTOS[#All],4)</f>
        <v>Canopla cartuchera Mooving Como quieres que te quiera 1510136</v>
      </c>
      <c r="E506" s="6" t="str">
        <f>VLOOKUP(TABLA_PRECIOS[Código],LISTADO_PRODUCTOS[#All],5)</f>
        <v>N/A</v>
      </c>
      <c r="F506" s="4">
        <v>1</v>
      </c>
      <c r="G506" s="4">
        <v>1</v>
      </c>
      <c r="H506" s="6">
        <v>1</v>
      </c>
      <c r="I506" s="6"/>
      <c r="J506" s="9"/>
    </row>
    <row r="507" spans="1:10" x14ac:dyDescent="0.3">
      <c r="A507" s="4">
        <v>3001</v>
      </c>
      <c r="B507" s="6">
        <f>VLOOKUP(TABLA_PRECIOS[Código],LISTADO_PRODUCTOS[#All],2)</f>
        <v>54678</v>
      </c>
      <c r="C507" s="6" t="str">
        <f>VLOOKUP(TABLA_PRECIOS[Código],LISTADO_PRODUCTOS[#All],3)</f>
        <v>MARROQUINERIA</v>
      </c>
      <c r="D507" s="6" t="str">
        <f>VLOOKUP(TABLA_PRECIOS[Código],LISTADO_PRODUCTOS[#All],4)</f>
        <v>CANOPLA ALGAMA DOBLE CIERRE BRILLO/cuerina</v>
      </c>
      <c r="E507" s="6" t="str">
        <f>VLOOKUP(TABLA_PRECIOS[Código],LISTADO_PRODUCTOS[#All],5)</f>
        <v>N/A</v>
      </c>
      <c r="F507" s="4">
        <v>1</v>
      </c>
      <c r="G507" s="4">
        <v>1</v>
      </c>
      <c r="H507" s="6">
        <v>1</v>
      </c>
      <c r="I507" s="6"/>
      <c r="J507" s="9"/>
    </row>
    <row r="508" spans="1:10" x14ac:dyDescent="0.3">
      <c r="A508" s="4">
        <v>3005</v>
      </c>
      <c r="B508" s="6">
        <f>VLOOKUP(TABLA_PRECIOS[Código],LISTADO_PRODUCTOS[#All],2)</f>
        <v>54679</v>
      </c>
      <c r="C508" s="6" t="str">
        <f>VLOOKUP(TABLA_PRECIOS[Código],LISTADO_PRODUCTOS[#All],3)</f>
        <v>MARROQUINERIA</v>
      </c>
      <c r="D508" s="6" t="str">
        <f>VLOOKUP(TABLA_PRECIOS[Código],LISTADO_PRODUCTOS[#All],4)</f>
        <v>Mochila Fast Racing Art. No. 59060</v>
      </c>
      <c r="E508" s="6" t="str">
        <f>VLOOKUP(TABLA_PRECIOS[Código],LISTADO_PRODUCTOS[#All],5)</f>
        <v>N/A</v>
      </c>
      <c r="F508" s="4">
        <v>1</v>
      </c>
      <c r="G508" s="4">
        <v>1</v>
      </c>
      <c r="H508" s="6">
        <v>1</v>
      </c>
      <c r="I508" s="6"/>
      <c r="J508" s="9"/>
    </row>
    <row r="509" spans="1:10" x14ac:dyDescent="0.3">
      <c r="A509" s="4">
        <v>3026</v>
      </c>
      <c r="B509" s="6">
        <f>VLOOKUP(TABLA_PRECIOS[Código],LISTADO_PRODUCTOS[#All],2)</f>
        <v>54680</v>
      </c>
      <c r="C509" s="6" t="str">
        <f>VLOOKUP(TABLA_PRECIOS[Código],LISTADO_PRODUCTOS[#All],3)</f>
        <v>MARROQUINERIA</v>
      </c>
      <c r="D509" s="6" t="str">
        <f>VLOOKUP(TABLA_PRECIOS[Código],LISTADO_PRODUCTOS[#All],4)</f>
        <v>Canopla cartuchera FW con peluche organizador Fun Velvet</v>
      </c>
      <c r="E509" s="6" t="str">
        <f>VLOOKUP(TABLA_PRECIOS[Código],LISTADO_PRODUCTOS[#All],5)</f>
        <v>N/A</v>
      </c>
      <c r="F509" s="4">
        <v>1</v>
      </c>
      <c r="G509" s="4">
        <v>1</v>
      </c>
      <c r="H509" s="6">
        <v>1</v>
      </c>
      <c r="I509" s="6"/>
      <c r="J509" s="9"/>
    </row>
    <row r="510" spans="1:10" x14ac:dyDescent="0.3">
      <c r="A510" s="4">
        <v>3038</v>
      </c>
      <c r="B510" s="6">
        <f>VLOOKUP(TABLA_PRECIOS[Código],LISTADO_PRODUCTOS[#All],2)</f>
        <v>54681</v>
      </c>
      <c r="C510" s="6" t="str">
        <f>VLOOKUP(TABLA_PRECIOS[Código],LISTADO_PRODUCTOS[#All],3)</f>
        <v>MARROQUINERIA</v>
      </c>
      <c r="D510" s="6" t="str">
        <f>VLOOKUP(TABLA_PRECIOS[Código],LISTADO_PRODUCTOS[#All],4)</f>
        <v>Canopla Tubo LSyD dos cierres 97.3007.3</v>
      </c>
      <c r="E510" s="6" t="str">
        <f>VLOOKUP(TABLA_PRECIOS[Código],LISTADO_PRODUCTOS[#All],5)</f>
        <v>N/A</v>
      </c>
      <c r="F510" s="4">
        <v>1</v>
      </c>
      <c r="G510" s="4">
        <v>1</v>
      </c>
      <c r="H510" s="6">
        <v>1</v>
      </c>
      <c r="I510" s="6"/>
      <c r="J510" s="9"/>
    </row>
    <row r="511" spans="1:10" x14ac:dyDescent="0.3">
      <c r="A511" s="4">
        <v>3077</v>
      </c>
      <c r="B511" s="6">
        <f>VLOOKUP(TABLA_PRECIOS[Código],LISTADO_PRODUCTOS[#All],2)</f>
        <v>54682</v>
      </c>
      <c r="C511" s="6" t="str">
        <f>VLOOKUP(TABLA_PRECIOS[Código],LISTADO_PRODUCTOS[#All],3)</f>
        <v>MARROQUINERIA</v>
      </c>
      <c r="D511" s="6" t="str">
        <f>VLOOKUP(TABLA_PRECIOS[Código],LISTADO_PRODUCTOS[#All],4)</f>
        <v>Mochila LSyD Water War Art. No. 91.17800</v>
      </c>
      <c r="E511" s="6" t="str">
        <f>VLOOKUP(TABLA_PRECIOS[Código],LISTADO_PRODUCTOS[#All],5)</f>
        <v>N/A</v>
      </c>
      <c r="F511" s="4">
        <v>1</v>
      </c>
      <c r="G511" s="4">
        <v>1</v>
      </c>
      <c r="H511" s="6">
        <v>1</v>
      </c>
      <c r="I511" s="6"/>
      <c r="J511" s="9"/>
    </row>
    <row r="512" spans="1:10" x14ac:dyDescent="0.3">
      <c r="A512" s="4">
        <v>3078</v>
      </c>
      <c r="B512" s="6">
        <f>VLOOKUP(TABLA_PRECIOS[Código],LISTADO_PRODUCTOS[#All],2)</f>
        <v>54683</v>
      </c>
      <c r="C512" s="39" t="str">
        <f>VLOOKUP(TABLA_PRECIOS[Código],LISTADO_PRODUCTOS[#All],3)</f>
        <v>MARROQUINERIA</v>
      </c>
      <c r="D512" s="39" t="str">
        <f>VLOOKUP(TABLA_PRECIOS[Código],LISTADO_PRODUCTOS[#All],4)</f>
        <v>Mochila Disney Junior de Cresko</v>
      </c>
      <c r="E512" s="6" t="str">
        <f>VLOOKUP(TABLA_PRECIOS[Código],LISTADO_PRODUCTOS[#All],5)</f>
        <v>N/A</v>
      </c>
      <c r="F512" s="4">
        <v>1</v>
      </c>
      <c r="G512" s="4">
        <v>1</v>
      </c>
      <c r="H512" s="6">
        <v>1</v>
      </c>
      <c r="I512" s="6"/>
      <c r="J512" s="9"/>
    </row>
    <row r="513" spans="1:10" x14ac:dyDescent="0.3">
      <c r="A513" s="4">
        <v>3211</v>
      </c>
      <c r="B513" s="6">
        <f>VLOOKUP(TABLA_PRECIOS[Código],LISTADO_PRODUCTOS[#All],2)</f>
        <v>54684</v>
      </c>
      <c r="C513" s="6" t="str">
        <f>VLOOKUP(TABLA_PRECIOS[Código],LISTADO_PRODUCTOS[#All],3)</f>
        <v>MARROQUINERIA</v>
      </c>
      <c r="D513" s="6" t="str">
        <f>VLOOKUP(TABLA_PRECIOS[Código],LISTADO_PRODUCTOS[#All],4)</f>
        <v>Mochila IN Influencer Lesedife 68.3003</v>
      </c>
      <c r="E513" s="6" t="str">
        <f>VLOOKUP(TABLA_PRECIOS[Código],LISTADO_PRODUCTOS[#All],5)</f>
        <v>N/A</v>
      </c>
      <c r="F513" s="4">
        <v>1</v>
      </c>
      <c r="G513" s="4">
        <v>1</v>
      </c>
      <c r="H513" s="6">
        <v>1</v>
      </c>
      <c r="I513" s="6"/>
      <c r="J513" s="9"/>
    </row>
    <row r="514" spans="1:10" x14ac:dyDescent="0.3">
      <c r="A514" s="4">
        <v>3212</v>
      </c>
      <c r="B514" s="6">
        <f>VLOOKUP(TABLA_PRECIOS[Código],LISTADO_PRODUCTOS[#All],2)</f>
        <v>54685</v>
      </c>
      <c r="C514" s="6" t="str">
        <f>VLOOKUP(TABLA_PRECIOS[Código],LISTADO_PRODUCTOS[#All],3)</f>
        <v>MARROQUINERIA</v>
      </c>
      <c r="D514" s="6" t="str">
        <f>VLOOKUP(TABLA_PRECIOS[Código],LISTADO_PRODUCTOS[#All],4)</f>
        <v>Mochila LSyD BOMB Art. No. 91.1404</v>
      </c>
      <c r="E514" s="6" t="str">
        <f>VLOOKUP(TABLA_PRECIOS[Código],LISTADO_PRODUCTOS[#All],5)</f>
        <v>N/A</v>
      </c>
      <c r="F514" s="4">
        <v>1</v>
      </c>
      <c r="G514" s="4">
        <v>1</v>
      </c>
      <c r="H514" s="6">
        <v>1</v>
      </c>
      <c r="I514" s="6"/>
      <c r="J514" s="9"/>
    </row>
    <row r="515" spans="1:10" x14ac:dyDescent="0.3">
      <c r="A515" s="4">
        <v>3214</v>
      </c>
      <c r="B515" s="6">
        <f>VLOOKUP(TABLA_PRECIOS[Código],LISTADO_PRODUCTOS[#All],2)</f>
        <v>54686</v>
      </c>
      <c r="C515" s="6" t="str">
        <f>VLOOKUP(TABLA_PRECIOS[Código],LISTADO_PRODUCTOS[#All],3)</f>
        <v>MARROQUINERIA</v>
      </c>
      <c r="D515" s="6" t="str">
        <f>VLOOKUP(TABLA_PRECIOS[Código],LISTADO_PRODUCTOS[#All],4)</f>
        <v>Mochila LSyD Street Wear Art. No. 91.2805</v>
      </c>
      <c r="E515" s="6" t="str">
        <f>VLOOKUP(TABLA_PRECIOS[Código],LISTADO_PRODUCTOS[#All],5)</f>
        <v>N/A</v>
      </c>
      <c r="F515" s="4">
        <v>1</v>
      </c>
      <c r="G515" s="4">
        <v>1</v>
      </c>
      <c r="H515" s="6">
        <v>1</v>
      </c>
      <c r="I515" s="6"/>
      <c r="J515" s="9"/>
    </row>
    <row r="516" spans="1:10" x14ac:dyDescent="0.3">
      <c r="A516" s="4">
        <v>4000</v>
      </c>
      <c r="B516" s="6">
        <f>VLOOKUP(TABLA_PRECIOS[Código],LISTADO_PRODUCTOS[#All],2)</f>
        <v>54687</v>
      </c>
      <c r="C516" s="6" t="str">
        <f>VLOOKUP(TABLA_PRECIOS[Código],LISTADO_PRODUCTOS[#All],3)</f>
        <v xml:space="preserve">OFICINA </v>
      </c>
      <c r="D516" s="6" t="str">
        <f>VLOOKUP(TABLA_PRECIOS[Código],LISTADO_PRODUCTOS[#All],4)</f>
        <v>Borrador Sifap Goma eva</v>
      </c>
      <c r="E516" s="6" t="str">
        <f>VLOOKUP(TABLA_PRECIOS[Código],LISTADO_PRODUCTOS[#All],5)</f>
        <v>N/A</v>
      </c>
      <c r="F516" s="4">
        <v>1</v>
      </c>
      <c r="G516" s="4">
        <v>1</v>
      </c>
      <c r="H516" s="6">
        <v>1</v>
      </c>
      <c r="I516" s="6"/>
      <c r="J516" s="9"/>
    </row>
    <row r="517" spans="1:10" x14ac:dyDescent="0.3">
      <c r="A517" s="4">
        <v>4001</v>
      </c>
      <c r="B517" s="6">
        <f>VLOOKUP(TABLA_PRECIOS[Código],LISTADO_PRODUCTOS[#All],2)</f>
        <v>54688</v>
      </c>
      <c r="C517" s="6" t="str">
        <f>VLOOKUP(TABLA_PRECIOS[Código],LISTADO_PRODUCTOS[#All],3)</f>
        <v xml:space="preserve">OFICINA </v>
      </c>
      <c r="D517" s="6" t="str">
        <f>VLOOKUP(TABLA_PRECIOS[Código],LISTADO_PRODUCTOS[#All],4)</f>
        <v>Blister marcador de pizarra Filgo x 6u</v>
      </c>
      <c r="E517" s="6" t="str">
        <f>VLOOKUP(TABLA_PRECIOS[Código],LISTADO_PRODUCTOS[#All],5)</f>
        <v>N/A</v>
      </c>
      <c r="F517" s="4">
        <v>1</v>
      </c>
      <c r="G517" s="4">
        <v>1</v>
      </c>
      <c r="H517" s="6">
        <v>1</v>
      </c>
      <c r="I517" s="6"/>
      <c r="J517" s="9"/>
    </row>
    <row r="518" spans="1:10" x14ac:dyDescent="0.3">
      <c r="A518" s="4">
        <v>4006</v>
      </c>
      <c r="B518" s="6">
        <f>VLOOKUP(TABLA_PRECIOS[Código],LISTADO_PRODUCTOS[#All],2)</f>
        <v>54689</v>
      </c>
      <c r="C518" s="6" t="str">
        <f>VLOOKUP(TABLA_PRECIOS[Código],LISTADO_PRODUCTOS[#All],3)</f>
        <v xml:space="preserve">OFICINA </v>
      </c>
      <c r="D518" s="6" t="str">
        <f>VLOOKUP(TABLA_PRECIOS[Código],LISTADO_PRODUCTOS[#All],4)</f>
        <v>Repuesto Parker</v>
      </c>
      <c r="E518" s="6" t="str">
        <f>VLOOKUP(TABLA_PRECIOS[Código],LISTADO_PRODUCTOS[#All],5)</f>
        <v>N/A</v>
      </c>
      <c r="F518" s="4">
        <v>1</v>
      </c>
      <c r="G518" s="4">
        <v>1</v>
      </c>
      <c r="H518" s="6">
        <v>1</v>
      </c>
      <c r="I518" s="6"/>
      <c r="J518" s="9"/>
    </row>
    <row r="519" spans="1:10" x14ac:dyDescent="0.3">
      <c r="A519" s="4">
        <v>4007</v>
      </c>
      <c r="B519" s="6">
        <f>VLOOKUP(TABLA_PRECIOS[Código],LISTADO_PRODUCTOS[#All],2)</f>
        <v>54690</v>
      </c>
      <c r="C519" s="6" t="str">
        <f>VLOOKUP(TABLA_PRECIOS[Código],LISTADO_PRODUCTOS[#All],3)</f>
        <v xml:space="preserve">OFICINA </v>
      </c>
      <c r="D519" s="6" t="str">
        <f>VLOOKUP(TABLA_PRECIOS[Código],LISTADO_PRODUCTOS[#All],4)</f>
        <v>Abrochadora Maped Vivo Nº10</v>
      </c>
      <c r="E519" s="6" t="str">
        <f>VLOOKUP(TABLA_PRECIOS[Código],LISTADO_PRODUCTOS[#All],5)</f>
        <v>N/A</v>
      </c>
      <c r="F519" s="4">
        <v>1</v>
      </c>
      <c r="G519" s="4">
        <v>1</v>
      </c>
      <c r="H519" s="6">
        <v>1</v>
      </c>
      <c r="I519" s="6"/>
      <c r="J519" s="9"/>
    </row>
    <row r="520" spans="1:10" x14ac:dyDescent="0.3">
      <c r="A520" s="4">
        <v>4008</v>
      </c>
      <c r="B520" s="6">
        <f>VLOOKUP(TABLA_PRECIOS[Código],LISTADO_PRODUCTOS[#All],2)</f>
        <v>54691</v>
      </c>
      <c r="C520" s="6" t="str">
        <f>VLOOKUP(TABLA_PRECIOS[Código],LISTADO_PRODUCTOS[#All],3)</f>
        <v xml:space="preserve">OFICINA </v>
      </c>
      <c r="D520" s="6" t="str">
        <f>VLOOKUP(TABLA_PRECIOS[Código],LISTADO_PRODUCTOS[#All],4)</f>
        <v>Abrochadora General Office de bolsillo N°10 str-2102</v>
      </c>
      <c r="E520" s="6" t="str">
        <f>VLOOKUP(TABLA_PRECIOS[Código],LISTADO_PRODUCTOS[#All],5)</f>
        <v>N/A</v>
      </c>
      <c r="F520" s="4">
        <v>1</v>
      </c>
      <c r="G520" s="4">
        <v>1</v>
      </c>
      <c r="H520" s="6">
        <v>1</v>
      </c>
      <c r="I520" s="6"/>
      <c r="J520" s="9"/>
    </row>
    <row r="521" spans="1:10" x14ac:dyDescent="0.3">
      <c r="A521" s="4">
        <v>4010</v>
      </c>
      <c r="B521" s="6">
        <f>VLOOKUP(TABLA_PRECIOS[Código],LISTADO_PRODUCTOS[#All],2)</f>
        <v>54692</v>
      </c>
      <c r="C521" s="6" t="str">
        <f>VLOOKUP(TABLA_PRECIOS[Código],LISTADO_PRODUCTOS[#All],3)</f>
        <v xml:space="preserve">OFICINA </v>
      </c>
      <c r="D521" s="6" t="str">
        <f>VLOOKUP(TABLA_PRECIOS[Código],LISTADO_PRODUCTOS[#All],4)</f>
        <v>Abrochadora Maped Mini Office Nº10 metal</v>
      </c>
      <c r="E521" s="6" t="str">
        <f>VLOOKUP(TABLA_PRECIOS[Código],LISTADO_PRODUCTOS[#All],5)</f>
        <v>N/A</v>
      </c>
      <c r="F521" s="4">
        <v>1</v>
      </c>
      <c r="G521" s="4">
        <v>1</v>
      </c>
      <c r="H521" s="6">
        <v>1</v>
      </c>
      <c r="I521" s="6"/>
      <c r="J521" s="9"/>
    </row>
    <row r="522" spans="1:10" x14ac:dyDescent="0.3">
      <c r="A522" s="4">
        <v>4014</v>
      </c>
      <c r="B522" s="6">
        <f>VLOOKUP(TABLA_PRECIOS[Código],LISTADO_PRODUCTOS[#All],2)</f>
        <v>54693</v>
      </c>
      <c r="C522" s="6" t="str">
        <f>VLOOKUP(TABLA_PRECIOS[Código],LISTADO_PRODUCTOS[#All],3)</f>
        <v xml:space="preserve">OFICINA </v>
      </c>
      <c r="D522" s="6" t="str">
        <f>VLOOKUP(TABLA_PRECIOS[Código],LISTADO_PRODUCTOS[#All],4)</f>
        <v>Perforadora Kangaroo one hole</v>
      </c>
      <c r="E522" s="6" t="str">
        <f>VLOOKUP(TABLA_PRECIOS[Código],LISTADO_PRODUCTOS[#All],5)</f>
        <v>N/A</v>
      </c>
      <c r="F522" s="4">
        <v>1</v>
      </c>
      <c r="G522" s="4">
        <v>1</v>
      </c>
      <c r="H522" s="6">
        <v>1</v>
      </c>
      <c r="I522" s="6"/>
      <c r="J522" s="9"/>
    </row>
    <row r="523" spans="1:10" x14ac:dyDescent="0.3">
      <c r="A523" s="4">
        <v>4017</v>
      </c>
      <c r="B523" s="6">
        <f>VLOOKUP(TABLA_PRECIOS[Código],LISTADO_PRODUCTOS[#All],2)</f>
        <v>54694</v>
      </c>
      <c r="C523" s="6" t="str">
        <f>VLOOKUP(TABLA_PRECIOS[Código],LISTADO_PRODUCTOS[#All],3)</f>
        <v xml:space="preserve">OFICINA </v>
      </c>
      <c r="D523" s="6" t="str">
        <f>VLOOKUP(TABLA_PRECIOS[Código],LISTADO_PRODUCTOS[#All],4)</f>
        <v>Portarrollo Dispensador de cinta 30/60mm Olami MT903</v>
      </c>
      <c r="E523" s="6" t="str">
        <f>VLOOKUP(TABLA_PRECIOS[Código],LISTADO_PRODUCTOS[#All],5)</f>
        <v>N/A</v>
      </c>
      <c r="F523" s="4">
        <v>1</v>
      </c>
      <c r="G523" s="4">
        <v>1</v>
      </c>
      <c r="H523" s="6">
        <v>1</v>
      </c>
      <c r="I523" s="6"/>
      <c r="J523" s="9"/>
    </row>
    <row r="524" spans="1:10" x14ac:dyDescent="0.3">
      <c r="A524" s="4">
        <v>4018</v>
      </c>
      <c r="B524" s="6">
        <f>VLOOKUP(TABLA_PRECIOS[Código],LISTADO_PRODUCTOS[#All],2)</f>
        <v>54695</v>
      </c>
      <c r="C524" s="6" t="str">
        <f>VLOOKUP(TABLA_PRECIOS[Código],LISTADO_PRODUCTOS[#All],3)</f>
        <v xml:space="preserve">OFICINA </v>
      </c>
      <c r="D524" s="6" t="str">
        <f>VLOOKUP(TABLA_PRECIOS[Código],LISTADO_PRODUCTOS[#All],4)</f>
        <v>Tinta para sellos Negro Eureka</v>
      </c>
      <c r="E524" s="6" t="str">
        <f>VLOOKUP(TABLA_PRECIOS[Código],LISTADO_PRODUCTOS[#All],5)</f>
        <v>N/A</v>
      </c>
      <c r="F524" s="4">
        <v>1</v>
      </c>
      <c r="G524" s="4">
        <v>1</v>
      </c>
      <c r="H524" s="6">
        <v>1</v>
      </c>
      <c r="I524" s="6"/>
      <c r="J524" s="9"/>
    </row>
    <row r="525" spans="1:10" x14ac:dyDescent="0.3">
      <c r="A525" s="4">
        <v>4020</v>
      </c>
      <c r="B525" s="6">
        <f>VLOOKUP(TABLA_PRECIOS[Código],LISTADO_PRODUCTOS[#All],2)</f>
        <v>54696</v>
      </c>
      <c r="C525" s="6" t="str">
        <f>VLOOKUP(TABLA_PRECIOS[Código],LISTADO_PRODUCTOS[#All],3)</f>
        <v xml:space="preserve">OFICINA </v>
      </c>
      <c r="D525" s="6" t="str">
        <f>VLOOKUP(TABLA_PRECIOS[Código],LISTADO_PRODUCTOS[#All],4)</f>
        <v>Libro indice corona 2 manos</v>
      </c>
      <c r="E525" s="6" t="str">
        <f>VLOOKUP(TABLA_PRECIOS[Código],LISTADO_PRODUCTOS[#All],5)</f>
        <v>N/A</v>
      </c>
      <c r="F525" s="4">
        <v>1</v>
      </c>
      <c r="G525" s="4">
        <v>1</v>
      </c>
      <c r="H525" s="6">
        <v>1</v>
      </c>
      <c r="I525" s="6"/>
      <c r="J525" s="9"/>
    </row>
    <row r="526" spans="1:10" x14ac:dyDescent="0.3">
      <c r="A526" s="4">
        <v>4021</v>
      </c>
      <c r="B526" s="6">
        <f>VLOOKUP(TABLA_PRECIOS[Código],LISTADO_PRODUCTOS[#All],2)</f>
        <v>54697</v>
      </c>
      <c r="C526" s="6" t="str">
        <f>VLOOKUP(TABLA_PRECIOS[Código],LISTADO_PRODUCTOS[#All],3)</f>
        <v xml:space="preserve">OFICINA </v>
      </c>
      <c r="D526" s="6" t="str">
        <f>VLOOKUP(TABLA_PRECIOS[Código],LISTADO_PRODUCTOS[#All],4)</f>
        <v>Ficha Congreso- TRIUNFANTE x100 Nº3</v>
      </c>
      <c r="E526" s="6" t="str">
        <f>VLOOKUP(TABLA_PRECIOS[Código],LISTADO_PRODUCTOS[#All],5)</f>
        <v>N/A</v>
      </c>
      <c r="F526" s="4">
        <v>1</v>
      </c>
      <c r="G526" s="4">
        <v>1</v>
      </c>
      <c r="H526" s="6">
        <v>1</v>
      </c>
      <c r="I526" s="6"/>
      <c r="J526" s="9"/>
    </row>
    <row r="527" spans="1:10" x14ac:dyDescent="0.3">
      <c r="A527" s="4">
        <v>4022</v>
      </c>
      <c r="B527" s="6">
        <f>VLOOKUP(TABLA_PRECIOS[Código],LISTADO_PRODUCTOS[#All],2)</f>
        <v>54698</v>
      </c>
      <c r="C527" s="6" t="str">
        <f>VLOOKUP(TABLA_PRECIOS[Código],LISTADO_PRODUCTOS[#All],3)</f>
        <v xml:space="preserve">OFICINA </v>
      </c>
      <c r="D527" s="6" t="str">
        <f>VLOOKUP(TABLA_PRECIOS[Código],LISTADO_PRODUCTOS[#All],4)</f>
        <v>Ficha Triunfante x100 Nº2 - 7796569076114</v>
      </c>
      <c r="E527" s="6" t="str">
        <f>VLOOKUP(TABLA_PRECIOS[Código],LISTADO_PRODUCTOS[#All],5)</f>
        <v>N/A</v>
      </c>
      <c r="F527" s="4">
        <v>1</v>
      </c>
      <c r="G527" s="4">
        <v>1</v>
      </c>
      <c r="H527" s="6">
        <v>1</v>
      </c>
      <c r="I527" s="6"/>
      <c r="J527" s="9"/>
    </row>
    <row r="528" spans="1:10" x14ac:dyDescent="0.3">
      <c r="A528" s="4">
        <v>4024</v>
      </c>
      <c r="B528" s="6">
        <f>VLOOKUP(TABLA_PRECIOS[Código],LISTADO_PRODUCTOS[#All],2)</f>
        <v>54699</v>
      </c>
      <c r="C528" s="6" t="str">
        <f>VLOOKUP(TABLA_PRECIOS[Código],LISTADO_PRODUCTOS[#All],3)</f>
        <v xml:space="preserve">OFICINA </v>
      </c>
      <c r="D528" s="6" t="str">
        <f>VLOOKUP(TABLA_PRECIOS[Código],LISTADO_PRODUCTOS[#All],4)</f>
        <v>Pagare sin protesto Igneo pesos</v>
      </c>
      <c r="E528" s="6" t="str">
        <f>VLOOKUP(TABLA_PRECIOS[Código],LISTADO_PRODUCTOS[#All],5)</f>
        <v>N/A</v>
      </c>
      <c r="F528" s="4">
        <v>1</v>
      </c>
      <c r="G528" s="4">
        <v>1</v>
      </c>
      <c r="H528" s="6">
        <v>1</v>
      </c>
      <c r="I528" s="6"/>
      <c r="J528" s="9"/>
    </row>
    <row r="529" spans="1:10" x14ac:dyDescent="0.3">
      <c r="A529" s="4">
        <v>4025</v>
      </c>
      <c r="B529" s="6">
        <f>VLOOKUP(TABLA_PRECIOS[Código],LISTADO_PRODUCTOS[#All],2)</f>
        <v>54700</v>
      </c>
      <c r="C529" s="6" t="str">
        <f>VLOOKUP(TABLA_PRECIOS[Código],LISTADO_PRODUCTOS[#All],3)</f>
        <v xml:space="preserve">OFICINA </v>
      </c>
      <c r="D529" s="6" t="str">
        <f>VLOOKUP(TABLA_PRECIOS[Código],LISTADO_PRODUCTOS[#All],4)</f>
        <v>Recibo Husares Duplicado quimico</v>
      </c>
      <c r="E529" s="6" t="str">
        <f>VLOOKUP(TABLA_PRECIOS[Código],LISTADO_PRODUCTOS[#All],5)</f>
        <v>N/A</v>
      </c>
      <c r="F529" s="4">
        <v>1</v>
      </c>
      <c r="G529" s="4">
        <v>1</v>
      </c>
      <c r="H529" s="6">
        <v>1</v>
      </c>
      <c r="I529" s="6"/>
      <c r="J529" s="9"/>
    </row>
    <row r="530" spans="1:10" x14ac:dyDescent="0.3">
      <c r="A530" s="4">
        <v>4027</v>
      </c>
      <c r="B530" s="6">
        <f>VLOOKUP(TABLA_PRECIOS[Código],LISTADO_PRODUCTOS[#All],2)</f>
        <v>54701</v>
      </c>
      <c r="C530" s="6" t="str">
        <f>VLOOKUP(TABLA_PRECIOS[Código],LISTADO_PRODUCTOS[#All],3)</f>
        <v xml:space="preserve">OFICINA </v>
      </c>
      <c r="D530" s="6" t="str">
        <f>VLOOKUP(TABLA_PRECIOS[Código],LISTADO_PRODUCTOS[#All],4)</f>
        <v>Perforadora Kangaroo DP-280 - 376224</v>
      </c>
      <c r="E530" s="6" t="str">
        <f>VLOOKUP(TABLA_PRECIOS[Código],LISTADO_PRODUCTOS[#All],5)</f>
        <v>N/A</v>
      </c>
      <c r="F530" s="4">
        <v>1</v>
      </c>
      <c r="G530" s="4">
        <v>1</v>
      </c>
      <c r="H530" s="6">
        <v>1</v>
      </c>
      <c r="I530" s="6"/>
      <c r="J530" s="9"/>
    </row>
    <row r="531" spans="1:10" x14ac:dyDescent="0.3">
      <c r="A531" s="4">
        <v>4028</v>
      </c>
      <c r="B531" s="6">
        <f>VLOOKUP(TABLA_PRECIOS[Código],LISTADO_PRODUCTOS[#All],2)</f>
        <v>54702</v>
      </c>
      <c r="C531" s="6" t="str">
        <f>VLOOKUP(TABLA_PRECIOS[Código],LISTADO_PRODUCTOS[#All],3)</f>
        <v xml:space="preserve">OFICINA </v>
      </c>
      <c r="D531" s="6" t="str">
        <f>VLOOKUP(TABLA_PRECIOS[Código],LISTADO_PRODUCTOS[#All],4)</f>
        <v>Racionador de cinta de empaque metalico Liggo</v>
      </c>
      <c r="E531" s="6" t="str">
        <f>VLOOKUP(TABLA_PRECIOS[Código],LISTADO_PRODUCTOS[#All],5)</f>
        <v>N/A</v>
      </c>
      <c r="F531" s="4">
        <v>1</v>
      </c>
      <c r="G531" s="4">
        <v>1</v>
      </c>
      <c r="H531" s="6">
        <v>1</v>
      </c>
      <c r="I531" s="6"/>
      <c r="J531" s="9"/>
    </row>
    <row r="532" spans="1:10" x14ac:dyDescent="0.3">
      <c r="A532" s="4">
        <v>4030</v>
      </c>
      <c r="B532" s="6">
        <f>VLOOKUP(TABLA_PRECIOS[Código],LISTADO_PRODUCTOS[#All],2)</f>
        <v>54703</v>
      </c>
      <c r="C532" s="6" t="str">
        <f>VLOOKUP(TABLA_PRECIOS[Código],LISTADO_PRODUCTOS[#All],3)</f>
        <v xml:space="preserve">OFICINA </v>
      </c>
      <c r="D532" s="6" t="str">
        <f>VLOOKUP(TABLA_PRECIOS[Código],LISTADO_PRODUCTOS[#All],4)</f>
        <v>Chinche para dibujo  3 puntas Sifap 50u</v>
      </c>
      <c r="E532" s="6" t="str">
        <f>VLOOKUP(TABLA_PRECIOS[Código],LISTADO_PRODUCTOS[#All],5)</f>
        <v>N/A</v>
      </c>
      <c r="F532" s="4">
        <v>1</v>
      </c>
      <c r="G532" s="4">
        <v>1</v>
      </c>
      <c r="H532" s="6">
        <v>1</v>
      </c>
      <c r="I532" s="6"/>
      <c r="J532" s="9"/>
    </row>
    <row r="533" spans="1:10" x14ac:dyDescent="0.3">
      <c r="A533" s="4">
        <v>4032</v>
      </c>
      <c r="B533" s="6">
        <f>VLOOKUP(TABLA_PRECIOS[Código],LISTADO_PRODUCTOS[#All],2)</f>
        <v>54704</v>
      </c>
      <c r="C533" s="6" t="str">
        <f>VLOOKUP(TABLA_PRECIOS[Código],LISTADO_PRODUCTOS[#All],3)</f>
        <v xml:space="preserve">OFICINA </v>
      </c>
      <c r="D533" s="6" t="str">
        <f>VLOOKUP(TABLA_PRECIOS[Código],LISTADO_PRODUCTOS[#All],4)</f>
        <v>Tinta para Sellos Pelikan</v>
      </c>
      <c r="E533" s="6" t="str">
        <f>VLOOKUP(TABLA_PRECIOS[Código],LISTADO_PRODUCTOS[#All],5)</f>
        <v>N/A</v>
      </c>
      <c r="F533" s="4">
        <v>1</v>
      </c>
      <c r="G533" s="4">
        <v>1</v>
      </c>
      <c r="H533" s="6">
        <v>1</v>
      </c>
      <c r="I533" s="6"/>
      <c r="J533" s="9"/>
    </row>
    <row r="534" spans="1:10" x14ac:dyDescent="0.3">
      <c r="A534" s="4">
        <v>4033</v>
      </c>
      <c r="B534" s="6">
        <f>VLOOKUP(TABLA_PRECIOS[Código],LISTADO_PRODUCTOS[#All],2)</f>
        <v>54705</v>
      </c>
      <c r="C534" s="6" t="str">
        <f>VLOOKUP(TABLA_PRECIOS[Código],LISTADO_PRODUCTOS[#All],3)</f>
        <v xml:space="preserve">OFICINA </v>
      </c>
      <c r="D534" s="6" t="str">
        <f>VLOOKUP(TABLA_PRECIOS[Código],LISTADO_PRODUCTOS[#All],4)</f>
        <v>Tinta pàra Sellos Toyo</v>
      </c>
      <c r="E534" s="6" t="str">
        <f>VLOOKUP(TABLA_PRECIOS[Código],LISTADO_PRODUCTOS[#All],5)</f>
        <v>N/A</v>
      </c>
      <c r="F534" s="4">
        <v>1</v>
      </c>
      <c r="G534" s="4">
        <v>1</v>
      </c>
      <c r="H534" s="6">
        <v>1</v>
      </c>
      <c r="I534" s="6"/>
      <c r="J534" s="9"/>
    </row>
    <row r="535" spans="1:10" x14ac:dyDescent="0.3">
      <c r="A535" s="4">
        <v>4036</v>
      </c>
      <c r="B535" s="6">
        <f>VLOOKUP(TABLA_PRECIOS[Código],LISTADO_PRODUCTOS[#All],2)</f>
        <v>54706</v>
      </c>
      <c r="C535" s="6" t="str">
        <f>VLOOKUP(TABLA_PRECIOS[Código],LISTADO_PRODUCTOS[#All],3)</f>
        <v xml:space="preserve">OFICINA </v>
      </c>
      <c r="D535" s="6" t="str">
        <f>VLOOKUP(TABLA_PRECIOS[Código],LISTADO_PRODUCTOS[#All],4)</f>
        <v>Señalador Bolita SIFAP chico x 150u</v>
      </c>
      <c r="E535" s="6" t="str">
        <f>VLOOKUP(TABLA_PRECIOS[Código],LISTADO_PRODUCTOS[#All],5)</f>
        <v>N/A</v>
      </c>
      <c r="F535" s="4">
        <v>1</v>
      </c>
      <c r="G535" s="4">
        <v>1</v>
      </c>
      <c r="H535" s="6">
        <v>1</v>
      </c>
      <c r="I535" s="6"/>
      <c r="J535" s="9"/>
    </row>
    <row r="536" spans="1:10" x14ac:dyDescent="0.3">
      <c r="A536" s="4">
        <v>4044</v>
      </c>
      <c r="B536" s="6">
        <f>VLOOKUP(TABLA_PRECIOS[Código],LISTADO_PRODUCTOS[#All],2)</f>
        <v>54707</v>
      </c>
      <c r="C536" s="6" t="str">
        <f>VLOOKUP(TABLA_PRECIOS[Código],LISTADO_PRODUCTOS[#All],3)</f>
        <v xml:space="preserve">OFICINA </v>
      </c>
      <c r="D536" s="6" t="str">
        <f>VLOOKUP(TABLA_PRECIOS[Código],LISTADO_PRODUCTOS[#All],4)</f>
        <v>Broche Dorado Nº8 x100 Sifap 35mm</v>
      </c>
      <c r="E536" s="6" t="str">
        <f>VLOOKUP(TABLA_PRECIOS[Código],LISTADO_PRODUCTOS[#All],5)</f>
        <v>N/A</v>
      </c>
      <c r="F536" s="4">
        <v>1</v>
      </c>
      <c r="G536" s="4">
        <v>1</v>
      </c>
      <c r="H536" s="6">
        <v>1</v>
      </c>
      <c r="I536" s="6"/>
      <c r="J536" s="9"/>
    </row>
    <row r="537" spans="1:10" x14ac:dyDescent="0.3">
      <c r="A537" s="4">
        <v>4047</v>
      </c>
      <c r="B537" s="6">
        <f>VLOOKUP(TABLA_PRECIOS[Código],LISTADO_PRODUCTOS[#All],2)</f>
        <v>54708</v>
      </c>
      <c r="C537" s="6" t="str">
        <f>VLOOKUP(TABLA_PRECIOS[Código],LISTADO_PRODUCTOS[#All],3)</f>
        <v xml:space="preserve">OFICINA </v>
      </c>
      <c r="D537" s="6" t="str">
        <f>VLOOKUP(TABLA_PRECIOS[Código],LISTADO_PRODUCTOS[#All],4)</f>
        <v>Marcador Permanente Sharpie Negro Punta Fina</v>
      </c>
      <c r="E537" s="6" t="str">
        <f>VLOOKUP(TABLA_PRECIOS[Código],LISTADO_PRODUCTOS[#All],5)</f>
        <v>N/A</v>
      </c>
      <c r="F537" s="4">
        <v>1</v>
      </c>
      <c r="G537" s="4">
        <v>1</v>
      </c>
      <c r="H537" s="6">
        <v>1</v>
      </c>
      <c r="I537" s="6"/>
      <c r="J537" s="9"/>
    </row>
    <row r="538" spans="1:10" x14ac:dyDescent="0.3">
      <c r="A538" s="4">
        <v>4049</v>
      </c>
      <c r="B538" s="6">
        <f>VLOOKUP(TABLA_PRECIOS[Código],LISTADO_PRODUCTOS[#All],2)</f>
        <v>54709</v>
      </c>
      <c r="C538" s="6" t="str">
        <f>VLOOKUP(TABLA_PRECIOS[Código],LISTADO_PRODUCTOS[#All],3)</f>
        <v xml:space="preserve">OFICINA </v>
      </c>
      <c r="D538" s="6" t="str">
        <f>VLOOKUP(TABLA_PRECIOS[Código],LISTADO_PRODUCTOS[#All],4)</f>
        <v>Marcador sharpie Duo Color</v>
      </c>
      <c r="E538" s="6" t="str">
        <f>VLOOKUP(TABLA_PRECIOS[Código],LISTADO_PRODUCTOS[#All],5)</f>
        <v>N/A</v>
      </c>
      <c r="F538" s="4">
        <v>1</v>
      </c>
      <c r="G538" s="4">
        <v>1</v>
      </c>
      <c r="H538" s="6">
        <v>1</v>
      </c>
      <c r="I538" s="6"/>
      <c r="J538" s="9"/>
    </row>
    <row r="539" spans="1:10" x14ac:dyDescent="0.3">
      <c r="A539" s="4">
        <v>4053</v>
      </c>
      <c r="B539" s="6">
        <f>VLOOKUP(TABLA_PRECIOS[Código],LISTADO_PRODUCTOS[#All],2)</f>
        <v>54710</v>
      </c>
      <c r="C539" s="6" t="str">
        <f>VLOOKUP(TABLA_PRECIOS[Código],LISTADO_PRODUCTOS[#All],3)</f>
        <v xml:space="preserve">OFICINA </v>
      </c>
      <c r="D539" s="6" t="str">
        <f>VLOOKUP(TABLA_PRECIOS[Código],LISTADO_PRODUCTOS[#All],4)</f>
        <v>Tinta Trabí Permanente</v>
      </c>
      <c r="E539" s="6" t="str">
        <f>VLOOKUP(TABLA_PRECIOS[Código],LISTADO_PRODUCTOS[#All],5)</f>
        <v>N/A</v>
      </c>
      <c r="F539" s="4">
        <v>1</v>
      </c>
      <c r="G539" s="4">
        <v>1</v>
      </c>
      <c r="H539" s="6">
        <v>1</v>
      </c>
      <c r="I539" s="6"/>
      <c r="J539" s="9"/>
    </row>
    <row r="540" spans="1:10" x14ac:dyDescent="0.3">
      <c r="A540" s="4">
        <v>4055</v>
      </c>
      <c r="B540" s="6">
        <f>VLOOKUP(TABLA_PRECIOS[Código],LISTADO_PRODUCTOS[#All],2)</f>
        <v>54711</v>
      </c>
      <c r="C540" s="6" t="str">
        <f>VLOOKUP(TABLA_PRECIOS[Código],LISTADO_PRODUCTOS[#All],3)</f>
        <v xml:space="preserve">OFICINA </v>
      </c>
      <c r="D540" s="6" t="str">
        <f>VLOOKUP(TABLA_PRECIOS[Código],LISTADO_PRODUCTOS[#All],4)</f>
        <v>Banda elasticas Credencial x 100g</v>
      </c>
      <c r="E540" s="6" t="str">
        <f>VLOOKUP(TABLA_PRECIOS[Código],LISTADO_PRODUCTOS[#All],5)</f>
        <v>N/A</v>
      </c>
      <c r="F540" s="4">
        <v>1</v>
      </c>
      <c r="G540" s="4">
        <v>1</v>
      </c>
      <c r="H540" s="6">
        <v>1</v>
      </c>
      <c r="I540" s="6"/>
      <c r="J540" s="9"/>
    </row>
    <row r="541" spans="1:10" x14ac:dyDescent="0.3">
      <c r="A541" s="4">
        <v>4058</v>
      </c>
      <c r="B541" s="6">
        <f>VLOOKUP(TABLA_PRECIOS[Código],LISTADO_PRODUCTOS[#All],2)</f>
        <v>54712</v>
      </c>
      <c r="C541" s="6" t="str">
        <f>VLOOKUP(TABLA_PRECIOS[Código],LISTADO_PRODUCTOS[#All],3)</f>
        <v xml:space="preserve">OFICINA </v>
      </c>
      <c r="D541" s="6" t="str">
        <f>VLOOKUP(TABLA_PRECIOS[Código],LISTADO_PRODUCTOS[#All],4)</f>
        <v>Broche metalico con arandela tipo Binder 63mm</v>
      </c>
      <c r="E541" s="6" t="str">
        <f>VLOOKUP(TABLA_PRECIOS[Código],LISTADO_PRODUCTOS[#All],5)</f>
        <v>N/A</v>
      </c>
      <c r="F541" s="4">
        <v>1</v>
      </c>
      <c r="G541" s="4">
        <v>1</v>
      </c>
      <c r="H541" s="6">
        <v>1</v>
      </c>
      <c r="I541" s="6"/>
      <c r="J541" s="9"/>
    </row>
    <row r="542" spans="1:10" x14ac:dyDescent="0.3">
      <c r="A542" s="4">
        <v>4059</v>
      </c>
      <c r="B542" s="6">
        <f>VLOOKUP(TABLA_PRECIOS[Código],LISTADO_PRODUCTOS[#All],2)</f>
        <v>54713</v>
      </c>
      <c r="C542" s="6" t="str">
        <f>VLOOKUP(TABLA_PRECIOS[Código],LISTADO_PRODUCTOS[#All],3)</f>
        <v xml:space="preserve">OFICINA </v>
      </c>
      <c r="D542" s="6" t="str">
        <f>VLOOKUP(TABLA_PRECIOS[Código],LISTADO_PRODUCTOS[#All],4)</f>
        <v>Marcador de Billetes Trabi</v>
      </c>
      <c r="E542" s="6" t="str">
        <f>VLOOKUP(TABLA_PRECIOS[Código],LISTADO_PRODUCTOS[#All],5)</f>
        <v>N/A</v>
      </c>
      <c r="F542" s="4">
        <v>1</v>
      </c>
      <c r="G542" s="4">
        <v>1</v>
      </c>
      <c r="H542" s="6">
        <v>1</v>
      </c>
      <c r="I542" s="6"/>
      <c r="J542" s="9"/>
    </row>
    <row r="543" spans="1:10" x14ac:dyDescent="0.3">
      <c r="A543" s="4">
        <v>4061</v>
      </c>
      <c r="B543" s="6">
        <f>VLOOKUP(TABLA_PRECIOS[Código],LISTADO_PRODUCTOS[#All],2)</f>
        <v>54714</v>
      </c>
      <c r="C543" s="6" t="str">
        <f>VLOOKUP(TABLA_PRECIOS[Código],LISTADO_PRODUCTOS[#All],3)</f>
        <v xml:space="preserve">OFICINA </v>
      </c>
      <c r="D543" s="6" t="str">
        <f>VLOOKUP(TABLA_PRECIOS[Código],LISTADO_PRODUCTOS[#All],4)</f>
        <v>Borrador de Madera</v>
      </c>
      <c r="E543" s="6" t="str">
        <f>VLOOKUP(TABLA_PRECIOS[Código],LISTADO_PRODUCTOS[#All],5)</f>
        <v>N/A</v>
      </c>
      <c r="F543" s="4">
        <v>1</v>
      </c>
      <c r="G543" s="4">
        <v>1</v>
      </c>
      <c r="H543" s="6">
        <v>1</v>
      </c>
      <c r="I543" s="6"/>
      <c r="J543" s="9"/>
    </row>
    <row r="544" spans="1:10" x14ac:dyDescent="0.3">
      <c r="A544" s="4">
        <v>4062</v>
      </c>
      <c r="B544" s="6">
        <f>VLOOKUP(TABLA_PRECIOS[Código],LISTADO_PRODUCTOS[#All],2)</f>
        <v>54715</v>
      </c>
      <c r="C544" s="6" t="str">
        <f>VLOOKUP(TABLA_PRECIOS[Código],LISTADO_PRODUCTOS[#All],3)</f>
        <v xml:space="preserve">OFICINA </v>
      </c>
      <c r="D544" s="6" t="str">
        <f>VLOOKUP(TABLA_PRECIOS[Código],LISTADO_PRODUCTOS[#All],4)</f>
        <v>Plumines</v>
      </c>
      <c r="E544" s="6" t="str">
        <f>VLOOKUP(TABLA_PRECIOS[Código],LISTADO_PRODUCTOS[#All],5)</f>
        <v>N/A</v>
      </c>
      <c r="F544" s="4">
        <v>1</v>
      </c>
      <c r="G544" s="4">
        <v>1</v>
      </c>
      <c r="H544" s="6">
        <v>1</v>
      </c>
      <c r="I544" s="6"/>
      <c r="J544" s="9"/>
    </row>
    <row r="545" spans="1:10" x14ac:dyDescent="0.3">
      <c r="A545" s="4">
        <v>4066</v>
      </c>
      <c r="B545" s="6">
        <f>VLOOKUP(TABLA_PRECIOS[Código],LISTADO_PRODUCTOS[#All],2)</f>
        <v>54716</v>
      </c>
      <c r="C545" s="6" t="str">
        <f>VLOOKUP(TABLA_PRECIOS[Código],LISTADO_PRODUCTOS[#All],3)</f>
        <v xml:space="preserve">OFICINA </v>
      </c>
      <c r="D545" s="6" t="str">
        <f>VLOOKUP(TABLA_PRECIOS[Código],LISTADO_PRODUCTOS[#All],4)</f>
        <v>Broche doble clip Isofit 25mm</v>
      </c>
      <c r="E545" s="6" t="str">
        <f>VLOOKUP(TABLA_PRECIOS[Código],LISTADO_PRODUCTOS[#All],5)</f>
        <v>N/A</v>
      </c>
      <c r="F545" s="4">
        <v>1</v>
      </c>
      <c r="G545" s="4">
        <v>1</v>
      </c>
      <c r="H545" s="6">
        <v>1</v>
      </c>
      <c r="I545" s="6"/>
      <c r="J545" s="9"/>
    </row>
    <row r="546" spans="1:10" x14ac:dyDescent="0.3">
      <c r="A546" s="4">
        <v>4067</v>
      </c>
      <c r="B546" s="6">
        <f>VLOOKUP(TABLA_PRECIOS[Código],LISTADO_PRODUCTOS[#All],2)</f>
        <v>54717</v>
      </c>
      <c r="C546" s="6" t="str">
        <f>VLOOKUP(TABLA_PRECIOS[Código],LISTADO_PRODUCTOS[#All],3)</f>
        <v xml:space="preserve">OFICINA </v>
      </c>
      <c r="D546" s="6" t="str">
        <f>VLOOKUP(TABLA_PRECIOS[Código],LISTADO_PRODUCTOS[#All],4)</f>
        <v>Broche Doble Clip 40mm/51mm</v>
      </c>
      <c r="E546" s="6" t="str">
        <f>VLOOKUP(TABLA_PRECIOS[Código],LISTADO_PRODUCTOS[#All],5)</f>
        <v>N/A</v>
      </c>
      <c r="F546" s="4">
        <v>1</v>
      </c>
      <c r="G546" s="4">
        <v>1</v>
      </c>
      <c r="H546" s="6">
        <v>1</v>
      </c>
      <c r="I546" s="6"/>
      <c r="J546" s="9"/>
    </row>
    <row r="547" spans="1:10" x14ac:dyDescent="0.3">
      <c r="A547" s="4">
        <v>4068</v>
      </c>
      <c r="B547" s="6">
        <f>VLOOKUP(TABLA_PRECIOS[Código],LISTADO_PRODUCTOS[#All],2)</f>
        <v>54718</v>
      </c>
      <c r="C547" s="6" t="str">
        <f>VLOOKUP(TABLA_PRECIOS[Código],LISTADO_PRODUCTOS[#All],3)</f>
        <v xml:space="preserve">OFICINA </v>
      </c>
      <c r="D547" s="6" t="str">
        <f>VLOOKUP(TABLA_PRECIOS[Código],LISTADO_PRODUCTOS[#All],4)</f>
        <v>Tinta Trabi para pizarra blanca - 7790578034202</v>
      </c>
      <c r="E547" s="6" t="str">
        <f>VLOOKUP(TABLA_PRECIOS[Código],LISTADO_PRODUCTOS[#All],5)</f>
        <v>N/A</v>
      </c>
      <c r="F547" s="4">
        <v>1</v>
      </c>
      <c r="G547" s="4">
        <v>1</v>
      </c>
      <c r="H547" s="6">
        <v>1</v>
      </c>
      <c r="I547" s="6"/>
      <c r="J547" s="9"/>
    </row>
    <row r="548" spans="1:10" x14ac:dyDescent="0.3">
      <c r="A548" s="4">
        <v>4073</v>
      </c>
      <c r="B548" s="6">
        <f>VLOOKUP(TABLA_PRECIOS[Código],LISTADO_PRODUCTOS[#All],2)</f>
        <v>54719</v>
      </c>
      <c r="C548" s="6" t="str">
        <f>VLOOKUP(TABLA_PRECIOS[Código],LISTADO_PRODUCTOS[#All],3)</f>
        <v xml:space="preserve">OFICINA </v>
      </c>
      <c r="D548" s="6" t="str">
        <f>VLOOKUP(TABLA_PRECIOS[Código],LISTADO_PRODUCTOS[#All],4)</f>
        <v>Broche  Maped Nº 24/6 - 26/6 x1000</v>
      </c>
      <c r="E548" s="6" t="str">
        <f>VLOOKUP(TABLA_PRECIOS[Código],LISTADO_PRODUCTOS[#All],5)</f>
        <v>N/A</v>
      </c>
      <c r="F548" s="4">
        <v>1</v>
      </c>
      <c r="G548" s="4">
        <v>1</v>
      </c>
      <c r="H548" s="6">
        <v>1</v>
      </c>
      <c r="I548" s="6"/>
      <c r="J548" s="9"/>
    </row>
    <row r="549" spans="1:10" x14ac:dyDescent="0.3">
      <c r="A549" s="4">
        <v>4075</v>
      </c>
      <c r="B549" s="6">
        <f>VLOOKUP(TABLA_PRECIOS[Código],LISTADO_PRODUCTOS[#All],2)</f>
        <v>54720</v>
      </c>
      <c r="C549" s="6" t="str">
        <f>VLOOKUP(TABLA_PRECIOS[Código],LISTADO_PRODUCTOS[#All],3)</f>
        <v xml:space="preserve">OFICINA </v>
      </c>
      <c r="D549" s="6" t="str">
        <f>VLOOKUP(TABLA_PRECIOS[Código],LISTADO_PRODUCTOS[#All],4)</f>
        <v>Broche 21/6 x 1000</v>
      </c>
      <c r="E549" s="6" t="str">
        <f>VLOOKUP(TABLA_PRECIOS[Código],LISTADO_PRODUCTOS[#All],5)</f>
        <v>N/A</v>
      </c>
      <c r="F549" s="4">
        <v>1</v>
      </c>
      <c r="G549" s="4">
        <v>1</v>
      </c>
      <c r="H549" s="6">
        <v>1</v>
      </c>
      <c r="I549" s="6"/>
      <c r="J549" s="9"/>
    </row>
    <row r="550" spans="1:10" x14ac:dyDescent="0.3">
      <c r="A550" s="4">
        <v>4077</v>
      </c>
      <c r="B550" s="6">
        <f>VLOOKUP(TABLA_PRECIOS[Código],LISTADO_PRODUCTOS[#All],2)</f>
        <v>54721</v>
      </c>
      <c r="C550" s="6" t="str">
        <f>VLOOKUP(TABLA_PRECIOS[Código],LISTADO_PRODUCTOS[#All],3)</f>
        <v xml:space="preserve">OFICINA </v>
      </c>
      <c r="D550" s="6" t="str">
        <f>VLOOKUP(TABLA_PRECIOS[Código],LISTADO_PRODUCTOS[#All],4)</f>
        <v>Broche MIT N°64 x 1000</v>
      </c>
      <c r="E550" s="6" t="str">
        <f>VLOOKUP(TABLA_PRECIOS[Código],LISTADO_PRODUCTOS[#All],5)</f>
        <v>N/A</v>
      </c>
      <c r="F550" s="4">
        <v>1</v>
      </c>
      <c r="G550" s="4">
        <v>1</v>
      </c>
      <c r="H550" s="6">
        <v>1</v>
      </c>
      <c r="I550" s="6"/>
      <c r="J550" s="9"/>
    </row>
    <row r="551" spans="1:10" x14ac:dyDescent="0.3">
      <c r="A551" s="4">
        <v>4078</v>
      </c>
      <c r="B551" s="6">
        <f>VLOOKUP(TABLA_PRECIOS[Código],LISTADO_PRODUCTOS[#All],2)</f>
        <v>54722</v>
      </c>
      <c r="C551" s="6" t="str">
        <f>VLOOKUP(TABLA_PRECIOS[Código],LISTADO_PRODUCTOS[#All],3)</f>
        <v xml:space="preserve">OFICINA </v>
      </c>
      <c r="D551" s="6" t="str">
        <f>VLOOKUP(TABLA_PRECIOS[Código],LISTADO_PRODUCTOS[#All],4)</f>
        <v>Broche 50 x 1000 MIT</v>
      </c>
      <c r="E551" s="6" t="str">
        <f>VLOOKUP(TABLA_PRECIOS[Código],LISTADO_PRODUCTOS[#All],5)</f>
        <v>N/A</v>
      </c>
      <c r="F551" s="4">
        <v>1</v>
      </c>
      <c r="G551" s="4">
        <v>1</v>
      </c>
      <c r="H551" s="6">
        <v>1</v>
      </c>
      <c r="I551" s="6"/>
      <c r="J551" s="9"/>
    </row>
    <row r="552" spans="1:10" x14ac:dyDescent="0.3">
      <c r="A552" s="4">
        <v>4080</v>
      </c>
      <c r="B552" s="6">
        <f>VLOOKUP(TABLA_PRECIOS[Código],LISTADO_PRODUCTOS[#All],2)</f>
        <v>54723</v>
      </c>
      <c r="C552" s="6" t="str">
        <f>VLOOKUP(TABLA_PRECIOS[Código],LISTADO_PRODUCTOS[#All],3)</f>
        <v xml:space="preserve">OFICINA </v>
      </c>
      <c r="D552" s="6" t="str">
        <f>VLOOKUP(TABLA_PRECIOS[Código],LISTADO_PRODUCTOS[#All],4)</f>
        <v>Broche Mit Nº10 x 1000</v>
      </c>
      <c r="E552" s="6" t="str">
        <f>VLOOKUP(TABLA_PRECIOS[Código],LISTADO_PRODUCTOS[#All],5)</f>
        <v>N/A</v>
      </c>
      <c r="F552" s="4">
        <v>1</v>
      </c>
      <c r="G552" s="4">
        <v>1</v>
      </c>
      <c r="H552" s="6">
        <v>1</v>
      </c>
      <c r="I552" s="6"/>
      <c r="J552" s="9"/>
    </row>
    <row r="553" spans="1:10" x14ac:dyDescent="0.3">
      <c r="A553" s="4">
        <v>4082</v>
      </c>
      <c r="B553" s="6">
        <f>VLOOKUP(TABLA_PRECIOS[Código],LISTADO_PRODUCTOS[#All],2)</f>
        <v>54724</v>
      </c>
      <c r="C553" s="6" t="str">
        <f>VLOOKUP(TABLA_PRECIOS[Código],LISTADO_PRODUCTOS[#All],3)</f>
        <v xml:space="preserve">OFICINA </v>
      </c>
      <c r="D553" s="6" t="str">
        <f>VLOOKUP(TABLA_PRECIOS[Código],LISTADO_PRODUCTOS[#All],4)</f>
        <v xml:space="preserve">Bibliorato color </v>
      </c>
      <c r="E553" s="6" t="str">
        <f>VLOOKUP(TABLA_PRECIOS[Código],LISTADO_PRODUCTOS[#All],5)</f>
        <v>N/A</v>
      </c>
      <c r="F553" s="4">
        <v>1</v>
      </c>
      <c r="G553" s="4">
        <v>1</v>
      </c>
      <c r="H553" s="6">
        <v>1</v>
      </c>
      <c r="I553" s="6"/>
      <c r="J553" s="9"/>
    </row>
    <row r="554" spans="1:10" x14ac:dyDescent="0.3">
      <c r="A554" s="4">
        <v>4083</v>
      </c>
      <c r="B554" s="6">
        <f>VLOOKUP(TABLA_PRECIOS[Código],LISTADO_PRODUCTOS[#All],2)</f>
        <v>54725</v>
      </c>
      <c r="C554" s="6" t="str">
        <f>VLOOKUP(TABLA_PRECIOS[Código],LISTADO_PRODUCTOS[#All],3)</f>
        <v xml:space="preserve">OFICINA </v>
      </c>
      <c r="D554" s="6" t="str">
        <f>VLOOKUP(TABLA_PRECIOS[Código],LISTADO_PRODUCTOS[#All],4)</f>
        <v>Bilbliorato color A4 lomo Ancho</v>
      </c>
      <c r="E554" s="6" t="str">
        <f>VLOOKUP(TABLA_PRECIOS[Código],LISTADO_PRODUCTOS[#All],5)</f>
        <v>N/A</v>
      </c>
      <c r="F554" s="4">
        <v>1</v>
      </c>
      <c r="G554" s="4">
        <v>1</v>
      </c>
      <c r="H554" s="6">
        <v>1</v>
      </c>
      <c r="I554" s="6"/>
      <c r="J554" s="9"/>
    </row>
    <row r="555" spans="1:10" x14ac:dyDescent="0.3">
      <c r="A555" s="4">
        <v>4084</v>
      </c>
      <c r="B555" s="6">
        <f>VLOOKUP(TABLA_PRECIOS[Código],LISTADO_PRODUCTOS[#All],2)</f>
        <v>54726</v>
      </c>
      <c r="C555" s="6" t="str">
        <f>VLOOKUP(TABLA_PRECIOS[Código],LISTADO_PRODUCTOS[#All],3)</f>
        <v xml:space="preserve">OFICINA </v>
      </c>
      <c r="D555" s="6" t="str">
        <f>VLOOKUP(TABLA_PRECIOS[Código],LISTADO_PRODUCTOS[#All],4)</f>
        <v>Bibliorato Color Oficio Lomo Angosto</v>
      </c>
      <c r="E555" s="6" t="str">
        <f>VLOOKUP(TABLA_PRECIOS[Código],LISTADO_PRODUCTOS[#All],5)</f>
        <v>N/A</v>
      </c>
      <c r="F555" s="4">
        <v>1</v>
      </c>
      <c r="G555" s="4">
        <v>1</v>
      </c>
      <c r="H555" s="6">
        <v>1</v>
      </c>
      <c r="I555" s="6"/>
      <c r="J555" s="9"/>
    </row>
    <row r="556" spans="1:10" x14ac:dyDescent="0.3">
      <c r="A556" s="4">
        <v>4085</v>
      </c>
      <c r="B556" s="6">
        <f>VLOOKUP(TABLA_PRECIOS[Código],LISTADO_PRODUCTOS[#All],2)</f>
        <v>54727</v>
      </c>
      <c r="C556" s="6" t="str">
        <f>VLOOKUP(TABLA_PRECIOS[Código],LISTADO_PRODUCTOS[#All],3)</f>
        <v xml:space="preserve">OFICINA </v>
      </c>
      <c r="D556" s="6" t="str">
        <f>VLOOKUP(TABLA_PRECIOS[Código],LISTADO_PRODUCTOS[#All],4)</f>
        <v>Bibliorato Color Oficio Lomo Ancho</v>
      </c>
      <c r="E556" s="6" t="str">
        <f>VLOOKUP(TABLA_PRECIOS[Código],LISTADO_PRODUCTOS[#All],5)</f>
        <v>N/A</v>
      </c>
      <c r="F556" s="4">
        <v>1</v>
      </c>
      <c r="G556" s="4">
        <v>1</v>
      </c>
      <c r="H556" s="6">
        <v>1</v>
      </c>
      <c r="I556" s="6"/>
      <c r="J556" s="9"/>
    </row>
    <row r="557" spans="1:10" x14ac:dyDescent="0.3">
      <c r="A557" s="4">
        <v>4086</v>
      </c>
      <c r="B557" s="6">
        <f>VLOOKUP(TABLA_PRECIOS[Código],LISTADO_PRODUCTOS[#All],2)</f>
        <v>54728</v>
      </c>
      <c r="C557" s="6" t="str">
        <f>VLOOKUP(TABLA_PRECIOS[Código],LISTADO_PRODUCTOS[#All],3)</f>
        <v xml:space="preserve">OFICINA </v>
      </c>
      <c r="D557" s="6" t="str">
        <f>VLOOKUP(TABLA_PRECIOS[Código],LISTADO_PRODUCTOS[#All],4)</f>
        <v>Bibliorato Marmolado A4</v>
      </c>
      <c r="E557" s="6" t="str">
        <f>VLOOKUP(TABLA_PRECIOS[Código],LISTADO_PRODUCTOS[#All],5)</f>
        <v>N/A</v>
      </c>
      <c r="F557" s="4">
        <v>1</v>
      </c>
      <c r="G557" s="4">
        <v>1</v>
      </c>
      <c r="H557" s="6">
        <v>1</v>
      </c>
      <c r="I557" s="6"/>
      <c r="J557" s="9"/>
    </row>
    <row r="558" spans="1:10" x14ac:dyDescent="0.3">
      <c r="A558" s="4">
        <v>4087</v>
      </c>
      <c r="B558" s="6">
        <f>VLOOKUP(TABLA_PRECIOS[Código],LISTADO_PRODUCTOS[#All],2)</f>
        <v>54729</v>
      </c>
      <c r="C558" s="6" t="str">
        <f>VLOOKUP(TABLA_PRECIOS[Código],LISTADO_PRODUCTOS[#All],3)</f>
        <v xml:space="preserve">OFICINA </v>
      </c>
      <c r="D558" s="6" t="str">
        <f>VLOOKUP(TABLA_PRECIOS[Código],LISTADO_PRODUCTOS[#All],4)</f>
        <v>Bibliorato Marmolado Oficio</v>
      </c>
      <c r="E558" s="6" t="str">
        <f>VLOOKUP(TABLA_PRECIOS[Código],LISTADO_PRODUCTOS[#All],5)</f>
        <v>N/A</v>
      </c>
      <c r="F558" s="4">
        <v>1</v>
      </c>
      <c r="G558" s="4">
        <v>1</v>
      </c>
      <c r="H558" s="6">
        <v>1</v>
      </c>
      <c r="I558" s="6"/>
      <c r="J558" s="9"/>
    </row>
    <row r="559" spans="1:10" x14ac:dyDescent="0.3">
      <c r="A559" s="4">
        <v>4088</v>
      </c>
      <c r="B559" s="6">
        <f>VLOOKUP(TABLA_PRECIOS[Código],LISTADO_PRODUCTOS[#All],2)</f>
        <v>54730</v>
      </c>
      <c r="C559" s="6" t="str">
        <f>VLOOKUP(TABLA_PRECIOS[Código],LISTADO_PRODUCTOS[#All],3)</f>
        <v xml:space="preserve">OFICINA </v>
      </c>
      <c r="D559" s="6" t="str">
        <f>VLOOKUP(TABLA_PRECIOS[Código],LISTADO_PRODUCTOS[#All],4)</f>
        <v>Papel Carbonico Pelikan x u</v>
      </c>
      <c r="E559" s="6" t="str">
        <f>VLOOKUP(TABLA_PRECIOS[Código],LISTADO_PRODUCTOS[#All],5)</f>
        <v>N/A</v>
      </c>
      <c r="F559" s="4">
        <v>1</v>
      </c>
      <c r="G559" s="4">
        <v>1</v>
      </c>
      <c r="H559" s="6">
        <v>1</v>
      </c>
      <c r="I559" s="6"/>
      <c r="J559" s="9"/>
    </row>
    <row r="560" spans="1:10" x14ac:dyDescent="0.3">
      <c r="A560" s="4">
        <v>4089</v>
      </c>
      <c r="B560" s="6">
        <f>VLOOKUP(TABLA_PRECIOS[Código],LISTADO_PRODUCTOS[#All],2)</f>
        <v>54731</v>
      </c>
      <c r="C560" s="6" t="str">
        <f>VLOOKUP(TABLA_PRECIOS[Código],LISTADO_PRODUCTOS[#All],3)</f>
        <v xml:space="preserve">OFICINA </v>
      </c>
      <c r="D560" s="6" t="str">
        <f>VLOOKUP(TABLA_PRECIOS[Código],LISTADO_PRODUCTOS[#All],4)</f>
        <v>Papel Carbonico Coxi x u</v>
      </c>
      <c r="E560" s="6" t="str">
        <f>VLOOKUP(TABLA_PRECIOS[Código],LISTADO_PRODUCTOS[#All],5)</f>
        <v>N/A</v>
      </c>
      <c r="F560" s="4">
        <v>1</v>
      </c>
      <c r="G560" s="4">
        <v>1</v>
      </c>
      <c r="H560" s="6">
        <v>1</v>
      </c>
      <c r="I560" s="6"/>
      <c r="J560" s="9"/>
    </row>
    <row r="561" spans="1:10" x14ac:dyDescent="0.3">
      <c r="A561" s="4">
        <v>4090</v>
      </c>
      <c r="B561" s="6">
        <f>VLOOKUP(TABLA_PRECIOS[Código],LISTADO_PRODUCTOS[#All],2)</f>
        <v>54732</v>
      </c>
      <c r="C561" s="6" t="str">
        <f>VLOOKUP(TABLA_PRECIOS[Código],LISTADO_PRODUCTOS[#All],3)</f>
        <v xml:space="preserve">OFICINA </v>
      </c>
      <c r="D561" s="6" t="str">
        <f>VLOOKUP(TABLA_PRECIOS[Código],LISTADO_PRODUCTOS[#All],4)</f>
        <v>Caja Archivo plastica grande c/tapa</v>
      </c>
      <c r="E561" s="6" t="str">
        <f>VLOOKUP(TABLA_PRECIOS[Código],LISTADO_PRODUCTOS[#All],5)</f>
        <v>N/A</v>
      </c>
      <c r="F561" s="4">
        <v>1</v>
      </c>
      <c r="G561" s="4">
        <v>1</v>
      </c>
      <c r="H561" s="6">
        <v>1</v>
      </c>
      <c r="I561" s="6"/>
      <c r="J561" s="9"/>
    </row>
    <row r="562" spans="1:10" x14ac:dyDescent="0.3">
      <c r="A562" s="4">
        <v>4092</v>
      </c>
      <c r="B562" s="6">
        <f>VLOOKUP(TABLA_PRECIOS[Código],LISTADO_PRODUCTOS[#All],2)</f>
        <v>54733</v>
      </c>
      <c r="C562" s="6" t="str">
        <f>VLOOKUP(TABLA_PRECIOS[Código],LISTADO_PRODUCTOS[#All],3)</f>
        <v xml:space="preserve">OFICINA </v>
      </c>
      <c r="D562" s="6" t="str">
        <f>VLOOKUP(TABLA_PRECIOS[Código],LISTADO_PRODUCTOS[#All],4)</f>
        <v>Marcador Bic Marking Pizarra</v>
      </c>
      <c r="E562" s="6" t="str">
        <f>VLOOKUP(TABLA_PRECIOS[Código],LISTADO_PRODUCTOS[#All],5)</f>
        <v>N/A</v>
      </c>
      <c r="F562" s="4">
        <v>1</v>
      </c>
      <c r="G562" s="4">
        <v>1</v>
      </c>
      <c r="H562" s="6">
        <v>1</v>
      </c>
      <c r="I562" s="6"/>
      <c r="J562" s="9"/>
    </row>
    <row r="563" spans="1:10" x14ac:dyDescent="0.3">
      <c r="A563" s="4">
        <v>4094</v>
      </c>
      <c r="B563" s="6">
        <f>VLOOKUP(TABLA_PRECIOS[Código],LISTADO_PRODUCTOS[#All],2)</f>
        <v>54734</v>
      </c>
      <c r="C563" s="6" t="str">
        <f>VLOOKUP(TABLA_PRECIOS[Código],LISTADO_PRODUCTOS[#All],3)</f>
        <v xml:space="preserve">OFICINA </v>
      </c>
      <c r="D563" s="6" t="str">
        <f>VLOOKUP(TABLA_PRECIOS[Código],LISTADO_PRODUCTOS[#All],4)</f>
        <v>Talonario Neutro duplicado Alianza - Grande</v>
      </c>
      <c r="E563" s="6" t="str">
        <f>VLOOKUP(TABLA_PRECIOS[Código],LISTADO_PRODUCTOS[#All],5)</f>
        <v>N/A</v>
      </c>
      <c r="F563" s="4">
        <v>1</v>
      </c>
      <c r="G563" s="4">
        <v>1</v>
      </c>
      <c r="H563" s="6">
        <v>1</v>
      </c>
      <c r="I563" s="6"/>
      <c r="J563" s="9"/>
    </row>
    <row r="564" spans="1:10" x14ac:dyDescent="0.3">
      <c r="A564" s="4">
        <v>4095</v>
      </c>
      <c r="B564" s="6">
        <f>VLOOKUP(TABLA_PRECIOS[Código],LISTADO_PRODUCTOS[#All],2)</f>
        <v>54735</v>
      </c>
      <c r="C564" s="6" t="str">
        <f>VLOOKUP(TABLA_PRECIOS[Código],LISTADO_PRODUCTOS[#All],3)</f>
        <v xml:space="preserve">OFICINA </v>
      </c>
      <c r="D564" s="6" t="str">
        <f>VLOOKUP(TABLA_PRECIOS[Código],LISTADO_PRODUCTOS[#All],4)</f>
        <v>Broche Kangaroo/buffalo Nº10 - 793600660100</v>
      </c>
      <c r="E564" s="6" t="str">
        <f>VLOOKUP(TABLA_PRECIOS[Código],LISTADO_PRODUCTOS[#All],5)</f>
        <v>N/A</v>
      </c>
      <c r="F564" s="4">
        <v>1</v>
      </c>
      <c r="G564" s="4">
        <v>1</v>
      </c>
      <c r="H564" s="6">
        <v>1</v>
      </c>
      <c r="I564" s="6"/>
      <c r="J564" s="9"/>
    </row>
    <row r="565" spans="1:10" x14ac:dyDescent="0.3">
      <c r="A565" s="4">
        <v>4096</v>
      </c>
      <c r="B565" s="6">
        <f>VLOOKUP(TABLA_PRECIOS[Código],LISTADO_PRODUCTOS[#All],2)</f>
        <v>54736</v>
      </c>
      <c r="C565" s="6" t="str">
        <f>VLOOKUP(TABLA_PRECIOS[Código],LISTADO_PRODUCTOS[#All],3)</f>
        <v xml:space="preserve">OFICINA </v>
      </c>
      <c r="D565" s="6" t="str">
        <f>VLOOKUP(TABLA_PRECIOS[Código],LISTADO_PRODUCTOS[#All],4)</f>
        <v>Talonario contado Husares N 1831</v>
      </c>
      <c r="E565" s="6" t="str">
        <f>VLOOKUP(TABLA_PRECIOS[Código],LISTADO_PRODUCTOS[#All],5)</f>
        <v>N/A</v>
      </c>
      <c r="F565" s="4">
        <v>1</v>
      </c>
      <c r="G565" s="4">
        <v>1</v>
      </c>
      <c r="H565" s="6">
        <v>1</v>
      </c>
      <c r="I565" s="6"/>
      <c r="J565" s="9"/>
    </row>
    <row r="566" spans="1:10" x14ac:dyDescent="0.3">
      <c r="A566" s="4">
        <v>4097</v>
      </c>
      <c r="B566" s="6">
        <f>VLOOKUP(TABLA_PRECIOS[Código],LISTADO_PRODUCTOS[#All],2)</f>
        <v>54737</v>
      </c>
      <c r="C566" s="6" t="str">
        <f>VLOOKUP(TABLA_PRECIOS[Código],LISTADO_PRODUCTOS[#All],3)</f>
        <v xml:space="preserve">OFICINA </v>
      </c>
      <c r="D566" s="6" t="str">
        <f>VLOOKUP(TABLA_PRECIOS[Código],LISTADO_PRODUCTOS[#All],4)</f>
        <v>Talonario Husares duplicado multiuso N1929</v>
      </c>
      <c r="E566" s="6" t="str">
        <f>VLOOKUP(TABLA_PRECIOS[Código],LISTADO_PRODUCTOS[#All],5)</f>
        <v>N/A</v>
      </c>
      <c r="F566" s="4">
        <v>1</v>
      </c>
      <c r="G566" s="4">
        <v>1</v>
      </c>
      <c r="H566" s="6">
        <v>1</v>
      </c>
      <c r="I566" s="6"/>
      <c r="J566" s="9"/>
    </row>
    <row r="567" spans="1:10" x14ac:dyDescent="0.3">
      <c r="A567" s="4">
        <v>4098</v>
      </c>
      <c r="B567" s="6">
        <f>VLOOKUP(TABLA_PRECIOS[Código],LISTADO_PRODUCTOS[#All],2)</f>
        <v>54738</v>
      </c>
      <c r="C567" s="6" t="str">
        <f>VLOOKUP(TABLA_PRECIOS[Código],LISTADO_PRODUCTOS[#All],3)</f>
        <v xml:space="preserve">OFICINA </v>
      </c>
      <c r="D567" s="6" t="str">
        <f>VLOOKUP(TABLA_PRECIOS[Código],LISTADO_PRODUCTOS[#All],4)</f>
        <v>Banda elasticas Flexiband x 50gr</v>
      </c>
      <c r="E567" s="6" t="str">
        <f>VLOOKUP(TABLA_PRECIOS[Código],LISTADO_PRODUCTOS[#All],5)</f>
        <v>N/A</v>
      </c>
      <c r="F567" s="4">
        <v>1</v>
      </c>
      <c r="G567" s="4">
        <v>1</v>
      </c>
      <c r="H567" s="6">
        <v>1</v>
      </c>
      <c r="I567" s="6"/>
      <c r="J567" s="9"/>
    </row>
    <row r="568" spans="1:10" x14ac:dyDescent="0.3">
      <c r="A568" s="4">
        <v>4101</v>
      </c>
      <c r="B568" s="6">
        <f>VLOOKUP(TABLA_PRECIOS[Código],LISTADO_PRODUCTOS[#All],2)</f>
        <v>54739</v>
      </c>
      <c r="C568" s="6" t="str">
        <f>VLOOKUP(TABLA_PRECIOS[Código],LISTADO_PRODUCTOS[#All],3)</f>
        <v xml:space="preserve">OFICINA </v>
      </c>
      <c r="D568" s="6" t="str">
        <f>VLOOKUP(TABLA_PRECIOS[Código],LISTADO_PRODUCTOS[#All],4)</f>
        <v>Folio Oficio Micro/LUMA x100 x bolsa completa $2750 - 7796893002148</v>
      </c>
      <c r="E568" s="6" t="str">
        <f>VLOOKUP(TABLA_PRECIOS[Código],LISTADO_PRODUCTOS[#All],5)</f>
        <v>N/A</v>
      </c>
      <c r="F568" s="4">
        <v>1</v>
      </c>
      <c r="G568" s="4">
        <v>1</v>
      </c>
      <c r="H568" s="6">
        <v>1</v>
      </c>
      <c r="I568" s="6"/>
      <c r="J568" s="9"/>
    </row>
    <row r="569" spans="1:10" x14ac:dyDescent="0.3">
      <c r="A569" s="4">
        <v>4102</v>
      </c>
      <c r="B569" s="6">
        <f>VLOOKUP(TABLA_PRECIOS[Código],LISTADO_PRODUCTOS[#All],2)</f>
        <v>54740</v>
      </c>
      <c r="C569" s="6" t="str">
        <f>VLOOKUP(TABLA_PRECIOS[Código],LISTADO_PRODUCTOS[#All],3)</f>
        <v xml:space="preserve">OFICINA </v>
      </c>
      <c r="D569" s="6" t="str">
        <f>VLOOKUP(TABLA_PRECIOS[Código],LISTADO_PRODUCTOS[#All],4)</f>
        <v>Folio A4 Micro/LUMA x100 x bolsa completa $2300- 7796893002124</v>
      </c>
      <c r="E569" s="6" t="str">
        <f>VLOOKUP(TABLA_PRECIOS[Código],LISTADO_PRODUCTOS[#All],5)</f>
        <v>N/A</v>
      </c>
      <c r="F569" s="4">
        <v>1</v>
      </c>
      <c r="G569" s="4">
        <v>1</v>
      </c>
      <c r="H569" s="6">
        <v>1</v>
      </c>
      <c r="I569" s="6"/>
      <c r="J569" s="9"/>
    </row>
    <row r="570" spans="1:10" x14ac:dyDescent="0.3">
      <c r="A570" s="4">
        <v>4105</v>
      </c>
      <c r="B570" s="6">
        <f>VLOOKUP(TABLA_PRECIOS[Código],LISTADO_PRODUCTOS[#All],2)</f>
        <v>54741</v>
      </c>
      <c r="C570" s="6" t="str">
        <f>VLOOKUP(TABLA_PRECIOS[Código],LISTADO_PRODUCTOS[#All],3)</f>
        <v xml:space="preserve">OFICINA </v>
      </c>
      <c r="D570" s="6" t="str">
        <f>VLOOKUP(TABLA_PRECIOS[Código],LISTADO_PRODUCTOS[#All],4)</f>
        <v>Folio Nº3 Luma/Liggo Comun x100 - Pack $1260</v>
      </c>
      <c r="E570" s="6" t="str">
        <f>VLOOKUP(TABLA_PRECIOS[Código],LISTADO_PRODUCTOS[#All],5)</f>
        <v>N/A</v>
      </c>
      <c r="F570" s="4">
        <v>1</v>
      </c>
      <c r="G570" s="4">
        <v>1</v>
      </c>
      <c r="H570" s="6">
        <v>1</v>
      </c>
      <c r="I570" s="6"/>
      <c r="J570" s="9"/>
    </row>
    <row r="571" spans="1:10" x14ac:dyDescent="0.3">
      <c r="A571" s="4">
        <v>4108</v>
      </c>
      <c r="B571" s="6">
        <f>VLOOKUP(TABLA_PRECIOS[Código],LISTADO_PRODUCTOS[#All],2)</f>
        <v>54742</v>
      </c>
      <c r="C571" s="6" t="str">
        <f>VLOOKUP(TABLA_PRECIOS[Código],LISTADO_PRODUCTOS[#All],3)</f>
        <v xml:space="preserve">OFICINA </v>
      </c>
      <c r="D571" s="6" t="str">
        <f>VLOOKUP(TABLA_PRECIOS[Código],LISTADO_PRODUCTOS[#All],4)</f>
        <v>Broche GRAP N°65 x 1000u</v>
      </c>
      <c r="E571" s="6" t="str">
        <f>VLOOKUP(TABLA_PRECIOS[Código],LISTADO_PRODUCTOS[#All],5)</f>
        <v>N/A</v>
      </c>
      <c r="F571" s="4">
        <v>1</v>
      </c>
      <c r="G571" s="4">
        <v>1</v>
      </c>
      <c r="H571" s="6">
        <v>1</v>
      </c>
      <c r="I571" s="6"/>
      <c r="J571" s="9"/>
    </row>
    <row r="572" spans="1:10" x14ac:dyDescent="0.3">
      <c r="A572" s="4">
        <v>4109</v>
      </c>
      <c r="B572" s="6">
        <f>VLOOKUP(TABLA_PRECIOS[Código],LISTADO_PRODUCTOS[#All],2)</f>
        <v>54743</v>
      </c>
      <c r="C572" s="6" t="str">
        <f>VLOOKUP(TABLA_PRECIOS[Código],LISTADO_PRODUCTOS[#All],3)</f>
        <v xml:space="preserve">OFICINA </v>
      </c>
      <c r="D572" s="6" t="str">
        <f>VLOOKUP(TABLA_PRECIOS[Código],LISTADO_PRODUCTOS[#All],4)</f>
        <v>Chinche dorado Sifap</v>
      </c>
      <c r="E572" s="6" t="str">
        <f>VLOOKUP(TABLA_PRECIOS[Código],LISTADO_PRODUCTOS[#All],5)</f>
        <v>N/A</v>
      </c>
      <c r="F572" s="4">
        <v>1</v>
      </c>
      <c r="G572" s="4">
        <v>1</v>
      </c>
      <c r="H572" s="6">
        <v>1</v>
      </c>
      <c r="I572" s="6"/>
      <c r="J572" s="9"/>
    </row>
    <row r="573" spans="1:10" x14ac:dyDescent="0.3">
      <c r="A573" s="4">
        <v>4127</v>
      </c>
      <c r="B573" s="6">
        <f>VLOOKUP(TABLA_PRECIOS[Código],LISTADO_PRODUCTOS[#All],2)</f>
        <v>54749</v>
      </c>
      <c r="C573" s="6" t="str">
        <f>VLOOKUP(TABLA_PRECIOS[Código],LISTADO_PRODUCTOS[#All],3)</f>
        <v xml:space="preserve">OFICINA </v>
      </c>
      <c r="D573" s="6" t="str">
        <f>VLOOKUP(TABLA_PRECIOS[Código],LISTADO_PRODUCTOS[#All],4)</f>
        <v>Alfiler SIFAP CX 50gr</v>
      </c>
      <c r="E573" s="6" t="str">
        <f>VLOOKUP(TABLA_PRECIOS[Código],LISTADO_PRODUCTOS[#All],5)</f>
        <v>N/A</v>
      </c>
      <c r="F573" s="4">
        <v>1</v>
      </c>
      <c r="G573" s="4">
        <v>1</v>
      </c>
      <c r="H573" s="6">
        <v>1</v>
      </c>
      <c r="I573" s="6"/>
      <c r="J573" s="9"/>
    </row>
    <row r="574" spans="1:10" x14ac:dyDescent="0.3">
      <c r="A574" s="4">
        <v>4129</v>
      </c>
      <c r="B574" s="6">
        <f>VLOOKUP(TABLA_PRECIOS[Código],LISTADO_PRODUCTOS[#All],2)</f>
        <v>54749</v>
      </c>
      <c r="C574" s="6" t="str">
        <f>VLOOKUP(TABLA_PRECIOS[Código],LISTADO_PRODUCTOS[#All],3)</f>
        <v xml:space="preserve">OFICINA </v>
      </c>
      <c r="D574" s="6" t="str">
        <f>VLOOKUP(TABLA_PRECIOS[Código],LISTADO_PRODUCTOS[#All],4)</f>
        <v>Alfiler SIFAP CX 50gr</v>
      </c>
      <c r="E574" s="6" t="str">
        <f>VLOOKUP(TABLA_PRECIOS[Código],LISTADO_PRODUCTOS[#All],5)</f>
        <v>N/A</v>
      </c>
      <c r="F574" s="4">
        <v>1</v>
      </c>
      <c r="G574" s="4">
        <v>1</v>
      </c>
      <c r="H574" s="6">
        <v>1</v>
      </c>
      <c r="I574" s="6"/>
      <c r="J574" s="9"/>
    </row>
    <row r="575" spans="1:10" x14ac:dyDescent="0.3">
      <c r="A575" s="4">
        <v>4133</v>
      </c>
      <c r="B575" s="6">
        <f>VLOOKUP(TABLA_PRECIOS[Código],LISTADO_PRODUCTOS[#All],2)</f>
        <v>54749</v>
      </c>
      <c r="C575" s="6" t="str">
        <f>VLOOKUP(TABLA_PRECIOS[Código],LISTADO_PRODUCTOS[#All],3)</f>
        <v xml:space="preserve">OFICINA </v>
      </c>
      <c r="D575" s="6" t="str">
        <f>VLOOKUP(TABLA_PRECIOS[Código],LISTADO_PRODUCTOS[#All],4)</f>
        <v>Alfiler SIFAP CX 50gr</v>
      </c>
      <c r="E575" s="6" t="str">
        <f>VLOOKUP(TABLA_PRECIOS[Código],LISTADO_PRODUCTOS[#All],5)</f>
        <v>N/A</v>
      </c>
      <c r="F575" s="4">
        <v>1</v>
      </c>
      <c r="G575" s="4">
        <v>1</v>
      </c>
      <c r="H575" s="6">
        <v>1</v>
      </c>
      <c r="I575" s="6"/>
      <c r="J575" s="9"/>
    </row>
    <row r="576" spans="1:10" x14ac:dyDescent="0.3">
      <c r="A576" s="4">
        <v>4207</v>
      </c>
      <c r="B576" s="6">
        <f>VLOOKUP(TABLA_PRECIOS[Código],LISTADO_PRODUCTOS[#All],2)</f>
        <v>54763</v>
      </c>
      <c r="C576" s="6" t="str">
        <f>VLOOKUP(TABLA_PRECIOS[Código],LISTADO_PRODUCTOS[#All],3)</f>
        <v xml:space="preserve">OFICINA </v>
      </c>
      <c r="D576" s="6" t="str">
        <f>VLOOKUP(TABLA_PRECIOS[Código],LISTADO_PRODUCTOS[#All],4)</f>
        <v>Libro de Actas Potosi 2 manos Clochet</v>
      </c>
      <c r="E576" s="6" t="str">
        <f>VLOOKUP(TABLA_PRECIOS[Código],LISTADO_PRODUCTOS[#All],5)</f>
        <v>N/A</v>
      </c>
      <c r="F576" s="4">
        <v>1</v>
      </c>
      <c r="G576" s="4">
        <v>1</v>
      </c>
      <c r="H576" s="6">
        <v>1</v>
      </c>
      <c r="I576" s="6"/>
      <c r="J576" s="9"/>
    </row>
    <row r="577" spans="1:10" x14ac:dyDescent="0.3">
      <c r="A577" s="4">
        <v>4117</v>
      </c>
      <c r="B577" s="6">
        <f>VLOOKUP(TABLA_PRECIOS[Código],LISTADO_PRODUCTOS[#All],2)</f>
        <v>54748</v>
      </c>
      <c r="C577" s="6" t="str">
        <f>VLOOKUP(TABLA_PRECIOS[Código],LISTADO_PRODUCTOS[#All],3)</f>
        <v xml:space="preserve">OFICINA </v>
      </c>
      <c r="D577" s="6" t="str">
        <f>VLOOKUP(TABLA_PRECIOS[Código],LISTADO_PRODUCTOS[#All],4)</f>
        <v>Carpeta Foliada x20 f util-off/display - 7794765003668</v>
      </c>
      <c r="E577" s="6" t="str">
        <f>VLOOKUP(TABLA_PRECIOS[Código],LISTADO_PRODUCTOS[#All],5)</f>
        <v>N/A</v>
      </c>
      <c r="F577" s="4">
        <v>1</v>
      </c>
      <c r="G577" s="4">
        <v>1</v>
      </c>
      <c r="H577" s="6">
        <v>1</v>
      </c>
      <c r="I577" s="6"/>
      <c r="J577" s="9"/>
    </row>
    <row r="578" spans="1:10" x14ac:dyDescent="0.3">
      <c r="A578" s="4">
        <v>4120</v>
      </c>
      <c r="B578" s="6">
        <f>VLOOKUP(TABLA_PRECIOS[Código],LISTADO_PRODUCTOS[#All],2)</f>
        <v>54749</v>
      </c>
      <c r="C578" s="6" t="str">
        <f>VLOOKUP(TABLA_PRECIOS[Código],LISTADO_PRODUCTOS[#All],3)</f>
        <v xml:space="preserve">OFICINA </v>
      </c>
      <c r="D578" s="6" t="str">
        <f>VLOOKUP(TABLA_PRECIOS[Código],LISTADO_PRODUCTOS[#All],4)</f>
        <v>Alfiler SIFAP CX 50gr</v>
      </c>
      <c r="E578" s="6" t="str">
        <f>VLOOKUP(TABLA_PRECIOS[Código],LISTADO_PRODUCTOS[#All],5)</f>
        <v>N/A</v>
      </c>
      <c r="F578" s="4">
        <v>1</v>
      </c>
      <c r="G578" s="4">
        <v>1</v>
      </c>
      <c r="H578" s="6">
        <v>1</v>
      </c>
      <c r="I578" s="6"/>
      <c r="J578" s="9"/>
    </row>
    <row r="579" spans="1:10" x14ac:dyDescent="0.3">
      <c r="A579" s="4">
        <v>4143</v>
      </c>
      <c r="B579" s="6">
        <f>VLOOKUP(TABLA_PRECIOS[Código],LISTADO_PRODUCTOS[#All],2)</f>
        <v>54750</v>
      </c>
      <c r="C579" s="6" t="str">
        <f>VLOOKUP(TABLA_PRECIOS[Código],LISTADO_PRODUCTOS[#All],3)</f>
        <v xml:space="preserve">OFICINA </v>
      </c>
      <c r="D579" s="6" t="str">
        <f>VLOOKUP(TABLA_PRECIOS[Código],LISTADO_PRODUCTOS[#All],4)</f>
        <v>Rollo Motex Blanco P/maquina</v>
      </c>
      <c r="E579" s="6" t="str">
        <f>VLOOKUP(TABLA_PRECIOS[Código],LISTADO_PRODUCTOS[#All],5)</f>
        <v>N/A</v>
      </c>
      <c r="F579" s="4">
        <v>1</v>
      </c>
      <c r="G579" s="4">
        <v>1</v>
      </c>
      <c r="H579" s="6">
        <v>1</v>
      </c>
      <c r="I579" s="6"/>
      <c r="J579" s="9"/>
    </row>
    <row r="580" spans="1:10" x14ac:dyDescent="0.3">
      <c r="A580" s="4">
        <v>4146</v>
      </c>
      <c r="B580" s="6">
        <f>VLOOKUP(TABLA_PRECIOS[Código],LISTADO_PRODUCTOS[#All],2)</f>
        <v>54751</v>
      </c>
      <c r="C580" s="6" t="str">
        <f>VLOOKUP(TABLA_PRECIOS[Código],LISTADO_PRODUCTOS[#All],3)</f>
        <v xml:space="preserve">OFICINA </v>
      </c>
      <c r="D580" s="6" t="str">
        <f>VLOOKUP(TABLA_PRECIOS[Código],LISTADO_PRODUCTOS[#All],4)</f>
        <v>Fichero Metallico Nº2 300 fichas</v>
      </c>
      <c r="E580" s="6" t="str">
        <f>VLOOKUP(TABLA_PRECIOS[Código],LISTADO_PRODUCTOS[#All],5)</f>
        <v>N/A</v>
      </c>
      <c r="F580" s="4">
        <v>1</v>
      </c>
      <c r="G580" s="4">
        <v>1</v>
      </c>
      <c r="H580" s="6">
        <v>1</v>
      </c>
      <c r="I580" s="6"/>
      <c r="J580" s="9"/>
    </row>
    <row r="581" spans="1:10" x14ac:dyDescent="0.3">
      <c r="A581" s="4">
        <v>4147</v>
      </c>
      <c r="B581" s="6">
        <f>VLOOKUP(TABLA_PRECIOS[Código],LISTADO_PRODUCTOS[#All],2)</f>
        <v>54752</v>
      </c>
      <c r="C581" s="6" t="str">
        <f>VLOOKUP(TABLA_PRECIOS[Código],LISTADO_PRODUCTOS[#All],3)</f>
        <v xml:space="preserve">OFICINA </v>
      </c>
      <c r="D581" s="6" t="str">
        <f>VLOOKUP(TABLA_PRECIOS[Código],LISTADO_PRODUCTOS[#All],4)</f>
        <v>Fichero Metallico Nº3 300 fichas</v>
      </c>
      <c r="E581" s="6" t="str">
        <f>VLOOKUP(TABLA_PRECIOS[Código],LISTADO_PRODUCTOS[#All],5)</f>
        <v>N/A</v>
      </c>
      <c r="F581" s="4">
        <v>1</v>
      </c>
      <c r="G581" s="4">
        <v>1</v>
      </c>
      <c r="H581" s="6">
        <v>1</v>
      </c>
      <c r="I581" s="6"/>
      <c r="J581" s="9"/>
    </row>
    <row r="582" spans="1:10" x14ac:dyDescent="0.3">
      <c r="A582" s="4">
        <v>4148</v>
      </c>
      <c r="B582" s="6">
        <f>VLOOKUP(TABLA_PRECIOS[Código],LISTADO_PRODUCTOS[#All],2)</f>
        <v>54753</v>
      </c>
      <c r="C582" s="6" t="str">
        <f>VLOOKUP(TABLA_PRECIOS[Código],LISTADO_PRODUCTOS[#All],3)</f>
        <v xml:space="preserve">OFICINA </v>
      </c>
      <c r="D582" s="6" t="str">
        <f>VLOOKUP(TABLA_PRECIOS[Código],LISTADO_PRODUCTOS[#All],4)</f>
        <v>Notas adhesivas Mooving Tropical 45x 50 x 20hj</v>
      </c>
      <c r="E582" s="6" t="str">
        <f>VLOOKUP(TABLA_PRECIOS[Código],LISTADO_PRODUCTOS[#All],5)</f>
        <v>N/A</v>
      </c>
      <c r="F582" s="4">
        <v>1</v>
      </c>
      <c r="G582" s="4">
        <v>1</v>
      </c>
      <c r="H582" s="6">
        <v>1</v>
      </c>
      <c r="I582" s="6"/>
      <c r="J582" s="9"/>
    </row>
    <row r="583" spans="1:10" x14ac:dyDescent="0.3">
      <c r="A583" s="4">
        <v>4150</v>
      </c>
      <c r="B583" s="6">
        <f>VLOOKUP(TABLA_PRECIOS[Código],LISTADO_PRODUCTOS[#All],2)</f>
        <v>54754</v>
      </c>
      <c r="C583" s="6" t="str">
        <f>VLOOKUP(TABLA_PRECIOS[Código],LISTADO_PRODUCTOS[#All],3)</f>
        <v xml:space="preserve">OFICINA </v>
      </c>
      <c r="D583" s="6" t="str">
        <f>VLOOKUP(TABLA_PRECIOS[Código],LISTADO_PRODUCTOS[#All],4)</f>
        <v>Banderitas Ezco FLUO</v>
      </c>
      <c r="E583" s="6" t="str">
        <f>VLOOKUP(TABLA_PRECIOS[Código],LISTADO_PRODUCTOS[#All],5)</f>
        <v>N/A</v>
      </c>
      <c r="F583" s="4">
        <v>1</v>
      </c>
      <c r="G583" s="4">
        <v>1</v>
      </c>
      <c r="H583" s="6">
        <v>1</v>
      </c>
      <c r="I583" s="6"/>
      <c r="J583" s="9"/>
    </row>
    <row r="584" spans="1:10" x14ac:dyDescent="0.3">
      <c r="A584" s="4">
        <v>4154</v>
      </c>
      <c r="B584" s="6">
        <f>VLOOKUP(TABLA_PRECIOS[Código],LISTADO_PRODUCTOS[#All],2)</f>
        <v>54755</v>
      </c>
      <c r="C584" s="6" t="str">
        <f>VLOOKUP(TABLA_PRECIOS[Código],LISTADO_PRODUCTOS[#All],3)</f>
        <v xml:space="preserve">OFICINA </v>
      </c>
      <c r="D584" s="6" t="str">
        <f>VLOOKUP(TABLA_PRECIOS[Código],LISTADO_PRODUCTOS[#All],4)</f>
        <v>Carpeta fondo base opaca Oficio T/T</v>
      </c>
      <c r="E584" s="6" t="str">
        <f>VLOOKUP(TABLA_PRECIOS[Código],LISTADO_PRODUCTOS[#All],5)</f>
        <v>N/A</v>
      </c>
      <c r="F584" s="4">
        <v>1</v>
      </c>
      <c r="G584" s="4">
        <v>1</v>
      </c>
      <c r="H584" s="6">
        <v>1</v>
      </c>
      <c r="I584" s="6"/>
      <c r="J584" s="9"/>
    </row>
    <row r="585" spans="1:10" x14ac:dyDescent="0.3">
      <c r="A585" s="4">
        <v>4155</v>
      </c>
      <c r="B585" s="6">
        <f>VLOOKUP(TABLA_PRECIOS[Código],LISTADO_PRODUCTOS[#All],2)</f>
        <v>54756</v>
      </c>
      <c r="C585" s="6" t="str">
        <f>VLOOKUP(TABLA_PRECIOS[Código],LISTADO_PRODUCTOS[#All],3)</f>
        <v xml:space="preserve">OFICINA </v>
      </c>
      <c r="D585" s="6" t="str">
        <f>VLOOKUP(TABLA_PRECIOS[Código],LISTADO_PRODUCTOS[#All],4)</f>
        <v>Carpeta Fondo base Opaca A4</v>
      </c>
      <c r="E585" s="6" t="str">
        <f>VLOOKUP(TABLA_PRECIOS[Código],LISTADO_PRODUCTOS[#All],5)</f>
        <v>N/A</v>
      </c>
      <c r="F585" s="4">
        <v>1</v>
      </c>
      <c r="G585" s="4">
        <v>1</v>
      </c>
      <c r="H585" s="6">
        <v>1</v>
      </c>
      <c r="I585" s="6"/>
      <c r="J585" s="9"/>
    </row>
    <row r="586" spans="1:10" x14ac:dyDescent="0.3">
      <c r="A586" s="4">
        <v>4157</v>
      </c>
      <c r="B586" s="6">
        <f>VLOOKUP(TABLA_PRECIOS[Código],LISTADO_PRODUCTOS[#All],2)</f>
        <v>54757</v>
      </c>
      <c r="C586" s="6" t="str">
        <f>VLOOKUP(TABLA_PRECIOS[Código],LISTADO_PRODUCTOS[#All],3)</f>
        <v xml:space="preserve">OFICINA </v>
      </c>
      <c r="D586" s="6" t="str">
        <f>VLOOKUP(TABLA_PRECIOS[Código],LISTADO_PRODUCTOS[#All],4)</f>
        <v>Carpeta C/Vaina Oficio</v>
      </c>
      <c r="E586" s="6" t="str">
        <f>VLOOKUP(TABLA_PRECIOS[Código],LISTADO_PRODUCTOS[#All],5)</f>
        <v>N/A</v>
      </c>
      <c r="F586" s="4">
        <v>1</v>
      </c>
      <c r="G586" s="4">
        <v>1</v>
      </c>
      <c r="H586" s="6">
        <v>1</v>
      </c>
      <c r="I586" s="6"/>
      <c r="J586" s="9"/>
    </row>
    <row r="587" spans="1:10" x14ac:dyDescent="0.3">
      <c r="A587" s="4">
        <v>4158</v>
      </c>
      <c r="B587" s="6">
        <f>VLOOKUP(TABLA_PRECIOS[Código],LISTADO_PRODUCTOS[#All],2)</f>
        <v>54758</v>
      </c>
      <c r="C587" s="6" t="str">
        <f>VLOOKUP(TABLA_PRECIOS[Código],LISTADO_PRODUCTOS[#All],3)</f>
        <v xml:space="preserve">OFICINA </v>
      </c>
      <c r="D587" s="6" t="str">
        <f>VLOOKUP(TABLA_PRECIOS[Código],LISTADO_PRODUCTOS[#All],4)</f>
        <v>Carpeta c/Vaina A4</v>
      </c>
      <c r="E587" s="6" t="str">
        <f>VLOOKUP(TABLA_PRECIOS[Código],LISTADO_PRODUCTOS[#All],5)</f>
        <v>N/A</v>
      </c>
      <c r="F587" s="4">
        <v>1</v>
      </c>
      <c r="G587" s="4">
        <v>1</v>
      </c>
      <c r="H587" s="6">
        <v>1</v>
      </c>
      <c r="I587" s="6"/>
      <c r="J587" s="9"/>
    </row>
    <row r="588" spans="1:10" x14ac:dyDescent="0.3">
      <c r="A588" s="4">
        <v>4159</v>
      </c>
      <c r="B588" s="6">
        <f>VLOOKUP(TABLA_PRECIOS[Código],LISTADO_PRODUCTOS[#All],2)</f>
        <v>54759</v>
      </c>
      <c r="C588" s="6" t="str">
        <f>VLOOKUP(TABLA_PRECIOS[Código],LISTADO_PRODUCTOS[#All],3)</f>
        <v xml:space="preserve">OFICINA </v>
      </c>
      <c r="D588" s="6" t="str">
        <f>VLOOKUP(TABLA_PRECIOS[Código],LISTADO_PRODUCTOS[#All],4)</f>
        <v>Carpeta Veloz</v>
      </c>
      <c r="E588" s="6" t="str">
        <f>VLOOKUP(TABLA_PRECIOS[Código],LISTADO_PRODUCTOS[#All],5)</f>
        <v>N/A</v>
      </c>
      <c r="F588" s="4">
        <v>1</v>
      </c>
      <c r="G588" s="4">
        <v>1</v>
      </c>
      <c r="H588" s="6">
        <v>1</v>
      </c>
      <c r="I588" s="6"/>
      <c r="J588" s="9"/>
    </row>
    <row r="589" spans="1:10" x14ac:dyDescent="0.3">
      <c r="A589" s="4">
        <v>4160</v>
      </c>
      <c r="B589" s="6">
        <f>VLOOKUP(TABLA_PRECIOS[Código],LISTADO_PRODUCTOS[#All],2)</f>
        <v>54760</v>
      </c>
      <c r="C589" s="6" t="str">
        <f>VLOOKUP(TABLA_PRECIOS[Código],LISTADO_PRODUCTOS[#All],3)</f>
        <v xml:space="preserve">OFICINA </v>
      </c>
      <c r="D589" s="6" t="str">
        <f>VLOOKUP(TABLA_PRECIOS[Código],LISTADO_PRODUCTOS[#All],4)</f>
        <v>Carpeta c/vaina color</v>
      </c>
      <c r="E589" s="6" t="str">
        <f>VLOOKUP(TABLA_PRECIOS[Código],LISTADO_PRODUCTOS[#All],5)</f>
        <v>N/A</v>
      </c>
      <c r="F589" s="4">
        <v>1</v>
      </c>
      <c r="G589" s="4">
        <v>1</v>
      </c>
      <c r="H589" s="6">
        <v>1</v>
      </c>
      <c r="I589" s="6"/>
      <c r="J589" s="9"/>
    </row>
    <row r="590" spans="1:10" x14ac:dyDescent="0.3">
      <c r="A590" s="4">
        <v>4166</v>
      </c>
      <c r="B590" s="6">
        <f>VLOOKUP(TABLA_PRECIOS[Código],LISTADO_PRODUCTOS[#All],2)</f>
        <v>54761</v>
      </c>
      <c r="C590" s="6" t="str">
        <f>VLOOKUP(TABLA_PRECIOS[Código],LISTADO_PRODUCTOS[#All],3)</f>
        <v xml:space="preserve">OFICINA </v>
      </c>
      <c r="D590" s="6" t="str">
        <f>VLOOKUP(TABLA_PRECIOS[Código],LISTADO_PRODUCTOS[#All],4)</f>
        <v>Carpeta foliada Lama 100f A4</v>
      </c>
      <c r="E590" s="6" t="str">
        <f>VLOOKUP(TABLA_PRECIOS[Código],LISTADO_PRODUCTOS[#All],5)</f>
        <v>N/A</v>
      </c>
      <c r="F590" s="4">
        <v>1</v>
      </c>
      <c r="G590" s="4">
        <v>1</v>
      </c>
      <c r="H590" s="6">
        <v>1</v>
      </c>
      <c r="I590" s="6"/>
      <c r="J590" s="9"/>
    </row>
    <row r="591" spans="1:10" x14ac:dyDescent="0.3">
      <c r="A591" s="4">
        <v>4167</v>
      </c>
      <c r="B591" s="6">
        <f>VLOOKUP(TABLA_PRECIOS[Código],LISTADO_PRODUCTOS[#All],2)</f>
        <v>54762</v>
      </c>
      <c r="C591" s="6" t="str">
        <f>VLOOKUP(TABLA_PRECIOS[Código],LISTADO_PRODUCTOS[#All],3)</f>
        <v xml:space="preserve">OFICINA </v>
      </c>
      <c r="D591" s="6" t="str">
        <f>VLOOKUP(TABLA_PRECIOS[Código],LISTADO_PRODUCTOS[#All],4)</f>
        <v>Cartuchera para cuaderno/agenda FW A5</v>
      </c>
      <c r="E591" s="6" t="str">
        <f>VLOOKUP(TABLA_PRECIOS[Código],LISTADO_PRODUCTOS[#All],5)</f>
        <v>N/A</v>
      </c>
      <c r="F591" s="4">
        <v>1</v>
      </c>
      <c r="G591" s="4">
        <v>1</v>
      </c>
      <c r="H591" s="6">
        <v>1</v>
      </c>
      <c r="I591" s="6"/>
      <c r="J591" s="9"/>
    </row>
    <row r="592" spans="1:10" x14ac:dyDescent="0.3">
      <c r="A592" s="4">
        <v>4207</v>
      </c>
      <c r="B592" s="6">
        <f>VLOOKUP(TABLA_PRECIOS[Código],LISTADO_PRODUCTOS[#All],2)</f>
        <v>54763</v>
      </c>
      <c r="C592" s="6" t="str">
        <f>VLOOKUP(TABLA_PRECIOS[Código],LISTADO_PRODUCTOS[#All],3)</f>
        <v xml:space="preserve">OFICINA </v>
      </c>
      <c r="D592" s="6" t="str">
        <f>VLOOKUP(TABLA_PRECIOS[Código],LISTADO_PRODUCTOS[#All],4)</f>
        <v>Libro de Actas Potosi 2 manos Clochet</v>
      </c>
      <c r="E592" s="6" t="str">
        <f>VLOOKUP(TABLA_PRECIOS[Código],LISTADO_PRODUCTOS[#All],5)</f>
        <v>N/A</v>
      </c>
      <c r="F592" s="4">
        <v>1</v>
      </c>
      <c r="G592" s="4">
        <v>1</v>
      </c>
      <c r="H592" s="6">
        <v>1</v>
      </c>
      <c r="I592" s="6"/>
      <c r="J592" s="9"/>
    </row>
    <row r="593" spans="1:10" x14ac:dyDescent="0.3">
      <c r="A593" s="4">
        <v>4208</v>
      </c>
      <c r="B593" s="6">
        <f>VLOOKUP(TABLA_PRECIOS[Código],LISTADO_PRODUCTOS[#All],2)</f>
        <v>54764</v>
      </c>
      <c r="C593" s="6" t="str">
        <f>VLOOKUP(TABLA_PRECIOS[Código],LISTADO_PRODUCTOS[#All],3)</f>
        <v xml:space="preserve">OFICINA </v>
      </c>
      <c r="D593" s="6" t="str">
        <f>VLOOKUP(TABLA_PRECIOS[Código],LISTADO_PRODUCTOS[#All],4)</f>
        <v>Libro de Actas Oficio Potosi Corona 2 manos</v>
      </c>
      <c r="E593" s="6" t="str">
        <f>VLOOKUP(TABLA_PRECIOS[Código],LISTADO_PRODUCTOS[#All],5)</f>
        <v>N/A</v>
      </c>
      <c r="F593" s="4">
        <v>1</v>
      </c>
      <c r="G593" s="4">
        <v>1</v>
      </c>
      <c r="H593" s="6">
        <v>1</v>
      </c>
      <c r="I593" s="6"/>
      <c r="J593" s="9"/>
    </row>
    <row r="594" spans="1:10" x14ac:dyDescent="0.3">
      <c r="A594" s="4">
        <v>4209</v>
      </c>
      <c r="B594" s="6">
        <f>VLOOKUP(TABLA_PRECIOS[Código],LISTADO_PRODUCTOS[#All],2)</f>
        <v>54765</v>
      </c>
      <c r="C594" s="6" t="str">
        <f>VLOOKUP(TABLA_PRECIOS[Código],LISTADO_PRODUCTOS[#All],3)</f>
        <v xml:space="preserve">OFICINA </v>
      </c>
      <c r="D594" s="6" t="str">
        <f>VLOOKUP(TABLA_PRECIOS[Código],LISTADO_PRODUCTOS[#All],4)</f>
        <v>Tinta BIC para marcador de Pizarra Blanca</v>
      </c>
      <c r="E594" s="6" t="str">
        <f>VLOOKUP(TABLA_PRECIOS[Código],LISTADO_PRODUCTOS[#All],5)</f>
        <v>N/A</v>
      </c>
      <c r="F594" s="4">
        <v>1</v>
      </c>
      <c r="G594" s="4">
        <v>1</v>
      </c>
      <c r="H594" s="6">
        <v>1</v>
      </c>
      <c r="I594" s="6"/>
      <c r="J594" s="9"/>
    </row>
    <row r="595" spans="1:10" x14ac:dyDescent="0.3">
      <c r="A595" s="4">
        <v>4211</v>
      </c>
      <c r="B595" s="6">
        <f>VLOOKUP(TABLA_PRECIOS[Código],LISTADO_PRODUCTOS[#All],2)</f>
        <v>54766</v>
      </c>
      <c r="C595" s="6" t="str">
        <f>VLOOKUP(TABLA_PRECIOS[Código],LISTADO_PRODUCTOS[#All],3)</f>
        <v xml:space="preserve">OFICINA </v>
      </c>
      <c r="D595" s="6" t="str">
        <f>VLOOKUP(TABLA_PRECIOS[Código],LISTADO_PRODUCTOS[#All],4)</f>
        <v>Clasificador A4 LAMA EF202NE</v>
      </c>
      <c r="E595" s="6" t="str">
        <f>VLOOKUP(TABLA_PRECIOS[Código],LISTADO_PRODUCTOS[#All],5)</f>
        <v>N/A</v>
      </c>
      <c r="F595" s="4">
        <v>1</v>
      </c>
      <c r="G595" s="4">
        <v>1</v>
      </c>
      <c r="H595" s="6">
        <v>1</v>
      </c>
      <c r="I595" s="6"/>
      <c r="J595" s="9"/>
    </row>
    <row r="596" spans="1:10" x14ac:dyDescent="0.3">
      <c r="A596" s="4">
        <v>4301</v>
      </c>
      <c r="B596" s="6">
        <f>VLOOKUP(TABLA_PRECIOS[Código],LISTADO_PRODUCTOS[#All],2)</f>
        <v>54767</v>
      </c>
      <c r="C596" s="6" t="str">
        <f>VLOOKUP(TABLA_PRECIOS[Código],LISTADO_PRODUCTOS[#All],3)</f>
        <v xml:space="preserve">OFICINA </v>
      </c>
      <c r="D596" s="6" t="str">
        <f>VLOOKUP(TABLA_PRECIOS[Código],LISTADO_PRODUCTOS[#All],4)</f>
        <v>Broche Clip Sifap Forrado Color Nº6</v>
      </c>
      <c r="E596" s="6" t="str">
        <f>VLOOKUP(TABLA_PRECIOS[Código],LISTADO_PRODUCTOS[#All],5)</f>
        <v>N/A</v>
      </c>
      <c r="F596" s="4">
        <v>1</v>
      </c>
      <c r="G596" s="4">
        <v>1</v>
      </c>
      <c r="H596" s="6">
        <v>1</v>
      </c>
      <c r="I596" s="6"/>
      <c r="J596" s="9"/>
    </row>
    <row r="597" spans="1:10" x14ac:dyDescent="0.3">
      <c r="A597" s="4">
        <v>4302</v>
      </c>
      <c r="B597" s="6">
        <f>VLOOKUP(TABLA_PRECIOS[Código],LISTADO_PRODUCTOS[#All],2)</f>
        <v>54768</v>
      </c>
      <c r="C597" s="6" t="str">
        <f>VLOOKUP(TABLA_PRECIOS[Código],LISTADO_PRODUCTOS[#All],3)</f>
        <v xml:space="preserve">OFICINA </v>
      </c>
      <c r="D597" s="6" t="str">
        <f>VLOOKUP(TABLA_PRECIOS[Código],LISTADO_PRODUCTOS[#All],4)</f>
        <v>Marcador Sharpie Metal plateado/rojo/azul/verde</v>
      </c>
      <c r="E597" s="6" t="str">
        <f>VLOOKUP(TABLA_PRECIOS[Código],LISTADO_PRODUCTOS[#All],5)</f>
        <v>N/A</v>
      </c>
      <c r="F597" s="4">
        <v>1</v>
      </c>
      <c r="G597" s="4">
        <v>1</v>
      </c>
      <c r="H597" s="6">
        <v>1</v>
      </c>
      <c r="I597" s="6"/>
      <c r="J597" s="9"/>
    </row>
    <row r="598" spans="1:10" x14ac:dyDescent="0.3">
      <c r="A598" s="4">
        <v>4305</v>
      </c>
      <c r="B598" s="6">
        <f>VLOOKUP(TABLA_PRECIOS[Código],LISTADO_PRODUCTOS[#All],2)</f>
        <v>54769</v>
      </c>
      <c r="C598" s="6" t="str">
        <f>VLOOKUP(TABLA_PRECIOS[Código],LISTADO_PRODUCTOS[#All],3)</f>
        <v xml:space="preserve">OFICINA </v>
      </c>
      <c r="D598" s="6" t="str">
        <f>VLOOKUP(TABLA_PRECIOS[Código],LISTADO_PRODUCTOS[#All],4)</f>
        <v>Banderitas flecha Mooving Pastel</v>
      </c>
      <c r="E598" s="6" t="str">
        <f>VLOOKUP(TABLA_PRECIOS[Código],LISTADO_PRODUCTOS[#All],5)</f>
        <v>N/A</v>
      </c>
      <c r="F598" s="4">
        <v>1</v>
      </c>
      <c r="G598" s="4">
        <v>1</v>
      </c>
      <c r="H598" s="6">
        <v>1</v>
      </c>
      <c r="I598" s="6"/>
      <c r="J598" s="9"/>
    </row>
    <row r="599" spans="1:10" x14ac:dyDescent="0.3">
      <c r="A599" s="4">
        <v>4308</v>
      </c>
      <c r="B599" s="6">
        <f>VLOOKUP(TABLA_PRECIOS[Código],LISTADO_PRODUCTOS[#All],2)</f>
        <v>54770</v>
      </c>
      <c r="C599" s="6" t="str">
        <f>VLOOKUP(TABLA_PRECIOS[Código],LISTADO_PRODUCTOS[#All],3)</f>
        <v xml:space="preserve">OFICINA </v>
      </c>
      <c r="D599" s="6" t="str">
        <f>VLOOKUP(TABLA_PRECIOS[Código],LISTADO_PRODUCTOS[#All],4)</f>
        <v>Clip Sifap N°8 78mm</v>
      </c>
      <c r="E599" s="6" t="str">
        <f>VLOOKUP(TABLA_PRECIOS[Código],LISTADO_PRODUCTOS[#All],5)</f>
        <v>N/A</v>
      </c>
      <c r="F599" s="4">
        <v>1</v>
      </c>
      <c r="G599" s="4">
        <v>1</v>
      </c>
      <c r="H599" s="6">
        <v>1</v>
      </c>
      <c r="I599" s="6"/>
      <c r="J599" s="9"/>
    </row>
    <row r="600" spans="1:10" x14ac:dyDescent="0.3">
      <c r="A600" s="4">
        <v>4322</v>
      </c>
      <c r="B600" s="6">
        <f>VLOOKUP(TABLA_PRECIOS[Código],LISTADO_PRODUCTOS[#All],2)</f>
        <v>54771</v>
      </c>
      <c r="C600" s="6" t="str">
        <f>VLOOKUP(TABLA_PRECIOS[Código],LISTADO_PRODUCTOS[#All],3)</f>
        <v xml:space="preserve">OFICINA </v>
      </c>
      <c r="D600" s="6" t="str">
        <f>VLOOKUP(TABLA_PRECIOS[Código],LISTADO_PRODUCTOS[#All],4)</f>
        <v>Clip 50mm Trazos</v>
      </c>
      <c r="E600" s="6" t="str">
        <f>VLOOKUP(TABLA_PRECIOS[Código],LISTADO_PRODUCTOS[#All],5)</f>
        <v>N/A</v>
      </c>
      <c r="F600" s="4">
        <v>1</v>
      </c>
      <c r="G600" s="4">
        <v>1</v>
      </c>
      <c r="H600" s="6">
        <v>1</v>
      </c>
      <c r="I600" s="6"/>
      <c r="J600" s="9"/>
    </row>
    <row r="601" spans="1:10" x14ac:dyDescent="0.3">
      <c r="A601" s="4">
        <v>4323</v>
      </c>
      <c r="B601" s="6">
        <f>VLOOKUP(TABLA_PRECIOS[Código],LISTADO_PRODUCTOS[#All],2)</f>
        <v>54772</v>
      </c>
      <c r="C601" s="6" t="str">
        <f>VLOOKUP(TABLA_PRECIOS[Código],LISTADO_PRODUCTOS[#All],3)</f>
        <v xml:space="preserve">OFICINA </v>
      </c>
      <c r="D601" s="6" t="str">
        <f>VLOOKUP(TABLA_PRECIOS[Código],LISTADO_PRODUCTOS[#All],4)</f>
        <v>Libro Recibos expediente Potosi</v>
      </c>
      <c r="E601" s="6" t="str">
        <f>VLOOKUP(TABLA_PRECIOS[Código],LISTADO_PRODUCTOS[#All],5)</f>
        <v>N/A</v>
      </c>
      <c r="F601" s="4">
        <v>1</v>
      </c>
      <c r="G601" s="4">
        <v>1</v>
      </c>
      <c r="H601" s="6">
        <v>1</v>
      </c>
      <c r="I601" s="6"/>
      <c r="J601" s="9"/>
    </row>
    <row r="602" spans="1:10" x14ac:dyDescent="0.3">
      <c r="A602" s="4">
        <v>4325</v>
      </c>
      <c r="B602" s="6">
        <f>VLOOKUP(TABLA_PRECIOS[Código],LISTADO_PRODUCTOS[#All],2)</f>
        <v>54773</v>
      </c>
      <c r="C602" s="6" t="str">
        <f>VLOOKUP(TABLA_PRECIOS[Código],LISTADO_PRODUCTOS[#All],3)</f>
        <v xml:space="preserve">OFICINA </v>
      </c>
      <c r="D602" s="6" t="str">
        <f>VLOOKUP(TABLA_PRECIOS[Código],LISTADO_PRODUCTOS[#All],4)</f>
        <v>Carpeta foliada Oficio Util-off 60f - 7794765003712</v>
      </c>
      <c r="E602" s="6" t="str">
        <f>VLOOKUP(TABLA_PRECIOS[Código],LISTADO_PRODUCTOS[#All],5)</f>
        <v>N/A</v>
      </c>
      <c r="F602" s="4">
        <v>1</v>
      </c>
      <c r="G602" s="4">
        <v>1</v>
      </c>
      <c r="H602" s="6">
        <v>1</v>
      </c>
      <c r="I602" s="6"/>
      <c r="J602" s="9"/>
    </row>
    <row r="603" spans="1:10" x14ac:dyDescent="0.3">
      <c r="A603" s="4">
        <v>4328</v>
      </c>
      <c r="B603" s="6">
        <f>VLOOKUP(TABLA_PRECIOS[Código],LISTADO_PRODUCTOS[#All],2)</f>
        <v>54774</v>
      </c>
      <c r="C603" s="6" t="str">
        <f>VLOOKUP(TABLA_PRECIOS[Código],LISTADO_PRODUCTOS[#All],3)</f>
        <v xml:space="preserve">OFICINA </v>
      </c>
      <c r="D603" s="6" t="str">
        <f>VLOOKUP(TABLA_PRECIOS[Código],LISTADO_PRODUCTOS[#All],4)</f>
        <v>Broche Clip Sifap metal Nº5 / Nº6</v>
      </c>
      <c r="E603" s="6" t="str">
        <f>VLOOKUP(TABLA_PRECIOS[Código],LISTADO_PRODUCTOS[#All],5)</f>
        <v>N/A</v>
      </c>
      <c r="F603" s="4">
        <v>1</v>
      </c>
      <c r="G603" s="4">
        <v>1</v>
      </c>
      <c r="H603" s="6">
        <v>1</v>
      </c>
      <c r="I603" s="6"/>
      <c r="J603" s="9"/>
    </row>
    <row r="604" spans="1:10" x14ac:dyDescent="0.3">
      <c r="A604" s="4">
        <v>4332</v>
      </c>
      <c r="B604" s="6">
        <f>VLOOKUP(TABLA_PRECIOS[Código],LISTADO_PRODUCTOS[#All],2)</f>
        <v>54775</v>
      </c>
      <c r="C604" s="6" t="str">
        <f>VLOOKUP(TABLA_PRECIOS[Código],LISTADO_PRODUCTOS[#All],3)</f>
        <v xml:space="preserve">OFICINA </v>
      </c>
      <c r="D604" s="6" t="str">
        <f>VLOOKUP(TABLA_PRECIOS[Código],LISTADO_PRODUCTOS[#All],4)</f>
        <v>Carpeta colgante nepaco delta</v>
      </c>
      <c r="E604" s="6" t="str">
        <f>VLOOKUP(TABLA_PRECIOS[Código],LISTADO_PRODUCTOS[#All],5)</f>
        <v>N/A</v>
      </c>
      <c r="F604" s="4">
        <v>1</v>
      </c>
      <c r="G604" s="4">
        <v>1</v>
      </c>
      <c r="H604" s="6">
        <v>1</v>
      </c>
      <c r="I604" s="6"/>
      <c r="J604" s="9"/>
    </row>
    <row r="605" spans="1:10" x14ac:dyDescent="0.3">
      <c r="A605" s="4">
        <v>4335</v>
      </c>
      <c r="B605" s="6">
        <f>VLOOKUP(TABLA_PRECIOS[Código],LISTADO_PRODUCTOS[#All],2)</f>
        <v>54776</v>
      </c>
      <c r="C605" s="6" t="str">
        <f>VLOOKUP(TABLA_PRECIOS[Código],LISTADO_PRODUCTOS[#All],3)</f>
        <v xml:space="preserve">OFICINA </v>
      </c>
      <c r="D605" s="6" t="str">
        <f>VLOOKUP(TABLA_PRECIOS[Código],LISTADO_PRODUCTOS[#All],4)</f>
        <v>Carpeta foliada 10f util-off oficio - 7794765003644</v>
      </c>
      <c r="E605" s="6" t="str">
        <f>VLOOKUP(TABLA_PRECIOS[Código],LISTADO_PRODUCTOS[#All],5)</f>
        <v>N/A</v>
      </c>
      <c r="F605" s="4">
        <v>1</v>
      </c>
      <c r="G605" s="4">
        <v>1</v>
      </c>
      <c r="H605" s="6">
        <v>1</v>
      </c>
      <c r="I605" s="6"/>
      <c r="J605" s="9"/>
    </row>
    <row r="606" spans="1:10" x14ac:dyDescent="0.3">
      <c r="A606" s="4">
        <v>4336</v>
      </c>
      <c r="B606" s="6">
        <f>VLOOKUP(TABLA_PRECIOS[Código],LISTADO_PRODUCTOS[#All],2)</f>
        <v>54777</v>
      </c>
      <c r="C606" s="6" t="str">
        <f>VLOOKUP(TABLA_PRECIOS[Código],LISTADO_PRODUCTOS[#All],3)</f>
        <v xml:space="preserve">OFICINA </v>
      </c>
      <c r="D606" s="6" t="str">
        <f>VLOOKUP(TABLA_PRECIOS[Código],LISTADO_PRODUCTOS[#All],4)</f>
        <v>Plancha de ojalillos Ori-Tec C/U</v>
      </c>
      <c r="E606" s="6" t="str">
        <f>VLOOKUP(TABLA_PRECIOS[Código],LISTADO_PRODUCTOS[#All],5)</f>
        <v>N/A</v>
      </c>
      <c r="F606" s="4">
        <v>1</v>
      </c>
      <c r="G606" s="4">
        <v>1</v>
      </c>
      <c r="H606" s="6">
        <v>1</v>
      </c>
      <c r="I606" s="6"/>
      <c r="J606" s="9"/>
    </row>
    <row r="607" spans="1:10" x14ac:dyDescent="0.3">
      <c r="A607" s="4">
        <v>4337</v>
      </c>
      <c r="B607" s="6">
        <f>VLOOKUP(TABLA_PRECIOS[Código],LISTADO_PRODUCTOS[#All],2)</f>
        <v>54778</v>
      </c>
      <c r="C607" s="6" t="str">
        <f>VLOOKUP(TABLA_PRECIOS[Código],LISTADO_PRODUCTOS[#All],3)</f>
        <v xml:space="preserve">OFICINA </v>
      </c>
      <c r="D607" s="6" t="str">
        <f>VLOOKUP(TABLA_PRECIOS[Código],LISTADO_PRODUCTOS[#All],4)</f>
        <v>Banderitas Mickey de Mooving</v>
      </c>
      <c r="E607" s="6" t="str">
        <f>VLOOKUP(TABLA_PRECIOS[Código],LISTADO_PRODUCTOS[#All],5)</f>
        <v>N/A</v>
      </c>
      <c r="F607" s="4">
        <v>1</v>
      </c>
      <c r="G607" s="4">
        <v>1</v>
      </c>
      <c r="H607" s="6">
        <v>1</v>
      </c>
      <c r="I607" s="6"/>
      <c r="J607" s="9"/>
    </row>
    <row r="608" spans="1:10" x14ac:dyDescent="0.3">
      <c r="A608" s="4">
        <v>4338</v>
      </c>
      <c r="B608" s="6">
        <f>VLOOKUP(TABLA_PRECIOS[Código],LISTADO_PRODUCTOS[#All],2)</f>
        <v>54779</v>
      </c>
      <c r="C608" s="6" t="str">
        <f>VLOOKUP(TABLA_PRECIOS[Código],LISTADO_PRODUCTOS[#All],3)</f>
        <v xml:space="preserve">OFICINA </v>
      </c>
      <c r="D608" s="6" t="str">
        <f>VLOOKUP(TABLA_PRECIOS[Código],LISTADO_PRODUCTOS[#All],4)</f>
        <v>Banderitas mooving 2100203 / 2</v>
      </c>
      <c r="E608" s="6" t="str">
        <f>VLOOKUP(TABLA_PRECIOS[Código],LISTADO_PRODUCTOS[#All],5)</f>
        <v>N/A</v>
      </c>
      <c r="F608" s="4">
        <v>1</v>
      </c>
      <c r="G608" s="4">
        <v>1</v>
      </c>
      <c r="H608" s="6">
        <v>1</v>
      </c>
      <c r="I608" s="6"/>
      <c r="J608" s="9"/>
    </row>
    <row r="609" spans="1:10" x14ac:dyDescent="0.3">
      <c r="A609" s="4">
        <v>4340</v>
      </c>
      <c r="B609" s="6">
        <f>VLOOKUP(TABLA_PRECIOS[Código],LISTADO_PRODUCTOS[#All],2)</f>
        <v>54780</v>
      </c>
      <c r="C609" s="6" t="str">
        <f>VLOOKUP(TABLA_PRECIOS[Código],LISTADO_PRODUCTOS[#All],3)</f>
        <v xml:space="preserve">OFICINA </v>
      </c>
      <c r="D609" s="6" t="str">
        <f>VLOOKUP(TABLA_PRECIOS[Código],LISTADO_PRODUCTOS[#All],4)</f>
        <v>banderitas mooving 2100207</v>
      </c>
      <c r="E609" s="6" t="str">
        <f>VLOOKUP(TABLA_PRECIOS[Código],LISTADO_PRODUCTOS[#All],5)</f>
        <v>N/A</v>
      </c>
      <c r="F609" s="4">
        <v>1</v>
      </c>
      <c r="G609" s="4">
        <v>1</v>
      </c>
      <c r="H609" s="6">
        <v>1</v>
      </c>
      <c r="I609" s="6"/>
      <c r="J609" s="9"/>
    </row>
    <row r="610" spans="1:10" x14ac:dyDescent="0.3">
      <c r="A610" s="4">
        <v>4341</v>
      </c>
      <c r="B610" s="6">
        <f>VLOOKUP(TABLA_PRECIOS[Código],LISTADO_PRODUCTOS[#All],2)</f>
        <v>54781</v>
      </c>
      <c r="C610" s="6" t="str">
        <f>VLOOKUP(TABLA_PRECIOS[Código],LISTADO_PRODUCTOS[#All],3)</f>
        <v xml:space="preserve">OFICINA </v>
      </c>
      <c r="D610" s="6" t="str">
        <f>VLOOKUP(TABLA_PRECIOS[Código],LISTADO_PRODUCTOS[#All],4)</f>
        <v>banderitas mooving 2100402</v>
      </c>
      <c r="E610" s="6" t="str">
        <f>VLOOKUP(TABLA_PRECIOS[Código],LISTADO_PRODUCTOS[#All],5)</f>
        <v>N/A</v>
      </c>
      <c r="F610" s="4">
        <v>1</v>
      </c>
      <c r="G610" s="4">
        <v>1</v>
      </c>
      <c r="H610" s="6">
        <v>1</v>
      </c>
      <c r="I610" s="6"/>
      <c r="J610" s="9"/>
    </row>
    <row r="611" spans="1:10" x14ac:dyDescent="0.3">
      <c r="A611" s="4">
        <v>4342</v>
      </c>
      <c r="B611" s="6">
        <f>VLOOKUP(TABLA_PRECIOS[Código],LISTADO_PRODUCTOS[#All],2)</f>
        <v>54782</v>
      </c>
      <c r="C611" s="6" t="str">
        <f>VLOOKUP(TABLA_PRECIOS[Código],LISTADO_PRODUCTOS[#All],3)</f>
        <v xml:space="preserve">OFICINA </v>
      </c>
      <c r="D611" s="6" t="str">
        <f>VLOOKUP(TABLA_PRECIOS[Código],LISTADO_PRODUCTOS[#All],4)</f>
        <v>Flechas Adhesivas Mooving pastel</v>
      </c>
      <c r="E611" s="6" t="str">
        <f>VLOOKUP(TABLA_PRECIOS[Código],LISTADO_PRODUCTOS[#All],5)</f>
        <v>N/A</v>
      </c>
      <c r="F611" s="4">
        <v>1</v>
      </c>
      <c r="G611" s="4">
        <v>1</v>
      </c>
      <c r="H611" s="6">
        <v>1</v>
      </c>
      <c r="I611" s="6"/>
      <c r="J611" s="9"/>
    </row>
    <row r="612" spans="1:10" x14ac:dyDescent="0.3">
      <c r="A612" s="4">
        <v>4345</v>
      </c>
      <c r="B612" s="6">
        <f>VLOOKUP(TABLA_PRECIOS[Código],LISTADO_PRODUCTOS[#All],2)</f>
        <v>54783</v>
      </c>
      <c r="C612" s="6" t="str">
        <f>VLOOKUP(TABLA_PRECIOS[Código],LISTADO_PRODUCTOS[#All],3)</f>
        <v xml:space="preserve">OFICINA </v>
      </c>
      <c r="D612" s="6" t="str">
        <f>VLOOKUP(TABLA_PRECIOS[Código],LISTADO_PRODUCTOS[#All],4)</f>
        <v>Banderitas mooving 2100205</v>
      </c>
      <c r="E612" s="6" t="str">
        <f>VLOOKUP(TABLA_PRECIOS[Código],LISTADO_PRODUCTOS[#All],5)</f>
        <v>N/A</v>
      </c>
      <c r="F612" s="4">
        <v>1</v>
      </c>
      <c r="G612" s="4">
        <v>1</v>
      </c>
      <c r="H612" s="6">
        <v>1</v>
      </c>
      <c r="I612" s="6"/>
      <c r="J612" s="9"/>
    </row>
    <row r="613" spans="1:10" x14ac:dyDescent="0.3">
      <c r="A613" s="4">
        <v>4346</v>
      </c>
      <c r="B613" s="6">
        <f>VLOOKUP(TABLA_PRECIOS[Código],LISTADO_PRODUCTOS[#All],2)</f>
        <v>54784</v>
      </c>
      <c r="C613" s="6" t="str">
        <f>VLOOKUP(TABLA_PRECIOS[Código],LISTADO_PRODUCTOS[#All],3)</f>
        <v xml:space="preserve">OFICINA </v>
      </c>
      <c r="D613" s="6" t="str">
        <f>VLOOKUP(TABLA_PRECIOS[Código],LISTADO_PRODUCTOS[#All],4)</f>
        <v>Carpeta catalogo foliada 10F General Office A4</v>
      </c>
      <c r="E613" s="6" t="str">
        <f>VLOOKUP(TABLA_PRECIOS[Código],LISTADO_PRODUCTOS[#All],5)</f>
        <v>N/A</v>
      </c>
      <c r="F613" s="4">
        <v>1</v>
      </c>
      <c r="G613" s="4">
        <v>1</v>
      </c>
      <c r="H613" s="6">
        <v>1</v>
      </c>
      <c r="I613" s="6"/>
      <c r="J613" s="9"/>
    </row>
    <row r="614" spans="1:10" x14ac:dyDescent="0.3">
      <c r="A614" s="4">
        <v>4354</v>
      </c>
      <c r="B614" s="6">
        <f>VLOOKUP(TABLA_PRECIOS[Código],LISTADO_PRODUCTOS[#All],2)</f>
        <v>54785</v>
      </c>
      <c r="C614" s="6" t="str">
        <f>VLOOKUP(TABLA_PRECIOS[Código],LISTADO_PRODUCTOS[#All],3)</f>
        <v xml:space="preserve">OFICINA </v>
      </c>
      <c r="D614" s="6" t="str">
        <f>VLOOKUP(TABLA_PRECIOS[Código],LISTADO_PRODUCTOS[#All],4)</f>
        <v>Marcador SHARPIE STAINED P/TELA PUNTA PINCEL blister x8u</v>
      </c>
      <c r="E614" s="6" t="str">
        <f>VLOOKUP(TABLA_PRECIOS[Código],LISTADO_PRODUCTOS[#All],5)</f>
        <v>N/A</v>
      </c>
      <c r="F614" s="4">
        <v>1</v>
      </c>
      <c r="G614" s="4">
        <v>1</v>
      </c>
      <c r="H614" s="6">
        <v>1</v>
      </c>
      <c r="I614" s="6"/>
      <c r="J614" s="9"/>
    </row>
    <row r="615" spans="1:10" x14ac:dyDescent="0.3">
      <c r="A615" s="4">
        <v>4362</v>
      </c>
      <c r="B615" s="6">
        <f>VLOOKUP(TABLA_PRECIOS[Código],LISTADO_PRODUCTOS[#All],2)</f>
        <v>54786</v>
      </c>
      <c r="C615" s="6" t="str">
        <f>VLOOKUP(TABLA_PRECIOS[Código],LISTADO_PRODUCTOS[#All],3)</f>
        <v xml:space="preserve">OFICINA </v>
      </c>
      <c r="D615" s="6" t="str">
        <f>VLOOKUP(TABLA_PRECIOS[Código],LISTADO_PRODUCTOS[#All],4)</f>
        <v>Abrochadora brazo largo 31cm + 1000 broche 26/6</v>
      </c>
      <c r="E615" s="6" t="str">
        <f>VLOOKUP(TABLA_PRECIOS[Código],LISTADO_PRODUCTOS[#All],5)</f>
        <v>N/A</v>
      </c>
      <c r="F615" s="4">
        <v>1</v>
      </c>
      <c r="G615" s="4">
        <v>1</v>
      </c>
      <c r="H615" s="6">
        <v>1</v>
      </c>
      <c r="I615" s="6"/>
      <c r="J615" s="9"/>
    </row>
    <row r="616" spans="1:10" x14ac:dyDescent="0.3">
      <c r="A616" s="4">
        <v>4363</v>
      </c>
      <c r="B616" s="6">
        <f>VLOOKUP(TABLA_PRECIOS[Código],LISTADO_PRODUCTOS[#All],2)</f>
        <v>54787</v>
      </c>
      <c r="C616" s="6" t="str">
        <f>VLOOKUP(TABLA_PRECIOS[Código],LISTADO_PRODUCTOS[#All],3)</f>
        <v xml:space="preserve">OFICINA </v>
      </c>
      <c r="D616" s="6" t="str">
        <f>VLOOKUP(TABLA_PRECIOS[Código],LISTADO_PRODUCTOS[#All],4)</f>
        <v>Almohadilla Pelikan N°0</v>
      </c>
      <c r="E616" s="6" t="str">
        <f>VLOOKUP(TABLA_PRECIOS[Código],LISTADO_PRODUCTOS[#All],5)</f>
        <v>N/A</v>
      </c>
      <c r="F616" s="4">
        <v>1</v>
      </c>
      <c r="G616" s="4">
        <v>1</v>
      </c>
      <c r="H616" s="6">
        <v>1</v>
      </c>
      <c r="I616" s="6"/>
      <c r="J616" s="9"/>
    </row>
    <row r="617" spans="1:10" x14ac:dyDescent="0.3">
      <c r="A617" s="4">
        <v>4364</v>
      </c>
      <c r="B617" s="6">
        <f>VLOOKUP(TABLA_PRECIOS[Código],LISTADO_PRODUCTOS[#All],2)</f>
        <v>54788</v>
      </c>
      <c r="C617" s="6" t="str">
        <f>VLOOKUP(TABLA_PRECIOS[Código],LISTADO_PRODUCTOS[#All],3)</f>
        <v xml:space="preserve">OFICINA </v>
      </c>
      <c r="D617" s="6" t="str">
        <f>VLOOKUP(TABLA_PRECIOS[Código],LISTADO_PRODUCTOS[#All],4)</f>
        <v>Almohadilla Pelikan N°1</v>
      </c>
      <c r="E617" s="6" t="str">
        <f>VLOOKUP(TABLA_PRECIOS[Código],LISTADO_PRODUCTOS[#All],5)</f>
        <v>N/A</v>
      </c>
      <c r="F617" s="4">
        <v>1</v>
      </c>
      <c r="G617" s="4">
        <v>1</v>
      </c>
      <c r="H617" s="6">
        <v>1</v>
      </c>
      <c r="I617" s="6"/>
      <c r="J617" s="9"/>
    </row>
    <row r="618" spans="1:10" x14ac:dyDescent="0.3">
      <c r="A618" s="4">
        <v>4366</v>
      </c>
      <c r="B618" s="6">
        <f>VLOOKUP(TABLA_PRECIOS[Código],LISTADO_PRODUCTOS[#All],2)</f>
        <v>54789</v>
      </c>
      <c r="C618" s="6" t="str">
        <f>VLOOKUP(TABLA_PRECIOS[Código],LISTADO_PRODUCTOS[#All],3)</f>
        <v xml:space="preserve">OFICINA </v>
      </c>
      <c r="D618" s="6" t="str">
        <f>VLOOKUP(TABLA_PRECIOS[Código],LISTADO_PRODUCTOS[#All],4)</f>
        <v>Marcador Simball metaizado doble punta pinta 2</v>
      </c>
      <c r="E618" s="6" t="str">
        <f>VLOOKUP(TABLA_PRECIOS[Código],LISTADO_PRODUCTOS[#All],5)</f>
        <v>N/A</v>
      </c>
      <c r="F618" s="4">
        <v>1</v>
      </c>
      <c r="G618" s="4">
        <v>1</v>
      </c>
      <c r="H618" s="6">
        <v>1</v>
      </c>
      <c r="I618" s="6"/>
      <c r="J618" s="9"/>
    </row>
    <row r="619" spans="1:10" x14ac:dyDescent="0.3">
      <c r="A619" s="4">
        <v>4367</v>
      </c>
      <c r="B619" s="6">
        <f>VLOOKUP(TABLA_PRECIOS[Código],LISTADO_PRODUCTOS[#All],2)</f>
        <v>54790</v>
      </c>
      <c r="C619" s="6" t="str">
        <f>VLOOKUP(TABLA_PRECIOS[Código],LISTADO_PRODUCTOS[#All],3)</f>
        <v xml:space="preserve">OFICINA </v>
      </c>
      <c r="D619" s="6" t="str">
        <f>VLOOKUP(TABLA_PRECIOS[Código],LISTADO_PRODUCTOS[#All],4)</f>
        <v>Abrochadora huvito Eagle Omax Mini N°10 s-5150D</v>
      </c>
      <c r="E619" s="6" t="str">
        <f>VLOOKUP(TABLA_PRECIOS[Código],LISTADO_PRODUCTOS[#All],5)</f>
        <v>N/A</v>
      </c>
      <c r="F619" s="4">
        <v>1</v>
      </c>
      <c r="G619" s="4">
        <v>1</v>
      </c>
      <c r="H619" s="6">
        <v>1</v>
      </c>
      <c r="I619" s="6"/>
      <c r="J619" s="9"/>
    </row>
    <row r="620" spans="1:10" x14ac:dyDescent="0.3">
      <c r="A620" s="4">
        <v>4368</v>
      </c>
      <c r="B620" s="6">
        <f>VLOOKUP(TABLA_PRECIOS[Código],LISTADO_PRODUCTOS[#All],2)</f>
        <v>54791</v>
      </c>
      <c r="C620" s="6" t="str">
        <f>VLOOKUP(TABLA_PRECIOS[Código],LISTADO_PRODUCTOS[#All],3)</f>
        <v xml:space="preserve">OFICINA </v>
      </c>
      <c r="D620" s="6" t="str">
        <f>VLOOKUP(TABLA_PRECIOS[Código],LISTADO_PRODUCTOS[#All],4)</f>
        <v>Abrochadora Deli Animalitos + broches</v>
      </c>
      <c r="E620" s="6" t="str">
        <f>VLOOKUP(TABLA_PRECIOS[Código],LISTADO_PRODUCTOS[#All],5)</f>
        <v>N/A</v>
      </c>
      <c r="F620" s="4">
        <v>1</v>
      </c>
      <c r="G620" s="4">
        <v>1</v>
      </c>
      <c r="H620" s="6">
        <v>1</v>
      </c>
      <c r="I620" s="6"/>
      <c r="J620" s="9"/>
    </row>
    <row r="621" spans="1:10" x14ac:dyDescent="0.3">
      <c r="A621" s="4">
        <v>4369</v>
      </c>
      <c r="B621" s="6">
        <f>VLOOKUP(TABLA_PRECIOS[Código],LISTADO_PRODUCTOS[#All],2)</f>
        <v>54792</v>
      </c>
      <c r="C621" s="6" t="str">
        <f>VLOOKUP(TABLA_PRECIOS[Código],LISTADO_PRODUCTOS[#All],3)</f>
        <v xml:space="preserve">OFICINA </v>
      </c>
      <c r="D621" s="6" t="str">
        <f>VLOOKUP(TABLA_PRECIOS[Código],LISTADO_PRODUCTOS[#All],4)</f>
        <v>Abrochadora Metal Kangaroo HP-10 Pinza</v>
      </c>
      <c r="E621" s="6" t="str">
        <f>VLOOKUP(TABLA_PRECIOS[Código],LISTADO_PRODUCTOS[#All],5)</f>
        <v>N/A</v>
      </c>
      <c r="F621" s="4">
        <v>1</v>
      </c>
      <c r="G621" s="4">
        <v>1</v>
      </c>
      <c r="H621" s="6">
        <v>1</v>
      </c>
      <c r="I621" s="6"/>
      <c r="J621" s="9"/>
    </row>
    <row r="622" spans="1:10" x14ac:dyDescent="0.3">
      <c r="A622" s="4">
        <v>4372</v>
      </c>
      <c r="B622" s="6">
        <f>VLOOKUP(TABLA_PRECIOS[Código],LISTADO_PRODUCTOS[#All],2)</f>
        <v>54793</v>
      </c>
      <c r="C622" s="6" t="str">
        <f>VLOOKUP(TABLA_PRECIOS[Código],LISTADO_PRODUCTOS[#All],3)</f>
        <v xml:space="preserve">OFICINA </v>
      </c>
      <c r="D622" s="6" t="str">
        <f>VLOOKUP(TABLA_PRECIOS[Código],LISTADO_PRODUCTOS[#All],4)</f>
        <v>Broche dorado Sifap en bolsa N°14 63mm</v>
      </c>
      <c r="E622" s="6" t="str">
        <f>VLOOKUP(TABLA_PRECIOS[Código],LISTADO_PRODUCTOS[#All],5)</f>
        <v>N/A</v>
      </c>
      <c r="F622" s="4">
        <v>1</v>
      </c>
      <c r="G622" s="4">
        <v>1</v>
      </c>
      <c r="H622" s="6">
        <v>1</v>
      </c>
      <c r="I622" s="6"/>
      <c r="J622" s="9"/>
    </row>
    <row r="623" spans="1:10" x14ac:dyDescent="0.3">
      <c r="A623" s="4">
        <v>4377</v>
      </c>
      <c r="B623" s="6">
        <f>VLOOKUP(TABLA_PRECIOS[Código],LISTADO_PRODUCTOS[#All],2)</f>
        <v>54794</v>
      </c>
      <c r="C623" s="6" t="str">
        <f>VLOOKUP(TABLA_PRECIOS[Código],LISTADO_PRODUCTOS[#All],3)</f>
        <v xml:space="preserve">OFICINA </v>
      </c>
      <c r="D623" s="6" t="str">
        <f>VLOOKUP(TABLA_PRECIOS[Código],LISTADO_PRODUCTOS[#All],4)</f>
        <v>Resaltador Trabí Pastel/FLUO High Texter</v>
      </c>
      <c r="E623" s="6" t="str">
        <f>VLOOKUP(TABLA_PRECIOS[Código],LISTADO_PRODUCTOS[#All],5)</f>
        <v>N/A</v>
      </c>
      <c r="F623" s="4">
        <v>1</v>
      </c>
      <c r="G623" s="4">
        <v>1</v>
      </c>
      <c r="H623" s="6">
        <v>1</v>
      </c>
      <c r="I623" s="6"/>
      <c r="J623" s="9"/>
    </row>
    <row r="624" spans="1:10" x14ac:dyDescent="0.3">
      <c r="A624" s="4">
        <v>4382</v>
      </c>
      <c r="B624" s="6">
        <f>VLOOKUP(TABLA_PRECIOS[Código],LISTADO_PRODUCTOS[#All],2)</f>
        <v>54795</v>
      </c>
      <c r="C624" s="6" t="str">
        <f>VLOOKUP(TABLA_PRECIOS[Código],LISTADO_PRODUCTOS[#All],3)</f>
        <v xml:space="preserve">OFICINA </v>
      </c>
      <c r="D624" s="6" t="str">
        <f>VLOOKUP(TABLA_PRECIOS[Código],LISTADO_PRODUCTOS[#All],4)</f>
        <v>Notas adhesivas traslucidas extra fuerte super adhesiva</v>
      </c>
      <c r="E624" s="6" t="str">
        <f>VLOOKUP(TABLA_PRECIOS[Código],LISTADO_PRODUCTOS[#All],5)</f>
        <v>N/A</v>
      </c>
      <c r="F624" s="4">
        <v>1</v>
      </c>
      <c r="G624" s="4">
        <v>1</v>
      </c>
      <c r="H624" s="6">
        <v>1</v>
      </c>
      <c r="I624" s="6"/>
      <c r="J624" s="9"/>
    </row>
    <row r="625" spans="1:10" x14ac:dyDescent="0.3">
      <c r="A625" s="4">
        <v>4384</v>
      </c>
      <c r="B625" s="6">
        <f>VLOOKUP(TABLA_PRECIOS[Código],LISTADO_PRODUCTOS[#All],2)</f>
        <v>54796</v>
      </c>
      <c r="C625" s="6" t="str">
        <f>VLOOKUP(TABLA_PRECIOS[Código],LISTADO_PRODUCTOS[#All],3)</f>
        <v xml:space="preserve">OFICINA </v>
      </c>
      <c r="D625" s="6" t="str">
        <f>VLOOKUP(TABLA_PRECIOS[Código],LISTADO_PRODUCTOS[#All],4)</f>
        <v>Resaltador Pelikan textmarker Flash</v>
      </c>
      <c r="E625" s="6" t="str">
        <f>VLOOKUP(TABLA_PRECIOS[Código],LISTADO_PRODUCTOS[#All],5)</f>
        <v>N/A</v>
      </c>
      <c r="F625" s="4">
        <v>1</v>
      </c>
      <c r="G625" s="4">
        <v>1</v>
      </c>
      <c r="H625" s="6">
        <v>1</v>
      </c>
      <c r="I625" s="6"/>
      <c r="J625" s="9"/>
    </row>
    <row r="626" spans="1:10" x14ac:dyDescent="0.3">
      <c r="A626" s="4">
        <v>4391</v>
      </c>
      <c r="B626" s="6">
        <f>VLOOKUP(TABLA_PRECIOS[Código],LISTADO_PRODUCTOS[#All],2)</f>
        <v>54797</v>
      </c>
      <c r="C626" s="6" t="str">
        <f>VLOOKUP(TABLA_PRECIOS[Código],LISTADO_PRODUCTOS[#All],3)</f>
        <v xml:space="preserve">OFICINA </v>
      </c>
      <c r="D626" s="6" t="str">
        <f>VLOOKUP(TABLA_PRECIOS[Código],LISTADO_PRODUCTOS[#All],4)</f>
        <v>Anotador MEMO FIX formas varias Pastel</v>
      </c>
      <c r="E626" s="6" t="str">
        <f>VLOOKUP(TABLA_PRECIOS[Código],LISTADO_PRODUCTOS[#All],5)</f>
        <v>N/A</v>
      </c>
      <c r="F626" s="4">
        <v>1</v>
      </c>
      <c r="G626" s="4">
        <v>1</v>
      </c>
      <c r="H626" s="6">
        <v>1</v>
      </c>
      <c r="I626" s="6"/>
      <c r="J626" s="9"/>
    </row>
    <row r="627" spans="1:10" x14ac:dyDescent="0.3">
      <c r="A627" s="4">
        <v>4392</v>
      </c>
      <c r="B627" s="6">
        <f>VLOOKUP(TABLA_PRECIOS[Código],LISTADO_PRODUCTOS[#All],2)</f>
        <v>54798</v>
      </c>
      <c r="C627" s="6" t="str">
        <f>VLOOKUP(TABLA_PRECIOS[Código],LISTADO_PRODUCTOS[#All],3)</f>
        <v xml:space="preserve">OFICINA </v>
      </c>
      <c r="D627" s="6" t="str">
        <f>VLOOKUP(TABLA_PRECIOS[Código],LISTADO_PRODUCTOS[#All],4)</f>
        <v>Notas MEMO FIX Phantone 25x74</v>
      </c>
      <c r="E627" s="6" t="str">
        <f>VLOOKUP(TABLA_PRECIOS[Código],LISTADO_PRODUCTOS[#All],5)</f>
        <v>N/A</v>
      </c>
      <c r="F627" s="4">
        <v>1</v>
      </c>
      <c r="G627" s="4">
        <v>1</v>
      </c>
      <c r="H627" s="6">
        <v>1</v>
      </c>
      <c r="I627" s="6"/>
      <c r="J627" s="9"/>
    </row>
    <row r="628" spans="1:10" x14ac:dyDescent="0.3">
      <c r="A628" s="4">
        <v>4393</v>
      </c>
      <c r="B628" s="6">
        <f>VLOOKUP(TABLA_PRECIOS[Código],LISTADO_PRODUCTOS[#All],2)</f>
        <v>54799</v>
      </c>
      <c r="C628" s="6" t="str">
        <f>VLOOKUP(TABLA_PRECIOS[Código],LISTADO_PRODUCTOS[#All],3)</f>
        <v xml:space="preserve">OFICINA </v>
      </c>
      <c r="D628" s="6" t="str">
        <f>VLOOKUP(TABLA_PRECIOS[Código],LISTADO_PRODUCTOS[#All],4)</f>
        <v>Mini cubo notas pastel Memo Fix200h 74x74</v>
      </c>
      <c r="E628" s="6" t="str">
        <f>VLOOKUP(TABLA_PRECIOS[Código],LISTADO_PRODUCTOS[#All],5)</f>
        <v>N/A</v>
      </c>
      <c r="F628" s="4">
        <v>1</v>
      </c>
      <c r="G628" s="4">
        <v>1</v>
      </c>
      <c r="H628" s="6">
        <v>1</v>
      </c>
      <c r="I628" s="6"/>
      <c r="J628" s="9"/>
    </row>
    <row r="629" spans="1:10" x14ac:dyDescent="0.3">
      <c r="A629" s="4">
        <v>4395</v>
      </c>
      <c r="B629" s="6">
        <f>VLOOKUP(TABLA_PRECIOS[Código],LISTADO_PRODUCTOS[#All],2)</f>
        <v>54800</v>
      </c>
      <c r="C629" s="6" t="str">
        <f>VLOOKUP(TABLA_PRECIOS[Código],LISTADO_PRODUCTOS[#All],3)</f>
        <v xml:space="preserve">OFICINA </v>
      </c>
      <c r="D629" s="6" t="str">
        <f>VLOOKUP(TABLA_PRECIOS[Código],LISTADO_PRODUCTOS[#All],4)</f>
        <v>Clasificador LAMA Oficio colores vivos y negro EF202FCR</v>
      </c>
      <c r="E629" s="6" t="str">
        <f>VLOOKUP(TABLA_PRECIOS[Código],LISTADO_PRODUCTOS[#All],5)</f>
        <v>N/A</v>
      </c>
      <c r="F629" s="4">
        <v>1</v>
      </c>
      <c r="G629" s="4">
        <v>1</v>
      </c>
      <c r="H629" s="6">
        <v>1</v>
      </c>
      <c r="I629" s="6"/>
      <c r="J629" s="9"/>
    </row>
    <row r="630" spans="1:10" x14ac:dyDescent="0.3">
      <c r="A630" s="4">
        <v>4399</v>
      </c>
      <c r="B630" s="6">
        <f>VLOOKUP(TABLA_PRECIOS[Código],LISTADO_PRODUCTOS[#All],2)</f>
        <v>54801</v>
      </c>
      <c r="C630" s="6" t="str">
        <f>VLOOKUP(TABLA_PRECIOS[Código],LISTADO_PRODUCTOS[#All],3)</f>
        <v xml:space="preserve">OFICINA </v>
      </c>
      <c r="D630" s="6" t="str">
        <f>VLOOKUP(TABLA_PRECIOS[Código],LISTADO_PRODUCTOS[#All],4)</f>
        <v>Taco MEMOFIX CUBO 200h 50x50 PASTEL surt-226</v>
      </c>
      <c r="E630" s="6" t="str">
        <f>VLOOKUP(TABLA_PRECIOS[Código],LISTADO_PRODUCTOS[#All],5)</f>
        <v>N/A</v>
      </c>
      <c r="F630" s="4">
        <v>1</v>
      </c>
      <c r="G630" s="4">
        <v>1</v>
      </c>
      <c r="H630" s="6">
        <v>1</v>
      </c>
      <c r="I630" s="6"/>
      <c r="J630" s="9"/>
    </row>
    <row r="631" spans="1:10" x14ac:dyDescent="0.3">
      <c r="A631" s="4">
        <v>4405</v>
      </c>
      <c r="B631" s="6">
        <f>VLOOKUP(TABLA_PRECIOS[Código],LISTADO_PRODUCTOS[#All],2)</f>
        <v>54802</v>
      </c>
      <c r="C631" s="6" t="str">
        <f>VLOOKUP(TABLA_PRECIOS[Código],LISTADO_PRODUCTOS[#All],3)</f>
        <v xml:space="preserve">OFICINA </v>
      </c>
      <c r="D631" s="6" t="str">
        <f>VLOOKUP(TABLA_PRECIOS[Código],LISTADO_PRODUCTOS[#All],4)</f>
        <v>Taco Notas adhesivas NEON Ezco</v>
      </c>
      <c r="E631" s="6" t="str">
        <f>VLOOKUP(TABLA_PRECIOS[Código],LISTADO_PRODUCTOS[#All],5)</f>
        <v>N/A</v>
      </c>
      <c r="F631" s="4">
        <v>1</v>
      </c>
      <c r="G631" s="4">
        <v>1</v>
      </c>
      <c r="H631" s="6">
        <v>1</v>
      </c>
      <c r="I631" s="6"/>
      <c r="J631" s="9"/>
    </row>
    <row r="632" spans="1:10" x14ac:dyDescent="0.3">
      <c r="A632" s="4">
        <v>4407</v>
      </c>
      <c r="B632" s="6">
        <f>VLOOKUP(TABLA_PRECIOS[Código],LISTADO_PRODUCTOS[#All],2)</f>
        <v>54803</v>
      </c>
      <c r="C632" s="6" t="str">
        <f>VLOOKUP(TABLA_PRECIOS[Código],LISTADO_PRODUCTOS[#All],3)</f>
        <v xml:space="preserve">OFICINA </v>
      </c>
      <c r="D632" s="6" t="str">
        <f>VLOOKUP(TABLA_PRECIOS[Código],LISTADO_PRODUCTOS[#All],4)</f>
        <v>Adaptador OTG USB</v>
      </c>
      <c r="E632" s="6" t="str">
        <f>VLOOKUP(TABLA_PRECIOS[Código],LISTADO_PRODUCTOS[#All],5)</f>
        <v>N/A</v>
      </c>
      <c r="F632" s="4">
        <v>1</v>
      </c>
      <c r="G632" s="4">
        <v>1</v>
      </c>
      <c r="H632" s="6">
        <v>1</v>
      </c>
      <c r="I632" s="6"/>
      <c r="J632" s="9"/>
    </row>
    <row r="633" spans="1:10" x14ac:dyDescent="0.3">
      <c r="A633" s="4">
        <v>4408</v>
      </c>
      <c r="B633" s="6">
        <f>VLOOKUP(TABLA_PRECIOS[Código],LISTADO_PRODUCTOS[#All],2)</f>
        <v>54804</v>
      </c>
      <c r="C633" s="6" t="str">
        <f>VLOOKUP(TABLA_PRECIOS[Código],LISTADO_PRODUCTOS[#All],3)</f>
        <v xml:space="preserve">OFICINA </v>
      </c>
      <c r="D633" s="6" t="str">
        <f>VLOOKUP(TABLA_PRECIOS[Código],LISTADO_PRODUCTOS[#All],4)</f>
        <v>Cable HDMI Apro</v>
      </c>
      <c r="E633" s="6" t="str">
        <f>VLOOKUP(TABLA_PRECIOS[Código],LISTADO_PRODUCTOS[#All],5)</f>
        <v>N/A</v>
      </c>
      <c r="F633" s="4">
        <v>1</v>
      </c>
      <c r="G633" s="4">
        <v>1</v>
      </c>
      <c r="H633" s="6">
        <v>1</v>
      </c>
      <c r="I633" s="6"/>
      <c r="J633" s="9"/>
    </row>
    <row r="634" spans="1:10" x14ac:dyDescent="0.3">
      <c r="A634" s="4">
        <v>4410</v>
      </c>
      <c r="B634" s="6">
        <f>VLOOKUP(TABLA_PRECIOS[Código],LISTADO_PRODUCTOS[#All],2)</f>
        <v>54805</v>
      </c>
      <c r="C634" s="6" t="str">
        <f>VLOOKUP(TABLA_PRECIOS[Código],LISTADO_PRODUCTOS[#All],3)</f>
        <v xml:space="preserve">OFICINA </v>
      </c>
      <c r="D634" s="6" t="str">
        <f>VLOOKUP(TABLA_PRECIOS[Código],LISTADO_PRODUCTOS[#All],4)</f>
        <v>Notas adhesivas Util-of 76x127 amarillo 100h</v>
      </c>
      <c r="E634" s="6" t="str">
        <f>VLOOKUP(TABLA_PRECIOS[Código],LISTADO_PRODUCTOS[#All],5)</f>
        <v>N/A</v>
      </c>
      <c r="F634" s="4">
        <v>1</v>
      </c>
      <c r="G634" s="4">
        <v>1</v>
      </c>
      <c r="H634" s="6">
        <v>1</v>
      </c>
      <c r="I634" s="6"/>
      <c r="J634" s="9"/>
    </row>
    <row r="635" spans="1:10" x14ac:dyDescent="0.3">
      <c r="A635" s="4">
        <v>4411</v>
      </c>
      <c r="B635" s="6">
        <f>VLOOKUP(TABLA_PRECIOS[Código],LISTADO_PRODUCTOS[#All],2)</f>
        <v>54806</v>
      </c>
      <c r="C635" s="6" t="str">
        <f>VLOOKUP(TABLA_PRECIOS[Código],LISTADO_PRODUCTOS[#All],3)</f>
        <v xml:space="preserve">OFICINA </v>
      </c>
      <c r="D635" s="6" t="str">
        <f>VLOOKUP(TABLA_PRECIOS[Código],LISTADO_PRODUCTOS[#All],4)</f>
        <v>Notas adhesivas Util-of 76x102 amarilla 100h</v>
      </c>
      <c r="E635" s="6" t="str">
        <f>VLOOKUP(TABLA_PRECIOS[Código],LISTADO_PRODUCTOS[#All],5)</f>
        <v>N/A</v>
      </c>
      <c r="F635" s="4">
        <v>1</v>
      </c>
      <c r="G635" s="4">
        <v>1</v>
      </c>
      <c r="H635" s="6">
        <v>1</v>
      </c>
      <c r="I635" s="6"/>
      <c r="J635" s="9"/>
    </row>
    <row r="636" spans="1:10" x14ac:dyDescent="0.3">
      <c r="A636" s="4">
        <v>4414</v>
      </c>
      <c r="B636" s="6">
        <f>VLOOKUP(TABLA_PRECIOS[Código],LISTADO_PRODUCTOS[#All],2)</f>
        <v>54807</v>
      </c>
      <c r="C636" s="6" t="str">
        <f>VLOOKUP(TABLA_PRECIOS[Código],LISTADO_PRODUCTOS[#All],3)</f>
        <v xml:space="preserve">OFICINA </v>
      </c>
      <c r="D636" s="6" t="str">
        <f>VLOOKUP(TABLA_PRECIOS[Código],LISTADO_PRODUCTOS[#All],4)</f>
        <v xml:space="preserve">Abrochadora MIT 24/6 Pintada </v>
      </c>
      <c r="E636" s="6" t="str">
        <f>VLOOKUP(TABLA_PRECIOS[Código],LISTADO_PRODUCTOS[#All],5)</f>
        <v>N/A</v>
      </c>
      <c r="F636" s="4">
        <v>1</v>
      </c>
      <c r="G636" s="4">
        <v>1</v>
      </c>
      <c r="H636" s="6">
        <v>1</v>
      </c>
      <c r="I636" s="6"/>
      <c r="J636" s="9"/>
    </row>
    <row r="637" spans="1:10" x14ac:dyDescent="0.3">
      <c r="A637" s="4">
        <v>4415</v>
      </c>
      <c r="B637" s="6">
        <f>VLOOKUP(TABLA_PRECIOS[Código],LISTADO_PRODUCTOS[#All],2)</f>
        <v>54808</v>
      </c>
      <c r="C637" s="6" t="str">
        <f>VLOOKUP(TABLA_PRECIOS[Código],LISTADO_PRODUCTOS[#All],3)</f>
        <v xml:space="preserve">OFICINA </v>
      </c>
      <c r="D637" s="6" t="str">
        <f>VLOOKUP(TABLA_PRECIOS[Código],LISTADO_PRODUCTOS[#All],4)</f>
        <v xml:space="preserve">Perforador MIT Mediano Pintado </v>
      </c>
      <c r="E637" s="6" t="str">
        <f>VLOOKUP(TABLA_PRECIOS[Código],LISTADO_PRODUCTOS[#All],5)</f>
        <v>N/A</v>
      </c>
      <c r="F637" s="4">
        <v>1</v>
      </c>
      <c r="G637" s="4">
        <v>1</v>
      </c>
      <c r="H637" s="6">
        <v>1</v>
      </c>
      <c r="I637" s="6"/>
      <c r="J637" s="9"/>
    </row>
    <row r="638" spans="1:10" x14ac:dyDescent="0.3">
      <c r="A638" s="4">
        <v>4416</v>
      </c>
      <c r="B638" s="6">
        <f>VLOOKUP(TABLA_PRECIOS[Código],LISTADO_PRODUCTOS[#All],2)</f>
        <v>54809</v>
      </c>
      <c r="C638" s="6" t="str">
        <f>VLOOKUP(TABLA_PRECIOS[Código],LISTADO_PRODUCTOS[#All],3)</f>
        <v xml:space="preserve">OFICINA </v>
      </c>
      <c r="D638" s="6" t="str">
        <f>VLOOKUP(TABLA_PRECIOS[Código],LISTADO_PRODUCTOS[#All],4)</f>
        <v>Pizarra Blanca C/Iman alto impacto N°7 61*91</v>
      </c>
      <c r="E638" s="6" t="str">
        <f>VLOOKUP(TABLA_PRECIOS[Código],LISTADO_PRODUCTOS[#All],5)</f>
        <v>N/A</v>
      </c>
      <c r="F638" s="4">
        <v>1</v>
      </c>
      <c r="G638" s="4">
        <v>1</v>
      </c>
      <c r="H638" s="6">
        <v>1</v>
      </c>
      <c r="I638" s="6"/>
      <c r="J638" s="9"/>
    </row>
    <row r="639" spans="1:10" x14ac:dyDescent="0.3">
      <c r="A639" s="4">
        <v>4417</v>
      </c>
      <c r="B639" s="6">
        <f>VLOOKUP(TABLA_PRECIOS[Código],LISTADO_PRODUCTOS[#All],2)</f>
        <v>54810</v>
      </c>
      <c r="C639" s="6" t="str">
        <f>VLOOKUP(TABLA_PRECIOS[Código],LISTADO_PRODUCTOS[#All],3)</f>
        <v xml:space="preserve">OFICINA </v>
      </c>
      <c r="D639" s="6" t="str">
        <f>VLOOKUP(TABLA_PRECIOS[Código],LISTADO_PRODUCTOS[#All],4)</f>
        <v>Pizarra Blanca C/Iman Alto Impacto N°9 91*123</v>
      </c>
      <c r="E639" s="6" t="str">
        <f>VLOOKUP(TABLA_PRECIOS[Código],LISTADO_PRODUCTOS[#All],5)</f>
        <v>N/A</v>
      </c>
      <c r="F639" s="4">
        <v>1</v>
      </c>
      <c r="G639" s="4">
        <v>1</v>
      </c>
      <c r="H639" s="6">
        <v>1</v>
      </c>
      <c r="I639" s="6"/>
      <c r="J639" s="9"/>
    </row>
    <row r="640" spans="1:10" x14ac:dyDescent="0.3">
      <c r="A640" s="4">
        <v>4418</v>
      </c>
      <c r="B640" s="6">
        <f>VLOOKUP(TABLA_PRECIOS[Código],LISTADO_PRODUCTOS[#All],2)</f>
        <v>54811</v>
      </c>
      <c r="C640" s="6" t="str">
        <f>VLOOKUP(TABLA_PRECIOS[Código],LISTADO_PRODUCTOS[#All],3)</f>
        <v xml:space="preserve">OFICINA </v>
      </c>
      <c r="D640" s="6" t="str">
        <f>VLOOKUP(TABLA_PRECIOS[Código],LISTADO_PRODUCTOS[#All],4)</f>
        <v>Pizarra Blanca N°8 Alto Impacto 70*123</v>
      </c>
      <c r="E640" s="6" t="str">
        <f>VLOOKUP(TABLA_PRECIOS[Código],LISTADO_PRODUCTOS[#All],5)</f>
        <v>N/A</v>
      </c>
      <c r="F640" s="4">
        <v>1</v>
      </c>
      <c r="G640" s="4">
        <v>1</v>
      </c>
      <c r="H640" s="6">
        <v>1</v>
      </c>
      <c r="I640" s="6"/>
      <c r="J640" s="9"/>
    </row>
    <row r="641" spans="1:10" x14ac:dyDescent="0.3">
      <c r="A641" s="4">
        <v>4419</v>
      </c>
      <c r="B641" s="6">
        <f>VLOOKUP(TABLA_PRECIOS[Código],LISTADO_PRODUCTOS[#All],2)</f>
        <v>54812</v>
      </c>
      <c r="C641" s="6" t="str">
        <f>VLOOKUP(TABLA_PRECIOS[Código],LISTADO_PRODUCTOS[#All],3)</f>
        <v xml:space="preserve">OFICINA </v>
      </c>
      <c r="D641" s="6" t="str">
        <f>VLOOKUP(TABLA_PRECIOS[Código],LISTADO_PRODUCTOS[#All],4)</f>
        <v>Notas Adhesivas Deli animales</v>
      </c>
      <c r="E641" s="6" t="str">
        <f>VLOOKUP(TABLA_PRECIOS[Código],LISTADO_PRODUCTOS[#All],5)</f>
        <v>N/A</v>
      </c>
      <c r="F641" s="4">
        <v>1</v>
      </c>
      <c r="G641" s="4">
        <v>1</v>
      </c>
      <c r="H641" s="6">
        <v>1</v>
      </c>
      <c r="I641" s="6"/>
      <c r="J641" s="9"/>
    </row>
    <row r="642" spans="1:10" x14ac:dyDescent="0.3">
      <c r="A642" s="4">
        <v>4420</v>
      </c>
      <c r="B642" s="6">
        <f>VLOOKUP(TABLA_PRECIOS[Código],LISTADO_PRODUCTOS[#All],2)</f>
        <v>54813</v>
      </c>
      <c r="C642" s="6" t="str">
        <f>VLOOKUP(TABLA_PRECIOS[Código],LISTADO_PRODUCTOS[#All],3)</f>
        <v xml:space="preserve">OFICINA </v>
      </c>
      <c r="D642" s="6" t="str">
        <f>VLOOKUP(TABLA_PRECIOS[Código],LISTADO_PRODUCTOS[#All],4)</f>
        <v>Notas adhesivas Memo Fix 74x74 8h  decoradas</v>
      </c>
      <c r="E642" s="6" t="str">
        <f>VLOOKUP(TABLA_PRECIOS[Código],LISTADO_PRODUCTOS[#All],5)</f>
        <v>N/A</v>
      </c>
      <c r="F642" s="4">
        <v>1</v>
      </c>
      <c r="G642" s="4">
        <v>1</v>
      </c>
      <c r="H642" s="6">
        <v>1</v>
      </c>
      <c r="I642" s="6"/>
      <c r="J642" s="9"/>
    </row>
    <row r="643" spans="1:10" x14ac:dyDescent="0.3">
      <c r="A643" s="4">
        <v>4421</v>
      </c>
      <c r="B643" s="6">
        <f>VLOOKUP(TABLA_PRECIOS[Código],LISTADO_PRODUCTOS[#All],2)</f>
        <v>54814</v>
      </c>
      <c r="C643" s="6" t="str">
        <f>VLOOKUP(TABLA_PRECIOS[Código],LISTADO_PRODUCTOS[#All],3)</f>
        <v xml:space="preserve">OFICINA </v>
      </c>
      <c r="D643" s="6" t="str">
        <f>VLOOKUP(TABLA_PRECIOS[Código],LISTADO_PRODUCTOS[#All],4)</f>
        <v>Pizarra Blanca N°9 Alto Impacto 91*123</v>
      </c>
      <c r="E643" s="6" t="str">
        <f>VLOOKUP(TABLA_PRECIOS[Código],LISTADO_PRODUCTOS[#All],5)</f>
        <v>N/A</v>
      </c>
      <c r="F643" s="4">
        <v>1</v>
      </c>
      <c r="G643" s="4">
        <v>1</v>
      </c>
      <c r="H643" s="6">
        <v>1</v>
      </c>
      <c r="I643" s="6"/>
      <c r="J643" s="9"/>
    </row>
    <row r="644" spans="1:10" x14ac:dyDescent="0.3">
      <c r="A644" s="4">
        <v>4422</v>
      </c>
      <c r="B644" s="6">
        <f>VLOOKUP(TABLA_PRECIOS[Código],LISTADO_PRODUCTOS[#All],2)</f>
        <v>54815</v>
      </c>
      <c r="C644" s="6" t="str">
        <f>VLOOKUP(TABLA_PRECIOS[Código],LISTADO_PRODUCTOS[#All],3)</f>
        <v xml:space="preserve">OFICINA </v>
      </c>
      <c r="D644" s="6" t="str">
        <f>VLOOKUP(TABLA_PRECIOS[Código],LISTADO_PRODUCTOS[#All],4)</f>
        <v>Clasificador Oficio Avios Combinado</v>
      </c>
      <c r="E644" s="6" t="str">
        <f>VLOOKUP(TABLA_PRECIOS[Código],LISTADO_PRODUCTOS[#All],5)</f>
        <v>N/A</v>
      </c>
      <c r="F644" s="4">
        <v>1</v>
      </c>
      <c r="G644" s="4">
        <v>1</v>
      </c>
      <c r="H644" s="6">
        <v>1</v>
      </c>
      <c r="I644" s="6"/>
      <c r="J644" s="9"/>
    </row>
    <row r="645" spans="1:10" x14ac:dyDescent="0.3">
      <c r="A645" s="4">
        <v>4423</v>
      </c>
      <c r="B645" s="6">
        <f>VLOOKUP(TABLA_PRECIOS[Código],LISTADO_PRODUCTOS[#All],2)</f>
        <v>54816</v>
      </c>
      <c r="C645" s="6" t="str">
        <f>VLOOKUP(TABLA_PRECIOS[Código],LISTADO_PRODUCTOS[#All],3)</f>
        <v xml:space="preserve">OFICINA </v>
      </c>
      <c r="D645" s="6" t="str">
        <f>VLOOKUP(TABLA_PRECIOS[Código],LISTADO_PRODUCTOS[#All],4)</f>
        <v>Marcador de pizarra Simball</v>
      </c>
      <c r="E645" s="6" t="str">
        <f>VLOOKUP(TABLA_PRECIOS[Código],LISTADO_PRODUCTOS[#All],5)</f>
        <v>N/A</v>
      </c>
      <c r="F645" s="4">
        <v>1</v>
      </c>
      <c r="G645" s="4">
        <v>1</v>
      </c>
      <c r="H645" s="6">
        <v>1</v>
      </c>
      <c r="I645" s="6"/>
      <c r="J645" s="9"/>
    </row>
    <row r="646" spans="1:10" x14ac:dyDescent="0.3">
      <c r="A646" s="4">
        <v>4424</v>
      </c>
      <c r="B646" s="6">
        <f>VLOOKUP(TABLA_PRECIOS[Código],LISTADO_PRODUCTOS[#All],2)</f>
        <v>54817</v>
      </c>
      <c r="C646" s="6" t="str">
        <f>VLOOKUP(TABLA_PRECIOS[Código],LISTADO_PRODUCTOS[#All],3)</f>
        <v xml:space="preserve">OFICINA </v>
      </c>
      <c r="D646" s="6" t="str">
        <f>VLOOKUP(TABLA_PRECIOS[Código],LISTADO_PRODUCTOS[#All],4)</f>
        <v>Taco color FLUO Simball Office 75x75 80h</v>
      </c>
      <c r="E646" s="6" t="str">
        <f>VLOOKUP(TABLA_PRECIOS[Código],LISTADO_PRODUCTOS[#All],5)</f>
        <v>N/A</v>
      </c>
      <c r="F646" s="4">
        <v>1</v>
      </c>
      <c r="G646" s="4">
        <v>1</v>
      </c>
      <c r="H646" s="6">
        <v>1</v>
      </c>
      <c r="I646" s="6"/>
      <c r="J646" s="9"/>
    </row>
    <row r="647" spans="1:10" x14ac:dyDescent="0.3">
      <c r="A647" s="4">
        <v>4425</v>
      </c>
      <c r="B647" s="6">
        <f>VLOOKUP(TABLA_PRECIOS[Código],LISTADO_PRODUCTOS[#All],2)</f>
        <v>54818</v>
      </c>
      <c r="C647" s="6" t="str">
        <f>VLOOKUP(TABLA_PRECIOS[Código],LISTADO_PRODUCTOS[#All],3)</f>
        <v xml:space="preserve">OFICINA </v>
      </c>
      <c r="D647" s="6" t="str">
        <f>VLOOKUP(TABLA_PRECIOS[Código],LISTADO_PRODUCTOS[#All],4)</f>
        <v>Pizarra Blanca Magnetica OLAMI 35 x 43</v>
      </c>
      <c r="E647" s="6" t="str">
        <f>VLOOKUP(TABLA_PRECIOS[Código],LISTADO_PRODUCTOS[#All],5)</f>
        <v>N/A</v>
      </c>
      <c r="F647" s="4">
        <v>1</v>
      </c>
      <c r="G647" s="4">
        <v>1</v>
      </c>
      <c r="H647" s="6">
        <v>1</v>
      </c>
      <c r="I647" s="6"/>
      <c r="J647" s="9"/>
    </row>
    <row r="648" spans="1:10" x14ac:dyDescent="0.3">
      <c r="A648" s="4">
        <v>4426</v>
      </c>
      <c r="B648" s="6">
        <f>VLOOKUP(TABLA_PRECIOS[Código],LISTADO_PRODUCTOS[#All],2)</f>
        <v>54819</v>
      </c>
      <c r="C648" s="6" t="str">
        <f>VLOOKUP(TABLA_PRECIOS[Código],LISTADO_PRODUCTOS[#All],3)</f>
        <v xml:space="preserve">OFICINA </v>
      </c>
      <c r="D648" s="6" t="str">
        <f>VLOOKUP(TABLA_PRECIOS[Código],LISTADO_PRODUCTOS[#All],4)</f>
        <v>Pizarra Blanca Magnetica OLAMI 43 x 58</v>
      </c>
      <c r="E648" s="6" t="str">
        <f>VLOOKUP(TABLA_PRECIOS[Código],LISTADO_PRODUCTOS[#All],5)</f>
        <v>N/A</v>
      </c>
      <c r="F648" s="4">
        <v>1</v>
      </c>
      <c r="G648" s="4">
        <v>1</v>
      </c>
      <c r="H648" s="6">
        <v>1</v>
      </c>
      <c r="I648" s="6"/>
      <c r="J648" s="9"/>
    </row>
    <row r="649" spans="1:10" x14ac:dyDescent="0.3">
      <c r="A649" s="4">
        <v>4428</v>
      </c>
      <c r="B649" s="6">
        <f>VLOOKUP(TABLA_PRECIOS[Código],LISTADO_PRODUCTOS[#All],2)</f>
        <v>54820</v>
      </c>
      <c r="C649" s="6" t="str">
        <f>VLOOKUP(TABLA_PRECIOS[Código],LISTADO_PRODUCTOS[#All],3)</f>
        <v xml:space="preserve">OFICINA </v>
      </c>
      <c r="D649" s="6" t="str">
        <f>VLOOKUP(TABLA_PRECIOS[Código],LISTADO_PRODUCTOS[#All],4)</f>
        <v>Notas Adhesivas BOHO FW 17 stick notes distintas</v>
      </c>
      <c r="E649" s="6" t="str">
        <f>VLOOKUP(TABLA_PRECIOS[Código],LISTADO_PRODUCTOS[#All],5)</f>
        <v>N/A</v>
      </c>
      <c r="F649" s="4">
        <v>1</v>
      </c>
      <c r="G649" s="4">
        <v>1</v>
      </c>
      <c r="H649" s="6">
        <v>1</v>
      </c>
      <c r="I649" s="6"/>
      <c r="J649" s="9"/>
    </row>
    <row r="650" spans="1:10" x14ac:dyDescent="0.3">
      <c r="A650" s="4">
        <v>4431</v>
      </c>
      <c r="B650" s="6">
        <f>VLOOKUP(TABLA_PRECIOS[Código],LISTADO_PRODUCTOS[#All],2)</f>
        <v>54821</v>
      </c>
      <c r="C650" s="6" t="str">
        <f>VLOOKUP(TABLA_PRECIOS[Código],LISTADO_PRODUCTOS[#All],3)</f>
        <v xml:space="preserve">OFICINA </v>
      </c>
      <c r="D650" s="6" t="str">
        <f>VLOOKUP(TABLA_PRECIOS[Código],LISTADO_PRODUCTOS[#All],4)</f>
        <v>Blister Marcadores Permanentes NEON Sharpie x 5</v>
      </c>
      <c r="E650" s="6" t="str">
        <f>VLOOKUP(TABLA_PRECIOS[Código],LISTADO_PRODUCTOS[#All],5)</f>
        <v>N/A</v>
      </c>
      <c r="F650" s="4">
        <v>1</v>
      </c>
      <c r="G650" s="4">
        <v>1</v>
      </c>
      <c r="H650" s="6">
        <v>1</v>
      </c>
      <c r="I650" s="6"/>
      <c r="J650" s="9"/>
    </row>
    <row r="651" spans="1:10" x14ac:dyDescent="0.3">
      <c r="A651" s="4">
        <v>5001</v>
      </c>
      <c r="B651" s="6">
        <f>VLOOKUP(TABLA_PRECIOS[Código],LISTADO_PRODUCTOS[#All],2)</f>
        <v>54822</v>
      </c>
      <c r="C651" s="6" t="str">
        <f>VLOOKUP(TABLA_PRECIOS[Código],LISTADO_PRODUCTOS[#All],3)</f>
        <v>COMPUTACION</v>
      </c>
      <c r="D651" s="6" t="str">
        <f>VLOOKUP(TABLA_PRECIOS[Código],LISTADO_PRODUCTOS[#All],4)</f>
        <v>Pen Drive Verbatim 32GB Pin Stripe</v>
      </c>
      <c r="E651" s="6" t="str">
        <f>VLOOKUP(TABLA_PRECIOS[Código],LISTADO_PRODUCTOS[#All],5)</f>
        <v>N/A</v>
      </c>
      <c r="F651" s="4">
        <v>1</v>
      </c>
      <c r="G651" s="4">
        <v>1</v>
      </c>
      <c r="H651" s="6">
        <v>1</v>
      </c>
      <c r="I651" s="6"/>
      <c r="J651" s="9"/>
    </row>
    <row r="652" spans="1:10" x14ac:dyDescent="0.3">
      <c r="A652" s="4">
        <v>5002</v>
      </c>
      <c r="B652" s="6">
        <f>VLOOKUP(TABLA_PRECIOS[Código],LISTADO_PRODUCTOS[#All],2)</f>
        <v>54823</v>
      </c>
      <c r="C652" s="6" t="str">
        <f>VLOOKUP(TABLA_PRECIOS[Código],LISTADO_PRODUCTOS[#All],3)</f>
        <v>COMPUTACION</v>
      </c>
      <c r="D652" s="6" t="str">
        <f>VLOOKUP(TABLA_PRECIOS[Código],LISTADO_PRODUCTOS[#All],4)</f>
        <v>Pen Drive Verbatim 16GB Store n Go</v>
      </c>
      <c r="E652" s="6" t="str">
        <f>VLOOKUP(TABLA_PRECIOS[Código],LISTADO_PRODUCTOS[#All],5)</f>
        <v>N/A</v>
      </c>
      <c r="F652" s="4">
        <v>1</v>
      </c>
      <c r="G652" s="4">
        <v>1</v>
      </c>
      <c r="H652" s="6">
        <v>1</v>
      </c>
      <c r="I652" s="6"/>
      <c r="J652" s="9"/>
    </row>
    <row r="653" spans="1:10" x14ac:dyDescent="0.3">
      <c r="A653" s="4">
        <v>5003</v>
      </c>
      <c r="B653" s="6">
        <f>VLOOKUP(TABLA_PRECIOS[Código],LISTADO_PRODUCTOS[#All],2)</f>
        <v>54824</v>
      </c>
      <c r="C653" s="6" t="str">
        <f>VLOOKUP(TABLA_PRECIOS[Código],LISTADO_PRODUCTOS[#All],3)</f>
        <v>COMPUTACION</v>
      </c>
      <c r="D653" s="6" t="str">
        <f>VLOOKUP(TABLA_PRECIOS[Código],LISTADO_PRODUCTOS[#All],4)</f>
        <v>Pen drive Vervatim 64gb 2.0 Microban Pin Strip</v>
      </c>
      <c r="E653" s="6" t="str">
        <f>VLOOKUP(TABLA_PRECIOS[Código],LISTADO_PRODUCTOS[#All],5)</f>
        <v>N/A</v>
      </c>
      <c r="F653" s="4">
        <v>1</v>
      </c>
      <c r="G653" s="4">
        <v>1</v>
      </c>
      <c r="H653" s="6">
        <v>1</v>
      </c>
      <c r="I653" s="6"/>
      <c r="J653" s="9"/>
    </row>
    <row r="654" spans="1:10" x14ac:dyDescent="0.3">
      <c r="A654" s="4">
        <v>5009</v>
      </c>
      <c r="B654" s="6">
        <f>VLOOKUP(TABLA_PRECIOS[Código],LISTADO_PRODUCTOS[#All],2)</f>
        <v>54825</v>
      </c>
      <c r="C654" s="6" t="str">
        <f>VLOOKUP(TABLA_PRECIOS[Código],LISTADO_PRODUCTOS[#All],3)</f>
        <v>COMPUTACION</v>
      </c>
      <c r="D654" s="6" t="str">
        <f>VLOOKUP(TABLA_PRECIOS[Código],LISTADO_PRODUCTOS[#All],4)</f>
        <v>Clasificador 5 divisiones Pastel</v>
      </c>
      <c r="E654" s="6" t="str">
        <f>VLOOKUP(TABLA_PRECIOS[Código],LISTADO_PRODUCTOS[#All],5)</f>
        <v>N/A</v>
      </c>
      <c r="F654" s="4">
        <v>1</v>
      </c>
      <c r="G654" s="4">
        <v>1</v>
      </c>
      <c r="H654" s="6">
        <v>1</v>
      </c>
      <c r="I654" s="6"/>
      <c r="J654" s="9"/>
    </row>
    <row r="655" spans="1:10" x14ac:dyDescent="0.3">
      <c r="A655" s="4">
        <v>5010</v>
      </c>
      <c r="B655" s="6">
        <f>VLOOKUP(TABLA_PRECIOS[Código],LISTADO_PRODUCTOS[#All],2)</f>
        <v>54826</v>
      </c>
      <c r="C655" s="6" t="str">
        <f>VLOOKUP(TABLA_PRECIOS[Código],LISTADO_PRODUCTOS[#All],3)</f>
        <v>COMPUTACION</v>
      </c>
      <c r="D655" s="6" t="str">
        <f>VLOOKUP(TABLA_PRECIOS[Código],LISTADO_PRODUCTOS[#All],4)</f>
        <v>Auricular economico</v>
      </c>
      <c r="E655" s="6" t="str">
        <f>VLOOKUP(TABLA_PRECIOS[Código],LISTADO_PRODUCTOS[#All],5)</f>
        <v>N/A</v>
      </c>
      <c r="F655" s="4">
        <v>1</v>
      </c>
      <c r="G655" s="4">
        <v>1</v>
      </c>
      <c r="H655" s="6">
        <v>1</v>
      </c>
      <c r="I655" s="6"/>
      <c r="J655" s="9"/>
    </row>
    <row r="656" spans="1:10" x14ac:dyDescent="0.3">
      <c r="A656" s="4">
        <v>5013</v>
      </c>
      <c r="B656" s="6">
        <f>VLOOKUP(TABLA_PRECIOS[Código],LISTADO_PRODUCTOS[#All],2)</f>
        <v>54827</v>
      </c>
      <c r="C656" s="6" t="str">
        <f>VLOOKUP(TABLA_PRECIOS[Código],LISTADO_PRODUCTOS[#All],3)</f>
        <v>COMPUTACION</v>
      </c>
      <c r="D656" s="6" t="str">
        <f>VLOOKUP(TABLA_PRECIOS[Código],LISTADO_PRODUCTOS[#All],4)</f>
        <v>Disco externo Seagate 2tb</v>
      </c>
      <c r="E656" s="6" t="str">
        <f>VLOOKUP(TABLA_PRECIOS[Código],LISTADO_PRODUCTOS[#All],5)</f>
        <v>N/A</v>
      </c>
      <c r="F656" s="4">
        <v>1</v>
      </c>
      <c r="G656" s="4">
        <v>1</v>
      </c>
      <c r="H656" s="6">
        <v>1</v>
      </c>
      <c r="I656" s="6"/>
      <c r="J656" s="9"/>
    </row>
    <row r="657" spans="1:10" x14ac:dyDescent="0.3">
      <c r="A657" s="4">
        <v>5018</v>
      </c>
      <c r="B657" s="6">
        <f>VLOOKUP(TABLA_PRECIOS[Código],LISTADO_PRODUCTOS[#All],2)</f>
        <v>54828</v>
      </c>
      <c r="C657" s="6" t="str">
        <f>VLOOKUP(TABLA_PRECIOS[Código],LISTADO_PRODUCTOS[#All],3)</f>
        <v>COMPUTACION</v>
      </c>
      <c r="D657" s="6" t="str">
        <f>VLOOKUP(TABLA_PRECIOS[Código],LISTADO_PRODUCTOS[#All],4)</f>
        <v>Consola ALIEN PRO 2 videojuegos</v>
      </c>
      <c r="E657" s="6" t="str">
        <f>VLOOKUP(TABLA_PRECIOS[Código],LISTADO_PRODUCTOS[#All],5)</f>
        <v>N/A</v>
      </c>
      <c r="F657" s="4">
        <v>1</v>
      </c>
      <c r="G657" s="4">
        <v>1</v>
      </c>
      <c r="H657" s="6">
        <v>1</v>
      </c>
      <c r="I657" s="6"/>
      <c r="J657" s="9"/>
    </row>
    <row r="658" spans="1:10" x14ac:dyDescent="0.3">
      <c r="A658" s="4">
        <v>5108</v>
      </c>
      <c r="B658" s="6">
        <f>VLOOKUP(TABLA_PRECIOS[Código],LISTADO_PRODUCTOS[#All],2)</f>
        <v>54829</v>
      </c>
      <c r="C658" s="6" t="str">
        <f>VLOOKUP(TABLA_PRECIOS[Código],LISTADO_PRODUCTOS[#All],3)</f>
        <v>COMPUTACION</v>
      </c>
      <c r="D658" s="6" t="str">
        <f>VLOOKUP(TABLA_PRECIOS[Código],LISTADO_PRODUCTOS[#All],4)</f>
        <v>Calculadora Kenko de Bolsillo KK-402</v>
      </c>
      <c r="E658" s="6" t="str">
        <f>VLOOKUP(TABLA_PRECIOS[Código],LISTADO_PRODUCTOS[#All],5)</f>
        <v>N/A</v>
      </c>
      <c r="F658" s="4">
        <v>1</v>
      </c>
      <c r="G658" s="4">
        <v>1</v>
      </c>
      <c r="H658" s="6">
        <v>1</v>
      </c>
      <c r="I658" s="6"/>
      <c r="J658" s="9"/>
    </row>
    <row r="659" spans="1:10" x14ac:dyDescent="0.3">
      <c r="A659" s="4">
        <v>5109</v>
      </c>
      <c r="B659" s="6">
        <f>VLOOKUP(TABLA_PRECIOS[Código],LISTADO_PRODUCTOS[#All],2)</f>
        <v>54830</v>
      </c>
      <c r="C659" s="6" t="str">
        <f>VLOOKUP(TABLA_PRECIOS[Código],LISTADO_PRODUCTOS[#All],3)</f>
        <v>COMPUTACION</v>
      </c>
      <c r="D659" s="6" t="str">
        <f>VLOOKUP(TABLA_PRECIOS[Código],LISTADO_PRODUCTOS[#All],4)</f>
        <v>Calculadora Ecal TC37</v>
      </c>
      <c r="E659" s="6" t="str">
        <f>VLOOKUP(TABLA_PRECIOS[Código],LISTADO_PRODUCTOS[#All],5)</f>
        <v>N/A</v>
      </c>
      <c r="F659" s="4">
        <v>1</v>
      </c>
      <c r="G659" s="4">
        <v>1</v>
      </c>
      <c r="H659" s="6">
        <v>1</v>
      </c>
      <c r="I659" s="6"/>
      <c r="J659" s="9"/>
    </row>
    <row r="660" spans="1:10" x14ac:dyDescent="0.3">
      <c r="A660" s="4">
        <v>5111</v>
      </c>
      <c r="B660" s="6">
        <f>VLOOKUP(TABLA_PRECIOS[Código],LISTADO_PRODUCTOS[#All],2)</f>
        <v>54831</v>
      </c>
      <c r="C660" s="6" t="str">
        <f>VLOOKUP(TABLA_PRECIOS[Código],LISTADO_PRODUCTOS[#All],3)</f>
        <v>COMPUTACION</v>
      </c>
      <c r="D660" s="6" t="str">
        <f>VLOOKUP(TABLA_PRECIOS[Código],LISTADO_PRODUCTOS[#All],4)</f>
        <v>Calculadora Casio Fx-82 cientifica</v>
      </c>
      <c r="E660" s="6" t="str">
        <f>VLOOKUP(TABLA_PRECIOS[Código],LISTADO_PRODUCTOS[#All],5)</f>
        <v>N/A</v>
      </c>
      <c r="F660" s="4">
        <v>1</v>
      </c>
      <c r="G660" s="4">
        <v>1</v>
      </c>
      <c r="H660" s="6">
        <v>1</v>
      </c>
      <c r="I660" s="6"/>
      <c r="J660" s="9"/>
    </row>
    <row r="661" spans="1:10" x14ac:dyDescent="0.3">
      <c r="A661" s="4">
        <v>5113</v>
      </c>
      <c r="B661" s="6">
        <f>VLOOKUP(TABLA_PRECIOS[Código],LISTADO_PRODUCTOS[#All],2)</f>
        <v>54832</v>
      </c>
      <c r="C661" s="6" t="str">
        <f>VLOOKUP(TABLA_PRECIOS[Código],LISTADO_PRODUCTOS[#All],3)</f>
        <v>COMPUTACION</v>
      </c>
      <c r="D661" s="6" t="str">
        <f>VLOOKUP(TABLA_PRECIOS[Código],LISTADO_PRODUCTOS[#All],4)</f>
        <v>Calculadora Ecal TC 95 MS</v>
      </c>
      <c r="E661" s="6" t="str">
        <f>VLOOKUP(TABLA_PRECIOS[Código],LISTADO_PRODUCTOS[#All],5)</f>
        <v>N/A</v>
      </c>
      <c r="F661" s="4">
        <v>1</v>
      </c>
      <c r="G661" s="4">
        <v>1</v>
      </c>
      <c r="H661" s="6">
        <v>1</v>
      </c>
      <c r="I661" s="6"/>
      <c r="J661" s="9"/>
    </row>
    <row r="662" spans="1:10" x14ac:dyDescent="0.3">
      <c r="A662" s="4">
        <v>5114</v>
      </c>
      <c r="B662" s="6">
        <f>VLOOKUP(TABLA_PRECIOS[Código],LISTADO_PRODUCTOS[#All],2)</f>
        <v>54833</v>
      </c>
      <c r="C662" s="6" t="str">
        <f>VLOOKUP(TABLA_PRECIOS[Código],LISTADO_PRODUCTOS[#All],3)</f>
        <v>COMPUTACION</v>
      </c>
      <c r="D662" s="6" t="str">
        <f>VLOOKUP(TABLA_PRECIOS[Código],LISTADO_PRODUCTOS[#All],4)</f>
        <v>Calculadora Casio HL-820LV</v>
      </c>
      <c r="E662" s="6" t="str">
        <f>VLOOKUP(TABLA_PRECIOS[Código],LISTADO_PRODUCTOS[#All],5)</f>
        <v>N/A</v>
      </c>
      <c r="F662" s="4">
        <v>1</v>
      </c>
      <c r="G662" s="4">
        <v>1</v>
      </c>
      <c r="H662" s="6">
        <v>1</v>
      </c>
      <c r="I662" s="6"/>
      <c r="J662" s="9"/>
    </row>
    <row r="663" spans="1:10" x14ac:dyDescent="0.3">
      <c r="A663" s="4">
        <v>5115</v>
      </c>
      <c r="B663" s="6">
        <f>VLOOKUP(TABLA_PRECIOS[Código],LISTADO_PRODUCTOS[#All],2)</f>
        <v>54834</v>
      </c>
      <c r="C663" s="6" t="str">
        <f>VLOOKUP(TABLA_PRECIOS[Código],LISTADO_PRODUCTOS[#All],3)</f>
        <v>COMPUTACION</v>
      </c>
      <c r="D663" s="6" t="str">
        <f>VLOOKUP(TABLA_PRECIOS[Código],LISTADO_PRODUCTOS[#All],4)</f>
        <v>Calculadora Ecal TC 82</v>
      </c>
      <c r="E663" s="6" t="str">
        <f>VLOOKUP(TABLA_PRECIOS[Código],LISTADO_PRODUCTOS[#All],5)</f>
        <v>N/A</v>
      </c>
      <c r="F663" s="4">
        <v>1</v>
      </c>
      <c r="G663" s="4">
        <v>1</v>
      </c>
      <c r="H663" s="6">
        <v>1</v>
      </c>
      <c r="I663" s="6"/>
      <c r="J663" s="9"/>
    </row>
    <row r="664" spans="1:10" x14ac:dyDescent="0.3">
      <c r="A664" s="4">
        <v>5118</v>
      </c>
      <c r="B664" s="6">
        <f>VLOOKUP(TABLA_PRECIOS[Código],LISTADO_PRODUCTOS[#All],2)</f>
        <v>54835</v>
      </c>
      <c r="C664" s="6" t="str">
        <f>VLOOKUP(TABLA_PRECIOS[Código],LISTADO_PRODUCTOS[#All],3)</f>
        <v>COMPUTACION</v>
      </c>
      <c r="D664" s="6" t="str">
        <f>VLOOKUP(TABLA_PRECIOS[Código],LISTADO_PRODUCTOS[#All],4)</f>
        <v>Mouse Genius retractil</v>
      </c>
      <c r="E664" s="6" t="str">
        <f>VLOOKUP(TABLA_PRECIOS[Código],LISTADO_PRODUCTOS[#All],5)</f>
        <v>N/A</v>
      </c>
      <c r="F664" s="4">
        <v>1</v>
      </c>
      <c r="G664" s="4">
        <v>1</v>
      </c>
      <c r="H664" s="6">
        <v>1</v>
      </c>
      <c r="I664" s="6"/>
      <c r="J664" s="9"/>
    </row>
    <row r="665" spans="1:10" x14ac:dyDescent="0.3">
      <c r="A665" s="4">
        <v>5120</v>
      </c>
      <c r="B665" s="6">
        <f>VLOOKUP(TABLA_PRECIOS[Código],LISTADO_PRODUCTOS[#All],2)</f>
        <v>54836</v>
      </c>
      <c r="C665" s="6" t="str">
        <f>VLOOKUP(TABLA_PRECIOS[Código],LISTADO_PRODUCTOS[#All],3)</f>
        <v>COMPUTACION</v>
      </c>
      <c r="D665" s="6" t="str">
        <f>VLOOKUP(TABLA_PRECIOS[Código],LISTADO_PRODUCTOS[#All],4)</f>
        <v>Mouse Gamer GX AMMOX X1-400</v>
      </c>
      <c r="E665" s="6" t="str">
        <f>VLOOKUP(TABLA_PRECIOS[Código],LISTADO_PRODUCTOS[#All],5)</f>
        <v>N/A</v>
      </c>
      <c r="F665" s="4">
        <v>1</v>
      </c>
      <c r="G665" s="4">
        <v>1</v>
      </c>
      <c r="H665" s="6">
        <v>1</v>
      </c>
      <c r="I665" s="6"/>
      <c r="J665" s="9"/>
    </row>
    <row r="666" spans="1:10" x14ac:dyDescent="0.3">
      <c r="A666" s="4">
        <v>5129</v>
      </c>
      <c r="B666" s="6">
        <f>VLOOKUP(TABLA_PRECIOS[Código],LISTADO_PRODUCTOS[#All],2)</f>
        <v>54837</v>
      </c>
      <c r="C666" s="6" t="str">
        <f>VLOOKUP(TABLA_PRECIOS[Código],LISTADO_PRODUCTOS[#All],3)</f>
        <v>COMPUTACION</v>
      </c>
      <c r="D666" s="6" t="str">
        <f>VLOOKUP(TABLA_PRECIOS[Código],LISTADO_PRODUCTOS[#All],4)</f>
        <v>Mouse FLICA Diseños especiales inalambrico</v>
      </c>
      <c r="E666" s="6" t="str">
        <f>VLOOKUP(TABLA_PRECIOS[Código],LISTADO_PRODUCTOS[#All],5)</f>
        <v>N/A</v>
      </c>
      <c r="F666" s="4">
        <v>1</v>
      </c>
      <c r="G666" s="4">
        <v>1</v>
      </c>
      <c r="H666" s="6">
        <v>1</v>
      </c>
      <c r="I666" s="6"/>
      <c r="J666" s="9"/>
    </row>
    <row r="667" spans="1:10" x14ac:dyDescent="0.3">
      <c r="A667" s="4">
        <v>5133</v>
      </c>
      <c r="B667" s="6">
        <f>VLOOKUP(TABLA_PRECIOS[Código],LISTADO_PRODUCTOS[#All],2)</f>
        <v>54838</v>
      </c>
      <c r="C667" s="6" t="str">
        <f>VLOOKUP(TABLA_PRECIOS[Código],LISTADO_PRODUCTOS[#All],3)</f>
        <v>COMPUTACION</v>
      </c>
      <c r="D667" s="6" t="str">
        <f>VLOOKUP(TABLA_PRECIOS[Código],LISTADO_PRODUCTOS[#All],4)</f>
        <v>Brick Game 9999 in 1</v>
      </c>
      <c r="E667" s="6" t="str">
        <f>VLOOKUP(TABLA_PRECIOS[Código],LISTADO_PRODUCTOS[#All],5)</f>
        <v>N/A</v>
      </c>
      <c r="F667" s="4">
        <v>1</v>
      </c>
      <c r="G667" s="4">
        <v>1</v>
      </c>
      <c r="H667" s="6">
        <v>1</v>
      </c>
      <c r="I667" s="6"/>
      <c r="J667" s="9"/>
    </row>
    <row r="668" spans="1:10" x14ac:dyDescent="0.3">
      <c r="A668" s="4">
        <v>5134</v>
      </c>
      <c r="B668" s="6">
        <f>VLOOKUP(TABLA_PRECIOS[Código],LISTADO_PRODUCTOS[#All],2)</f>
        <v>54839</v>
      </c>
      <c r="C668" s="6" t="str">
        <f>VLOOKUP(TABLA_PRECIOS[Código],LISTADO_PRODUCTOS[#All],3)</f>
        <v>COMPUTACION</v>
      </c>
      <c r="D668" s="6" t="str">
        <f>VLOOKUP(TABLA_PRECIOS[Código],LISTADO_PRODUCTOS[#All],4)</f>
        <v>Pad Mouse FLICA Eco Cuero</v>
      </c>
      <c r="E668" s="6" t="str">
        <f>VLOOKUP(TABLA_PRECIOS[Código],LISTADO_PRODUCTOS[#All],5)</f>
        <v>N/A</v>
      </c>
      <c r="F668" s="4">
        <v>1</v>
      </c>
      <c r="G668" s="4">
        <v>1</v>
      </c>
      <c r="H668" s="6">
        <v>1</v>
      </c>
      <c r="I668" s="6"/>
      <c r="J668" s="9"/>
    </row>
    <row r="669" spans="1:10" x14ac:dyDescent="0.3">
      <c r="A669" s="4">
        <v>5140</v>
      </c>
      <c r="B669" s="6">
        <f>VLOOKUP(TABLA_PRECIOS[Código],LISTADO_PRODUCTOS[#All],2)</f>
        <v>54840</v>
      </c>
      <c r="C669" s="6" t="str">
        <f>VLOOKUP(TABLA_PRECIOS[Código],LISTADO_PRODUCTOS[#All],3)</f>
        <v>COMPUTACION</v>
      </c>
      <c r="D669" s="6" t="str">
        <f>VLOOKUP(TABLA_PRECIOS[Código],LISTADO_PRODUCTOS[#All],4)</f>
        <v>Funda tablet 7" NOGA</v>
      </c>
      <c r="E669" s="6" t="str">
        <f>VLOOKUP(TABLA_PRECIOS[Código],LISTADO_PRODUCTOS[#All],5)</f>
        <v>N/A</v>
      </c>
      <c r="F669" s="4">
        <v>1</v>
      </c>
      <c r="G669" s="4">
        <v>1</v>
      </c>
      <c r="H669" s="6">
        <v>1</v>
      </c>
      <c r="I669" s="6"/>
      <c r="J669" s="9"/>
    </row>
    <row r="670" spans="1:10" x14ac:dyDescent="0.3">
      <c r="A670" s="4">
        <v>5143</v>
      </c>
      <c r="B670" s="6">
        <f>VLOOKUP(TABLA_PRECIOS[Código],LISTADO_PRODUCTOS[#All],2)</f>
        <v>54841</v>
      </c>
      <c r="C670" s="6" t="str">
        <f>VLOOKUP(TABLA_PRECIOS[Código],LISTADO_PRODUCTOS[#All],3)</f>
        <v>COMPUTACION</v>
      </c>
      <c r="D670" s="6" t="str">
        <f>VLOOKUP(TABLA_PRECIOS[Código],LISTADO_PRODUCTOS[#All],4)</f>
        <v>Parlante Genius SP-HF180 6wRMS</v>
      </c>
      <c r="E670" s="6" t="str">
        <f>VLOOKUP(TABLA_PRECIOS[Código],LISTADO_PRODUCTOS[#All],5)</f>
        <v>N/A</v>
      </c>
      <c r="F670" s="4">
        <v>1</v>
      </c>
      <c r="G670" s="4">
        <v>1</v>
      </c>
      <c r="H670" s="6">
        <v>1</v>
      </c>
      <c r="I670" s="6"/>
      <c r="J670" s="9"/>
    </row>
    <row r="671" spans="1:10" x14ac:dyDescent="0.3">
      <c r="A671" s="4">
        <v>5146</v>
      </c>
      <c r="B671" s="6">
        <f>VLOOKUP(TABLA_PRECIOS[Código],LISTADO_PRODUCTOS[#All],2)</f>
        <v>54842</v>
      </c>
      <c r="C671" s="6" t="str">
        <f>VLOOKUP(TABLA_PRECIOS[Código],LISTADO_PRODUCTOS[#All],3)</f>
        <v>COMPUTACION</v>
      </c>
      <c r="D671" s="6" t="str">
        <f>VLOOKUP(TABLA_PRECIOS[Código],LISTADO_PRODUCTOS[#All],4)</f>
        <v>Auricular Genius sobre oreja HS-M270</v>
      </c>
      <c r="E671" s="6" t="str">
        <f>VLOOKUP(TABLA_PRECIOS[Código],LISTADO_PRODUCTOS[#All],5)</f>
        <v>N/A</v>
      </c>
      <c r="F671" s="4">
        <v>1</v>
      </c>
      <c r="G671" s="4">
        <v>1</v>
      </c>
      <c r="H671" s="6">
        <v>1</v>
      </c>
      <c r="I671" s="6"/>
      <c r="J671" s="9"/>
    </row>
    <row r="672" spans="1:10" x14ac:dyDescent="0.3">
      <c r="A672" s="4">
        <v>5148</v>
      </c>
      <c r="B672" s="6">
        <f>VLOOKUP(TABLA_PRECIOS[Código],LISTADO_PRODUCTOS[#All],2)</f>
        <v>54843</v>
      </c>
      <c r="C672" s="6" t="str">
        <f>VLOOKUP(TABLA_PRECIOS[Código],LISTADO_PRODUCTOS[#All],3)</f>
        <v>COMPUTACION</v>
      </c>
      <c r="D672" s="6" t="str">
        <f>VLOOKUP(TABLA_PRECIOS[Código],LISTADO_PRODUCTOS[#All],4)</f>
        <v>Teclado inalambrico compacto LOGITECH K230</v>
      </c>
      <c r="E672" s="6" t="str">
        <f>VLOOKUP(TABLA_PRECIOS[Código],LISTADO_PRODUCTOS[#All],5)</f>
        <v>N/A</v>
      </c>
      <c r="F672" s="4">
        <v>1</v>
      </c>
      <c r="G672" s="4">
        <v>1</v>
      </c>
      <c r="H672" s="6">
        <v>1</v>
      </c>
      <c r="I672" s="6"/>
      <c r="J672" s="9"/>
    </row>
    <row r="673" spans="1:10" x14ac:dyDescent="0.3">
      <c r="A673" s="4">
        <v>5167</v>
      </c>
      <c r="B673" s="6">
        <f>VLOOKUP(TABLA_PRECIOS[Código],LISTADO_PRODUCTOS[#All],2)</f>
        <v>54844</v>
      </c>
      <c r="C673" s="6" t="str">
        <f>VLOOKUP(TABLA_PRECIOS[Código],LISTADO_PRODUCTOS[#All],3)</f>
        <v>COMPUTACION</v>
      </c>
      <c r="D673" s="6" t="str">
        <f>VLOOKUP(TABLA_PRECIOS[Código],LISTADO_PRODUCTOS[#All],4)</f>
        <v>Mini teclado numerico NETMAK NM KB240</v>
      </c>
      <c r="E673" s="6" t="str">
        <f>VLOOKUP(TABLA_PRECIOS[Código],LISTADO_PRODUCTOS[#All],5)</f>
        <v>N/A</v>
      </c>
      <c r="F673" s="4">
        <v>1</v>
      </c>
      <c r="G673" s="4">
        <v>1</v>
      </c>
      <c r="H673" s="6">
        <v>1</v>
      </c>
      <c r="I673" s="6"/>
      <c r="J673" s="9"/>
    </row>
    <row r="674" spans="1:10" x14ac:dyDescent="0.3">
      <c r="A674" s="4">
        <v>5170</v>
      </c>
      <c r="B674" s="6">
        <f>VLOOKUP(TABLA_PRECIOS[Código],LISTADO_PRODUCTOS[#All],2)</f>
        <v>54845</v>
      </c>
      <c r="C674" s="6" t="str">
        <f>VLOOKUP(TABLA_PRECIOS[Código],LISTADO_PRODUCTOS[#All],3)</f>
        <v>COMPUTACION</v>
      </c>
      <c r="D674" s="6" t="str">
        <f>VLOOKUP(TABLA_PRECIOS[Código],LISTADO_PRODUCTOS[#All],4)</f>
        <v>Cargador USB Energizer</v>
      </c>
      <c r="E674" s="6" t="str">
        <f>VLOOKUP(TABLA_PRECIOS[Código],LISTADO_PRODUCTOS[#All],5)</f>
        <v>N/A</v>
      </c>
      <c r="F674" s="4">
        <v>1</v>
      </c>
      <c r="G674" s="4">
        <v>1</v>
      </c>
      <c r="H674" s="6">
        <v>1</v>
      </c>
      <c r="I674" s="6"/>
      <c r="J674" s="9"/>
    </row>
    <row r="675" spans="1:10" x14ac:dyDescent="0.3">
      <c r="A675" s="4">
        <v>5189</v>
      </c>
      <c r="B675" s="6">
        <f>VLOOKUP(TABLA_PRECIOS[Código],LISTADO_PRODUCTOS[#All],2)</f>
        <v>54846</v>
      </c>
      <c r="C675" s="6" t="str">
        <f>VLOOKUP(TABLA_PRECIOS[Código],LISTADO_PRODUCTOS[#All],3)</f>
        <v>COMPUTACION</v>
      </c>
      <c r="D675" s="6" t="str">
        <f>VLOOKUP(TABLA_PRECIOS[Código],LISTADO_PRODUCTOS[#All],4)</f>
        <v>Cable audio Mini plug - mini plug (Rojo)</v>
      </c>
      <c r="E675" s="6" t="str">
        <f>VLOOKUP(TABLA_PRECIOS[Código],LISTADO_PRODUCTOS[#All],5)</f>
        <v>N/A</v>
      </c>
      <c r="F675" s="4">
        <v>1</v>
      </c>
      <c r="G675" s="4">
        <v>1</v>
      </c>
      <c r="H675" s="6">
        <v>1</v>
      </c>
      <c r="I675" s="6"/>
      <c r="J675" s="9"/>
    </row>
    <row r="676" spans="1:10" x14ac:dyDescent="0.3">
      <c r="A676" s="4">
        <v>5192</v>
      </c>
      <c r="B676" s="6">
        <f>VLOOKUP(TABLA_PRECIOS[Código],LISTADO_PRODUCTOS[#All],2)</f>
        <v>54847</v>
      </c>
      <c r="C676" s="6" t="str">
        <f>VLOOKUP(TABLA_PRECIOS[Código],LISTADO_PRODUCTOS[#All],3)</f>
        <v>COMPUTACION</v>
      </c>
      <c r="D676" s="6" t="str">
        <f>VLOOKUP(TABLA_PRECIOS[Código],LISTADO_PRODUCTOS[#All],4)</f>
        <v>Equipo de audio para motos</v>
      </c>
      <c r="E676" s="6" t="str">
        <f>VLOOKUP(TABLA_PRECIOS[Código],LISTADO_PRODUCTOS[#All],5)</f>
        <v>N/A</v>
      </c>
      <c r="F676" s="4">
        <v>1</v>
      </c>
      <c r="G676" s="4">
        <v>1</v>
      </c>
      <c r="H676" s="6">
        <v>1</v>
      </c>
      <c r="I676" s="6"/>
      <c r="J676" s="9"/>
    </row>
    <row r="677" spans="1:10" x14ac:dyDescent="0.3">
      <c r="A677" s="4">
        <v>5194</v>
      </c>
      <c r="B677" s="6">
        <f>VLOOKUP(TABLA_PRECIOS[Código],LISTADO_PRODUCTOS[#All],2)</f>
        <v>54848</v>
      </c>
      <c r="C677" s="6" t="str">
        <f>VLOOKUP(TABLA_PRECIOS[Código],LISTADO_PRODUCTOS[#All],3)</f>
        <v>COMPUTACION</v>
      </c>
      <c r="D677" s="6" t="str">
        <f>VLOOKUP(TABLA_PRECIOS[Código],LISTADO_PRODUCTOS[#All],4)</f>
        <v>Mouse inalambrico Genius NX-7000</v>
      </c>
      <c r="E677" s="6" t="str">
        <f>VLOOKUP(TABLA_PRECIOS[Código],LISTADO_PRODUCTOS[#All],5)</f>
        <v>N/A</v>
      </c>
      <c r="F677" s="4">
        <v>1</v>
      </c>
      <c r="G677" s="4">
        <v>1</v>
      </c>
      <c r="H677" s="6">
        <v>1</v>
      </c>
      <c r="I677" s="6"/>
      <c r="J677" s="9"/>
    </row>
    <row r="678" spans="1:10" x14ac:dyDescent="0.3">
      <c r="A678" s="4">
        <v>5202</v>
      </c>
      <c r="B678" s="6">
        <f>VLOOKUP(TABLA_PRECIOS[Código],LISTADO_PRODUCTOS[#All],2)</f>
        <v>54849</v>
      </c>
      <c r="C678" s="6" t="str">
        <f>VLOOKUP(TABLA_PRECIOS[Código],LISTADO_PRODUCTOS[#All],3)</f>
        <v>COMPUTACION</v>
      </c>
      <c r="D678" s="6" t="str">
        <f>VLOOKUP(TABLA_PRECIOS[Código],LISTADO_PRODUCTOS[#All],4)</f>
        <v>Joestick para Celu</v>
      </c>
      <c r="E678" s="6" t="str">
        <f>VLOOKUP(TABLA_PRECIOS[Código],LISTADO_PRODUCTOS[#All],5)</f>
        <v>N/A</v>
      </c>
      <c r="F678" s="4">
        <v>1</v>
      </c>
      <c r="G678" s="4">
        <v>1</v>
      </c>
      <c r="H678" s="6">
        <v>1</v>
      </c>
      <c r="I678" s="6"/>
      <c r="J678" s="9"/>
    </row>
    <row r="679" spans="1:10" x14ac:dyDescent="0.3">
      <c r="A679" s="4">
        <v>5204</v>
      </c>
      <c r="B679" s="6">
        <f>VLOOKUP(TABLA_PRECIOS[Código],LISTADO_PRODUCTOS[#All],2)</f>
        <v>54850</v>
      </c>
      <c r="C679" s="6" t="str">
        <f>VLOOKUP(TABLA_PRECIOS[Código],LISTADO_PRODUCTOS[#All],3)</f>
        <v>COMPUTACION</v>
      </c>
      <c r="D679" s="6" t="str">
        <f>VLOOKUP(TABLA_PRECIOS[Código],LISTADO_PRODUCTOS[#All],4)</f>
        <v>Reposa celular piramide soporte diferentes angulos 228747</v>
      </c>
      <c r="E679" s="6" t="str">
        <f>VLOOKUP(TABLA_PRECIOS[Código],LISTADO_PRODUCTOS[#All],5)</f>
        <v>N/A</v>
      </c>
      <c r="F679" s="4">
        <v>1</v>
      </c>
      <c r="G679" s="4">
        <v>1</v>
      </c>
      <c r="H679" s="6">
        <v>1</v>
      </c>
      <c r="I679" s="6"/>
      <c r="J679" s="9"/>
    </row>
    <row r="680" spans="1:10" x14ac:dyDescent="0.3">
      <c r="A680" s="4">
        <v>5207</v>
      </c>
      <c r="B680" s="6">
        <f>VLOOKUP(TABLA_PRECIOS[Código],LISTADO_PRODUCTOS[#All],2)</f>
        <v>54851</v>
      </c>
      <c r="C680" s="6" t="str">
        <f>VLOOKUP(TABLA_PRECIOS[Código],LISTADO_PRODUCTOS[#All],3)</f>
        <v>COMPUTACION</v>
      </c>
      <c r="D680" s="6" t="str">
        <f>VLOOKUP(TABLA_PRECIOS[Código],LISTADO_PRODUCTOS[#All],4)</f>
        <v>Cable iphone en bolsita suelto</v>
      </c>
      <c r="E680" s="6" t="str">
        <f>VLOOKUP(TABLA_PRECIOS[Código],LISTADO_PRODUCTOS[#All],5)</f>
        <v>N/A</v>
      </c>
      <c r="F680" s="4">
        <v>1</v>
      </c>
      <c r="G680" s="4">
        <v>1</v>
      </c>
      <c r="H680" s="6">
        <v>1</v>
      </c>
      <c r="I680" s="6"/>
      <c r="J680" s="9"/>
    </row>
    <row r="681" spans="1:10" x14ac:dyDescent="0.3">
      <c r="A681" s="4">
        <v>5213</v>
      </c>
      <c r="B681" s="6">
        <f>VLOOKUP(TABLA_PRECIOS[Código],LISTADO_PRODUCTOS[#All],2)</f>
        <v>54852</v>
      </c>
      <c r="C681" s="6" t="str">
        <f>VLOOKUP(TABLA_PRECIOS[Código],LISTADO_PRODUCTOS[#All],3)</f>
        <v>COMPUTACION</v>
      </c>
      <c r="D681" s="6" t="str">
        <f>VLOOKUP(TABLA_PRECIOS[Código],LISTADO_PRODUCTOS[#All],4)</f>
        <v>Auricular sobre oreja</v>
      </c>
      <c r="E681" s="6" t="str">
        <f>VLOOKUP(TABLA_PRECIOS[Código],LISTADO_PRODUCTOS[#All],5)</f>
        <v>N/A</v>
      </c>
      <c r="F681" s="4">
        <v>1</v>
      </c>
      <c r="G681" s="4">
        <v>1</v>
      </c>
      <c r="H681" s="6">
        <v>1</v>
      </c>
      <c r="I681" s="6"/>
      <c r="J681" s="9"/>
    </row>
    <row r="682" spans="1:10" x14ac:dyDescent="0.3">
      <c r="A682" s="4">
        <v>5219</v>
      </c>
      <c r="B682" s="6">
        <f>VLOOKUP(TABLA_PRECIOS[Código],LISTADO_PRODUCTOS[#All],2)</f>
        <v>54853</v>
      </c>
      <c r="C682" s="6" t="str">
        <f>VLOOKUP(TABLA_PRECIOS[Código],LISTADO_PRODUCTOS[#All],3)</f>
        <v>COMPUTACION</v>
      </c>
      <c r="D682" s="6" t="str">
        <f>VLOOKUP(TABLA_PRECIOS[Código],LISTADO_PRODUCTOS[#All],4)</f>
        <v>Calculadora ECAL TC63</v>
      </c>
      <c r="E682" s="6" t="str">
        <f>VLOOKUP(TABLA_PRECIOS[Código],LISTADO_PRODUCTOS[#All],5)</f>
        <v>N/A</v>
      </c>
      <c r="F682" s="4">
        <v>1</v>
      </c>
      <c r="G682" s="4">
        <v>1</v>
      </c>
      <c r="H682" s="6">
        <v>1</v>
      </c>
      <c r="I682" s="6"/>
      <c r="J682" s="9"/>
    </row>
    <row r="683" spans="1:10" x14ac:dyDescent="0.3">
      <c r="A683" s="4">
        <v>5226</v>
      </c>
      <c r="B683" s="6">
        <f>VLOOKUP(TABLA_PRECIOS[Código],LISTADO_PRODUCTOS[#All],2)</f>
        <v>54854</v>
      </c>
      <c r="C683" s="6" t="str">
        <f>VLOOKUP(TABLA_PRECIOS[Código],LISTADO_PRODUCTOS[#All],3)</f>
        <v>COMPUTACION</v>
      </c>
      <c r="D683" s="6" t="str">
        <f>VLOOKUP(TABLA_PRECIOS[Código],LISTADO_PRODUCTOS[#All],4)</f>
        <v>Bateria cargador  Power Bank chato</v>
      </c>
      <c r="E683" s="6" t="str">
        <f>VLOOKUP(TABLA_PRECIOS[Código],LISTADO_PRODUCTOS[#All],5)</f>
        <v>N/A</v>
      </c>
      <c r="F683" s="4">
        <v>1</v>
      </c>
      <c r="G683" s="4">
        <v>1</v>
      </c>
      <c r="H683" s="6">
        <v>1</v>
      </c>
      <c r="I683" s="6"/>
      <c r="J683" s="9"/>
    </row>
    <row r="684" spans="1:10" x14ac:dyDescent="0.3">
      <c r="A684" s="4">
        <v>5227</v>
      </c>
      <c r="B684" s="6">
        <f>VLOOKUP(TABLA_PRECIOS[Código],LISTADO_PRODUCTOS[#All],2)</f>
        <v>54855</v>
      </c>
      <c r="C684" s="6" t="str">
        <f>VLOOKUP(TABLA_PRECIOS[Código],LISTADO_PRODUCTOS[#All],3)</f>
        <v>COMPUTACION</v>
      </c>
      <c r="D684" s="6" t="str">
        <f>VLOOKUP(TABLA_PRECIOS[Código],LISTADO_PRODUCTOS[#All],4)</f>
        <v>Teclado + mouse IBEK BK-811</v>
      </c>
      <c r="E684" s="6" t="str">
        <f>VLOOKUP(TABLA_PRECIOS[Código],LISTADO_PRODUCTOS[#All],5)</f>
        <v>N/A</v>
      </c>
      <c r="F684" s="4">
        <v>1</v>
      </c>
      <c r="G684" s="4">
        <v>1</v>
      </c>
      <c r="H684" s="6">
        <v>1</v>
      </c>
      <c r="I684" s="6"/>
      <c r="J684" s="9"/>
    </row>
    <row r="685" spans="1:10" x14ac:dyDescent="0.3">
      <c r="A685" s="4">
        <v>5228</v>
      </c>
      <c r="B685" s="6">
        <f>VLOOKUP(TABLA_PRECIOS[Código],LISTADO_PRODUCTOS[#All],2)</f>
        <v>54856</v>
      </c>
      <c r="C685" s="6" t="str">
        <f>VLOOKUP(TABLA_PRECIOS[Código],LISTADO_PRODUCTOS[#All],3)</f>
        <v>COMPUTACION</v>
      </c>
      <c r="D685" s="6" t="str">
        <f>VLOOKUP(TABLA_PRECIOS[Código],LISTADO_PRODUCTOS[#All],4)</f>
        <v>Calculadora Motex doble visor KK-8585-12</v>
      </c>
      <c r="E685" s="6" t="str">
        <f>VLOOKUP(TABLA_PRECIOS[Código],LISTADO_PRODUCTOS[#All],5)</f>
        <v>N/A</v>
      </c>
      <c r="F685" s="4">
        <v>1</v>
      </c>
      <c r="G685" s="4">
        <v>1</v>
      </c>
      <c r="H685" s="6">
        <v>1</v>
      </c>
      <c r="I685" s="6"/>
      <c r="J685" s="9"/>
    </row>
    <row r="686" spans="1:10" x14ac:dyDescent="0.3">
      <c r="A686" s="4">
        <v>5229</v>
      </c>
      <c r="B686" s="6">
        <f>VLOOKUP(TABLA_PRECIOS[Código],LISTADO_PRODUCTOS[#All],2)</f>
        <v>54857</v>
      </c>
      <c r="C686" s="6" t="str">
        <f>VLOOKUP(TABLA_PRECIOS[Código],LISTADO_PRODUCTOS[#All],3)</f>
        <v>COMPUTACION</v>
      </c>
      <c r="D686" s="6" t="str">
        <f>VLOOKUP(TABLA_PRECIOS[Código],LISTADO_PRODUCTOS[#All],4)</f>
        <v>Cable Samsung USB - Type C</v>
      </c>
      <c r="E686" s="6" t="str">
        <f>VLOOKUP(TABLA_PRECIOS[Código],LISTADO_PRODUCTOS[#All],5)</f>
        <v>N/A</v>
      </c>
      <c r="F686" s="4">
        <v>1</v>
      </c>
      <c r="G686" s="4">
        <v>1</v>
      </c>
      <c r="H686" s="6">
        <v>1</v>
      </c>
      <c r="I686" s="6"/>
      <c r="J686" s="9"/>
    </row>
    <row r="687" spans="1:10" x14ac:dyDescent="0.3">
      <c r="A687" s="4">
        <v>5230</v>
      </c>
      <c r="B687" s="6">
        <f>VLOOKUP(TABLA_PRECIOS[Código],LISTADO_PRODUCTOS[#All],2)</f>
        <v>54858</v>
      </c>
      <c r="C687" s="6" t="str">
        <f>VLOOKUP(TABLA_PRECIOS[Código],LISTADO_PRODUCTOS[#All],3)</f>
        <v>COMPUTACION</v>
      </c>
      <c r="D687" s="6" t="str">
        <f>VLOOKUP(TABLA_PRECIOS[Código],LISTADO_PRODUCTOS[#All],4)</f>
        <v>Calculadora Casio MW-5V-WE</v>
      </c>
      <c r="E687" s="6" t="str">
        <f>VLOOKUP(TABLA_PRECIOS[Código],LISTADO_PRODUCTOS[#All],5)</f>
        <v>N/A</v>
      </c>
      <c r="F687" s="4">
        <v>1</v>
      </c>
      <c r="G687" s="4">
        <v>1</v>
      </c>
      <c r="H687" s="6">
        <v>1</v>
      </c>
      <c r="I687" s="6"/>
      <c r="J687" s="9"/>
    </row>
    <row r="688" spans="1:10" x14ac:dyDescent="0.3">
      <c r="A688" s="4">
        <v>5231</v>
      </c>
      <c r="B688" s="6">
        <f>VLOOKUP(TABLA_PRECIOS[Código],LISTADO_PRODUCTOS[#All],2)</f>
        <v>54859</v>
      </c>
      <c r="C688" s="6" t="str">
        <f>VLOOKUP(TABLA_PRECIOS[Código],LISTADO_PRODUCTOS[#All],3)</f>
        <v>COMPUTACION</v>
      </c>
      <c r="D688" s="6" t="str">
        <f>VLOOKUP(TABLA_PRECIOS[Código],LISTADO_PRODUCTOS[#All],4)</f>
        <v>Cable Fast Charging Samsung Galaxy Note</v>
      </c>
      <c r="E688" s="6" t="str">
        <f>VLOOKUP(TABLA_PRECIOS[Código],LISTADO_PRODUCTOS[#All],5)</f>
        <v>N/A</v>
      </c>
      <c r="F688" s="4">
        <v>1</v>
      </c>
      <c r="G688" s="4">
        <v>1</v>
      </c>
      <c r="H688" s="6">
        <v>1</v>
      </c>
      <c r="I688" s="6"/>
      <c r="J688" s="9"/>
    </row>
    <row r="689" spans="1:10" x14ac:dyDescent="0.3">
      <c r="A689" s="4">
        <v>5233</v>
      </c>
      <c r="B689" s="6">
        <f>VLOOKUP(TABLA_PRECIOS[Código],LISTADO_PRODUCTOS[#All],2)</f>
        <v>54860</v>
      </c>
      <c r="C689" s="6" t="str">
        <f>VLOOKUP(TABLA_PRECIOS[Código],LISTADO_PRODUCTOS[#All],3)</f>
        <v>COMPUTACION</v>
      </c>
      <c r="D689" s="6" t="str">
        <f>VLOOKUP(TABLA_PRECIOS[Código],LISTADO_PRODUCTOS[#All],4)</f>
        <v>Toner Global para Xerox Phaser 3020</v>
      </c>
      <c r="E689" s="6" t="str">
        <f>VLOOKUP(TABLA_PRECIOS[Código],LISTADO_PRODUCTOS[#All],5)</f>
        <v>N/A</v>
      </c>
      <c r="F689" s="4">
        <v>1</v>
      </c>
      <c r="G689" s="4">
        <v>1</v>
      </c>
      <c r="H689" s="6">
        <v>1</v>
      </c>
      <c r="I689" s="6"/>
      <c r="J689" s="9"/>
    </row>
    <row r="690" spans="1:10" x14ac:dyDescent="0.3">
      <c r="A690" s="4">
        <v>6100</v>
      </c>
      <c r="B690" s="6">
        <f>VLOOKUP(TABLA_PRECIOS[Código],LISTADO_PRODUCTOS[#All],2)</f>
        <v>54861</v>
      </c>
      <c r="C690" s="6" t="str">
        <f>VLOOKUP(TABLA_PRECIOS[Código],LISTADO_PRODUCTOS[#All],3)</f>
        <v>LIBROS</v>
      </c>
      <c r="D690" s="6" t="str">
        <f>VLOOKUP(TABLA_PRECIOS[Código],LISTADO_PRODUCTOS[#All],4)</f>
        <v>El Principito Catapulta Junior</v>
      </c>
      <c r="E690" s="6" t="str">
        <f>VLOOKUP(TABLA_PRECIOS[Código],LISTADO_PRODUCTOS[#All],5)</f>
        <v>N/A</v>
      </c>
      <c r="F690" s="4">
        <v>1</v>
      </c>
      <c r="G690" s="4">
        <v>1</v>
      </c>
      <c r="H690" s="6">
        <v>1</v>
      </c>
      <c r="I690" s="6"/>
      <c r="J690" s="9"/>
    </row>
    <row r="691" spans="1:10" x14ac:dyDescent="0.3">
      <c r="A691" s="4">
        <v>6101</v>
      </c>
      <c r="B691" s="6">
        <f>VLOOKUP(TABLA_PRECIOS[Código],LISTADO_PRODUCTOS[#All],2)</f>
        <v>54862</v>
      </c>
      <c r="C691" s="6" t="str">
        <f>VLOOKUP(TABLA_PRECIOS[Código],LISTADO_PRODUCTOS[#All],3)</f>
        <v>LIBROS</v>
      </c>
      <c r="D691" s="6" t="str">
        <f>VLOOKUP(TABLA_PRECIOS[Código],LISTADO_PRODUCTOS[#All],4)</f>
        <v>Set Mi primer libro de actividades + 24 colores Filgo</v>
      </c>
      <c r="E691" s="6" t="str">
        <f>VLOOKUP(TABLA_PRECIOS[Código],LISTADO_PRODUCTOS[#All],5)</f>
        <v>N/A</v>
      </c>
      <c r="F691" s="4">
        <v>1</v>
      </c>
      <c r="G691" s="4">
        <v>1</v>
      </c>
      <c r="H691" s="6">
        <v>1</v>
      </c>
      <c r="I691" s="6"/>
      <c r="J691" s="9"/>
    </row>
    <row r="692" spans="1:10" x14ac:dyDescent="0.3">
      <c r="A692" s="4">
        <v>6102</v>
      </c>
      <c r="B692" s="6">
        <f>VLOOKUP(TABLA_PRECIOS[Código],LISTADO_PRODUCTOS[#All],2)</f>
        <v>54863</v>
      </c>
      <c r="C692" s="6" t="str">
        <f>VLOOKUP(TABLA_PRECIOS[Código],LISTADO_PRODUCTOS[#All],3)</f>
        <v>LIBROS</v>
      </c>
      <c r="D692" s="6" t="str">
        <f>VLOOKUP(TABLA_PRECIOS[Código],LISTADO_PRODUCTOS[#All],4)</f>
        <v xml:space="preserve">Libro Paleta Magica de colores (12 Posters con acuarelas en cada pagina) </v>
      </c>
      <c r="E692" s="6" t="str">
        <f>VLOOKUP(TABLA_PRECIOS[Código],LISTADO_PRODUCTOS[#All],5)</f>
        <v>N/A</v>
      </c>
      <c r="F692" s="4">
        <v>1</v>
      </c>
      <c r="G692" s="4">
        <v>1</v>
      </c>
      <c r="H692" s="6">
        <v>1</v>
      </c>
      <c r="I692" s="6"/>
      <c r="J692" s="9"/>
    </row>
    <row r="693" spans="1:10" x14ac:dyDescent="0.3">
      <c r="A693" s="4">
        <v>6105</v>
      </c>
      <c r="B693" s="6">
        <f>VLOOKUP(TABLA_PRECIOS[Código],LISTADO_PRODUCTOS[#All],2)</f>
        <v>54864</v>
      </c>
      <c r="C693" s="6" t="str">
        <f>VLOOKUP(TABLA_PRECIOS[Código],LISTADO_PRODUCTOS[#All],3)</f>
        <v>LIBROS</v>
      </c>
      <c r="D693" s="6" t="str">
        <f>VLOOKUP(TABLA_PRECIOS[Código],LISTADO_PRODUCTOS[#All],4)</f>
        <v>Largo petalo de mar- Isabel Allende</v>
      </c>
      <c r="E693" s="6" t="str">
        <f>VLOOKUP(TABLA_PRECIOS[Código],LISTADO_PRODUCTOS[#All],5)</f>
        <v>N/A</v>
      </c>
      <c r="F693" s="4">
        <v>1</v>
      </c>
      <c r="G693" s="4">
        <v>1</v>
      </c>
      <c r="H693" s="6">
        <v>1</v>
      </c>
      <c r="I693" s="6"/>
      <c r="J693" s="9"/>
    </row>
    <row r="694" spans="1:10" x14ac:dyDescent="0.3">
      <c r="A694" s="4">
        <v>6106</v>
      </c>
      <c r="B694" s="6">
        <f>VLOOKUP(TABLA_PRECIOS[Código],LISTADO_PRODUCTOS[#All],2)</f>
        <v>54865</v>
      </c>
      <c r="C694" s="6" t="str">
        <f>VLOOKUP(TABLA_PRECIOS[Código],LISTADO_PRODUCTOS[#All],3)</f>
        <v>LIBROS</v>
      </c>
      <c r="D694" s="6" t="str">
        <f>VLOOKUP(TABLA_PRECIOS[Código],LISTADO_PRODUCTOS[#All],4)</f>
        <v>Las neuronas de dios de Diego Golombek</v>
      </c>
      <c r="E694" s="6" t="str">
        <f>VLOOKUP(TABLA_PRECIOS[Código],LISTADO_PRODUCTOS[#All],5)</f>
        <v>N/A</v>
      </c>
      <c r="F694" s="4">
        <v>1</v>
      </c>
      <c r="G694" s="4">
        <v>1</v>
      </c>
      <c r="H694" s="6">
        <v>1</v>
      </c>
      <c r="I694" s="6"/>
      <c r="J694" s="9"/>
    </row>
    <row r="695" spans="1:10" x14ac:dyDescent="0.3">
      <c r="A695" s="4">
        <v>6107</v>
      </c>
      <c r="B695" s="6">
        <f>VLOOKUP(TABLA_PRECIOS[Código],LISTADO_PRODUCTOS[#All],2)</f>
        <v>54866</v>
      </c>
      <c r="C695" s="6" t="str">
        <f>VLOOKUP(TABLA_PRECIOS[Código],LISTADO_PRODUCTOS[#All],3)</f>
        <v>LIBROS</v>
      </c>
      <c r="D695" s="6" t="str">
        <f>VLOOKUP(TABLA_PRECIOS[Código],LISTADO_PRODUCTOS[#All],4)</f>
        <v>Cruzar la noche de Alicia Barberis</v>
      </c>
      <c r="E695" s="6" t="str">
        <f>VLOOKUP(TABLA_PRECIOS[Código],LISTADO_PRODUCTOS[#All],5)</f>
        <v>N/A</v>
      </c>
      <c r="F695" s="4">
        <v>1</v>
      </c>
      <c r="G695" s="4">
        <v>1</v>
      </c>
      <c r="H695" s="6">
        <v>1</v>
      </c>
      <c r="I695" s="6"/>
      <c r="J695" s="9"/>
    </row>
    <row r="696" spans="1:10" x14ac:dyDescent="0.3">
      <c r="A696" s="4">
        <v>6108</v>
      </c>
      <c r="B696" s="6">
        <f>VLOOKUP(TABLA_PRECIOS[Código],LISTADO_PRODUCTOS[#All],2)</f>
        <v>54867</v>
      </c>
      <c r="C696" s="6" t="str">
        <f>VLOOKUP(TABLA_PRECIOS[Código],LISTADO_PRODUCTOS[#All],3)</f>
        <v>LIBROS</v>
      </c>
      <c r="D696" s="6" t="str">
        <f>VLOOKUP(TABLA_PRECIOS[Código],LISTADO_PRODUCTOS[#All],4)</f>
        <v>Una caza de secretos de paula bombara</v>
      </c>
      <c r="E696" s="6" t="str">
        <f>VLOOKUP(TABLA_PRECIOS[Código],LISTADO_PRODUCTOS[#All],5)</f>
        <v>N/A</v>
      </c>
      <c r="F696" s="4">
        <v>1</v>
      </c>
      <c r="G696" s="4">
        <v>1</v>
      </c>
      <c r="H696" s="6">
        <v>1</v>
      </c>
      <c r="I696" s="6"/>
      <c r="J696" s="9"/>
    </row>
    <row r="697" spans="1:10" x14ac:dyDescent="0.3">
      <c r="A697" s="4">
        <v>6109</v>
      </c>
      <c r="B697" s="6">
        <f>VLOOKUP(TABLA_PRECIOS[Código],LISTADO_PRODUCTOS[#All],2)</f>
        <v>54868</v>
      </c>
      <c r="C697" s="6" t="str">
        <f>VLOOKUP(TABLA_PRECIOS[Código],LISTADO_PRODUCTOS[#All],3)</f>
        <v>LIBROS</v>
      </c>
      <c r="D697" s="6" t="str">
        <f>VLOOKUP(TABLA_PRECIOS[Código],LISTADO_PRODUCTOS[#All],4)</f>
        <v>Cuando me muera quiero que me toquen cumbia de cristian alarcon</v>
      </c>
      <c r="E697" s="6" t="str">
        <f>VLOOKUP(TABLA_PRECIOS[Código],LISTADO_PRODUCTOS[#All],5)</f>
        <v>N/A</v>
      </c>
      <c r="F697" s="4">
        <v>1</v>
      </c>
      <c r="G697" s="4">
        <v>1</v>
      </c>
      <c r="H697" s="6">
        <v>1</v>
      </c>
      <c r="I697" s="6"/>
      <c r="J697" s="9"/>
    </row>
    <row r="698" spans="1:10" x14ac:dyDescent="0.3">
      <c r="A698" s="4">
        <v>6110</v>
      </c>
      <c r="B698" s="6">
        <f>VLOOKUP(TABLA_PRECIOS[Código],LISTADO_PRODUCTOS[#All],2)</f>
        <v>54869</v>
      </c>
      <c r="C698" s="6" t="str">
        <f>VLOOKUP(TABLA_PRECIOS[Código],LISTADO_PRODUCTOS[#All],3)</f>
        <v>LIBROS</v>
      </c>
      <c r="D698" s="6" t="str">
        <f>VLOOKUP(TABLA_PRECIOS[Código],LISTADO_PRODUCTOS[#All],4)</f>
        <v>La chica pajaro de paula bombara</v>
      </c>
      <c r="E698" s="6" t="str">
        <f>VLOOKUP(TABLA_PRECIOS[Código],LISTADO_PRODUCTOS[#All],5)</f>
        <v>N/A</v>
      </c>
      <c r="F698" s="4">
        <v>1</v>
      </c>
      <c r="G698" s="4">
        <v>1</v>
      </c>
      <c r="H698" s="6">
        <v>1</v>
      </c>
      <c r="I698" s="6"/>
      <c r="J698" s="9"/>
    </row>
    <row r="699" spans="1:10" x14ac:dyDescent="0.3">
      <c r="A699" s="4">
        <v>6149</v>
      </c>
      <c r="B699" s="6">
        <f>VLOOKUP(TABLA_PRECIOS[Código],LISTADO_PRODUCTOS[#All],2)</f>
        <v>54870</v>
      </c>
      <c r="C699" s="6" t="str">
        <f>VLOOKUP(TABLA_PRECIOS[Código],LISTADO_PRODUCTOS[#All],3)</f>
        <v>LIBROS</v>
      </c>
      <c r="D699" s="6" t="str">
        <f>VLOOKUP(TABLA_PRECIOS[Código],LISTADO_PRODUCTOS[#All],4)</f>
        <v>Libritos Mandalitas Ed. Betina</v>
      </c>
      <c r="E699" s="6" t="str">
        <f>VLOOKUP(TABLA_PRECIOS[Código],LISTADO_PRODUCTOS[#All],5)</f>
        <v>N/A</v>
      </c>
      <c r="F699" s="4">
        <v>1</v>
      </c>
      <c r="G699" s="4">
        <v>1</v>
      </c>
      <c r="H699" s="6">
        <v>1</v>
      </c>
      <c r="I699" s="6"/>
      <c r="J699" s="9"/>
    </row>
    <row r="700" spans="1:10" x14ac:dyDescent="0.3">
      <c r="A700" s="4">
        <v>6165</v>
      </c>
      <c r="B700" s="6">
        <f>VLOOKUP(TABLA_PRECIOS[Código],LISTADO_PRODUCTOS[#All],2)</f>
        <v>54871</v>
      </c>
      <c r="C700" s="6" t="str">
        <f>VLOOKUP(TABLA_PRECIOS[Código],LISTADO_PRODUCTOS[#All],3)</f>
        <v>LIBROS</v>
      </c>
      <c r="D700" s="6" t="str">
        <f>VLOOKUP(TABLA_PRECIOS[Código],LISTADO_PRODUCTOS[#All],4)</f>
        <v>El Retrato de Doria Grey</v>
      </c>
      <c r="E700" s="6" t="str">
        <f>VLOOKUP(TABLA_PRECIOS[Código],LISTADO_PRODUCTOS[#All],5)</f>
        <v>N/A</v>
      </c>
      <c r="F700" s="4">
        <v>1</v>
      </c>
      <c r="G700" s="4">
        <v>1</v>
      </c>
      <c r="H700" s="6">
        <v>1</v>
      </c>
      <c r="I700" s="6"/>
      <c r="J700" s="9"/>
    </row>
    <row r="701" spans="1:10" x14ac:dyDescent="0.3">
      <c r="A701" s="4">
        <v>6166</v>
      </c>
      <c r="B701" s="6">
        <f>VLOOKUP(TABLA_PRECIOS[Código],LISTADO_PRODUCTOS[#All],2)</f>
        <v>54872</v>
      </c>
      <c r="C701" s="6" t="str">
        <f>VLOOKUP(TABLA_PRECIOS[Código],LISTADO_PRODUCTOS[#All],3)</f>
        <v>LIBROS</v>
      </c>
      <c r="D701" s="6" t="str">
        <f>VLOOKUP(TABLA_PRECIOS[Código],LISTADO_PRODUCTOS[#All],4)</f>
        <v>La Gitanilla</v>
      </c>
      <c r="E701" s="6" t="str">
        <f>VLOOKUP(TABLA_PRECIOS[Código],LISTADO_PRODUCTOS[#All],5)</f>
        <v>N/A</v>
      </c>
      <c r="F701" s="4">
        <v>1</v>
      </c>
      <c r="G701" s="4">
        <v>1</v>
      </c>
      <c r="H701" s="6">
        <v>1</v>
      </c>
      <c r="I701" s="6"/>
      <c r="J701" s="9"/>
    </row>
    <row r="702" spans="1:10" x14ac:dyDescent="0.3">
      <c r="A702" s="4">
        <v>6167</v>
      </c>
      <c r="B702" s="6">
        <f>VLOOKUP(TABLA_PRECIOS[Código],LISTADO_PRODUCTOS[#All],2)</f>
        <v>54873</v>
      </c>
      <c r="C702" s="6" t="str">
        <f>VLOOKUP(TABLA_PRECIOS[Código],LISTADO_PRODUCTOS[#All],3)</f>
        <v>LIBROS</v>
      </c>
      <c r="D702" s="6" t="str">
        <f>VLOOKUP(TABLA_PRECIOS[Código],LISTADO_PRODUCTOS[#All],4)</f>
        <v>La Isla del Tesoro</v>
      </c>
      <c r="E702" s="6" t="str">
        <f>VLOOKUP(TABLA_PRECIOS[Código],LISTADO_PRODUCTOS[#All],5)</f>
        <v>N/A</v>
      </c>
      <c r="F702" s="4">
        <v>1</v>
      </c>
      <c r="G702" s="4">
        <v>1</v>
      </c>
      <c r="H702" s="6">
        <v>1</v>
      </c>
      <c r="I702" s="6"/>
      <c r="J702" s="9"/>
    </row>
    <row r="703" spans="1:10" x14ac:dyDescent="0.3">
      <c r="A703" s="4">
        <v>6180</v>
      </c>
      <c r="B703" s="6">
        <f>VLOOKUP(TABLA_PRECIOS[Código],LISTADO_PRODUCTOS[#All],2)</f>
        <v>54874</v>
      </c>
      <c r="C703" s="6" t="str">
        <f>VLOOKUP(TABLA_PRECIOS[Código],LISTADO_PRODUCTOS[#All],3)</f>
        <v>LIBROS</v>
      </c>
      <c r="D703" s="6" t="str">
        <f>VLOOKUP(TABLA_PRECIOS[Código],LISTADO_PRODUCTOS[#All],4)</f>
        <v>Diccionario de sinonimos y antonimos Estrada</v>
      </c>
      <c r="E703" s="6" t="str">
        <f>VLOOKUP(TABLA_PRECIOS[Código],LISTADO_PRODUCTOS[#All],5)</f>
        <v>N/A</v>
      </c>
      <c r="F703" s="4">
        <v>1</v>
      </c>
      <c r="G703" s="4">
        <v>1</v>
      </c>
      <c r="H703" s="6">
        <v>1</v>
      </c>
      <c r="I703" s="6"/>
      <c r="J703" s="9"/>
    </row>
    <row r="704" spans="1:10" x14ac:dyDescent="0.3">
      <c r="A704" s="4">
        <v>6185</v>
      </c>
      <c r="B704" s="6">
        <f>VLOOKUP(TABLA_PRECIOS[Código],LISTADO_PRODUCTOS[#All],2)</f>
        <v>54875</v>
      </c>
      <c r="C704" s="6" t="str">
        <f>VLOOKUP(TABLA_PRECIOS[Código],LISTADO_PRODUCTOS[#All],3)</f>
        <v>LIBROS</v>
      </c>
      <c r="D704" s="6" t="str">
        <f>VLOOKUP(TABLA_PRECIOS[Código],LISTADO_PRODUCTOS[#All],4)</f>
        <v>Juega y Colorea (Libro para pintar+ Stikers + crayones)</v>
      </c>
      <c r="E704" s="6" t="str">
        <f>VLOOKUP(TABLA_PRECIOS[Código],LISTADO_PRODUCTOS[#All],5)</f>
        <v>N/A</v>
      </c>
      <c r="F704" s="4">
        <v>1</v>
      </c>
      <c r="G704" s="4">
        <v>1</v>
      </c>
      <c r="H704" s="6">
        <v>1</v>
      </c>
      <c r="I704" s="6"/>
      <c r="J704" s="9"/>
    </row>
    <row r="705" spans="1:10" x14ac:dyDescent="0.3">
      <c r="A705" s="4">
        <v>6187</v>
      </c>
      <c r="B705" s="6">
        <f>VLOOKUP(TABLA_PRECIOS[Código],LISTADO_PRODUCTOS[#All],2)</f>
        <v>54876</v>
      </c>
      <c r="C705" s="6" t="str">
        <f>VLOOKUP(TABLA_PRECIOS[Código],LISTADO_PRODUCTOS[#All],3)</f>
        <v>LIBROS</v>
      </c>
      <c r="D705" s="6" t="str">
        <f>VLOOKUP(TABLA_PRECIOS[Código],LISTADO_PRODUCTOS[#All],4)</f>
        <v>Mamá gracias por tu amor VyR</v>
      </c>
      <c r="E705" s="6" t="str">
        <f>VLOOKUP(TABLA_PRECIOS[Código],LISTADO_PRODUCTOS[#All],5)</f>
        <v>N/A</v>
      </c>
      <c r="F705" s="4">
        <v>1</v>
      </c>
      <c r="G705" s="4">
        <v>1</v>
      </c>
      <c r="H705" s="6">
        <v>1</v>
      </c>
      <c r="I705" s="6"/>
      <c r="J705" s="9"/>
    </row>
    <row r="706" spans="1:10" x14ac:dyDescent="0.3">
      <c r="A706" s="4">
        <v>6190</v>
      </c>
      <c r="B706" s="6">
        <f>VLOOKUP(TABLA_PRECIOS[Código],LISTADO_PRODUCTOS[#All],2)</f>
        <v>54877</v>
      </c>
      <c r="C706" s="6" t="str">
        <f>VLOOKUP(TABLA_PRECIOS[Código],LISTADO_PRODUCTOS[#All],3)</f>
        <v>LIBROS</v>
      </c>
      <c r="D706" s="6" t="str">
        <f>VLOOKUP(TABLA_PRECIOS[Código],LISTADO_PRODUCTOS[#All],4)</f>
        <v>Premio a la mejor Madre VyR</v>
      </c>
      <c r="E706" s="6" t="str">
        <f>VLOOKUP(TABLA_PRECIOS[Código],LISTADO_PRODUCTOS[#All],5)</f>
        <v>N/A</v>
      </c>
      <c r="F706" s="4">
        <v>1</v>
      </c>
      <c r="G706" s="4">
        <v>1</v>
      </c>
      <c r="H706" s="6">
        <v>1</v>
      </c>
      <c r="I706" s="6"/>
      <c r="J706" s="9"/>
    </row>
    <row r="707" spans="1:10" x14ac:dyDescent="0.3">
      <c r="A707" s="4">
        <v>6191</v>
      </c>
      <c r="B707" s="6">
        <f>VLOOKUP(TABLA_PRECIOS[Código],LISTADO_PRODUCTOS[#All],2)</f>
        <v>54878</v>
      </c>
      <c r="C707" s="6" t="str">
        <f>VLOOKUP(TABLA_PRECIOS[Código],LISTADO_PRODUCTOS[#All],3)</f>
        <v>LIBROS</v>
      </c>
      <c r="D707" s="6" t="str">
        <f>VLOOKUP(TABLA_PRECIOS[Código],LISTADO_PRODUCTOS[#All],4)</f>
        <v>Querida Mama VyR</v>
      </c>
      <c r="E707" s="6" t="str">
        <f>VLOOKUP(TABLA_PRECIOS[Código],LISTADO_PRODUCTOS[#All],5)</f>
        <v>N/A</v>
      </c>
      <c r="F707" s="4">
        <v>1</v>
      </c>
      <c r="G707" s="4">
        <v>1</v>
      </c>
      <c r="H707" s="6">
        <v>1</v>
      </c>
      <c r="I707" s="6"/>
      <c r="J707" s="9"/>
    </row>
    <row r="708" spans="1:10" x14ac:dyDescent="0.3">
      <c r="A708" s="4">
        <v>6193</v>
      </c>
      <c r="B708" s="6">
        <f>VLOOKUP(TABLA_PRECIOS[Código],LISTADO_PRODUCTOS[#All],2)</f>
        <v>54879</v>
      </c>
      <c r="C708" s="6" t="str">
        <f>VLOOKUP(TABLA_PRECIOS[Código],LISTADO_PRODUCTOS[#All],3)</f>
        <v>LIBROS</v>
      </c>
      <c r="D708" s="6" t="str">
        <f>VLOOKUP(TABLA_PRECIOS[Código],LISTADO_PRODUCTOS[#All],4)</f>
        <v>cuento uno y cuento dos</v>
      </c>
      <c r="E708" s="6" t="str">
        <f>VLOOKUP(TABLA_PRECIOS[Código],LISTADO_PRODUCTOS[#All],5)</f>
        <v>N/A</v>
      </c>
      <c r="F708" s="4">
        <v>1</v>
      </c>
      <c r="G708" s="4">
        <v>1</v>
      </c>
      <c r="H708" s="6">
        <v>1</v>
      </c>
      <c r="I708" s="6"/>
      <c r="J708" s="9"/>
    </row>
    <row r="709" spans="1:10" x14ac:dyDescent="0.3">
      <c r="A709" s="4">
        <v>6209</v>
      </c>
      <c r="B709" s="6">
        <f>VLOOKUP(TABLA_PRECIOS[Código],LISTADO_PRODUCTOS[#All],2)</f>
        <v>54880</v>
      </c>
      <c r="C709" s="6" t="str">
        <f>VLOOKUP(TABLA_PRECIOS[Código],LISTADO_PRODUCTOS[#All],3)</f>
        <v>LIBROS</v>
      </c>
      <c r="D709" s="6" t="str">
        <f>VLOOKUP(TABLA_PRECIOS[Código],LISTADO_PRODUCTOS[#All],4)</f>
        <v>Libro Biblia para niños de Giuseppino de Roma</v>
      </c>
      <c r="E709" s="6" t="str">
        <f>VLOOKUP(TABLA_PRECIOS[Código],LISTADO_PRODUCTOS[#All],5)</f>
        <v>N/A</v>
      </c>
      <c r="F709" s="4">
        <v>1</v>
      </c>
      <c r="G709" s="4">
        <v>1</v>
      </c>
      <c r="H709" s="6">
        <v>1</v>
      </c>
      <c r="I709" s="6"/>
      <c r="J709" s="9"/>
    </row>
    <row r="710" spans="1:10" x14ac:dyDescent="0.3">
      <c r="A710" s="4">
        <v>6220</v>
      </c>
      <c r="B710" s="6">
        <f>VLOOKUP(TABLA_PRECIOS[Código],LISTADO_PRODUCTOS[#All],2)</f>
        <v>54881</v>
      </c>
      <c r="C710" s="6" t="str">
        <f>VLOOKUP(TABLA_PRECIOS[Código],LISTADO_PRODUCTOS[#All],3)</f>
        <v>LIBROS</v>
      </c>
      <c r="D710" s="6" t="str">
        <f>VLOOKUP(TABLA_PRECIOS[Código],LISTADO_PRODUCTOS[#All],4)</f>
        <v>Diccionario escolar Rivadavia</v>
      </c>
      <c r="E710" s="6" t="str">
        <f>VLOOKUP(TABLA_PRECIOS[Código],LISTADO_PRODUCTOS[#All],5)</f>
        <v>N/A</v>
      </c>
      <c r="F710" s="4">
        <v>1</v>
      </c>
      <c r="G710" s="4">
        <v>1</v>
      </c>
      <c r="H710" s="6">
        <v>1</v>
      </c>
      <c r="I710" s="6"/>
      <c r="J710" s="9"/>
    </row>
    <row r="711" spans="1:10" x14ac:dyDescent="0.3">
      <c r="A711" s="4">
        <v>6226</v>
      </c>
      <c r="B711" s="6">
        <f>VLOOKUP(TABLA_PRECIOS[Código],LISTADO_PRODUCTOS[#All],2)</f>
        <v>54882</v>
      </c>
      <c r="C711" s="6" t="str">
        <f>VLOOKUP(TABLA_PRECIOS[Código],LISTADO_PRODUCTOS[#All],3)</f>
        <v>LIBROS</v>
      </c>
      <c r="D711" s="6" t="str">
        <f>VLOOKUP(TABLA_PRECIOS[Código],LISTADO_PRODUCTOS[#All],4)</f>
        <v>Stiker grande</v>
      </c>
      <c r="E711" s="6" t="str">
        <f>VLOOKUP(TABLA_PRECIOS[Código],LISTADO_PRODUCTOS[#All],5)</f>
        <v>N/A</v>
      </c>
      <c r="F711" s="4">
        <v>1</v>
      </c>
      <c r="G711" s="4">
        <v>1</v>
      </c>
      <c r="H711" s="6">
        <v>1</v>
      </c>
      <c r="I711" s="6"/>
      <c r="J711" s="9"/>
    </row>
    <row r="712" spans="1:10" x14ac:dyDescent="0.3">
      <c r="A712" s="4">
        <v>6235</v>
      </c>
      <c r="B712" s="6">
        <f>VLOOKUP(TABLA_PRECIOS[Código],LISTADO_PRODUCTOS[#All],2)</f>
        <v>54883</v>
      </c>
      <c r="C712" s="6" t="str">
        <f>VLOOKUP(TABLA_PRECIOS[Código],LISTADO_PRODUCTOS[#All],3)</f>
        <v>LIBROS</v>
      </c>
      <c r="D712" s="6" t="str">
        <f>VLOOKUP(TABLA_PRECIOS[Código],LISTADO_PRODUCTOS[#All],4)</f>
        <v>DESAPARECIDA de Gabriel Barnes</v>
      </c>
      <c r="E712" s="6" t="str">
        <f>VLOOKUP(TABLA_PRECIOS[Código],LISTADO_PRODUCTOS[#All],5)</f>
        <v>N/A</v>
      </c>
      <c r="F712" s="4">
        <v>1</v>
      </c>
      <c r="G712" s="4">
        <v>1</v>
      </c>
      <c r="H712" s="6">
        <v>1</v>
      </c>
      <c r="I712" s="6"/>
      <c r="J712" s="9"/>
    </row>
    <row r="713" spans="1:10" x14ac:dyDescent="0.3">
      <c r="A713" s="4">
        <v>6240</v>
      </c>
      <c r="B713" s="6">
        <f>VLOOKUP(TABLA_PRECIOS[Código],LISTADO_PRODUCTOS[#All],2)</f>
        <v>54884</v>
      </c>
      <c r="C713" s="6" t="str">
        <f>VLOOKUP(TABLA_PRECIOS[Código],LISTADO_PRODUCTOS[#All],3)</f>
        <v>LIBROS</v>
      </c>
      <c r="D713" s="6" t="str">
        <f>VLOOKUP(TABLA_PRECIOS[Código],LISTADO_PRODUCTOS[#All],4)</f>
        <v>PROHIBIDO SOÑAR Carlos Marianidis</v>
      </c>
      <c r="E713" s="6" t="str">
        <f>VLOOKUP(TABLA_PRECIOS[Código],LISTADO_PRODUCTOS[#All],5)</f>
        <v>N/A</v>
      </c>
      <c r="F713" s="4">
        <v>1</v>
      </c>
      <c r="G713" s="4">
        <v>1</v>
      </c>
      <c r="H713" s="6">
        <v>1</v>
      </c>
      <c r="I713" s="6"/>
      <c r="J713" s="9"/>
    </row>
    <row r="714" spans="1:10" x14ac:dyDescent="0.3">
      <c r="A714" s="4">
        <v>6251</v>
      </c>
      <c r="B714" s="6">
        <f>VLOOKUP(TABLA_PRECIOS[Código],LISTADO_PRODUCTOS[#All],2)</f>
        <v>54885</v>
      </c>
      <c r="C714" s="6" t="str">
        <f>VLOOKUP(TABLA_PRECIOS[Código],LISTADO_PRODUCTOS[#All],3)</f>
        <v>LIBROS</v>
      </c>
      <c r="D714" s="6" t="str">
        <f>VLOOKUP(TABLA_PRECIOS[Código],LISTADO_PRODUCTOS[#All],4)</f>
        <v>QUIEN SE ANIMA A BAJAR AL SOTANO</v>
      </c>
      <c r="E714" s="6" t="str">
        <f>VLOOKUP(TABLA_PRECIOS[Código],LISTADO_PRODUCTOS[#All],5)</f>
        <v>N/A</v>
      </c>
      <c r="F714" s="4">
        <v>1</v>
      </c>
      <c r="G714" s="4">
        <v>1</v>
      </c>
      <c r="H714" s="6">
        <v>1</v>
      </c>
      <c r="I714" s="6"/>
      <c r="J714" s="9"/>
    </row>
    <row r="715" spans="1:10" x14ac:dyDescent="0.3">
      <c r="A715" s="4">
        <v>6257</v>
      </c>
      <c r="B715" s="6">
        <f>VLOOKUP(TABLA_PRECIOS[Código],LISTADO_PRODUCTOS[#All],2)</f>
        <v>54886</v>
      </c>
      <c r="C715" s="6" t="str">
        <f>VLOOKUP(TABLA_PRECIOS[Código],LISTADO_PRODUCTOS[#All],3)</f>
        <v>LIBROS</v>
      </c>
      <c r="D715" s="6" t="str">
        <f>VLOOKUP(TABLA_PRECIOS[Código],LISTADO_PRODUCTOS[#All],4)</f>
        <v>LA PUERTA SECRETA</v>
      </c>
      <c r="E715" s="6" t="str">
        <f>VLOOKUP(TABLA_PRECIOS[Código],LISTADO_PRODUCTOS[#All],5)</f>
        <v>N/A</v>
      </c>
      <c r="F715" s="4">
        <v>1</v>
      </c>
      <c r="G715" s="4">
        <v>1</v>
      </c>
      <c r="H715" s="6">
        <v>1</v>
      </c>
      <c r="I715" s="6"/>
      <c r="J715" s="9"/>
    </row>
    <row r="716" spans="1:10" x14ac:dyDescent="0.3">
      <c r="A716" s="4">
        <v>6268</v>
      </c>
      <c r="B716" s="6">
        <f>VLOOKUP(TABLA_PRECIOS[Código],LISTADO_PRODUCTOS[#All],2)</f>
        <v>54887</v>
      </c>
      <c r="C716" s="6" t="str">
        <f>VLOOKUP(TABLA_PRECIOS[Código],LISTADO_PRODUCTOS[#All],3)</f>
        <v>LIBROS</v>
      </c>
      <c r="D716" s="6" t="str">
        <f>VLOOKUP(TABLA_PRECIOS[Código],LISTADO_PRODUCTOS[#All],4)</f>
        <v>LA FAMA ES PURO CUENTO</v>
      </c>
      <c r="E716" s="6" t="str">
        <f>VLOOKUP(TABLA_PRECIOS[Código],LISTADO_PRODUCTOS[#All],5)</f>
        <v>N/A</v>
      </c>
      <c r="F716" s="4">
        <v>1</v>
      </c>
      <c r="G716" s="4">
        <v>1</v>
      </c>
      <c r="H716" s="6">
        <v>1</v>
      </c>
      <c r="I716" s="6"/>
      <c r="J716" s="9"/>
    </row>
    <row r="717" spans="1:10" x14ac:dyDescent="0.3">
      <c r="A717" s="4">
        <v>6272</v>
      </c>
      <c r="B717" s="6">
        <f>VLOOKUP(TABLA_PRECIOS[Código],LISTADO_PRODUCTOS[#All],2)</f>
        <v>54888</v>
      </c>
      <c r="C717" s="6" t="str">
        <f>VLOOKUP(TABLA_PRECIOS[Código],LISTADO_PRODUCTOS[#All],3)</f>
        <v>LIBROS</v>
      </c>
      <c r="D717" s="6" t="str">
        <f>VLOOKUP(TABLA_PRECIOS[Código],LISTADO_PRODUCTOS[#All],4)</f>
        <v>Elegi el nombre para tu bebe</v>
      </c>
      <c r="E717" s="6" t="str">
        <f>VLOOKUP(TABLA_PRECIOS[Código],LISTADO_PRODUCTOS[#All],5)</f>
        <v>N/A</v>
      </c>
      <c r="F717" s="4">
        <v>1</v>
      </c>
      <c r="G717" s="4">
        <v>1</v>
      </c>
      <c r="H717" s="6">
        <v>1</v>
      </c>
      <c r="I717" s="6"/>
      <c r="J717" s="9"/>
    </row>
    <row r="718" spans="1:10" x14ac:dyDescent="0.3">
      <c r="A718" s="4">
        <v>6274</v>
      </c>
      <c r="B718" s="6">
        <f>VLOOKUP(TABLA_PRECIOS[Código],LISTADO_PRODUCTOS[#All],2)</f>
        <v>54889</v>
      </c>
      <c r="C718" s="6" t="str">
        <f>VLOOKUP(TABLA_PRECIOS[Código],LISTADO_PRODUCTOS[#All],3)</f>
        <v>LIBROS</v>
      </c>
      <c r="D718" s="6" t="str">
        <f>VLOOKUP(TABLA_PRECIOS[Código],LISTADO_PRODUCTOS[#All],4)</f>
        <v>Libro Busca y Encuentra</v>
      </c>
      <c r="E718" s="6" t="str">
        <f>VLOOKUP(TABLA_PRECIOS[Código],LISTADO_PRODUCTOS[#All],5)</f>
        <v>N/A</v>
      </c>
      <c r="F718" s="4">
        <v>1</v>
      </c>
      <c r="G718" s="4">
        <v>1</v>
      </c>
      <c r="H718" s="6">
        <v>1</v>
      </c>
      <c r="I718" s="6"/>
      <c r="J718" s="9"/>
    </row>
    <row r="719" spans="1:10" x14ac:dyDescent="0.3">
      <c r="A719" s="4">
        <v>6286</v>
      </c>
      <c r="B719" s="6">
        <f>VLOOKUP(TABLA_PRECIOS[Código],LISTADO_PRODUCTOS[#All],2)</f>
        <v>54890</v>
      </c>
      <c r="C719" s="6" t="str">
        <f>VLOOKUP(TABLA_PRECIOS[Código],LISTADO_PRODUCTOS[#All],3)</f>
        <v>LIBROS</v>
      </c>
      <c r="D719" s="6" t="str">
        <f>VLOOKUP(TABLA_PRECIOS[Código],LISTADO_PRODUCTOS[#All],4)</f>
        <v>Libro colección bilingüe latinbooks Toco y aprendo colección x 4</v>
      </c>
      <c r="E719" s="6" t="str">
        <f>VLOOKUP(TABLA_PRECIOS[Código],LISTADO_PRODUCTOS[#All],5)</f>
        <v>N/A</v>
      </c>
      <c r="F719" s="4">
        <v>1</v>
      </c>
      <c r="G719" s="4">
        <v>1</v>
      </c>
      <c r="H719" s="6">
        <v>1</v>
      </c>
      <c r="I719" s="6"/>
      <c r="J719" s="9"/>
    </row>
    <row r="720" spans="1:10" x14ac:dyDescent="0.3">
      <c r="A720" s="4">
        <v>6290</v>
      </c>
      <c r="B720" s="6">
        <f>VLOOKUP(TABLA_PRECIOS[Código],LISTADO_PRODUCTOS[#All],2)</f>
        <v>54891</v>
      </c>
      <c r="C720" s="6" t="str">
        <f>VLOOKUP(TABLA_PRECIOS[Código],LISTADO_PRODUCTOS[#All],3)</f>
        <v>LIBROS</v>
      </c>
      <c r="D720" s="6" t="str">
        <f>VLOOKUP(TABLA_PRECIOS[Código],LISTADO_PRODUCTOS[#All],4)</f>
        <v>Cuerpos que importan de Judith Butler</v>
      </c>
      <c r="E720" s="6" t="str">
        <f>VLOOKUP(TABLA_PRECIOS[Código],LISTADO_PRODUCTOS[#All],5)</f>
        <v>N/A</v>
      </c>
      <c r="F720" s="4">
        <v>1</v>
      </c>
      <c r="G720" s="4">
        <v>1</v>
      </c>
      <c r="H720" s="6">
        <v>1</v>
      </c>
      <c r="I720" s="6"/>
      <c r="J720" s="9"/>
    </row>
    <row r="721" spans="1:10" x14ac:dyDescent="0.3">
      <c r="A721" s="4">
        <v>7001</v>
      </c>
      <c r="B721" s="6">
        <f>VLOOKUP(TABLA_PRECIOS[Código],LISTADO_PRODUCTOS[#All],2)</f>
        <v>54892</v>
      </c>
      <c r="C721" s="6" t="str">
        <f>VLOOKUP(TABLA_PRECIOS[Código],LISTADO_PRODUCTOS[#All],3)</f>
        <v>REGALERIA</v>
      </c>
      <c r="D721" s="6" t="str">
        <f>VLOOKUP(TABLA_PRECIOS[Código],LISTADO_PRODUCTOS[#All],4)</f>
        <v>Cuaderno FW Travel Journal Colección Feel Cuero Buffalo</v>
      </c>
      <c r="E721" s="6" t="str">
        <f>VLOOKUP(TABLA_PRECIOS[Código],LISTADO_PRODUCTOS[#All],5)</f>
        <v>N/A</v>
      </c>
      <c r="F721" s="4">
        <v>1</v>
      </c>
      <c r="G721" s="4">
        <v>1</v>
      </c>
      <c r="H721" s="6">
        <v>1</v>
      </c>
      <c r="I721" s="6"/>
      <c r="J721" s="9"/>
    </row>
    <row r="722" spans="1:10" x14ac:dyDescent="0.3">
      <c r="A722" s="4">
        <v>7002</v>
      </c>
      <c r="B722" s="6">
        <f>VLOOKUP(TABLA_PRECIOS[Código],LISTADO_PRODUCTOS[#All],2)</f>
        <v>54893</v>
      </c>
      <c r="C722" s="6" t="str">
        <f>VLOOKUP(TABLA_PRECIOS[Código],LISTADO_PRODUCTOS[#All],3)</f>
        <v>REGALERIA</v>
      </c>
      <c r="D722" s="6" t="str">
        <f>VLOOKUP(TABLA_PRECIOS[Código],LISTADO_PRODUCTOS[#All],4)</f>
        <v>Cuaderno FW Sketch Book Colección Feel Tela Texturada</v>
      </c>
      <c r="E722" s="6" t="str">
        <f>VLOOKUP(TABLA_PRECIOS[Código],LISTADO_PRODUCTOS[#All],5)</f>
        <v>N/A</v>
      </c>
      <c r="F722" s="4">
        <v>1</v>
      </c>
      <c r="G722" s="4">
        <v>1</v>
      </c>
      <c r="H722" s="6">
        <v>1</v>
      </c>
      <c r="I722" s="6"/>
      <c r="J722" s="9"/>
    </row>
    <row r="723" spans="1:10" x14ac:dyDescent="0.3">
      <c r="A723" s="4">
        <v>7003</v>
      </c>
      <c r="B723" s="6">
        <f>VLOOKUP(TABLA_PRECIOS[Código],LISTADO_PRODUCTOS[#All],2)</f>
        <v>54894</v>
      </c>
      <c r="C723" s="6" t="str">
        <f>VLOOKUP(TABLA_PRECIOS[Código],LISTADO_PRODUCTOS[#All],3)</f>
        <v>REGALERIA</v>
      </c>
      <c r="D723" s="6" t="str">
        <f>VLOOKUP(TABLA_PRECIOS[Código],LISTADO_PRODUCTOS[#All],4)</f>
        <v>Cuaderno Fw Love Journal Feel Tela Satinada</v>
      </c>
      <c r="E723" s="6" t="str">
        <f>VLOOKUP(TABLA_PRECIOS[Código],LISTADO_PRODUCTOS[#All],5)</f>
        <v>N/A</v>
      </c>
      <c r="F723" s="4">
        <v>1</v>
      </c>
      <c r="G723" s="4">
        <v>1</v>
      </c>
      <c r="H723" s="6">
        <v>1</v>
      </c>
      <c r="I723" s="6"/>
      <c r="J723" s="9"/>
    </row>
    <row r="724" spans="1:10" x14ac:dyDescent="0.3">
      <c r="A724" s="4">
        <v>7004</v>
      </c>
      <c r="B724" s="6">
        <f>VLOOKUP(TABLA_PRECIOS[Código],LISTADO_PRODUCTOS[#All],2)</f>
        <v>54895</v>
      </c>
      <c r="C724" s="6" t="str">
        <f>VLOOKUP(TABLA_PRECIOS[Código],LISTADO_PRODUCTOS[#All],3)</f>
        <v>REGALERIA</v>
      </c>
      <c r="D724" s="6" t="str">
        <f>VLOOKUP(TABLA_PRECIOS[Código],LISTADO_PRODUCTOS[#All],4)</f>
        <v>Cuaderno Onix 16.21 anillado 120h T/C</v>
      </c>
      <c r="E724" s="6" t="str">
        <f>VLOOKUP(TABLA_PRECIOS[Código],LISTADO_PRODUCTOS[#All],5)</f>
        <v>N/A</v>
      </c>
      <c r="F724" s="4">
        <v>1</v>
      </c>
      <c r="G724" s="4">
        <v>1</v>
      </c>
      <c r="H724" s="6">
        <v>1</v>
      </c>
      <c r="I724" s="6"/>
      <c r="J724" s="9"/>
    </row>
    <row r="725" spans="1:10" x14ac:dyDescent="0.3">
      <c r="A725" s="4">
        <v>7005</v>
      </c>
      <c r="B725" s="6">
        <f>VLOOKUP(TABLA_PRECIOS[Código],LISTADO_PRODUCTOS[#All],2)</f>
        <v>54896</v>
      </c>
      <c r="C725" s="6" t="str">
        <f>VLOOKUP(TABLA_PRECIOS[Código],LISTADO_PRODUCTOS[#All],3)</f>
        <v>REGALERIA</v>
      </c>
      <c r="D725" s="6" t="str">
        <f>VLOOKUP(TABLA_PRECIOS[Código],LISTADO_PRODUCTOS[#All],4)</f>
        <v>Cuaderno Onix 16.21 anillado 96hs T/C Hojas decoradas</v>
      </c>
      <c r="E725" s="6" t="str">
        <f>VLOOKUP(TABLA_PRECIOS[Código],LISTADO_PRODUCTOS[#All],5)</f>
        <v>N/A</v>
      </c>
      <c r="F725" s="4">
        <v>1</v>
      </c>
      <c r="G725" s="4">
        <v>1</v>
      </c>
      <c r="H725" s="6">
        <v>1</v>
      </c>
      <c r="I725" s="6"/>
      <c r="J725" s="9"/>
    </row>
    <row r="726" spans="1:10" x14ac:dyDescent="0.3">
      <c r="A726" s="4">
        <v>7006</v>
      </c>
      <c r="B726" s="6">
        <f>VLOOKUP(TABLA_PRECIOS[Código],LISTADO_PRODUCTOS[#All],2)</f>
        <v>54897</v>
      </c>
      <c r="C726" s="6" t="str">
        <f>VLOOKUP(TABLA_PRECIOS[Código],LISTADO_PRODUCTOS[#All],3)</f>
        <v>REGALERIA</v>
      </c>
      <c r="D726" s="6" t="str">
        <f>VLOOKUP(TABLA_PRECIOS[Código],LISTADO_PRODUCTOS[#All],4)</f>
        <v>Cuaderno Onix 16.21 anillado 120hs T/C hojas decoradas</v>
      </c>
      <c r="E726" s="6" t="str">
        <f>VLOOKUP(TABLA_PRECIOS[Código],LISTADO_PRODUCTOS[#All],5)</f>
        <v>N/A</v>
      </c>
      <c r="F726" s="4">
        <v>1</v>
      </c>
      <c r="G726" s="4">
        <v>1</v>
      </c>
      <c r="H726" s="6">
        <v>1</v>
      </c>
      <c r="I726" s="6"/>
      <c r="J726" s="9"/>
    </row>
    <row r="727" spans="1:10" x14ac:dyDescent="0.3">
      <c r="A727" s="4">
        <v>7007</v>
      </c>
      <c r="B727" s="6">
        <f>VLOOKUP(TABLA_PRECIOS[Código],LISTADO_PRODUCTOS[#All],2)</f>
        <v>54898</v>
      </c>
      <c r="C727" s="6" t="str">
        <f>VLOOKUP(TABLA_PRECIOS[Código],LISTADO_PRODUCTOS[#All],3)</f>
        <v>REGALERIA</v>
      </c>
      <c r="D727" s="6" t="str">
        <f>VLOOKUP(TABLA_PRECIOS[Código],LISTADO_PRODUCTOS[#All],4)</f>
        <v>Agenda FW 12x17 Diaria Linea Travel Marmol</v>
      </c>
      <c r="E727" s="6" t="str">
        <f>VLOOKUP(TABLA_PRECIOS[Código],LISTADO_PRODUCTOS[#All],5)</f>
        <v>N/A</v>
      </c>
      <c r="F727" s="4">
        <v>1</v>
      </c>
      <c r="G727" s="4">
        <v>1</v>
      </c>
      <c r="H727" s="6">
        <v>1</v>
      </c>
      <c r="I727" s="6"/>
      <c r="J727" s="9"/>
    </row>
    <row r="728" spans="1:10" x14ac:dyDescent="0.3">
      <c r="A728" s="4">
        <v>7008</v>
      </c>
      <c r="B728" s="6">
        <f>VLOOKUP(TABLA_PRECIOS[Código],LISTADO_PRODUCTOS[#All],2)</f>
        <v>54899</v>
      </c>
      <c r="C728" s="6" t="str">
        <f>VLOOKUP(TABLA_PRECIOS[Código],LISTADO_PRODUCTOS[#All],3)</f>
        <v>REGALERIA</v>
      </c>
      <c r="D728" s="6" t="str">
        <f>VLOOKUP(TABLA_PRECIOS[Código],LISTADO_PRODUCTOS[#All],4)</f>
        <v>Agenda 12x17 dos dias x pagina Linea Universo</v>
      </c>
      <c r="E728" s="6" t="str">
        <f>VLOOKUP(TABLA_PRECIOS[Código],LISTADO_PRODUCTOS[#All],5)</f>
        <v>N/A</v>
      </c>
      <c r="F728" s="4">
        <v>1</v>
      </c>
      <c r="G728" s="4">
        <v>1</v>
      </c>
      <c r="H728" s="6">
        <v>1</v>
      </c>
      <c r="I728" s="6"/>
      <c r="J728" s="9"/>
    </row>
    <row r="729" spans="1:10" x14ac:dyDescent="0.3">
      <c r="A729" s="4">
        <v>7009</v>
      </c>
      <c r="B729" s="6">
        <f>VLOOKUP(TABLA_PRECIOS[Código],LISTADO_PRODUCTOS[#All],2)</f>
        <v>54900</v>
      </c>
      <c r="C729" s="6" t="str">
        <f>VLOOKUP(TABLA_PRECIOS[Código],LISTADO_PRODUCTOS[#All],3)</f>
        <v>REGALERIA</v>
      </c>
      <c r="D729" s="6" t="str">
        <f>VLOOKUP(TABLA_PRECIOS[Código],LISTADO_PRODUCTOS[#All],4)</f>
        <v>Agenda Onix Batik 16 x 22 352 paginas 1dia x pag</v>
      </c>
      <c r="E729" s="6" t="str">
        <f>VLOOKUP(TABLA_PRECIOS[Código],LISTADO_PRODUCTOS[#All],5)</f>
        <v>N/A</v>
      </c>
      <c r="F729" s="4">
        <v>1</v>
      </c>
      <c r="G729" s="4">
        <v>1</v>
      </c>
      <c r="H729" s="6">
        <v>1</v>
      </c>
      <c r="I729" s="6"/>
      <c r="J729" s="9"/>
    </row>
    <row r="730" spans="1:10" x14ac:dyDescent="0.3">
      <c r="A730" s="4">
        <v>7071</v>
      </c>
      <c r="B730" s="6">
        <f>VLOOKUP(TABLA_PRECIOS[Código],LISTADO_PRODUCTOS[#All],2)</f>
        <v>54901</v>
      </c>
      <c r="C730" s="6" t="str">
        <f>VLOOKUP(TABLA_PRECIOS[Código],LISTADO_PRODUCTOS[#All],3)</f>
        <v>REGALERIA</v>
      </c>
      <c r="D730" s="6" t="str">
        <f>VLOOKUP(TABLA_PRECIOS[Código],LISTADO_PRODUCTOS[#All],4)</f>
        <v>Cuaderno anillado Bookcel ahuesado Ediciones de la Montaña 80h 80gr</v>
      </c>
      <c r="E730" s="6" t="str">
        <f>VLOOKUP(TABLA_PRECIOS[Código],LISTADO_PRODUCTOS[#All],5)</f>
        <v>N/A</v>
      </c>
      <c r="F730" s="4">
        <v>1</v>
      </c>
      <c r="G730" s="4">
        <v>1</v>
      </c>
      <c r="H730" s="6">
        <v>1</v>
      </c>
      <c r="I730" s="6"/>
      <c r="J730" s="9"/>
    </row>
    <row r="731" spans="1:10" x14ac:dyDescent="0.3">
      <c r="A731" s="4">
        <v>7072</v>
      </c>
      <c r="B731" s="6">
        <f>VLOOKUP(TABLA_PRECIOS[Código],LISTADO_PRODUCTOS[#All],2)</f>
        <v>54902</v>
      </c>
      <c r="C731" s="6" t="str">
        <f>VLOOKUP(TABLA_PRECIOS[Código],LISTADO_PRODUCTOS[#All],3)</f>
        <v>REGALERIA</v>
      </c>
      <c r="D731" s="6" t="str">
        <f>VLOOKUP(TABLA_PRECIOS[Código],LISTADO_PRODUCTOS[#All],4)</f>
        <v>Libreta Ediciones de la Montaña 64 hojas lisas Bookcel ahuesado 80gr</v>
      </c>
      <c r="E731" s="6" t="str">
        <f>VLOOKUP(TABLA_PRECIOS[Código],LISTADO_PRODUCTOS[#All],5)</f>
        <v>N/A</v>
      </c>
      <c r="F731" s="4">
        <v>1</v>
      </c>
      <c r="G731" s="4">
        <v>1</v>
      </c>
      <c r="H731" s="6">
        <v>1</v>
      </c>
      <c r="I731" s="6"/>
      <c r="J731" s="9"/>
    </row>
    <row r="732" spans="1:10" x14ac:dyDescent="0.3">
      <c r="A732" s="4">
        <v>7073</v>
      </c>
      <c r="B732" s="6">
        <f>VLOOKUP(TABLA_PRECIOS[Código],LISTADO_PRODUCTOS[#All],2)</f>
        <v>54903</v>
      </c>
      <c r="C732" s="6" t="str">
        <f>VLOOKUP(TABLA_PRECIOS[Código],LISTADO_PRODUCTOS[#All],3)</f>
        <v>REGALERIA</v>
      </c>
      <c r="D732" s="6" t="str">
        <f>VLOOKUP(TABLA_PRECIOS[Código],LISTADO_PRODUCTOS[#All],4)</f>
        <v>Notepad Block de notas con imán 50h</v>
      </c>
      <c r="E732" s="6" t="str">
        <f>VLOOKUP(TABLA_PRECIOS[Código],LISTADO_PRODUCTOS[#All],5)</f>
        <v>N/A</v>
      </c>
      <c r="F732" s="4">
        <v>1</v>
      </c>
      <c r="G732" s="4">
        <v>1</v>
      </c>
      <c r="H732" s="6">
        <v>1</v>
      </c>
      <c r="I732" s="6"/>
      <c r="J732" s="9"/>
    </row>
    <row r="733" spans="1:10" x14ac:dyDescent="0.3">
      <c r="A733" s="4">
        <v>7075</v>
      </c>
      <c r="B733" s="6">
        <f>VLOOKUP(TABLA_PRECIOS[Código],LISTADO_PRODUCTOS[#All],2)</f>
        <v>54904</v>
      </c>
      <c r="C733" s="6" t="str">
        <f>VLOOKUP(TABLA_PRECIOS[Código],LISTADO_PRODUCTOS[#All],3)</f>
        <v>REGALERIA</v>
      </c>
      <c r="D733" s="6" t="str">
        <f>VLOOKUP(TABLA_PRECIOS[Código],LISTADO_PRODUCTOS[#All],4)</f>
        <v>Libro de recetas y paisajes del sur</v>
      </c>
      <c r="E733" s="6" t="str">
        <f>VLOOKUP(TABLA_PRECIOS[Código],LISTADO_PRODUCTOS[#All],5)</f>
        <v>N/A</v>
      </c>
      <c r="F733" s="4">
        <v>1</v>
      </c>
      <c r="G733" s="4">
        <v>1</v>
      </c>
      <c r="H733" s="6">
        <v>1</v>
      </c>
      <c r="I733" s="6"/>
      <c r="J733" s="9"/>
    </row>
    <row r="734" spans="1:10" x14ac:dyDescent="0.3">
      <c r="A734" s="4">
        <v>7076</v>
      </c>
      <c r="B734" s="6">
        <f>VLOOKUP(TABLA_PRECIOS[Código],LISTADO_PRODUCTOS[#All],2)</f>
        <v>54905</v>
      </c>
      <c r="C734" s="6" t="str">
        <f>VLOOKUP(TABLA_PRECIOS[Código],LISTADO_PRODUCTOS[#All],3)</f>
        <v>REGALERIA</v>
      </c>
      <c r="D734" s="6" t="str">
        <f>VLOOKUP(TABLA_PRECIOS[Código],LISTADO_PRODUCTOS[#All],4)</f>
        <v>Taza de Genko grande</v>
      </c>
      <c r="E734" s="6" t="str">
        <f>VLOOKUP(TABLA_PRECIOS[Código],LISTADO_PRODUCTOS[#All],5)</f>
        <v>N/A</v>
      </c>
      <c r="F734" s="4">
        <v>1</v>
      </c>
      <c r="G734" s="4">
        <v>1</v>
      </c>
      <c r="H734" s="6">
        <v>1</v>
      </c>
      <c r="I734" s="6"/>
      <c r="J734" s="9"/>
    </row>
    <row r="735" spans="1:10" x14ac:dyDescent="0.3">
      <c r="A735" s="4">
        <v>7077</v>
      </c>
      <c r="B735" s="6">
        <f>VLOOKUP(TABLA_PRECIOS[Código],LISTADO_PRODUCTOS[#All],2)</f>
        <v>54906</v>
      </c>
      <c r="C735" s="6" t="str">
        <f>VLOOKUP(TABLA_PRECIOS[Código],LISTADO_PRODUCTOS[#All],3)</f>
        <v>REGALERIA</v>
      </c>
      <c r="D735" s="6" t="str">
        <f>VLOOKUP(TABLA_PRECIOS[Código],LISTADO_PRODUCTOS[#All],4)</f>
        <v>Taza de Genko chica</v>
      </c>
      <c r="E735" s="6" t="str">
        <f>VLOOKUP(TABLA_PRECIOS[Código],LISTADO_PRODUCTOS[#All],5)</f>
        <v>N/A</v>
      </c>
      <c r="F735" s="4">
        <v>1</v>
      </c>
      <c r="G735" s="4">
        <v>1</v>
      </c>
      <c r="H735" s="6">
        <v>1</v>
      </c>
      <c r="I735" s="6"/>
      <c r="J735" s="9"/>
    </row>
    <row r="736" spans="1:10" x14ac:dyDescent="0.3">
      <c r="A736" s="4">
        <v>7078</v>
      </c>
      <c r="B736" s="6">
        <f>VLOOKUP(TABLA_PRECIOS[Código],LISTADO_PRODUCTOS[#All],2)</f>
        <v>54907</v>
      </c>
      <c r="C736" s="6" t="str">
        <f>VLOOKUP(TABLA_PRECIOS[Código],LISTADO_PRODUCTOS[#All],3)</f>
        <v>REGALERIA</v>
      </c>
      <c r="D736" s="6" t="str">
        <f>VLOOKUP(TABLA_PRECIOS[Código],LISTADO_PRODUCTOS[#All],4)</f>
        <v>Boligrafo Vaquita Vaca Wero</v>
      </c>
      <c r="E736" s="6" t="str">
        <f>VLOOKUP(TABLA_PRECIOS[Código],LISTADO_PRODUCTOS[#All],5)</f>
        <v>N/A</v>
      </c>
      <c r="F736" s="4">
        <v>1</v>
      </c>
      <c r="G736" s="4">
        <v>1</v>
      </c>
      <c r="H736" s="6">
        <v>1</v>
      </c>
      <c r="I736" s="6"/>
      <c r="J736" s="9"/>
    </row>
    <row r="737" spans="1:10" x14ac:dyDescent="0.3">
      <c r="A737" s="4">
        <v>7080</v>
      </c>
      <c r="B737" s="6">
        <f>VLOOKUP(TABLA_PRECIOS[Código],LISTADO_PRODUCTOS[#All],2)</f>
        <v>54908</v>
      </c>
      <c r="C737" s="6" t="str">
        <f>VLOOKUP(TABLA_PRECIOS[Código],LISTADO_PRODUCTOS[#All],3)</f>
        <v>REGALERIA</v>
      </c>
      <c r="D737" s="6" t="str">
        <f>VLOOKUP(TABLA_PRECIOS[Código],LISTADO_PRODUCTOS[#All],4)</f>
        <v>MAPED Creativ PAT DOUGH Masas c/ extrusor</v>
      </c>
      <c r="E737" s="6" t="str">
        <f>VLOOKUP(TABLA_PRECIOS[Código],LISTADO_PRODUCTOS[#All],5)</f>
        <v>N/A</v>
      </c>
      <c r="F737" s="4">
        <v>1</v>
      </c>
      <c r="G737" s="4">
        <v>1</v>
      </c>
      <c r="H737" s="6">
        <v>1</v>
      </c>
      <c r="I737" s="6"/>
      <c r="J737" s="9"/>
    </row>
    <row r="738" spans="1:10" x14ac:dyDescent="0.3">
      <c r="A738" s="4">
        <v>7081</v>
      </c>
      <c r="B738" s="6">
        <f>VLOOKUP(TABLA_PRECIOS[Código],LISTADO_PRODUCTOS[#All],2)</f>
        <v>54909</v>
      </c>
      <c r="C738" s="6" t="str">
        <f>VLOOKUP(TABLA_PRECIOS[Código],LISTADO_PRODUCTOS[#All],3)</f>
        <v>REGALERIA</v>
      </c>
      <c r="D738" s="6" t="str">
        <f>VLOOKUP(TABLA_PRECIOS[Código],LISTADO_PRODUCTOS[#All],4)</f>
        <v>Maped Creativ 50 Pieces Kit para colorear</v>
      </c>
      <c r="E738" s="6" t="str">
        <f>VLOOKUP(TABLA_PRECIOS[Código],LISTADO_PRODUCTOS[#All],5)</f>
        <v>N/A</v>
      </c>
      <c r="F738" s="4">
        <v>1</v>
      </c>
      <c r="G738" s="4">
        <v>1</v>
      </c>
      <c r="H738" s="6">
        <v>1</v>
      </c>
      <c r="I738" s="6"/>
      <c r="J738" s="9"/>
    </row>
    <row r="739" spans="1:10" x14ac:dyDescent="0.3">
      <c r="A739" s="4">
        <v>7082</v>
      </c>
      <c r="B739" s="6">
        <f>VLOOKUP(TABLA_PRECIOS[Código],LISTADO_PRODUCTOS[#All],2)</f>
        <v>54910</v>
      </c>
      <c r="C739" s="6" t="str">
        <f>VLOOKUP(TABLA_PRECIOS[Código],LISTADO_PRODUCTOS[#All],3)</f>
        <v>REGALERIA</v>
      </c>
      <c r="D739" s="6" t="str">
        <f>VLOOKUP(TABLA_PRECIOS[Código],LISTADO_PRODUCTOS[#All],4)</f>
        <v>Maped Creativ VELVET MOSAICS</v>
      </c>
      <c r="E739" s="6" t="str">
        <f>VLOOKUP(TABLA_PRECIOS[Código],LISTADO_PRODUCTOS[#All],5)</f>
        <v>N/A</v>
      </c>
      <c r="F739" s="4">
        <v>1</v>
      </c>
      <c r="G739" s="4">
        <v>1</v>
      </c>
      <c r="H739" s="6">
        <v>1</v>
      </c>
      <c r="I739" s="6"/>
      <c r="J739" s="9"/>
    </row>
    <row r="740" spans="1:10" x14ac:dyDescent="0.3">
      <c r="A740" s="4">
        <v>7094</v>
      </c>
      <c r="B740" s="6">
        <f>VLOOKUP(TABLA_PRECIOS[Código],LISTADO_PRODUCTOS[#All],2)</f>
        <v>54911</v>
      </c>
      <c r="C740" s="6" t="str">
        <f>VLOOKUP(TABLA_PRECIOS[Código],LISTADO_PRODUCTOS[#All],3)</f>
        <v>REGALERIA</v>
      </c>
      <c r="D740" s="6" t="str">
        <f>VLOOKUP(TABLA_PRECIOS[Código],LISTADO_PRODUCTOS[#All],4)</f>
        <v>Plasticlips crea sin limites 40 piezas</v>
      </c>
      <c r="E740" s="6" t="str">
        <f>VLOOKUP(TABLA_PRECIOS[Código],LISTADO_PRODUCTOS[#All],5)</f>
        <v>N/A</v>
      </c>
      <c r="F740" s="4">
        <v>1</v>
      </c>
      <c r="G740" s="4">
        <v>1</v>
      </c>
      <c r="H740" s="6">
        <v>1</v>
      </c>
      <c r="I740" s="6"/>
      <c r="J740" s="9"/>
    </row>
    <row r="741" spans="1:10" x14ac:dyDescent="0.3">
      <c r="A741" s="4">
        <v>7100</v>
      </c>
      <c r="B741" s="6">
        <f>VLOOKUP(TABLA_PRECIOS[Código],LISTADO_PRODUCTOS[#All],2)</f>
        <v>54912</v>
      </c>
      <c r="C741" s="6" t="str">
        <f>VLOOKUP(TABLA_PRECIOS[Código],LISTADO_PRODUCTOS[#All],3)</f>
        <v>REGALERIA</v>
      </c>
      <c r="D741" s="6" t="str">
        <f>VLOOKUP(TABLA_PRECIOS[Código],LISTADO_PRODUCTOS[#All],4)</f>
        <v>Cartelito de puerta infantil colours</v>
      </c>
      <c r="E741" s="6" t="str">
        <f>VLOOKUP(TABLA_PRECIOS[Código],LISTADO_PRODUCTOS[#All],5)</f>
        <v>N/A</v>
      </c>
      <c r="F741" s="4">
        <v>1</v>
      </c>
      <c r="G741" s="4">
        <v>1</v>
      </c>
      <c r="H741" s="6">
        <v>1</v>
      </c>
      <c r="I741" s="6"/>
      <c r="J741" s="9"/>
    </row>
    <row r="742" spans="1:10" x14ac:dyDescent="0.3">
      <c r="A742" s="4">
        <v>7103</v>
      </c>
      <c r="B742" s="6">
        <f>VLOOKUP(TABLA_PRECIOS[Código],LISTADO_PRODUCTOS[#All],2)</f>
        <v>54913</v>
      </c>
      <c r="C742" s="6" t="str">
        <f>VLOOKUP(TABLA_PRECIOS[Código],LISTADO_PRODUCTOS[#All],3)</f>
        <v>REGALERIA</v>
      </c>
      <c r="D742" s="6" t="str">
        <f>VLOOKUP(TABLA_PRECIOS[Código],LISTADO_PRODUCTOS[#All],4)</f>
        <v>Porta lapices para Cuadernos / Agendas Para 1 Lapicera FW Metal</v>
      </c>
      <c r="E742" s="6" t="str">
        <f>VLOOKUP(TABLA_PRECIOS[Código],LISTADO_PRODUCTOS[#All],5)</f>
        <v>N/A</v>
      </c>
      <c r="F742" s="4">
        <v>1</v>
      </c>
      <c r="G742" s="4">
        <v>1</v>
      </c>
      <c r="H742" s="6">
        <v>1</v>
      </c>
      <c r="I742" s="6"/>
      <c r="J742" s="9"/>
    </row>
    <row r="743" spans="1:10" x14ac:dyDescent="0.3">
      <c r="A743" s="4">
        <v>9000</v>
      </c>
      <c r="B743" s="6">
        <f>VLOOKUP(TABLA_PRECIOS[Código],LISTADO_PRODUCTOS[#All],2)</f>
        <v>54914</v>
      </c>
      <c r="C743" s="6" t="str">
        <f>VLOOKUP(TABLA_PRECIOS[Código],LISTADO_PRODUCTOS[#All],3)</f>
        <v>JUGUETERIA</v>
      </c>
      <c r="D743" s="6" t="str">
        <f>VLOOKUP(TABLA_PRECIOS[Código],LISTADO_PRODUCTOS[#All],4)</f>
        <v>Masas con cortante Dido</v>
      </c>
      <c r="E743" s="6" t="str">
        <f>VLOOKUP(TABLA_PRECIOS[Código],LISTADO_PRODUCTOS[#All],5)</f>
        <v>N/A</v>
      </c>
      <c r="F743" s="4">
        <v>1</v>
      </c>
      <c r="G743" s="4">
        <v>1</v>
      </c>
      <c r="H743" s="6">
        <v>1</v>
      </c>
      <c r="I743" s="6"/>
      <c r="J743" s="9"/>
    </row>
    <row r="744" spans="1:10" x14ac:dyDescent="0.3">
      <c r="A744" s="4">
        <v>9001</v>
      </c>
      <c r="B744" s="6">
        <f>VLOOKUP(TABLA_PRECIOS[Código],LISTADO_PRODUCTOS[#All],2)</f>
        <v>54915</v>
      </c>
      <c r="C744" s="6" t="str">
        <f>VLOOKUP(TABLA_PRECIOS[Código],LISTADO_PRODUCTOS[#All],3)</f>
        <v>JUGUETERIA</v>
      </c>
      <c r="D744" s="6" t="str">
        <f>VLOOKUP(TABLA_PRECIOS[Código],LISTADO_PRODUCTOS[#All],4)</f>
        <v>Masas Maped Creativ Pote x 114gr</v>
      </c>
      <c r="E744" s="6" t="str">
        <f>VLOOKUP(TABLA_PRECIOS[Código],LISTADO_PRODUCTOS[#All],5)</f>
        <v>N/A</v>
      </c>
      <c r="F744" s="4">
        <v>1</v>
      </c>
      <c r="G744" s="4">
        <v>1</v>
      </c>
      <c r="H744" s="6">
        <v>1</v>
      </c>
      <c r="I744" s="6"/>
      <c r="J744" s="9"/>
    </row>
    <row r="745" spans="1:10" x14ac:dyDescent="0.3">
      <c r="A745" s="4">
        <v>9006</v>
      </c>
      <c r="B745" s="6">
        <f>VLOOKUP(TABLA_PRECIOS[Código],LISTADO_PRODUCTOS[#All],2)</f>
        <v>54916</v>
      </c>
      <c r="C745" s="6" t="str">
        <f>VLOOKUP(TABLA_PRECIOS[Código],LISTADO_PRODUCTOS[#All],3)</f>
        <v>JUGUETERIA</v>
      </c>
      <c r="D745" s="6" t="str">
        <f>VLOOKUP(TABLA_PRECIOS[Código],LISTADO_PRODUCTOS[#All],4)</f>
        <v>Cerebronia conexión mental</v>
      </c>
      <c r="E745" s="6" t="str">
        <f>VLOOKUP(TABLA_PRECIOS[Código],LISTADO_PRODUCTOS[#All],5)</f>
        <v>N/A</v>
      </c>
      <c r="F745" s="4">
        <v>1</v>
      </c>
      <c r="G745" s="4">
        <v>1</v>
      </c>
      <c r="H745" s="6">
        <v>1</v>
      </c>
      <c r="I745" s="6"/>
      <c r="J745" s="9"/>
    </row>
    <row r="746" spans="1:10" x14ac:dyDescent="0.3">
      <c r="A746" s="4">
        <v>9010</v>
      </c>
      <c r="B746" s="6">
        <f>VLOOKUP(TABLA_PRECIOS[Código],LISTADO_PRODUCTOS[#All],2)</f>
        <v>54917</v>
      </c>
      <c r="C746" s="6" t="str">
        <f>VLOOKUP(TABLA_PRECIOS[Código],LISTADO_PRODUCTOS[#All],3)</f>
        <v>JUGUETERIA</v>
      </c>
      <c r="D746" s="6" t="str">
        <f>VLOOKUP(TABLA_PRECIOS[Código],LISTADO_PRODUCTOS[#All],4)</f>
        <v>Cartas Naipes Truco Habana Plastificadas x 40c</v>
      </c>
      <c r="E746" s="6" t="str">
        <f>VLOOKUP(TABLA_PRECIOS[Código],LISTADO_PRODUCTOS[#All],5)</f>
        <v>N/A</v>
      </c>
      <c r="F746" s="4">
        <v>1</v>
      </c>
      <c r="G746" s="4">
        <v>1</v>
      </c>
      <c r="H746" s="6">
        <v>1</v>
      </c>
      <c r="I746" s="6"/>
      <c r="J746" s="9"/>
    </row>
    <row r="747" spans="1:10" x14ac:dyDescent="0.3">
      <c r="A747" s="4">
        <v>9012</v>
      </c>
      <c r="B747" s="6">
        <f>VLOOKUP(TABLA_PRECIOS[Código],LISTADO_PRODUCTOS[#All],2)</f>
        <v>54918</v>
      </c>
      <c r="C747" s="6" t="str">
        <f>VLOOKUP(TABLA_PRECIOS[Código],LISTADO_PRODUCTOS[#All],3)</f>
        <v>JUGUETERIA</v>
      </c>
      <c r="D747" s="6" t="str">
        <f>VLOOKUP(TABLA_PRECIOS[Código],LISTADO_PRODUCTOS[#All],4)</f>
        <v>Agenda FW Inspire Diaria Batik</v>
      </c>
      <c r="E747" s="6" t="str">
        <f>VLOOKUP(TABLA_PRECIOS[Código],LISTADO_PRODUCTOS[#All],5)</f>
        <v>N/A</v>
      </c>
      <c r="F747" s="4">
        <v>1</v>
      </c>
      <c r="G747" s="4">
        <v>1</v>
      </c>
      <c r="H747" s="6">
        <v>1</v>
      </c>
      <c r="I747" s="6"/>
      <c r="J747" s="9"/>
    </row>
    <row r="748" spans="1:10" x14ac:dyDescent="0.3">
      <c r="A748" s="4">
        <v>9014</v>
      </c>
      <c r="B748" s="6">
        <f>VLOOKUP(TABLA_PRECIOS[Código],LISTADO_PRODUCTOS[#All],2)</f>
        <v>54919</v>
      </c>
      <c r="C748" s="6" t="str">
        <f>VLOOKUP(TABLA_PRECIOS[Código],LISTADO_PRODUCTOS[#All],3)</f>
        <v>JUGUETERIA</v>
      </c>
      <c r="D748" s="6" t="str">
        <f>VLOOKUP(TABLA_PRECIOS[Código],LISTADO_PRODUCTOS[#All],4)</f>
        <v>Set regadera con pala y rastrillo chico</v>
      </c>
      <c r="E748" s="6" t="str">
        <f>VLOOKUP(TABLA_PRECIOS[Código],LISTADO_PRODUCTOS[#All],5)</f>
        <v>N/A</v>
      </c>
      <c r="F748" s="4">
        <v>1</v>
      </c>
      <c r="G748" s="4">
        <v>1</v>
      </c>
      <c r="H748" s="6">
        <v>1</v>
      </c>
      <c r="I748" s="6"/>
      <c r="J748" s="9"/>
    </row>
    <row r="749" spans="1:10" x14ac:dyDescent="0.3">
      <c r="A749" s="4">
        <v>9023</v>
      </c>
      <c r="B749" s="6">
        <f>VLOOKUP(TABLA_PRECIOS[Código],LISTADO_PRODUCTOS[#All],2)</f>
        <v>54920</v>
      </c>
      <c r="C749" s="6" t="str">
        <f>VLOOKUP(TABLA_PRECIOS[Código],LISTADO_PRODUCTOS[#All],3)</f>
        <v>JUGUETERIA</v>
      </c>
      <c r="D749" s="6" t="str">
        <f>VLOOKUP(TABLA_PRECIOS[Código],LISTADO_PRODUCTOS[#All],4)</f>
        <v>Set DURAVIT PALITA RASTRILLO Y MOLDES</v>
      </c>
      <c r="E749" s="6" t="str">
        <f>VLOOKUP(TABLA_PRECIOS[Código],LISTADO_PRODUCTOS[#All],5)</f>
        <v>N/A</v>
      </c>
      <c r="F749" s="4">
        <v>1</v>
      </c>
      <c r="G749" s="4">
        <v>1</v>
      </c>
      <c r="H749" s="6">
        <v>1</v>
      </c>
      <c r="I749" s="6"/>
      <c r="J749" s="9"/>
    </row>
    <row r="750" spans="1:10" x14ac:dyDescent="0.3">
      <c r="A750" s="4">
        <v>9028</v>
      </c>
      <c r="B750" s="6">
        <f>VLOOKUP(TABLA_PRECIOS[Código],LISTADO_PRODUCTOS[#All],2)</f>
        <v>54921</v>
      </c>
      <c r="C750" s="6" t="str">
        <f>VLOOKUP(TABLA_PRECIOS[Código],LISTADO_PRODUCTOS[#All],3)</f>
        <v>JUGUETERIA</v>
      </c>
      <c r="D750" s="6" t="str">
        <f>VLOOKUP(TABLA_PRECIOS[Código],LISTADO_PRODUCTOS[#All],4)</f>
        <v>Juego de mesa LA GRANJA MILLONARIA 3200 RUIBAL</v>
      </c>
      <c r="E750" s="6" t="str">
        <f>VLOOKUP(TABLA_PRECIOS[Código],LISTADO_PRODUCTOS[#All],5)</f>
        <v>N/A</v>
      </c>
      <c r="F750" s="4">
        <v>1</v>
      </c>
      <c r="G750" s="4">
        <v>1</v>
      </c>
      <c r="H750" s="6">
        <v>1</v>
      </c>
      <c r="I750" s="6"/>
      <c r="J750" s="9"/>
    </row>
    <row r="751" spans="1:10" x14ac:dyDescent="0.3">
      <c r="A751" s="4">
        <v>9040</v>
      </c>
      <c r="B751" s="6">
        <f>VLOOKUP(TABLA_PRECIOS[Código],LISTADO_PRODUCTOS[#All],2)</f>
        <v>54922</v>
      </c>
      <c r="C751" s="6" t="str">
        <f>VLOOKUP(TABLA_PRECIOS[Código],LISTADO_PRODUCTOS[#All],3)</f>
        <v>JUGUETERIA</v>
      </c>
      <c r="D751" s="6" t="str">
        <f>VLOOKUP(TABLA_PRECIOS[Código],LISTADO_PRODUCTOS[#All],4)</f>
        <v>Juego de mesa Conquista del Mundo</v>
      </c>
      <c r="E751" s="6" t="str">
        <f>VLOOKUP(TABLA_PRECIOS[Código],LISTADO_PRODUCTOS[#All],5)</f>
        <v>N/A</v>
      </c>
      <c r="F751" s="4">
        <v>1</v>
      </c>
      <c r="G751" s="4">
        <v>1</v>
      </c>
      <c r="H751" s="6">
        <v>1</v>
      </c>
      <c r="I751" s="6"/>
      <c r="J751" s="9"/>
    </row>
    <row r="752" spans="1:10" x14ac:dyDescent="0.3">
      <c r="A752" s="4">
        <v>9078</v>
      </c>
      <c r="B752" s="6">
        <f>VLOOKUP(TABLA_PRECIOS[Código],LISTADO_PRODUCTOS[#All],2)</f>
        <v>54923</v>
      </c>
      <c r="C752" s="6" t="str">
        <f>VLOOKUP(TABLA_PRECIOS[Código],LISTADO_PRODUCTOS[#All],3)</f>
        <v>JUGUETERIA</v>
      </c>
      <c r="D752" s="6" t="str">
        <f>VLOOKUP(TABLA_PRECIOS[Código],LISTADO_PRODUCTOS[#All],4)</f>
        <v>Set balde con rastrillo y pala mediano Luni/Duravit</v>
      </c>
      <c r="E752" s="6" t="str">
        <f>VLOOKUP(TABLA_PRECIOS[Código],LISTADO_PRODUCTOS[#All],5)</f>
        <v>N/A</v>
      </c>
      <c r="F752" s="4">
        <v>1</v>
      </c>
      <c r="G752" s="4">
        <v>1</v>
      </c>
      <c r="H752" s="6">
        <v>1</v>
      </c>
      <c r="I752" s="6"/>
      <c r="J752" s="9"/>
    </row>
    <row r="753" spans="1:10" x14ac:dyDescent="0.3">
      <c r="A753" s="4">
        <v>9100</v>
      </c>
      <c r="B753" s="6">
        <f>VLOOKUP(TABLA_PRECIOS[Código],LISTADO_PRODUCTOS[#All],2)</f>
        <v>54924</v>
      </c>
      <c r="C753" s="6" t="str">
        <f>VLOOKUP(TABLA_PRECIOS[Código],LISTADO_PRODUCTOS[#All],3)</f>
        <v>JUGUETERIA</v>
      </c>
      <c r="D753" s="6" t="str">
        <f>VLOOKUP(TABLA_PRECIOS[Código],LISTADO_PRODUCTOS[#All],4)</f>
        <v>Rompecabezas c/iman grande PIPI KUKU</v>
      </c>
      <c r="E753" s="6" t="str">
        <f>VLOOKUP(TABLA_PRECIOS[Código],LISTADO_PRODUCTOS[#All],5)</f>
        <v>N/A</v>
      </c>
      <c r="F753" s="4">
        <v>1</v>
      </c>
      <c r="G753" s="4">
        <v>1</v>
      </c>
      <c r="H753" s="6">
        <v>1</v>
      </c>
      <c r="I753" s="6"/>
      <c r="J753" s="9"/>
    </row>
    <row r="754" spans="1:10" x14ac:dyDescent="0.3">
      <c r="A754" s="4">
        <v>9101</v>
      </c>
      <c r="B754" s="6">
        <f>VLOOKUP(TABLA_PRECIOS[Código],LISTADO_PRODUCTOS[#All],2)</f>
        <v>54925</v>
      </c>
      <c r="C754" s="6" t="str">
        <f>VLOOKUP(TABLA_PRECIOS[Código],LISTADO_PRODUCTOS[#All],3)</f>
        <v>JUGUETERIA</v>
      </c>
      <c r="D754" s="6" t="str">
        <f>VLOOKUP(TABLA_PRECIOS[Código],LISTADO_PRODUCTOS[#All],4)</f>
        <v>Rompecabezas inicial de PIPIKUKU madera c/iman 4 piezas</v>
      </c>
      <c r="E754" s="6" t="str">
        <f>VLOOKUP(TABLA_PRECIOS[Código],LISTADO_PRODUCTOS[#All],5)</f>
        <v>N/A</v>
      </c>
      <c r="F754" s="4">
        <v>1</v>
      </c>
      <c r="G754" s="4">
        <v>1</v>
      </c>
      <c r="H754" s="6">
        <v>1</v>
      </c>
      <c r="I754" s="6"/>
      <c r="J754" s="9"/>
    </row>
    <row r="755" spans="1:10" x14ac:dyDescent="0.3">
      <c r="A755" s="4">
        <v>9102</v>
      </c>
      <c r="B755" s="6">
        <f>VLOOKUP(TABLA_PRECIOS[Código],LISTADO_PRODUCTOS[#All],2)</f>
        <v>54926</v>
      </c>
      <c r="C755" s="6" t="str">
        <f>VLOOKUP(TABLA_PRECIOS[Código],LISTADO_PRODUCTOS[#All],3)</f>
        <v>JUGUETERIA</v>
      </c>
      <c r="D755" s="6" t="str">
        <f>VLOOKUP(TABLA_PRECIOS[Código],LISTADO_PRODUCTOS[#All],4)</f>
        <v>Rompecabezas de en plancha de encastre PIPIU KUKU 36 piezas madera</v>
      </c>
      <c r="E755" s="6" t="str">
        <f>VLOOKUP(TABLA_PRECIOS[Código],LISTADO_PRODUCTOS[#All],5)</f>
        <v>N/A</v>
      </c>
      <c r="F755" s="4">
        <v>1</v>
      </c>
      <c r="G755" s="4">
        <v>1</v>
      </c>
      <c r="H755" s="6">
        <v>1</v>
      </c>
      <c r="I755" s="6"/>
      <c r="J755" s="9"/>
    </row>
    <row r="756" spans="1:10" x14ac:dyDescent="0.3">
      <c r="A756" s="4">
        <v>9103</v>
      </c>
      <c r="B756" s="6">
        <f>VLOOKUP(TABLA_PRECIOS[Código],LISTADO_PRODUCTOS[#All],2)</f>
        <v>54927</v>
      </c>
      <c r="C756" s="6" t="str">
        <f>VLOOKUP(TABLA_PRECIOS[Código],LISTADO_PRODUCTOS[#All],3)</f>
        <v>JUGUETERIA</v>
      </c>
      <c r="D756" s="6" t="str">
        <f>VLOOKUP(TABLA_PRECIOS[Código],LISTADO_PRODUCTOS[#All],4)</f>
        <v xml:space="preserve">Arrastre madera </v>
      </c>
      <c r="E756" s="6" t="str">
        <f>VLOOKUP(TABLA_PRECIOS[Código],LISTADO_PRODUCTOS[#All],5)</f>
        <v>N/A</v>
      </c>
      <c r="F756" s="4">
        <v>1</v>
      </c>
      <c r="G756" s="4">
        <v>1</v>
      </c>
      <c r="H756" s="6">
        <v>1</v>
      </c>
      <c r="I756" s="6"/>
      <c r="J756" s="9"/>
    </row>
    <row r="757" spans="1:10" x14ac:dyDescent="0.3">
      <c r="A757" s="4">
        <v>9104</v>
      </c>
      <c r="B757" s="6">
        <f>VLOOKUP(TABLA_PRECIOS[Código],LISTADO_PRODUCTOS[#All],2)</f>
        <v>54928</v>
      </c>
      <c r="C757" s="6" t="str">
        <f>VLOOKUP(TABLA_PRECIOS[Código],LISTADO_PRODUCTOS[#All],3)</f>
        <v>JUGUETERIA</v>
      </c>
      <c r="D757" s="6" t="str">
        <f>VLOOKUP(TABLA_PRECIOS[Código],LISTADO_PRODUCTOS[#All],4)</f>
        <v>Memo test madera PIPI KUKU</v>
      </c>
      <c r="E757" s="6" t="str">
        <f>VLOOKUP(TABLA_PRECIOS[Código],LISTADO_PRODUCTOS[#All],5)</f>
        <v>N/A</v>
      </c>
      <c r="F757" s="4">
        <v>1</v>
      </c>
      <c r="G757" s="4">
        <v>1</v>
      </c>
      <c r="H757" s="6">
        <v>1</v>
      </c>
      <c r="I757" s="6"/>
      <c r="J757" s="9"/>
    </row>
    <row r="758" spans="1:10" x14ac:dyDescent="0.3">
      <c r="A758" s="4">
        <v>9105</v>
      </c>
      <c r="B758" s="6">
        <f>VLOOKUP(TABLA_PRECIOS[Código],LISTADO_PRODUCTOS[#All],2)</f>
        <v>54929</v>
      </c>
      <c r="C758" s="6" t="str">
        <f>VLOOKUP(TABLA_PRECIOS[Código],LISTADO_PRODUCTOS[#All],3)</f>
        <v>JUGUETERIA</v>
      </c>
      <c r="D758" s="6" t="str">
        <f>VLOOKUP(TABLA_PRECIOS[Código],LISTADO_PRODUCTOS[#All],4)</f>
        <v>Piezas de madera Aprendiendo PIPI KUKU 48 piezas</v>
      </c>
      <c r="E758" s="6" t="str">
        <f>VLOOKUP(TABLA_PRECIOS[Código],LISTADO_PRODUCTOS[#All],5)</f>
        <v>N/A</v>
      </c>
      <c r="F758" s="4">
        <v>1</v>
      </c>
      <c r="G758" s="4">
        <v>1</v>
      </c>
      <c r="H758" s="6">
        <v>1</v>
      </c>
      <c r="I758" s="6"/>
      <c r="J758" s="9"/>
    </row>
    <row r="759" spans="1:10" x14ac:dyDescent="0.3">
      <c r="A759" s="4">
        <v>9113</v>
      </c>
      <c r="B759" s="6">
        <f>VLOOKUP(TABLA_PRECIOS[Código],LISTADO_PRODUCTOS[#All],2)</f>
        <v>54930</v>
      </c>
      <c r="C759" s="6" t="str">
        <f>VLOOKUP(TABLA_PRECIOS[Código],LISTADO_PRODUCTOS[#All],3)</f>
        <v>JUGUETERIA</v>
      </c>
      <c r="D759" s="6" t="str">
        <f>VLOOKUP(TABLA_PRECIOS[Código],LISTADO_PRODUCTOS[#All],4)</f>
        <v>Juego de cartas CONQUISTA DEL MUNDO</v>
      </c>
      <c r="E759" s="6" t="str">
        <f>VLOOKUP(TABLA_PRECIOS[Código],LISTADO_PRODUCTOS[#All],5)</f>
        <v>N/A</v>
      </c>
      <c r="F759" s="4">
        <v>1</v>
      </c>
      <c r="G759" s="4">
        <v>1</v>
      </c>
      <c r="H759" s="6">
        <v>1</v>
      </c>
      <c r="I759" s="6"/>
      <c r="J759" s="9"/>
    </row>
    <row r="760" spans="1:10" x14ac:dyDescent="0.3">
      <c r="A760" s="4">
        <v>9114</v>
      </c>
      <c r="B760" s="6">
        <f>VLOOKUP(TABLA_PRECIOS[Código],LISTADO_PRODUCTOS[#All],2)</f>
        <v>54931</v>
      </c>
      <c r="C760" s="6" t="str">
        <f>VLOOKUP(TABLA_PRECIOS[Código],LISTADO_PRODUCTOS[#All],3)</f>
        <v>JUGUETERIA</v>
      </c>
      <c r="D760" s="6" t="str">
        <f>VLOOKUP(TABLA_PRECIOS[Código],LISTADO_PRODUCTOS[#All],4)</f>
        <v>Juego de bolsillo LA CASA DE LOS FANTASMAS 506</v>
      </c>
      <c r="E760" s="6" t="str">
        <f>VLOOKUP(TABLA_PRECIOS[Código],LISTADO_PRODUCTOS[#All],5)</f>
        <v>N/A</v>
      </c>
      <c r="F760" s="4">
        <v>1</v>
      </c>
      <c r="G760" s="4">
        <v>1</v>
      </c>
      <c r="H760" s="6">
        <v>1</v>
      </c>
      <c r="I760" s="6"/>
      <c r="J760" s="9"/>
    </row>
    <row r="761" spans="1:10" x14ac:dyDescent="0.3">
      <c r="A761" s="4">
        <v>9120</v>
      </c>
      <c r="B761" s="6">
        <f>VLOOKUP(TABLA_PRECIOS[Código],LISTADO_PRODUCTOS[#All],2)</f>
        <v>54932</v>
      </c>
      <c r="C761" s="6" t="str">
        <f>VLOOKUP(TABLA_PRECIOS[Código],LISTADO_PRODUCTOS[#All],3)</f>
        <v>JUGUETERIA</v>
      </c>
      <c r="D761" s="6" t="str">
        <f>VLOOKUP(TABLA_PRECIOS[Código],LISTADO_PRODUCTOS[#All],4)</f>
        <v>Duravit</v>
      </c>
      <c r="E761" s="6" t="str">
        <f>VLOOKUP(TABLA_PRECIOS[Código],LISTADO_PRODUCTOS[#All],5)</f>
        <v>N/A</v>
      </c>
      <c r="F761" s="4">
        <v>1</v>
      </c>
      <c r="G761" s="4">
        <v>1</v>
      </c>
      <c r="H761" s="6">
        <v>1</v>
      </c>
      <c r="I761" s="6"/>
      <c r="J761" s="9"/>
    </row>
    <row r="762" spans="1:10" x14ac:dyDescent="0.3">
      <c r="A762" s="4">
        <v>9246</v>
      </c>
      <c r="B762" s="6">
        <f>VLOOKUP(TABLA_PRECIOS[Código],LISTADO_PRODUCTOS[#All],2)</f>
        <v>54933</v>
      </c>
      <c r="C762" s="6" t="str">
        <f>VLOOKUP(TABLA_PRECIOS[Código],LISTADO_PRODUCTOS[#All],3)</f>
        <v>JUGUETERIA</v>
      </c>
      <c r="D762" s="6" t="str">
        <f>VLOOKUP(TABLA_PRECIOS[Código],LISTADO_PRODUCTOS[#All],4)</f>
        <v>Porta mfoto PIPI KUKU</v>
      </c>
      <c r="E762" s="6" t="str">
        <f>VLOOKUP(TABLA_PRECIOS[Código],LISTADO_PRODUCTOS[#All],5)</f>
        <v>N/A</v>
      </c>
      <c r="F762" s="4">
        <v>1</v>
      </c>
      <c r="G762" s="4">
        <v>1</v>
      </c>
      <c r="H762" s="6">
        <v>1</v>
      </c>
      <c r="I762" s="6"/>
      <c r="J762" s="9"/>
    </row>
    <row r="763" spans="1:10" x14ac:dyDescent="0.3">
      <c r="A763" s="4">
        <v>9298</v>
      </c>
      <c r="B763" s="6">
        <f>VLOOKUP(TABLA_PRECIOS[Código],LISTADO_PRODUCTOS[#All],2)</f>
        <v>54934</v>
      </c>
      <c r="C763" s="6" t="str">
        <f>VLOOKUP(TABLA_PRECIOS[Código],LISTADO_PRODUCTOS[#All],3)</f>
        <v>JUGUETERIA</v>
      </c>
      <c r="D763" s="6" t="str">
        <f>VLOOKUP(TABLA_PRECIOS[Código],LISTADO_PRODUCTOS[#All],4)</f>
        <v>Trencito Feliz JNG Childy plast Art. 012193</v>
      </c>
      <c r="E763" s="6" t="str">
        <f>VLOOKUP(TABLA_PRECIOS[Código],LISTADO_PRODUCTOS[#All],5)</f>
        <v>N/A</v>
      </c>
      <c r="F763" s="4">
        <v>1</v>
      </c>
      <c r="G763" s="4">
        <v>1</v>
      </c>
      <c r="H763" s="6">
        <v>1</v>
      </c>
      <c r="I763" s="6"/>
      <c r="J763" s="9"/>
    </row>
    <row r="764" spans="1:10" x14ac:dyDescent="0.3">
      <c r="A764" s="4">
        <v>9303</v>
      </c>
      <c r="B764" s="6">
        <f>VLOOKUP(TABLA_PRECIOS[Código],LISTADO_PRODUCTOS[#All],2)</f>
        <v>54935</v>
      </c>
      <c r="C764" s="6" t="str">
        <f>VLOOKUP(TABLA_PRECIOS[Código],LISTADO_PRODUCTOS[#All],3)</f>
        <v>JUGUETERIA</v>
      </c>
      <c r="D764" s="6" t="str">
        <f>VLOOKUP(TABLA_PRECIOS[Código],LISTADO_PRODUCTOS[#All],4)</f>
        <v>Masa perfumada en Pote Expresa Emocion</v>
      </c>
      <c r="E764" s="6" t="str">
        <f>VLOOKUP(TABLA_PRECIOS[Código],LISTADO_PRODUCTOS[#All],5)</f>
        <v>N/A</v>
      </c>
      <c r="F764" s="4">
        <v>1</v>
      </c>
      <c r="G764" s="4">
        <v>1</v>
      </c>
      <c r="H764" s="6">
        <v>1</v>
      </c>
      <c r="I764" s="6"/>
      <c r="J764" s="9"/>
    </row>
    <row r="765" spans="1:10" x14ac:dyDescent="0.3">
      <c r="A765" s="4">
        <v>9322</v>
      </c>
      <c r="B765" s="6">
        <f>VLOOKUP(TABLA_PRECIOS[Código],LISTADO_PRODUCTOS[#All],2)</f>
        <v>54936</v>
      </c>
      <c r="C765" s="6" t="str">
        <f>VLOOKUP(TABLA_PRECIOS[Código],LISTADO_PRODUCTOS[#All],3)</f>
        <v>JUGUETERIA</v>
      </c>
      <c r="D765" s="6" t="str">
        <f>VLOOKUP(TABLA_PRECIOS[Código],LISTADO_PRODUCTOS[#All],4)</f>
        <v>Bitacora La cuadra/animalitos imantados</v>
      </c>
      <c r="E765" s="6" t="str">
        <f>VLOOKUP(TABLA_PRECIOS[Código],LISTADO_PRODUCTOS[#All],5)</f>
        <v>N/A</v>
      </c>
      <c r="F765" s="4">
        <v>1</v>
      </c>
      <c r="G765" s="4">
        <v>1</v>
      </c>
      <c r="H765" s="6">
        <v>1</v>
      </c>
      <c r="I765" s="6"/>
      <c r="J765" s="9"/>
    </row>
    <row r="766" spans="1:10" x14ac:dyDescent="0.3">
      <c r="A766" s="4">
        <v>9331</v>
      </c>
      <c r="B766" s="6">
        <f>VLOOKUP(TABLA_PRECIOS[Código],LISTADO_PRODUCTOS[#All],2)</f>
        <v>54937</v>
      </c>
      <c r="C766" s="6" t="str">
        <f>VLOOKUP(TABLA_PRECIOS[Código],LISTADO_PRODUCTOS[#All],3)</f>
        <v>JUGUETERIA</v>
      </c>
      <c r="D766" s="6" t="str">
        <f>VLOOKUP(TABLA_PRECIOS[Código],LISTADO_PRODUCTOS[#All],4)</f>
        <v>Veo veo El Espacio - 50 personajes del espacio para buscarlos por el tablero</v>
      </c>
      <c r="E766" s="6" t="str">
        <f>VLOOKUP(TABLA_PRECIOS[Código],LISTADO_PRODUCTOS[#All],5)</f>
        <v>N/A</v>
      </c>
      <c r="F766" s="4">
        <v>1</v>
      </c>
      <c r="G766" s="4">
        <v>1</v>
      </c>
      <c r="H766" s="6">
        <v>1</v>
      </c>
      <c r="I766" s="6"/>
      <c r="J766" s="9"/>
    </row>
    <row r="767" spans="1:10" x14ac:dyDescent="0.3">
      <c r="A767" s="4">
        <v>9353</v>
      </c>
      <c r="B767" s="6">
        <f>VLOOKUP(TABLA_PRECIOS[Código],LISTADO_PRODUCTOS[#All],2)</f>
        <v>54938</v>
      </c>
      <c r="C767" s="6" t="str">
        <f>VLOOKUP(TABLA_PRECIOS[Código],LISTADO_PRODUCTOS[#All],3)</f>
        <v>JUGUETERIA</v>
      </c>
      <c r="D767" s="6" t="str">
        <f>VLOOKUP(TABLA_PRECIOS[Código],LISTADO_PRODUCTOS[#All],4)</f>
        <v>Caja sorpresa x bolsa</v>
      </c>
      <c r="E767" s="6" t="str">
        <f>VLOOKUP(TABLA_PRECIOS[Código],LISTADO_PRODUCTOS[#All],5)</f>
        <v>N/A</v>
      </c>
      <c r="F767" s="4">
        <v>1</v>
      </c>
      <c r="G767" s="4">
        <v>1</v>
      </c>
      <c r="H767" s="6">
        <v>1</v>
      </c>
      <c r="I767" s="6"/>
      <c r="J767" s="9"/>
    </row>
    <row r="768" spans="1:10" x14ac:dyDescent="0.3">
      <c r="A768" s="4">
        <v>9358</v>
      </c>
      <c r="B768" s="6">
        <f>VLOOKUP(TABLA_PRECIOS[Código],LISTADO_PRODUCTOS[#All],2)</f>
        <v>54939</v>
      </c>
      <c r="C768" s="6" t="str">
        <f>VLOOKUP(TABLA_PRECIOS[Código],LISTADO_PRODUCTOS[#All],3)</f>
        <v>JUGUETERIA</v>
      </c>
      <c r="D768" s="6" t="str">
        <f>VLOOKUP(TABLA_PRECIOS[Código],LISTADO_PRODUCTOS[#All],4)</f>
        <v>Pistola de agua Lyon Toys modelo 912-2</v>
      </c>
      <c r="E768" s="6" t="str">
        <f>VLOOKUP(TABLA_PRECIOS[Código],LISTADO_PRODUCTOS[#All],5)</f>
        <v>N/A</v>
      </c>
      <c r="F768" s="4">
        <v>1</v>
      </c>
      <c r="G768" s="4">
        <v>1</v>
      </c>
      <c r="H768" s="6">
        <v>1</v>
      </c>
      <c r="I768" s="6"/>
      <c r="J768" s="9"/>
    </row>
    <row r="769" spans="1:10" x14ac:dyDescent="0.3">
      <c r="A769" s="5">
        <v>9359</v>
      </c>
      <c r="B769" s="6">
        <f>VLOOKUP(TABLA_PRECIOS[Código],LISTADO_PRODUCTOS[#All],2)</f>
        <v>25556</v>
      </c>
      <c r="C769" s="6" t="str">
        <f>VLOOKUP(TABLA_PRECIOS[Código],LISTADO_PRODUCTOS[#All],3)</f>
        <v xml:space="preserve">OFICINA </v>
      </c>
      <c r="D769" s="6">
        <f>VLOOKUP(TABLA_PRECIOS[Código],LISTADO_PRODUCTOS[#All],4)</f>
        <v>0</v>
      </c>
      <c r="E769" s="6">
        <f>VLOOKUP(TABLA_PRECIOS[Código],LISTADO_PRODUCTOS[#All],5)</f>
        <v>0</v>
      </c>
      <c r="F769" s="4">
        <v>1</v>
      </c>
      <c r="G769" s="4">
        <v>1</v>
      </c>
      <c r="H769" s="6">
        <v>1</v>
      </c>
      <c r="I769" s="6"/>
      <c r="J769" s="9"/>
    </row>
    <row r="770" spans="1:10" x14ac:dyDescent="0.3">
      <c r="A770" s="5"/>
      <c r="J770" s="9"/>
    </row>
    <row r="771" spans="1:10" x14ac:dyDescent="0.3">
      <c r="A771" s="5"/>
      <c r="J771" s="9"/>
    </row>
    <row r="772" spans="1:10" x14ac:dyDescent="0.3">
      <c r="A772" s="5"/>
      <c r="F772" s="5"/>
      <c r="J772" s="9"/>
    </row>
    <row r="773" spans="1:10" x14ac:dyDescent="0.3">
      <c r="A773" s="5"/>
      <c r="J773" s="9"/>
    </row>
    <row r="774" spans="1:10" x14ac:dyDescent="0.3">
      <c r="A774" s="5"/>
      <c r="C774" s="5"/>
      <c r="J774" s="9"/>
    </row>
    <row r="775" spans="1:10" x14ac:dyDescent="0.3">
      <c r="A775" s="5"/>
      <c r="C775" s="5"/>
      <c r="J775" s="9"/>
    </row>
    <row r="776" spans="1:10" x14ac:dyDescent="0.3">
      <c r="A776" s="5"/>
      <c r="C776" s="5"/>
      <c r="J776" s="9"/>
    </row>
    <row r="777" spans="1:10" x14ac:dyDescent="0.3">
      <c r="A777" s="5"/>
      <c r="C777" s="5"/>
      <c r="J777" s="9"/>
    </row>
    <row r="778" spans="1:10" x14ac:dyDescent="0.3">
      <c r="A778" s="5"/>
      <c r="C778" s="5"/>
      <c r="J778" s="9"/>
    </row>
    <row r="779" spans="1:10" x14ac:dyDescent="0.3">
      <c r="A779" s="5"/>
      <c r="C779" s="5"/>
      <c r="J779" s="9"/>
    </row>
    <row r="780" spans="1:10" x14ac:dyDescent="0.3">
      <c r="A780" s="5"/>
      <c r="C780" s="5"/>
      <c r="F780" s="5"/>
      <c r="G780" s="5"/>
      <c r="J780" s="9"/>
    </row>
    <row r="781" spans="1:10" x14ac:dyDescent="0.3">
      <c r="A781" s="5"/>
      <c r="C781" s="5"/>
      <c r="F781" s="5"/>
      <c r="G781" s="5"/>
      <c r="J781" s="9"/>
    </row>
    <row r="782" spans="1:10" x14ac:dyDescent="0.3">
      <c r="A782" s="5"/>
      <c r="C782" s="5"/>
      <c r="F782" s="5"/>
      <c r="G782" s="5"/>
      <c r="J782" s="9"/>
    </row>
    <row r="783" spans="1:10" x14ac:dyDescent="0.3">
      <c r="A783" s="5"/>
      <c r="C783" s="5"/>
      <c r="F783" s="5"/>
      <c r="G783" s="5"/>
      <c r="J783" s="9"/>
    </row>
    <row r="784" spans="1:10" x14ac:dyDescent="0.3">
      <c r="A784" s="5"/>
      <c r="C784" s="5"/>
      <c r="D784" s="5"/>
      <c r="F784" s="5"/>
      <c r="G784" s="5"/>
      <c r="J784" s="9"/>
    </row>
    <row r="785" spans="1:10" x14ac:dyDescent="0.3">
      <c r="A785" s="5"/>
      <c r="C785" s="5"/>
      <c r="D785" s="5"/>
      <c r="J785" s="9"/>
    </row>
    <row r="786" spans="1:10" x14ac:dyDescent="0.3">
      <c r="A786" s="5"/>
      <c r="C786" s="5"/>
      <c r="D786" s="5"/>
      <c r="F786" s="5"/>
      <c r="G786" s="5"/>
      <c r="J786" s="9"/>
    </row>
    <row r="787" spans="1:10" x14ac:dyDescent="0.3">
      <c r="A787" s="5"/>
      <c r="C787" s="5"/>
      <c r="F787" s="5"/>
      <c r="G787" s="5"/>
      <c r="J787" s="9"/>
    </row>
    <row r="788" spans="1:10" x14ac:dyDescent="0.3">
      <c r="A788" s="5"/>
      <c r="C788" s="5"/>
      <c r="F788" s="5"/>
      <c r="G788" s="5"/>
      <c r="J788" s="9"/>
    </row>
    <row r="789" spans="1:10" x14ac:dyDescent="0.3">
      <c r="C789" s="5"/>
      <c r="G789" s="5"/>
      <c r="J789" s="9"/>
    </row>
    <row r="790" spans="1:10" x14ac:dyDescent="0.3">
      <c r="C790" s="5"/>
      <c r="F790" s="5"/>
      <c r="G790" s="5"/>
      <c r="J790" s="9"/>
    </row>
    <row r="791" spans="1:10" x14ac:dyDescent="0.3">
      <c r="C791" s="5"/>
      <c r="F791" s="5"/>
      <c r="G791" s="5"/>
      <c r="J791" s="9"/>
    </row>
    <row r="792" spans="1:10" x14ac:dyDescent="0.3">
      <c r="C792" s="5"/>
      <c r="F792" s="5"/>
      <c r="G792" s="5"/>
      <c r="J792" s="9"/>
    </row>
    <row r="793" spans="1:10" x14ac:dyDescent="0.3">
      <c r="C793" s="5"/>
      <c r="F793" s="5"/>
      <c r="G793" s="5"/>
      <c r="J793" s="9"/>
    </row>
    <row r="794" spans="1:10" x14ac:dyDescent="0.3">
      <c r="C794" s="5"/>
      <c r="F794" s="5"/>
      <c r="G794" s="5"/>
      <c r="J794" s="9"/>
    </row>
    <row r="795" spans="1:10" x14ac:dyDescent="0.3">
      <c r="C795" s="5"/>
      <c r="F795" s="5"/>
      <c r="G795" s="5"/>
      <c r="J795" s="9"/>
    </row>
    <row r="796" spans="1:10" x14ac:dyDescent="0.3">
      <c r="G796" s="5"/>
      <c r="J796" s="9"/>
    </row>
    <row r="797" spans="1:10" x14ac:dyDescent="0.3">
      <c r="F797" s="5"/>
      <c r="G797" s="5"/>
      <c r="J797" s="9"/>
    </row>
    <row r="798" spans="1:10" x14ac:dyDescent="0.3">
      <c r="F798" s="5"/>
      <c r="G798" s="5"/>
      <c r="J798" s="9"/>
    </row>
    <row r="799" spans="1:10" x14ac:dyDescent="0.3">
      <c r="F799" s="5"/>
      <c r="G799" s="5"/>
      <c r="J799" s="9"/>
    </row>
    <row r="800" spans="1:10" x14ac:dyDescent="0.3">
      <c r="G800" s="5"/>
      <c r="J800" s="9"/>
    </row>
    <row r="801" spans="7:10" x14ac:dyDescent="0.3">
      <c r="G801" s="5"/>
      <c r="J801" s="9"/>
    </row>
    <row r="802" spans="7:10" x14ac:dyDescent="0.3">
      <c r="G802" s="5"/>
      <c r="J802" s="9"/>
    </row>
    <row r="803" spans="7:10" x14ac:dyDescent="0.3">
      <c r="J803" s="9"/>
    </row>
    <row r="804" spans="7:10" x14ac:dyDescent="0.3">
      <c r="J804" s="9"/>
    </row>
    <row r="805" spans="7:10" x14ac:dyDescent="0.3">
      <c r="J805" s="9"/>
    </row>
    <row r="806" spans="7:10" x14ac:dyDescent="0.3">
      <c r="J806" s="9"/>
    </row>
    <row r="807" spans="7:10" x14ac:dyDescent="0.3">
      <c r="J807" s="9"/>
    </row>
    <row r="808" spans="7:10" x14ac:dyDescent="0.3">
      <c r="J808" s="9"/>
    </row>
    <row r="809" spans="7:10" x14ac:dyDescent="0.3">
      <c r="J809" s="9"/>
    </row>
    <row r="810" spans="7:10" x14ac:dyDescent="0.3">
      <c r="J810" s="9"/>
    </row>
    <row r="811" spans="7:10" x14ac:dyDescent="0.3">
      <c r="J811" s="9"/>
    </row>
    <row r="812" spans="7:10" x14ac:dyDescent="0.3">
      <c r="J812" s="9"/>
    </row>
    <row r="813" spans="7:10" x14ac:dyDescent="0.3">
      <c r="J813" s="9"/>
    </row>
    <row r="814" spans="7:10" x14ac:dyDescent="0.3">
      <c r="J814" s="9"/>
    </row>
    <row r="815" spans="7:10" x14ac:dyDescent="0.3">
      <c r="J815" s="9"/>
    </row>
    <row r="816" spans="7:10" x14ac:dyDescent="0.3">
      <c r="J816" s="9"/>
    </row>
    <row r="817" spans="10:10" x14ac:dyDescent="0.3">
      <c r="J817" s="9"/>
    </row>
    <row r="818" spans="10:10" x14ac:dyDescent="0.3">
      <c r="J818" s="9"/>
    </row>
    <row r="819" spans="10:10" x14ac:dyDescent="0.3">
      <c r="J819" s="9"/>
    </row>
    <row r="820" spans="10:10" x14ac:dyDescent="0.3">
      <c r="J820" s="9"/>
    </row>
    <row r="821" spans="10:10" x14ac:dyDescent="0.3">
      <c r="J821" s="9"/>
    </row>
    <row r="822" spans="10:10" x14ac:dyDescent="0.3">
      <c r="J822" s="9"/>
    </row>
    <row r="823" spans="10:10" x14ac:dyDescent="0.3">
      <c r="J823" s="9"/>
    </row>
    <row r="824" spans="10:10" x14ac:dyDescent="0.3">
      <c r="J824" s="9"/>
    </row>
    <row r="825" spans="10:10" x14ac:dyDescent="0.3">
      <c r="J825" s="9"/>
    </row>
    <row r="826" spans="10:10" x14ac:dyDescent="0.3">
      <c r="J826" s="9"/>
    </row>
    <row r="827" spans="10:10" x14ac:dyDescent="0.3">
      <c r="J827" s="9"/>
    </row>
    <row r="828" spans="10:10" x14ac:dyDescent="0.3">
      <c r="J828" s="9"/>
    </row>
    <row r="829" spans="10:10" x14ac:dyDescent="0.3">
      <c r="J829" s="9"/>
    </row>
    <row r="830" spans="10:10" x14ac:dyDescent="0.3">
      <c r="J830" s="9"/>
    </row>
    <row r="831" spans="10:10" x14ac:dyDescent="0.3">
      <c r="J831" s="9"/>
    </row>
    <row r="832" spans="10:10" x14ac:dyDescent="0.3">
      <c r="J832" s="9"/>
    </row>
    <row r="833" spans="10:10" x14ac:dyDescent="0.3">
      <c r="J833" s="9"/>
    </row>
    <row r="834" spans="10:10" x14ac:dyDescent="0.3">
      <c r="J834" s="9"/>
    </row>
    <row r="835" spans="10:10" x14ac:dyDescent="0.3">
      <c r="J835" s="9"/>
    </row>
    <row r="836" spans="10:10" x14ac:dyDescent="0.3">
      <c r="J836" s="9"/>
    </row>
    <row r="837" spans="10:10" x14ac:dyDescent="0.3">
      <c r="J837" s="9"/>
    </row>
    <row r="838" spans="10:10" x14ac:dyDescent="0.3">
      <c r="J838" s="9"/>
    </row>
    <row r="839" spans="10:10" x14ac:dyDescent="0.3">
      <c r="J839" s="9"/>
    </row>
    <row r="840" spans="10:10" x14ac:dyDescent="0.3">
      <c r="J840" s="9"/>
    </row>
    <row r="841" spans="10:10" x14ac:dyDescent="0.3">
      <c r="J841" s="9"/>
    </row>
    <row r="842" spans="10:10" x14ac:dyDescent="0.3">
      <c r="J842" s="9"/>
    </row>
    <row r="843" spans="10:10" x14ac:dyDescent="0.3">
      <c r="J843" s="9"/>
    </row>
    <row r="844" spans="10:10" x14ac:dyDescent="0.3">
      <c r="J844" s="9"/>
    </row>
    <row r="845" spans="10:10" x14ac:dyDescent="0.3">
      <c r="J845" s="9"/>
    </row>
    <row r="846" spans="10:10" x14ac:dyDescent="0.3">
      <c r="J846" s="9"/>
    </row>
    <row r="847" spans="10:10" x14ac:dyDescent="0.3">
      <c r="J847" s="9"/>
    </row>
    <row r="848" spans="10:10" x14ac:dyDescent="0.3">
      <c r="J848" s="9"/>
    </row>
    <row r="849" spans="10:10" x14ac:dyDescent="0.3">
      <c r="J849" s="9"/>
    </row>
    <row r="850" spans="10:10" x14ac:dyDescent="0.3">
      <c r="J850" s="9"/>
    </row>
    <row r="851" spans="10:10" x14ac:dyDescent="0.3">
      <c r="J851" s="9"/>
    </row>
    <row r="852" spans="10:10" x14ac:dyDescent="0.3">
      <c r="J852" s="9"/>
    </row>
    <row r="853" spans="10:10" x14ac:dyDescent="0.3">
      <c r="J853" s="9"/>
    </row>
    <row r="854" spans="10:10" x14ac:dyDescent="0.3">
      <c r="J854" s="9"/>
    </row>
    <row r="855" spans="10:10" x14ac:dyDescent="0.3">
      <c r="J855" s="9"/>
    </row>
    <row r="856" spans="10:10" x14ac:dyDescent="0.3">
      <c r="J856" s="9"/>
    </row>
    <row r="857" spans="10:10" x14ac:dyDescent="0.3">
      <c r="J857" s="9"/>
    </row>
    <row r="858" spans="10:10" x14ac:dyDescent="0.3">
      <c r="J858" s="9"/>
    </row>
    <row r="859" spans="10:10" x14ac:dyDescent="0.3">
      <c r="J859" s="9"/>
    </row>
    <row r="860" spans="10:10" x14ac:dyDescent="0.3">
      <c r="J860" s="9"/>
    </row>
    <row r="861" spans="10:10" x14ac:dyDescent="0.3">
      <c r="J861" s="9"/>
    </row>
    <row r="862" spans="10:10" x14ac:dyDescent="0.3">
      <c r="J862" s="9"/>
    </row>
    <row r="863" spans="10:10" x14ac:dyDescent="0.3">
      <c r="J863" s="9"/>
    </row>
    <row r="864" spans="10:10" x14ac:dyDescent="0.3">
      <c r="J864" s="9"/>
    </row>
    <row r="865" spans="10:10" x14ac:dyDescent="0.3">
      <c r="J865" s="9"/>
    </row>
    <row r="866" spans="10:10" x14ac:dyDescent="0.3">
      <c r="J866" s="9"/>
    </row>
    <row r="867" spans="10:10" x14ac:dyDescent="0.3">
      <c r="J867" s="9"/>
    </row>
    <row r="868" spans="10:10" x14ac:dyDescent="0.3">
      <c r="J868" s="9"/>
    </row>
    <row r="869" spans="10:10" x14ac:dyDescent="0.3">
      <c r="J869" s="9"/>
    </row>
    <row r="870" spans="10:10" x14ac:dyDescent="0.3">
      <c r="J870" s="9"/>
    </row>
    <row r="871" spans="10:10" x14ac:dyDescent="0.3">
      <c r="J871" s="9"/>
    </row>
    <row r="872" spans="10:10" x14ac:dyDescent="0.3">
      <c r="J872" s="9"/>
    </row>
    <row r="873" spans="10:10" x14ac:dyDescent="0.3">
      <c r="J873" s="9"/>
    </row>
    <row r="874" spans="10:10" x14ac:dyDescent="0.3">
      <c r="J874" s="9"/>
    </row>
    <row r="875" spans="10:10" x14ac:dyDescent="0.3">
      <c r="J875" s="9"/>
    </row>
    <row r="876" spans="10:10" x14ac:dyDescent="0.3">
      <c r="J876" s="9"/>
    </row>
    <row r="877" spans="10:10" x14ac:dyDescent="0.3">
      <c r="J877" s="9"/>
    </row>
    <row r="878" spans="10:10" x14ac:dyDescent="0.3">
      <c r="J878" s="9"/>
    </row>
    <row r="879" spans="10:10" x14ac:dyDescent="0.3">
      <c r="J879" s="9"/>
    </row>
    <row r="880" spans="10:10" x14ac:dyDescent="0.3">
      <c r="J880" s="9"/>
    </row>
    <row r="881" spans="10:10" x14ac:dyDescent="0.3">
      <c r="J881" s="9"/>
    </row>
    <row r="882" spans="10:10" x14ac:dyDescent="0.3">
      <c r="J882" s="9"/>
    </row>
    <row r="883" spans="10:10" x14ac:dyDescent="0.3">
      <c r="J883" s="9"/>
    </row>
    <row r="884" spans="10:10" x14ac:dyDescent="0.3">
      <c r="J884" s="9"/>
    </row>
    <row r="885" spans="10:10" x14ac:dyDescent="0.3">
      <c r="J885" s="9"/>
    </row>
    <row r="886" spans="10:10" x14ac:dyDescent="0.3">
      <c r="J886" s="9"/>
    </row>
    <row r="887" spans="10:10" x14ac:dyDescent="0.3">
      <c r="J887" s="9"/>
    </row>
    <row r="888" spans="10:10" x14ac:dyDescent="0.3">
      <c r="J888" s="9"/>
    </row>
    <row r="889" spans="10:10" x14ac:dyDescent="0.3">
      <c r="J889" s="9"/>
    </row>
    <row r="890" spans="10:10" x14ac:dyDescent="0.3">
      <c r="J890" s="9"/>
    </row>
    <row r="891" spans="10:10" x14ac:dyDescent="0.3">
      <c r="J891" s="9"/>
    </row>
    <row r="892" spans="10:10" x14ac:dyDescent="0.3">
      <c r="J892" s="9"/>
    </row>
    <row r="893" spans="10:10" x14ac:dyDescent="0.3">
      <c r="J893" s="9"/>
    </row>
    <row r="894" spans="10:10" x14ac:dyDescent="0.3">
      <c r="J894" s="9"/>
    </row>
    <row r="895" spans="10:10" x14ac:dyDescent="0.3">
      <c r="J895" s="9"/>
    </row>
    <row r="896" spans="10:10" x14ac:dyDescent="0.3">
      <c r="J896" s="9"/>
    </row>
    <row r="897" spans="10:10" x14ac:dyDescent="0.3">
      <c r="J897" s="9"/>
    </row>
    <row r="898" spans="10:10" x14ac:dyDescent="0.3">
      <c r="J898" s="9"/>
    </row>
    <row r="899" spans="10:10" x14ac:dyDescent="0.3">
      <c r="J899" s="9"/>
    </row>
    <row r="900" spans="10:10" x14ac:dyDescent="0.3">
      <c r="J900" s="9"/>
    </row>
    <row r="901" spans="10:10" x14ac:dyDescent="0.3">
      <c r="J901" s="9"/>
    </row>
    <row r="902" spans="10:10" x14ac:dyDescent="0.3">
      <c r="J902" s="9"/>
    </row>
    <row r="903" spans="10:10" x14ac:dyDescent="0.3">
      <c r="J903" s="9"/>
    </row>
    <row r="904" spans="10:10" x14ac:dyDescent="0.3">
      <c r="J904" s="9"/>
    </row>
    <row r="905" spans="10:10" x14ac:dyDescent="0.3">
      <c r="J905" s="9"/>
    </row>
    <row r="906" spans="10:10" x14ac:dyDescent="0.3">
      <c r="J906" s="9"/>
    </row>
    <row r="907" spans="10:10" x14ac:dyDescent="0.3">
      <c r="J907" s="9"/>
    </row>
    <row r="908" spans="10:10" x14ac:dyDescent="0.3">
      <c r="J908" s="9"/>
    </row>
    <row r="909" spans="10:10" x14ac:dyDescent="0.3">
      <c r="J909" s="9"/>
    </row>
    <row r="910" spans="10:10" x14ac:dyDescent="0.3">
      <c r="J910" s="9"/>
    </row>
    <row r="911" spans="10:10" x14ac:dyDescent="0.3">
      <c r="J911" s="9"/>
    </row>
    <row r="912" spans="10:10" x14ac:dyDescent="0.3">
      <c r="J912" s="9"/>
    </row>
    <row r="913" spans="10:10" x14ac:dyDescent="0.3">
      <c r="J913" s="9"/>
    </row>
    <row r="914" spans="10:10" x14ac:dyDescent="0.3">
      <c r="J914" s="9"/>
    </row>
    <row r="915" spans="10:10" x14ac:dyDescent="0.3">
      <c r="J915" s="9"/>
    </row>
    <row r="916" spans="10:10" x14ac:dyDescent="0.3">
      <c r="J916" s="9"/>
    </row>
    <row r="917" spans="10:10" x14ac:dyDescent="0.3">
      <c r="J917" s="9"/>
    </row>
    <row r="918" spans="10:10" x14ac:dyDescent="0.3">
      <c r="J918" s="9"/>
    </row>
    <row r="919" spans="10:10" x14ac:dyDescent="0.3">
      <c r="J919" s="9"/>
    </row>
    <row r="920" spans="10:10" x14ac:dyDescent="0.3">
      <c r="J920" s="9"/>
    </row>
    <row r="921" spans="10:10" x14ac:dyDescent="0.3">
      <c r="J921" s="9"/>
    </row>
    <row r="922" spans="10:10" x14ac:dyDescent="0.3">
      <c r="J922" s="9"/>
    </row>
    <row r="923" spans="10:10" x14ac:dyDescent="0.3">
      <c r="J923" s="9"/>
    </row>
    <row r="924" spans="10:10" x14ac:dyDescent="0.3">
      <c r="J924" s="9"/>
    </row>
    <row r="925" spans="10:10" x14ac:dyDescent="0.3">
      <c r="J925" s="9"/>
    </row>
    <row r="926" spans="10:10" x14ac:dyDescent="0.3">
      <c r="J926" s="9"/>
    </row>
    <row r="927" spans="10:10" x14ac:dyDescent="0.3">
      <c r="J927" s="9"/>
    </row>
    <row r="928" spans="10:10" x14ac:dyDescent="0.3">
      <c r="J928" s="9"/>
    </row>
    <row r="929" spans="10:10" x14ac:dyDescent="0.3">
      <c r="J929" s="9"/>
    </row>
    <row r="930" spans="10:10" x14ac:dyDescent="0.3">
      <c r="J930" s="9"/>
    </row>
    <row r="931" spans="10:10" x14ac:dyDescent="0.3">
      <c r="J931" s="9"/>
    </row>
    <row r="932" spans="10:10" x14ac:dyDescent="0.3">
      <c r="J932" s="9"/>
    </row>
    <row r="933" spans="10:10" x14ac:dyDescent="0.3">
      <c r="J933" s="9"/>
    </row>
    <row r="934" spans="10:10" x14ac:dyDescent="0.3">
      <c r="J934" s="9"/>
    </row>
    <row r="935" spans="10:10" x14ac:dyDescent="0.3">
      <c r="J935" s="9"/>
    </row>
    <row r="936" spans="10:10" x14ac:dyDescent="0.3">
      <c r="J936" s="9"/>
    </row>
    <row r="937" spans="10:10" x14ac:dyDescent="0.3">
      <c r="J937" s="9"/>
    </row>
    <row r="938" spans="10:10" x14ac:dyDescent="0.3">
      <c r="J938" s="9"/>
    </row>
    <row r="939" spans="10:10" x14ac:dyDescent="0.3">
      <c r="J939" s="9"/>
    </row>
    <row r="940" spans="10:10" x14ac:dyDescent="0.3">
      <c r="J940" s="9"/>
    </row>
    <row r="941" spans="10:10" x14ac:dyDescent="0.3">
      <c r="J941" s="9"/>
    </row>
    <row r="942" spans="10:10" x14ac:dyDescent="0.3">
      <c r="J942" s="9"/>
    </row>
    <row r="943" spans="10:10" x14ac:dyDescent="0.3">
      <c r="J943" s="9"/>
    </row>
    <row r="944" spans="10:10" x14ac:dyDescent="0.3">
      <c r="J944" s="9"/>
    </row>
    <row r="945" spans="10:10" x14ac:dyDescent="0.3">
      <c r="J945" s="9"/>
    </row>
    <row r="946" spans="10:10" x14ac:dyDescent="0.3">
      <c r="J946" s="9"/>
    </row>
    <row r="947" spans="10:10" x14ac:dyDescent="0.3">
      <c r="J947" s="9"/>
    </row>
    <row r="948" spans="10:10" x14ac:dyDescent="0.3">
      <c r="J948" s="9"/>
    </row>
    <row r="949" spans="10:10" x14ac:dyDescent="0.3">
      <c r="J949" s="9"/>
    </row>
    <row r="950" spans="10:10" x14ac:dyDescent="0.3">
      <c r="J950" s="9"/>
    </row>
    <row r="951" spans="10:10" x14ac:dyDescent="0.3">
      <c r="J951" s="9"/>
    </row>
    <row r="952" spans="10:10" x14ac:dyDescent="0.3">
      <c r="J952" s="9"/>
    </row>
    <row r="953" spans="10:10" x14ac:dyDescent="0.3">
      <c r="J953" s="9"/>
    </row>
    <row r="954" spans="10:10" x14ac:dyDescent="0.3">
      <c r="J954" s="9"/>
    </row>
    <row r="955" spans="10:10" x14ac:dyDescent="0.3">
      <c r="J955" s="9"/>
    </row>
    <row r="956" spans="10:10" x14ac:dyDescent="0.3">
      <c r="J956" s="9"/>
    </row>
    <row r="957" spans="10:10" x14ac:dyDescent="0.3">
      <c r="J957" s="9"/>
    </row>
    <row r="958" spans="10:10" x14ac:dyDescent="0.3">
      <c r="J958" s="9"/>
    </row>
    <row r="959" spans="10:10" x14ac:dyDescent="0.3">
      <c r="J959" s="9"/>
    </row>
    <row r="960" spans="10:10" x14ac:dyDescent="0.3">
      <c r="J960" s="9"/>
    </row>
    <row r="961" spans="10:10" x14ac:dyDescent="0.3">
      <c r="J961" s="9"/>
    </row>
    <row r="962" spans="10:10" x14ac:dyDescent="0.3">
      <c r="J962" s="9"/>
    </row>
    <row r="963" spans="10:10" x14ac:dyDescent="0.3">
      <c r="J963" s="9"/>
    </row>
    <row r="964" spans="10:10" x14ac:dyDescent="0.3">
      <c r="J964" s="9"/>
    </row>
    <row r="965" spans="10:10" x14ac:dyDescent="0.3">
      <c r="J965" s="9"/>
    </row>
    <row r="966" spans="10:10" x14ac:dyDescent="0.3">
      <c r="J966" s="9"/>
    </row>
    <row r="967" spans="10:10" x14ac:dyDescent="0.3">
      <c r="J967" s="9"/>
    </row>
    <row r="968" spans="10:10" x14ac:dyDescent="0.3">
      <c r="J968" s="9"/>
    </row>
    <row r="969" spans="10:10" x14ac:dyDescent="0.3">
      <c r="J969" s="9"/>
    </row>
    <row r="970" spans="10:10" x14ac:dyDescent="0.3">
      <c r="J970" s="9"/>
    </row>
    <row r="971" spans="10:10" x14ac:dyDescent="0.3">
      <c r="J971" s="9"/>
    </row>
    <row r="972" spans="10:10" x14ac:dyDescent="0.3">
      <c r="J972" s="9"/>
    </row>
    <row r="973" spans="10:10" x14ac:dyDescent="0.3">
      <c r="J973" s="9"/>
    </row>
    <row r="974" spans="10:10" x14ac:dyDescent="0.3">
      <c r="J974" s="9"/>
    </row>
    <row r="975" spans="10:10" x14ac:dyDescent="0.3">
      <c r="J975" s="9"/>
    </row>
    <row r="976" spans="10:10" x14ac:dyDescent="0.3">
      <c r="J976" s="9"/>
    </row>
    <row r="977" spans="10:10" x14ac:dyDescent="0.3">
      <c r="J977" s="9"/>
    </row>
    <row r="978" spans="10:10" x14ac:dyDescent="0.3">
      <c r="J978" s="9"/>
    </row>
    <row r="979" spans="10:10" x14ac:dyDescent="0.3">
      <c r="J979" s="9"/>
    </row>
    <row r="980" spans="10:10" x14ac:dyDescent="0.3">
      <c r="J980" s="9"/>
    </row>
    <row r="981" spans="10:10" x14ac:dyDescent="0.3">
      <c r="J981" s="9"/>
    </row>
    <row r="982" spans="10:10" x14ac:dyDescent="0.3">
      <c r="J982" s="9"/>
    </row>
    <row r="983" spans="10:10" x14ac:dyDescent="0.3">
      <c r="J983" s="9"/>
    </row>
    <row r="984" spans="10:10" x14ac:dyDescent="0.3">
      <c r="J984" s="9"/>
    </row>
    <row r="985" spans="10:10" x14ac:dyDescent="0.3">
      <c r="J985" s="9"/>
    </row>
    <row r="986" spans="10:10" x14ac:dyDescent="0.3">
      <c r="J986" s="9"/>
    </row>
    <row r="987" spans="10:10" x14ac:dyDescent="0.3">
      <c r="J987" s="9"/>
    </row>
    <row r="988" spans="10:10" x14ac:dyDescent="0.3">
      <c r="J988" s="9"/>
    </row>
    <row r="989" spans="10:10" x14ac:dyDescent="0.3">
      <c r="J989" s="9"/>
    </row>
    <row r="990" spans="10:10" x14ac:dyDescent="0.3">
      <c r="J990" s="9"/>
    </row>
    <row r="991" spans="10:10" x14ac:dyDescent="0.3">
      <c r="J991" s="9"/>
    </row>
    <row r="992" spans="10:10" x14ac:dyDescent="0.3">
      <c r="J992" s="9"/>
    </row>
    <row r="993" spans="10:10" x14ac:dyDescent="0.3">
      <c r="J993" s="9"/>
    </row>
    <row r="994" spans="10:10" x14ac:dyDescent="0.3">
      <c r="J994" s="9"/>
    </row>
    <row r="995" spans="10:10" x14ac:dyDescent="0.3">
      <c r="J995" s="9"/>
    </row>
    <row r="996" spans="10:10" x14ac:dyDescent="0.3">
      <c r="J996" s="9"/>
    </row>
    <row r="997" spans="10:10" x14ac:dyDescent="0.3">
      <c r="J997" s="9"/>
    </row>
    <row r="998" spans="10:10" x14ac:dyDescent="0.3">
      <c r="J998" s="9"/>
    </row>
    <row r="999" spans="10:10" x14ac:dyDescent="0.3">
      <c r="J999" s="9"/>
    </row>
    <row r="1000" spans="10:10" x14ac:dyDescent="0.3">
      <c r="J1000" s="9"/>
    </row>
    <row r="1001" spans="10:10" x14ac:dyDescent="0.3">
      <c r="J1001" s="9"/>
    </row>
    <row r="1002" spans="10:10" x14ac:dyDescent="0.3">
      <c r="J1002" s="9"/>
    </row>
    <row r="1003" spans="10:10" x14ac:dyDescent="0.3">
      <c r="J1003" s="9"/>
    </row>
    <row r="1004" spans="10:10" x14ac:dyDescent="0.3">
      <c r="J1004" s="9"/>
    </row>
    <row r="1005" spans="10:10" x14ac:dyDescent="0.3">
      <c r="J1005" s="9"/>
    </row>
    <row r="1006" spans="10:10" x14ac:dyDescent="0.3">
      <c r="J1006" s="9"/>
    </row>
    <row r="1007" spans="10:10" x14ac:dyDescent="0.3">
      <c r="J1007" s="9"/>
    </row>
    <row r="1008" spans="10:10" x14ac:dyDescent="0.3">
      <c r="J1008" s="9"/>
    </row>
    <row r="1009" spans="10:10" x14ac:dyDescent="0.3">
      <c r="J1009" s="9"/>
    </row>
    <row r="1010" spans="10:10" x14ac:dyDescent="0.3">
      <c r="J1010" s="9"/>
    </row>
    <row r="1011" spans="10:10" x14ac:dyDescent="0.3">
      <c r="J1011" s="9"/>
    </row>
    <row r="1012" spans="10:10" x14ac:dyDescent="0.3">
      <c r="J1012" s="9"/>
    </row>
    <row r="1013" spans="10:10" x14ac:dyDescent="0.3">
      <c r="J1013" s="9"/>
    </row>
    <row r="1014" spans="10:10" x14ac:dyDescent="0.3">
      <c r="J1014" s="9"/>
    </row>
    <row r="1015" spans="10:10" x14ac:dyDescent="0.3">
      <c r="J1015" s="9"/>
    </row>
    <row r="1016" spans="10:10" x14ac:dyDescent="0.3">
      <c r="J1016" s="9"/>
    </row>
    <row r="1017" spans="10:10" x14ac:dyDescent="0.3">
      <c r="J1017" s="9"/>
    </row>
    <row r="1018" spans="10:10" x14ac:dyDescent="0.3">
      <c r="J1018" s="9"/>
    </row>
    <row r="1019" spans="10:10" x14ac:dyDescent="0.3">
      <c r="J1019" s="9"/>
    </row>
    <row r="1020" spans="10:10" x14ac:dyDescent="0.3">
      <c r="J1020" s="9"/>
    </row>
    <row r="1021" spans="10:10" x14ac:dyDescent="0.3">
      <c r="J1021" s="9"/>
    </row>
    <row r="1022" spans="10:10" x14ac:dyDescent="0.3">
      <c r="J1022" s="9"/>
    </row>
    <row r="1023" spans="10:10" x14ac:dyDescent="0.3">
      <c r="J1023" s="9"/>
    </row>
    <row r="1024" spans="10:10" x14ac:dyDescent="0.3">
      <c r="J1024" s="9"/>
    </row>
    <row r="1025" spans="10:10" x14ac:dyDescent="0.3">
      <c r="J1025" s="9"/>
    </row>
    <row r="1026" spans="10:10" x14ac:dyDescent="0.3">
      <c r="J1026" s="9"/>
    </row>
    <row r="1027" spans="10:10" x14ac:dyDescent="0.3">
      <c r="J1027" s="9"/>
    </row>
    <row r="1028" spans="10:10" x14ac:dyDescent="0.3">
      <c r="J1028" s="9"/>
    </row>
    <row r="1029" spans="10:10" x14ac:dyDescent="0.3">
      <c r="J1029" s="9"/>
    </row>
    <row r="1030" spans="10:10" x14ac:dyDescent="0.3">
      <c r="J1030" s="9"/>
    </row>
    <row r="1031" spans="10:10" x14ac:dyDescent="0.3">
      <c r="J1031" s="9"/>
    </row>
    <row r="1032" spans="10:10" x14ac:dyDescent="0.3">
      <c r="J1032" s="9"/>
    </row>
    <row r="1033" spans="10:10" x14ac:dyDescent="0.3">
      <c r="J1033" s="9"/>
    </row>
    <row r="1034" spans="10:10" x14ac:dyDescent="0.3">
      <c r="J1034" s="9"/>
    </row>
    <row r="1035" spans="10:10" x14ac:dyDescent="0.3">
      <c r="J1035" s="9"/>
    </row>
    <row r="1036" spans="10:10" x14ac:dyDescent="0.3">
      <c r="J1036" s="9"/>
    </row>
    <row r="1037" spans="10:10" x14ac:dyDescent="0.3">
      <c r="J1037" s="9"/>
    </row>
    <row r="1038" spans="10:10" x14ac:dyDescent="0.3">
      <c r="J1038" s="9"/>
    </row>
    <row r="1039" spans="10:10" x14ac:dyDescent="0.3">
      <c r="J1039" s="9"/>
    </row>
    <row r="1040" spans="10:10" x14ac:dyDescent="0.3">
      <c r="J1040" s="9"/>
    </row>
    <row r="1041" spans="10:10" x14ac:dyDescent="0.3">
      <c r="J1041" s="9"/>
    </row>
    <row r="1042" spans="10:10" x14ac:dyDescent="0.3">
      <c r="J1042" s="9"/>
    </row>
    <row r="1043" spans="10:10" x14ac:dyDescent="0.3">
      <c r="J1043" s="9"/>
    </row>
    <row r="1044" spans="10:10" x14ac:dyDescent="0.3">
      <c r="J1044" s="9"/>
    </row>
    <row r="1045" spans="10:10" x14ac:dyDescent="0.3">
      <c r="J1045" s="9"/>
    </row>
    <row r="1046" spans="10:10" x14ac:dyDescent="0.3">
      <c r="J1046" s="9"/>
    </row>
    <row r="1047" spans="10:10" x14ac:dyDescent="0.3">
      <c r="J1047" s="9"/>
    </row>
    <row r="1048" spans="10:10" x14ac:dyDescent="0.3">
      <c r="J1048" s="9"/>
    </row>
    <row r="1049" spans="10:10" x14ac:dyDescent="0.3">
      <c r="J1049" s="9"/>
    </row>
    <row r="1050" spans="10:10" x14ac:dyDescent="0.3">
      <c r="J1050" s="9"/>
    </row>
    <row r="1051" spans="10:10" x14ac:dyDescent="0.3">
      <c r="J1051" s="9"/>
    </row>
    <row r="1052" spans="10:10" x14ac:dyDescent="0.3">
      <c r="J1052" s="9"/>
    </row>
    <row r="1053" spans="10:10" x14ac:dyDescent="0.3">
      <c r="J1053" s="9"/>
    </row>
    <row r="1054" spans="10:10" x14ac:dyDescent="0.3">
      <c r="J1054" s="9"/>
    </row>
    <row r="1055" spans="10:10" x14ac:dyDescent="0.3">
      <c r="J1055" s="9"/>
    </row>
    <row r="1056" spans="10:10" x14ac:dyDescent="0.3">
      <c r="J1056" s="9"/>
    </row>
    <row r="1057" spans="1:10" x14ac:dyDescent="0.3">
      <c r="J1057" s="9"/>
    </row>
    <row r="1058" spans="1:10" x14ac:dyDescent="0.3">
      <c r="J1058" s="9"/>
    </row>
    <row r="1059" spans="1:10" x14ac:dyDescent="0.3">
      <c r="J1059" s="9"/>
    </row>
    <row r="1060" spans="1:10" x14ac:dyDescent="0.3">
      <c r="J1060" s="9"/>
    </row>
    <row r="1061" spans="1:10" x14ac:dyDescent="0.3">
      <c r="J1061" s="9"/>
    </row>
    <row r="1062" spans="1:10" x14ac:dyDescent="0.3">
      <c r="J1062" s="9"/>
    </row>
    <row r="1063" spans="1:10" x14ac:dyDescent="0.3">
      <c r="J1063" s="9"/>
    </row>
    <row r="1064" spans="1:10" x14ac:dyDescent="0.3">
      <c r="J1064" s="9"/>
    </row>
    <row r="1065" spans="1:10" x14ac:dyDescent="0.3">
      <c r="J1065" s="9"/>
    </row>
    <row r="1066" spans="1:10" x14ac:dyDescent="0.3">
      <c r="J1066" s="9"/>
    </row>
    <row r="1067" spans="1:10" x14ac:dyDescent="0.3">
      <c r="J1067" s="9"/>
    </row>
    <row r="1068" spans="1:10" x14ac:dyDescent="0.3">
      <c r="J1068" s="9"/>
    </row>
    <row r="1069" spans="1:10" x14ac:dyDescent="0.3">
      <c r="A1069" s="5"/>
      <c r="J1069" s="9"/>
    </row>
    <row r="1070" spans="1:10" x14ac:dyDescent="0.3">
      <c r="J1070" s="9"/>
    </row>
    <row r="1071" spans="1:10" x14ac:dyDescent="0.3">
      <c r="J1071" s="9"/>
    </row>
    <row r="1072" spans="1:10" x14ac:dyDescent="0.3">
      <c r="J1072" s="9"/>
    </row>
    <row r="1073" spans="3:10" x14ac:dyDescent="0.3">
      <c r="J1073" s="9"/>
    </row>
    <row r="1074" spans="3:10" x14ac:dyDescent="0.3">
      <c r="J1074" s="9"/>
    </row>
    <row r="1075" spans="3:10" x14ac:dyDescent="0.3">
      <c r="J1075" s="9"/>
    </row>
    <row r="1076" spans="3:10" x14ac:dyDescent="0.3">
      <c r="C1076" s="5"/>
      <c r="J1076" s="9"/>
    </row>
    <row r="1077" spans="3:10" x14ac:dyDescent="0.3">
      <c r="J1077" s="9"/>
    </row>
    <row r="1078" spans="3:10" x14ac:dyDescent="0.3">
      <c r="J1078" s="9"/>
    </row>
    <row r="1079" spans="3:10" x14ac:dyDescent="0.3">
      <c r="J1079" s="9"/>
    </row>
    <row r="1080" spans="3:10" x14ac:dyDescent="0.3">
      <c r="J1080" s="9"/>
    </row>
    <row r="1081" spans="3:10" x14ac:dyDescent="0.3">
      <c r="J1081" s="9"/>
    </row>
    <row r="1082" spans="3:10" x14ac:dyDescent="0.3">
      <c r="J1082" s="9"/>
    </row>
    <row r="1083" spans="3:10" x14ac:dyDescent="0.3">
      <c r="G1083" s="5"/>
      <c r="J1083" s="9"/>
    </row>
    <row r="1084" spans="3:10" x14ac:dyDescent="0.3">
      <c r="J1084" s="9"/>
    </row>
    <row r="1085" spans="3:10" x14ac:dyDescent="0.3">
      <c r="J1085" s="9"/>
    </row>
    <row r="1086" spans="3:10" x14ac:dyDescent="0.3">
      <c r="J1086" s="9"/>
    </row>
    <row r="1087" spans="3:10" x14ac:dyDescent="0.3">
      <c r="J1087" s="9"/>
    </row>
    <row r="1088" spans="3:10" x14ac:dyDescent="0.3">
      <c r="J1088" s="9"/>
    </row>
    <row r="1089" spans="10:10" x14ac:dyDescent="0.3">
      <c r="J1089" s="9"/>
    </row>
    <row r="1090" spans="10:10" x14ac:dyDescent="0.3">
      <c r="J1090" s="9"/>
    </row>
    <row r="1091" spans="10:10" x14ac:dyDescent="0.3">
      <c r="J1091" s="9"/>
    </row>
    <row r="1092" spans="10:10" x14ac:dyDescent="0.3">
      <c r="J1092" s="9"/>
    </row>
    <row r="1093" spans="10:10" x14ac:dyDescent="0.3">
      <c r="J1093" s="9"/>
    </row>
    <row r="1094" spans="10:10" x14ac:dyDescent="0.3">
      <c r="J1094" s="9"/>
    </row>
    <row r="1095" spans="10:10" x14ac:dyDescent="0.3">
      <c r="J1095" s="9"/>
    </row>
    <row r="1096" spans="10:10" x14ac:dyDescent="0.3">
      <c r="J1096" s="9"/>
    </row>
    <row r="1097" spans="10:10" x14ac:dyDescent="0.3">
      <c r="J1097" s="9"/>
    </row>
    <row r="1098" spans="10:10" x14ac:dyDescent="0.3">
      <c r="J1098" s="9"/>
    </row>
    <row r="1099" spans="10:10" x14ac:dyDescent="0.3">
      <c r="J1099" s="9"/>
    </row>
    <row r="1100" spans="10:10" x14ac:dyDescent="0.3">
      <c r="J1100" s="9"/>
    </row>
    <row r="1101" spans="10:10" x14ac:dyDescent="0.3">
      <c r="J1101" s="9"/>
    </row>
    <row r="1102" spans="10:10" x14ac:dyDescent="0.3">
      <c r="J1102" s="9"/>
    </row>
    <row r="1103" spans="10:10" x14ac:dyDescent="0.3">
      <c r="J1103" s="9"/>
    </row>
    <row r="1104" spans="10:10" x14ac:dyDescent="0.3">
      <c r="J1104" s="9"/>
    </row>
    <row r="1105" spans="10:10" x14ac:dyDescent="0.3">
      <c r="J1105" s="9"/>
    </row>
    <row r="1106" spans="10:10" x14ac:dyDescent="0.3">
      <c r="J1106" s="9"/>
    </row>
    <row r="1107" spans="10:10" x14ac:dyDescent="0.3">
      <c r="J1107" s="9"/>
    </row>
    <row r="1108" spans="10:10" x14ac:dyDescent="0.3">
      <c r="J1108" s="9"/>
    </row>
    <row r="1109" spans="10:10" x14ac:dyDescent="0.3">
      <c r="J1109" s="9"/>
    </row>
    <row r="1110" spans="10:10" x14ac:dyDescent="0.3">
      <c r="J1110" s="9"/>
    </row>
    <row r="1111" spans="10:10" x14ac:dyDescent="0.3">
      <c r="J1111" s="9"/>
    </row>
    <row r="1112" spans="10:10" x14ac:dyDescent="0.3">
      <c r="J1112" s="9"/>
    </row>
    <row r="1113" spans="10:10" x14ac:dyDescent="0.3">
      <c r="J1113" s="9"/>
    </row>
    <row r="1114" spans="10:10" x14ac:dyDescent="0.3">
      <c r="J1114" s="9"/>
    </row>
    <row r="1115" spans="10:10" x14ac:dyDescent="0.3">
      <c r="J1115" s="9"/>
    </row>
    <row r="1116" spans="10:10" x14ac:dyDescent="0.3">
      <c r="J1116" s="9"/>
    </row>
    <row r="1117" spans="10:10" x14ac:dyDescent="0.3">
      <c r="J1117" s="9"/>
    </row>
    <row r="1118" spans="10:10" x14ac:dyDescent="0.3">
      <c r="J1118" s="9"/>
    </row>
    <row r="1119" spans="10:10" x14ac:dyDescent="0.3">
      <c r="J1119" s="9"/>
    </row>
    <row r="1120" spans="10:10" x14ac:dyDescent="0.3">
      <c r="J1120" s="9"/>
    </row>
    <row r="1121" spans="7:10" x14ac:dyDescent="0.3">
      <c r="J1121" s="9"/>
    </row>
    <row r="1122" spans="7:10" x14ac:dyDescent="0.3">
      <c r="J1122" s="9"/>
    </row>
    <row r="1123" spans="7:10" x14ac:dyDescent="0.3">
      <c r="J1123" s="9"/>
    </row>
    <row r="1124" spans="7:10" x14ac:dyDescent="0.3">
      <c r="J1124" s="9"/>
    </row>
    <row r="1125" spans="7:10" x14ac:dyDescent="0.3">
      <c r="J1125" s="9"/>
    </row>
    <row r="1126" spans="7:10" x14ac:dyDescent="0.3">
      <c r="J1126" s="9"/>
    </row>
    <row r="1127" spans="7:10" x14ac:dyDescent="0.3">
      <c r="J1127" s="9"/>
    </row>
    <row r="1128" spans="7:10" x14ac:dyDescent="0.3">
      <c r="J1128" s="9"/>
    </row>
    <row r="1129" spans="7:10" x14ac:dyDescent="0.3">
      <c r="J1129" s="9"/>
    </row>
    <row r="1130" spans="7:10" x14ac:dyDescent="0.3">
      <c r="J1130" s="9"/>
    </row>
    <row r="1131" spans="7:10" x14ac:dyDescent="0.3">
      <c r="J1131" s="9"/>
    </row>
    <row r="1132" spans="7:10" x14ac:dyDescent="0.3">
      <c r="G1132" s="5"/>
      <c r="J1132" s="9"/>
    </row>
    <row r="1133" spans="7:10" x14ac:dyDescent="0.3">
      <c r="G1133" s="5"/>
      <c r="J1133" s="9"/>
    </row>
    <row r="1134" spans="7:10" x14ac:dyDescent="0.3">
      <c r="G1134" s="5"/>
      <c r="J1134" s="9"/>
    </row>
    <row r="1135" spans="7:10" x14ac:dyDescent="0.3">
      <c r="G1135" s="5"/>
      <c r="J1135" s="9"/>
    </row>
    <row r="1136" spans="7:10" x14ac:dyDescent="0.3">
      <c r="G1136" s="5"/>
      <c r="J1136" s="9"/>
    </row>
    <row r="1137" spans="7:10" x14ac:dyDescent="0.3">
      <c r="G1137" s="5"/>
      <c r="J1137" s="9"/>
    </row>
    <row r="1138" spans="7:10" x14ac:dyDescent="0.3">
      <c r="G1138" s="5"/>
      <c r="J1138" s="9"/>
    </row>
    <row r="1139" spans="7:10" x14ac:dyDescent="0.3">
      <c r="G1139" s="5"/>
      <c r="J1139" s="9"/>
    </row>
    <row r="1140" spans="7:10" x14ac:dyDescent="0.3">
      <c r="G1140" s="5"/>
      <c r="J1140" s="9"/>
    </row>
    <row r="1141" spans="7:10" x14ac:dyDescent="0.3">
      <c r="G1141" s="5"/>
      <c r="J1141" s="9"/>
    </row>
    <row r="1142" spans="7:10" x14ac:dyDescent="0.3">
      <c r="G1142" s="5"/>
      <c r="J1142" s="9"/>
    </row>
    <row r="1143" spans="7:10" x14ac:dyDescent="0.3">
      <c r="G1143" s="5"/>
      <c r="J1143" s="9"/>
    </row>
    <row r="1144" spans="7:10" x14ac:dyDescent="0.3">
      <c r="G1144" s="5"/>
      <c r="J1144" s="9"/>
    </row>
    <row r="1145" spans="7:10" x14ac:dyDescent="0.3">
      <c r="G1145" s="5"/>
      <c r="J1145" s="9"/>
    </row>
    <row r="1146" spans="7:10" x14ac:dyDescent="0.3">
      <c r="G1146" s="5"/>
      <c r="J1146" s="9"/>
    </row>
    <row r="1147" spans="7:10" x14ac:dyDescent="0.3">
      <c r="G1147" s="5"/>
      <c r="J1147" s="9"/>
    </row>
    <row r="1148" spans="7:10" x14ac:dyDescent="0.3">
      <c r="G1148" s="5"/>
      <c r="J1148" s="9"/>
    </row>
    <row r="1149" spans="7:10" x14ac:dyDescent="0.3">
      <c r="G1149" s="5"/>
      <c r="J1149" s="9"/>
    </row>
    <row r="1150" spans="7:10" x14ac:dyDescent="0.3">
      <c r="G1150" s="5"/>
      <c r="J1150" s="9"/>
    </row>
    <row r="1151" spans="7:10" x14ac:dyDescent="0.3">
      <c r="G1151" s="5"/>
      <c r="J1151" s="9"/>
    </row>
    <row r="1152" spans="7:10" x14ac:dyDescent="0.3">
      <c r="G1152" s="5"/>
      <c r="J1152" s="9"/>
    </row>
    <row r="1153" spans="7:10" x14ac:dyDescent="0.3">
      <c r="G1153" s="5"/>
      <c r="J1153" s="9"/>
    </row>
    <row r="1154" spans="7:10" x14ac:dyDescent="0.3">
      <c r="G1154" s="5"/>
      <c r="J1154" s="9"/>
    </row>
    <row r="1155" spans="7:10" x14ac:dyDescent="0.3">
      <c r="G1155" s="5"/>
      <c r="J1155" s="9"/>
    </row>
    <row r="1156" spans="7:10" x14ac:dyDescent="0.3">
      <c r="G1156" s="5"/>
      <c r="J1156" s="9"/>
    </row>
    <row r="1157" spans="7:10" x14ac:dyDescent="0.3">
      <c r="G1157" s="5"/>
      <c r="J1157" s="9"/>
    </row>
    <row r="1158" spans="7:10" x14ac:dyDescent="0.3">
      <c r="G1158" s="5"/>
      <c r="J1158" s="9"/>
    </row>
    <row r="1159" spans="7:10" x14ac:dyDescent="0.3">
      <c r="G1159" s="5"/>
      <c r="J1159" s="9"/>
    </row>
    <row r="1160" spans="7:10" x14ac:dyDescent="0.3">
      <c r="G1160" s="5"/>
      <c r="J1160" s="9"/>
    </row>
    <row r="1161" spans="7:10" x14ac:dyDescent="0.3">
      <c r="G1161" s="5"/>
      <c r="J1161" s="9"/>
    </row>
    <row r="1162" spans="7:10" x14ac:dyDescent="0.3">
      <c r="G1162" s="5"/>
      <c r="J1162" s="9"/>
    </row>
    <row r="1163" spans="7:10" x14ac:dyDescent="0.3">
      <c r="G1163" s="5"/>
      <c r="J1163" s="9"/>
    </row>
    <row r="1164" spans="7:10" x14ac:dyDescent="0.3">
      <c r="G1164" s="5"/>
      <c r="J1164" s="9"/>
    </row>
    <row r="1165" spans="7:10" x14ac:dyDescent="0.3">
      <c r="G1165" s="5"/>
      <c r="J1165" s="9"/>
    </row>
    <row r="1166" spans="7:10" x14ac:dyDescent="0.3">
      <c r="G1166" s="5"/>
      <c r="J1166" s="9"/>
    </row>
    <row r="1167" spans="7:10" x14ac:dyDescent="0.3">
      <c r="J1167" s="9"/>
    </row>
    <row r="1168" spans="7:10" x14ac:dyDescent="0.3">
      <c r="G1168" s="5"/>
      <c r="J1168" s="9"/>
    </row>
    <row r="1169" spans="7:10" x14ac:dyDescent="0.3">
      <c r="G1169" s="5"/>
      <c r="J1169" s="9"/>
    </row>
    <row r="1170" spans="7:10" x14ac:dyDescent="0.3">
      <c r="G1170" s="5"/>
      <c r="J1170" s="9"/>
    </row>
    <row r="1171" spans="7:10" x14ac:dyDescent="0.3">
      <c r="G1171" s="5"/>
      <c r="J1171" s="9"/>
    </row>
    <row r="1172" spans="7:10" x14ac:dyDescent="0.3">
      <c r="G1172" s="5"/>
      <c r="J1172" s="9"/>
    </row>
    <row r="1173" spans="7:10" x14ac:dyDescent="0.3">
      <c r="G1173" s="5"/>
      <c r="J1173" s="9"/>
    </row>
    <row r="1174" spans="7:10" x14ac:dyDescent="0.3">
      <c r="G1174" s="5"/>
      <c r="J1174" s="9"/>
    </row>
    <row r="1175" spans="7:10" x14ac:dyDescent="0.3">
      <c r="G1175" s="5"/>
      <c r="J1175" s="9"/>
    </row>
    <row r="1176" spans="7:10" x14ac:dyDescent="0.3">
      <c r="G1176" s="5"/>
      <c r="J1176" s="9"/>
    </row>
    <row r="1177" spans="7:10" x14ac:dyDescent="0.3">
      <c r="G1177" s="5"/>
      <c r="J1177" s="9"/>
    </row>
    <row r="1178" spans="7:10" x14ac:dyDescent="0.3">
      <c r="G1178" s="5"/>
      <c r="J1178" s="9"/>
    </row>
    <row r="1179" spans="7:10" x14ac:dyDescent="0.3">
      <c r="G1179" s="5"/>
      <c r="J1179" s="9"/>
    </row>
    <row r="1180" spans="7:10" x14ac:dyDescent="0.3">
      <c r="G1180" s="5"/>
      <c r="J1180" s="9"/>
    </row>
    <row r="1181" spans="7:10" x14ac:dyDescent="0.3">
      <c r="G1181" s="5"/>
      <c r="J1181" s="9"/>
    </row>
    <row r="1182" spans="7:10" x14ac:dyDescent="0.3">
      <c r="G1182" s="5"/>
      <c r="J1182" s="9"/>
    </row>
    <row r="1183" spans="7:10" x14ac:dyDescent="0.3">
      <c r="G1183" s="5"/>
      <c r="J1183" s="9"/>
    </row>
    <row r="1184" spans="7:10" x14ac:dyDescent="0.3">
      <c r="G1184" s="5"/>
      <c r="J1184" s="9"/>
    </row>
    <row r="1185" spans="7:10" x14ac:dyDescent="0.3">
      <c r="G1185" s="5"/>
      <c r="J1185" s="9"/>
    </row>
    <row r="1186" spans="7:10" x14ac:dyDescent="0.3">
      <c r="G1186" s="5"/>
      <c r="J1186" s="9"/>
    </row>
    <row r="1187" spans="7:10" x14ac:dyDescent="0.3">
      <c r="G1187" s="5"/>
      <c r="J1187" s="9"/>
    </row>
    <row r="1188" spans="7:10" x14ac:dyDescent="0.3">
      <c r="G1188" s="5"/>
      <c r="J1188" s="9"/>
    </row>
    <row r="1189" spans="7:10" x14ac:dyDescent="0.3">
      <c r="G1189" s="5"/>
      <c r="J1189" s="9"/>
    </row>
    <row r="1190" spans="7:10" x14ac:dyDescent="0.3">
      <c r="G1190" s="5"/>
      <c r="J1190" s="9"/>
    </row>
    <row r="1191" spans="7:10" x14ac:dyDescent="0.3">
      <c r="G1191" s="5"/>
      <c r="J1191" s="9"/>
    </row>
    <row r="1192" spans="7:10" x14ac:dyDescent="0.3">
      <c r="G1192" s="5"/>
      <c r="J1192" s="9"/>
    </row>
    <row r="1193" spans="7:10" x14ac:dyDescent="0.3">
      <c r="G1193" s="5"/>
      <c r="J1193" s="9"/>
    </row>
    <row r="1194" spans="7:10" x14ac:dyDescent="0.3">
      <c r="G1194" s="5"/>
      <c r="J1194" s="9"/>
    </row>
    <row r="1195" spans="7:10" x14ac:dyDescent="0.3">
      <c r="G1195" s="5"/>
      <c r="J1195" s="9"/>
    </row>
    <row r="1196" spans="7:10" x14ac:dyDescent="0.3">
      <c r="G1196" s="5"/>
      <c r="J1196" s="9"/>
    </row>
    <row r="1197" spans="7:10" x14ac:dyDescent="0.3">
      <c r="G1197" s="5"/>
      <c r="J1197" s="9"/>
    </row>
    <row r="1198" spans="7:10" x14ac:dyDescent="0.3">
      <c r="G1198" s="5"/>
      <c r="J1198" s="9"/>
    </row>
    <row r="1199" spans="7:10" x14ac:dyDescent="0.3">
      <c r="G1199" s="5"/>
      <c r="J1199" s="9"/>
    </row>
    <row r="1200" spans="7:10" x14ac:dyDescent="0.3">
      <c r="G1200" s="5"/>
      <c r="J1200" s="9"/>
    </row>
    <row r="1201" spans="7:10" x14ac:dyDescent="0.3">
      <c r="G1201" s="5"/>
      <c r="J1201" s="9"/>
    </row>
    <row r="1202" spans="7:10" x14ac:dyDescent="0.3">
      <c r="G1202" s="5"/>
      <c r="J1202" s="9"/>
    </row>
    <row r="1203" spans="7:10" x14ac:dyDescent="0.3">
      <c r="G1203" s="5"/>
      <c r="J1203" s="9"/>
    </row>
    <row r="1204" spans="7:10" x14ac:dyDescent="0.3">
      <c r="G1204" s="5"/>
      <c r="J1204" s="9"/>
    </row>
    <row r="1205" spans="7:10" x14ac:dyDescent="0.3">
      <c r="G1205" s="5"/>
      <c r="J1205" s="9"/>
    </row>
    <row r="1206" spans="7:10" x14ac:dyDescent="0.3">
      <c r="G1206" s="5"/>
      <c r="J1206" s="9"/>
    </row>
    <row r="1207" spans="7:10" x14ac:dyDescent="0.3">
      <c r="G1207" s="5"/>
      <c r="J1207" s="9"/>
    </row>
    <row r="1208" spans="7:10" x14ac:dyDescent="0.3">
      <c r="G1208" s="5"/>
      <c r="J1208" s="9"/>
    </row>
    <row r="1209" spans="7:10" x14ac:dyDescent="0.3">
      <c r="G1209" s="5"/>
      <c r="J1209" s="9"/>
    </row>
    <row r="1210" spans="7:10" x14ac:dyDescent="0.3">
      <c r="G1210" s="5"/>
      <c r="J1210" s="9"/>
    </row>
    <row r="1211" spans="7:10" x14ac:dyDescent="0.3">
      <c r="G1211" s="5"/>
      <c r="J1211" s="9"/>
    </row>
    <row r="1212" spans="7:10" x14ac:dyDescent="0.3">
      <c r="G1212" s="5"/>
      <c r="J1212" s="9"/>
    </row>
    <row r="1213" spans="7:10" x14ac:dyDescent="0.3">
      <c r="G1213" s="5"/>
      <c r="J1213" s="9"/>
    </row>
    <row r="1214" spans="7:10" x14ac:dyDescent="0.3">
      <c r="G1214" s="5"/>
      <c r="J1214" s="9"/>
    </row>
    <row r="1215" spans="7:10" x14ac:dyDescent="0.3">
      <c r="G1215" s="5"/>
      <c r="J1215" s="9"/>
    </row>
    <row r="1216" spans="7:10" x14ac:dyDescent="0.3">
      <c r="G1216" s="5"/>
      <c r="J1216" s="9"/>
    </row>
    <row r="1217" spans="7:10" x14ac:dyDescent="0.3">
      <c r="G1217" s="5"/>
      <c r="J1217" s="9"/>
    </row>
    <row r="1218" spans="7:10" x14ac:dyDescent="0.3">
      <c r="G1218" s="5"/>
      <c r="J1218" s="9"/>
    </row>
    <row r="1219" spans="7:10" x14ac:dyDescent="0.3">
      <c r="G1219" s="5"/>
      <c r="J1219" s="9"/>
    </row>
    <row r="1220" spans="7:10" x14ac:dyDescent="0.3">
      <c r="G1220" s="5"/>
      <c r="J1220" s="9"/>
    </row>
    <row r="1221" spans="7:10" x14ac:dyDescent="0.3">
      <c r="G1221" s="5"/>
      <c r="J1221" s="9"/>
    </row>
    <row r="1222" spans="7:10" x14ac:dyDescent="0.3">
      <c r="G1222" s="5"/>
      <c r="J1222" s="9"/>
    </row>
    <row r="1223" spans="7:10" x14ac:dyDescent="0.3">
      <c r="G1223" s="5"/>
      <c r="J1223" s="9"/>
    </row>
    <row r="1224" spans="7:10" x14ac:dyDescent="0.3">
      <c r="G1224" s="5"/>
      <c r="J1224" s="9"/>
    </row>
    <row r="1225" spans="7:10" x14ac:dyDescent="0.3">
      <c r="G1225" s="5"/>
      <c r="J1225" s="9"/>
    </row>
    <row r="1226" spans="7:10" x14ac:dyDescent="0.3">
      <c r="G1226" s="5"/>
      <c r="J1226" s="9"/>
    </row>
    <row r="1227" spans="7:10" x14ac:dyDescent="0.3">
      <c r="G1227" s="5"/>
      <c r="J1227" s="9"/>
    </row>
    <row r="1228" spans="7:10" x14ac:dyDescent="0.3">
      <c r="G1228" s="5"/>
      <c r="J1228" s="9"/>
    </row>
    <row r="1229" spans="7:10" x14ac:dyDescent="0.3">
      <c r="G1229" s="5"/>
      <c r="J1229" s="9"/>
    </row>
    <row r="1230" spans="7:10" x14ac:dyDescent="0.3">
      <c r="G1230" s="5"/>
      <c r="J1230" s="9"/>
    </row>
    <row r="1231" spans="7:10" x14ac:dyDescent="0.3">
      <c r="G1231" s="5"/>
      <c r="J1231" s="9"/>
    </row>
    <row r="1232" spans="7:10" x14ac:dyDescent="0.3">
      <c r="J1232" s="9"/>
    </row>
    <row r="1233" spans="7:10" x14ac:dyDescent="0.3">
      <c r="G1233" s="5"/>
      <c r="J1233" s="9"/>
    </row>
    <row r="1234" spans="7:10" x14ac:dyDescent="0.3">
      <c r="G1234" s="5"/>
      <c r="J1234" s="9"/>
    </row>
    <row r="1235" spans="7:10" x14ac:dyDescent="0.3">
      <c r="G1235" s="5"/>
      <c r="J1235" s="9"/>
    </row>
    <row r="1236" spans="7:10" x14ac:dyDescent="0.3">
      <c r="G1236" s="5"/>
      <c r="J1236" s="9"/>
    </row>
    <row r="1237" spans="7:10" x14ac:dyDescent="0.3">
      <c r="G1237" s="5"/>
      <c r="J1237" s="9"/>
    </row>
    <row r="1238" spans="7:10" x14ac:dyDescent="0.3">
      <c r="G1238" s="5"/>
      <c r="J1238" s="9"/>
    </row>
    <row r="1239" spans="7:10" x14ac:dyDescent="0.3">
      <c r="G1239" s="5"/>
      <c r="J1239" s="9"/>
    </row>
    <row r="1240" spans="7:10" x14ac:dyDescent="0.3">
      <c r="G1240" s="5"/>
      <c r="J1240" s="9"/>
    </row>
    <row r="1241" spans="7:10" x14ac:dyDescent="0.3">
      <c r="G1241" s="5"/>
      <c r="J1241" s="9"/>
    </row>
    <row r="1242" spans="7:10" x14ac:dyDescent="0.3">
      <c r="G1242" s="5"/>
      <c r="J1242" s="9"/>
    </row>
    <row r="1243" spans="7:10" x14ac:dyDescent="0.3">
      <c r="G1243" s="5"/>
      <c r="J1243" s="9"/>
    </row>
    <row r="1244" spans="7:10" x14ac:dyDescent="0.3">
      <c r="G1244" s="5"/>
      <c r="J1244" s="9"/>
    </row>
    <row r="1245" spans="7:10" x14ac:dyDescent="0.3">
      <c r="G1245" s="5"/>
      <c r="J1245" s="9"/>
    </row>
    <row r="1246" spans="7:10" x14ac:dyDescent="0.3">
      <c r="G1246" s="5"/>
      <c r="J1246" s="9"/>
    </row>
    <row r="1247" spans="7:10" x14ac:dyDescent="0.3">
      <c r="G1247" s="5"/>
      <c r="J1247" s="9"/>
    </row>
    <row r="1248" spans="7:10" x14ac:dyDescent="0.3">
      <c r="G1248" s="5"/>
      <c r="J1248" s="9"/>
    </row>
    <row r="1249" spans="7:10" x14ac:dyDescent="0.3">
      <c r="G1249" s="5"/>
      <c r="J1249" s="9"/>
    </row>
    <row r="1250" spans="7:10" x14ac:dyDescent="0.3">
      <c r="G1250" s="5"/>
      <c r="J1250" s="9"/>
    </row>
    <row r="1251" spans="7:10" x14ac:dyDescent="0.3">
      <c r="G1251" s="5"/>
      <c r="J1251" s="9"/>
    </row>
    <row r="1252" spans="7:10" x14ac:dyDescent="0.3">
      <c r="G1252" s="5"/>
      <c r="J1252" s="9"/>
    </row>
    <row r="1253" spans="7:10" x14ac:dyDescent="0.3">
      <c r="G1253" s="5"/>
      <c r="J1253" s="9"/>
    </row>
    <row r="1254" spans="7:10" x14ac:dyDescent="0.3">
      <c r="G1254" s="5"/>
      <c r="J1254" s="9"/>
    </row>
    <row r="1255" spans="7:10" x14ac:dyDescent="0.3">
      <c r="G1255" s="5"/>
      <c r="J1255" s="9"/>
    </row>
    <row r="1256" spans="7:10" x14ac:dyDescent="0.3">
      <c r="G1256" s="5"/>
      <c r="J1256" s="9"/>
    </row>
    <row r="1257" spans="7:10" x14ac:dyDescent="0.3">
      <c r="G1257" s="5"/>
      <c r="J1257" s="9"/>
    </row>
    <row r="1258" spans="7:10" x14ac:dyDescent="0.3">
      <c r="G1258" s="5"/>
      <c r="J1258" s="9"/>
    </row>
    <row r="1259" spans="7:10" x14ac:dyDescent="0.3">
      <c r="G1259" s="5"/>
      <c r="J1259" s="9"/>
    </row>
    <row r="1260" spans="7:10" x14ac:dyDescent="0.3">
      <c r="G1260" s="5"/>
      <c r="J1260" s="9"/>
    </row>
    <row r="1261" spans="7:10" x14ac:dyDescent="0.3">
      <c r="G1261" s="5"/>
      <c r="J1261" s="9"/>
    </row>
    <row r="1262" spans="7:10" x14ac:dyDescent="0.3">
      <c r="G1262" s="5"/>
      <c r="J1262" s="9"/>
    </row>
    <row r="1263" spans="7:10" x14ac:dyDescent="0.3">
      <c r="G1263" s="5"/>
      <c r="J1263" s="9"/>
    </row>
    <row r="1264" spans="7:10" x14ac:dyDescent="0.3">
      <c r="G1264" s="5"/>
      <c r="J1264" s="9"/>
    </row>
    <row r="1265" spans="7:10" x14ac:dyDescent="0.3">
      <c r="G1265" s="5"/>
      <c r="J1265" s="9"/>
    </row>
    <row r="1266" spans="7:10" x14ac:dyDescent="0.3">
      <c r="G1266" s="5"/>
      <c r="J1266" s="9"/>
    </row>
    <row r="1267" spans="7:10" x14ac:dyDescent="0.3">
      <c r="G1267" s="5"/>
      <c r="J1267" s="9"/>
    </row>
    <row r="1268" spans="7:10" x14ac:dyDescent="0.3">
      <c r="G1268" s="5"/>
      <c r="J1268" s="9"/>
    </row>
    <row r="1269" spans="7:10" x14ac:dyDescent="0.3">
      <c r="G1269" s="5"/>
      <c r="J1269" s="9"/>
    </row>
    <row r="1270" spans="7:10" x14ac:dyDescent="0.3">
      <c r="G1270" s="5"/>
      <c r="J1270" s="9"/>
    </row>
    <row r="1271" spans="7:10" x14ac:dyDescent="0.3">
      <c r="G1271" s="5"/>
      <c r="J1271" s="9"/>
    </row>
    <row r="1272" spans="7:10" x14ac:dyDescent="0.3">
      <c r="G1272" s="5"/>
      <c r="J1272" s="9"/>
    </row>
    <row r="1273" spans="7:10" x14ac:dyDescent="0.3">
      <c r="G1273" s="5"/>
      <c r="J1273" s="9"/>
    </row>
    <row r="1274" spans="7:10" x14ac:dyDescent="0.3">
      <c r="G1274" s="5"/>
      <c r="J1274" s="9"/>
    </row>
    <row r="1275" spans="7:10" x14ac:dyDescent="0.3">
      <c r="G1275" s="5"/>
      <c r="J1275" s="9"/>
    </row>
    <row r="1276" spans="7:10" x14ac:dyDescent="0.3">
      <c r="G1276" s="5"/>
      <c r="J1276" s="9"/>
    </row>
    <row r="1277" spans="7:10" x14ac:dyDescent="0.3">
      <c r="G1277" s="5"/>
      <c r="J1277" s="9"/>
    </row>
    <row r="1278" spans="7:10" x14ac:dyDescent="0.3">
      <c r="G1278" s="5"/>
      <c r="J1278" s="9"/>
    </row>
    <row r="1279" spans="7:10" x14ac:dyDescent="0.3">
      <c r="G1279" s="5"/>
      <c r="J1279" s="9"/>
    </row>
    <row r="1280" spans="7:10" x14ac:dyDescent="0.3">
      <c r="J1280" s="9"/>
    </row>
    <row r="1281" spans="7:10" x14ac:dyDescent="0.3">
      <c r="J1281" s="9"/>
    </row>
    <row r="1282" spans="7:10" x14ac:dyDescent="0.3">
      <c r="J1282" s="9"/>
    </row>
    <row r="1283" spans="7:10" x14ac:dyDescent="0.3">
      <c r="J1283" s="9"/>
    </row>
    <row r="1284" spans="7:10" x14ac:dyDescent="0.3">
      <c r="J1284" s="9"/>
    </row>
    <row r="1285" spans="7:10" x14ac:dyDescent="0.3">
      <c r="G1285" s="5"/>
      <c r="J1285" s="9"/>
    </row>
    <row r="1286" spans="7:10" x14ac:dyDescent="0.3">
      <c r="G1286" s="5"/>
      <c r="J1286" s="9"/>
    </row>
    <row r="1287" spans="7:10" x14ac:dyDescent="0.3">
      <c r="J1287" s="9"/>
    </row>
    <row r="1288" spans="7:10" x14ac:dyDescent="0.3">
      <c r="G1288" s="5"/>
      <c r="J1288" s="9"/>
    </row>
    <row r="1289" spans="7:10" x14ac:dyDescent="0.3">
      <c r="J1289" s="9"/>
    </row>
    <row r="1290" spans="7:10" x14ac:dyDescent="0.3">
      <c r="J1290" s="9"/>
    </row>
    <row r="1291" spans="7:10" x14ac:dyDescent="0.3">
      <c r="J1291" s="9"/>
    </row>
    <row r="1292" spans="7:10" x14ac:dyDescent="0.3">
      <c r="J1292" s="9"/>
    </row>
    <row r="1293" spans="7:10" x14ac:dyDescent="0.3">
      <c r="J1293" s="9"/>
    </row>
    <row r="1294" spans="7:10" x14ac:dyDescent="0.3">
      <c r="G1294" s="5"/>
      <c r="J1294" s="9"/>
    </row>
    <row r="1295" spans="7:10" x14ac:dyDescent="0.3">
      <c r="J1295" s="9"/>
    </row>
    <row r="1296" spans="7:10" x14ac:dyDescent="0.3">
      <c r="J1296" s="9"/>
    </row>
    <row r="1297" spans="10:10" x14ac:dyDescent="0.3">
      <c r="J1297" s="9"/>
    </row>
    <row r="1298" spans="10:10" x14ac:dyDescent="0.3">
      <c r="J1298" s="9"/>
    </row>
    <row r="1299" spans="10:10" x14ac:dyDescent="0.3">
      <c r="J1299" s="9"/>
    </row>
    <row r="1300" spans="10:10" x14ac:dyDescent="0.3">
      <c r="J1300" s="9"/>
    </row>
    <row r="1301" spans="10:10" x14ac:dyDescent="0.3">
      <c r="J1301" s="9"/>
    </row>
    <row r="1302" spans="10:10" x14ac:dyDescent="0.3">
      <c r="J1302" s="9"/>
    </row>
    <row r="1303" spans="10:10" x14ac:dyDescent="0.3">
      <c r="J1303" s="9"/>
    </row>
    <row r="1304" spans="10:10" x14ac:dyDescent="0.3">
      <c r="J1304" s="9"/>
    </row>
    <row r="1305" spans="10:10" x14ac:dyDescent="0.3">
      <c r="J1305" s="9"/>
    </row>
    <row r="1306" spans="10:10" x14ac:dyDescent="0.3">
      <c r="J1306" s="9"/>
    </row>
    <row r="1307" spans="10:10" x14ac:dyDescent="0.3">
      <c r="J1307" s="9"/>
    </row>
    <row r="1308" spans="10:10" x14ac:dyDescent="0.3">
      <c r="J1308" s="9"/>
    </row>
    <row r="1309" spans="10:10" x14ac:dyDescent="0.3">
      <c r="J1309" s="9"/>
    </row>
    <row r="1310" spans="10:10" x14ac:dyDescent="0.3">
      <c r="J1310" s="9"/>
    </row>
    <row r="1311" spans="10:10" x14ac:dyDescent="0.3">
      <c r="J1311" s="9"/>
    </row>
    <row r="1312" spans="10:10" x14ac:dyDescent="0.3">
      <c r="J1312" s="9"/>
    </row>
    <row r="1313" spans="10:10" x14ac:dyDescent="0.3">
      <c r="J1313" s="9"/>
    </row>
    <row r="1314" spans="10:10" x14ac:dyDescent="0.3">
      <c r="J1314" s="9"/>
    </row>
    <row r="1315" spans="10:10" x14ac:dyDescent="0.3">
      <c r="J1315" s="9"/>
    </row>
    <row r="1316" spans="10:10" x14ac:dyDescent="0.3">
      <c r="J1316" s="9"/>
    </row>
    <row r="1317" spans="10:10" x14ac:dyDescent="0.3">
      <c r="J1317" s="9"/>
    </row>
    <row r="1318" spans="10:10" x14ac:dyDescent="0.3">
      <c r="J1318" s="9"/>
    </row>
    <row r="1319" spans="10:10" x14ac:dyDescent="0.3">
      <c r="J1319" s="9"/>
    </row>
    <row r="1320" spans="10:10" x14ac:dyDescent="0.3">
      <c r="J1320" s="9"/>
    </row>
    <row r="1321" spans="10:10" x14ac:dyDescent="0.3">
      <c r="J1321" s="9"/>
    </row>
    <row r="1322" spans="10:10" x14ac:dyDescent="0.3">
      <c r="J1322" s="9"/>
    </row>
    <row r="1323" spans="10:10" x14ac:dyDescent="0.3">
      <c r="J1323" s="9"/>
    </row>
    <row r="1324" spans="10:10" x14ac:dyDescent="0.3">
      <c r="J1324" s="9"/>
    </row>
    <row r="1325" spans="10:10" x14ac:dyDescent="0.3">
      <c r="J1325" s="9"/>
    </row>
    <row r="1326" spans="10:10" x14ac:dyDescent="0.3">
      <c r="J1326" s="9"/>
    </row>
    <row r="1327" spans="10:10" x14ac:dyDescent="0.3">
      <c r="J1327" s="9"/>
    </row>
    <row r="1328" spans="10:10" x14ac:dyDescent="0.3">
      <c r="J1328" s="9"/>
    </row>
    <row r="1329" spans="10:10" x14ac:dyDescent="0.3">
      <c r="J1329" s="9"/>
    </row>
    <row r="1330" spans="10:10" x14ac:dyDescent="0.3">
      <c r="J1330" s="9"/>
    </row>
    <row r="1331" spans="10:10" x14ac:dyDescent="0.3">
      <c r="J1331" s="9"/>
    </row>
    <row r="1332" spans="10:10" x14ac:dyDescent="0.3">
      <c r="J1332" s="9"/>
    </row>
    <row r="1333" spans="10:10" x14ac:dyDescent="0.3">
      <c r="J1333" s="9"/>
    </row>
    <row r="1334" spans="10:10" x14ac:dyDescent="0.3">
      <c r="J1334" s="9"/>
    </row>
    <row r="1335" spans="10:10" x14ac:dyDescent="0.3">
      <c r="J1335" s="9"/>
    </row>
    <row r="1336" spans="10:10" x14ac:dyDescent="0.3">
      <c r="J1336" s="9"/>
    </row>
    <row r="1337" spans="10:10" x14ac:dyDescent="0.3">
      <c r="J1337" s="9"/>
    </row>
    <row r="1338" spans="10:10" x14ac:dyDescent="0.3">
      <c r="J1338" s="9"/>
    </row>
    <row r="1339" spans="10:10" x14ac:dyDescent="0.3">
      <c r="J1339" s="9"/>
    </row>
    <row r="1340" spans="10:10" x14ac:dyDescent="0.3">
      <c r="J1340" s="9"/>
    </row>
    <row r="1341" spans="10:10" x14ac:dyDescent="0.3">
      <c r="J1341" s="9"/>
    </row>
    <row r="1342" spans="10:10" x14ac:dyDescent="0.3">
      <c r="J1342" s="9"/>
    </row>
    <row r="1343" spans="10:10" x14ac:dyDescent="0.3">
      <c r="J1343" s="9"/>
    </row>
    <row r="1344" spans="10:10" x14ac:dyDescent="0.3">
      <c r="J1344" s="9"/>
    </row>
    <row r="1345" spans="10:10" x14ac:dyDescent="0.3">
      <c r="J1345" s="9"/>
    </row>
    <row r="1346" spans="10:10" x14ac:dyDescent="0.3">
      <c r="J1346" s="9"/>
    </row>
    <row r="1347" spans="10:10" x14ac:dyDescent="0.3">
      <c r="J1347" s="9"/>
    </row>
    <row r="1348" spans="10:10" x14ac:dyDescent="0.3">
      <c r="J1348" s="9"/>
    </row>
    <row r="1349" spans="10:10" x14ac:dyDescent="0.3">
      <c r="J1349" s="9"/>
    </row>
    <row r="1350" spans="10:10" x14ac:dyDescent="0.3">
      <c r="J1350" s="9"/>
    </row>
    <row r="1351" spans="10:10" x14ac:dyDescent="0.3">
      <c r="J1351" s="9"/>
    </row>
    <row r="1352" spans="10:10" x14ac:dyDescent="0.3">
      <c r="J1352" s="9"/>
    </row>
    <row r="1353" spans="10:10" x14ac:dyDescent="0.3">
      <c r="J1353" s="9"/>
    </row>
    <row r="1354" spans="10:10" x14ac:dyDescent="0.3">
      <c r="J1354" s="9"/>
    </row>
    <row r="1355" spans="10:10" x14ac:dyDescent="0.3">
      <c r="J1355" s="9"/>
    </row>
    <row r="1356" spans="10:10" x14ac:dyDescent="0.3">
      <c r="J1356" s="9"/>
    </row>
    <row r="1357" spans="10:10" x14ac:dyDescent="0.3">
      <c r="J1357" s="9"/>
    </row>
    <row r="1358" spans="10:10" x14ac:dyDescent="0.3">
      <c r="J1358" s="9"/>
    </row>
    <row r="1359" spans="10:10" x14ac:dyDescent="0.3">
      <c r="J1359" s="9"/>
    </row>
    <row r="1360" spans="10:10" x14ac:dyDescent="0.3">
      <c r="J1360" s="9"/>
    </row>
    <row r="1361" spans="10:10" x14ac:dyDescent="0.3">
      <c r="J1361" s="9"/>
    </row>
    <row r="1362" spans="10:10" x14ac:dyDescent="0.3">
      <c r="J1362" s="9"/>
    </row>
    <row r="1363" spans="10:10" x14ac:dyDescent="0.3">
      <c r="J1363" s="9"/>
    </row>
    <row r="1364" spans="10:10" x14ac:dyDescent="0.3">
      <c r="J1364" s="9"/>
    </row>
    <row r="1365" spans="10:10" x14ac:dyDescent="0.3">
      <c r="J1365" s="9"/>
    </row>
    <row r="1366" spans="10:10" x14ac:dyDescent="0.3">
      <c r="J1366" s="9"/>
    </row>
    <row r="1367" spans="10:10" x14ac:dyDescent="0.3">
      <c r="J1367" s="9"/>
    </row>
    <row r="1368" spans="10:10" x14ac:dyDescent="0.3">
      <c r="J1368" s="9"/>
    </row>
    <row r="1369" spans="10:10" x14ac:dyDescent="0.3">
      <c r="J1369" s="9"/>
    </row>
    <row r="1370" spans="10:10" x14ac:dyDescent="0.3">
      <c r="J1370" s="9"/>
    </row>
    <row r="1371" spans="10:10" x14ac:dyDescent="0.3">
      <c r="J1371" s="9"/>
    </row>
    <row r="1372" spans="10:10" x14ac:dyDescent="0.3">
      <c r="J1372" s="9"/>
    </row>
    <row r="1373" spans="10:10" x14ac:dyDescent="0.3">
      <c r="J1373" s="9"/>
    </row>
    <row r="1374" spans="10:10" x14ac:dyDescent="0.3">
      <c r="J1374" s="9"/>
    </row>
    <row r="1375" spans="10:10" x14ac:dyDescent="0.3">
      <c r="J1375" s="9"/>
    </row>
    <row r="1376" spans="10:10" x14ac:dyDescent="0.3">
      <c r="J1376" s="9"/>
    </row>
    <row r="1377" spans="10:10" x14ac:dyDescent="0.3">
      <c r="J1377" s="9"/>
    </row>
    <row r="1378" spans="10:10" x14ac:dyDescent="0.3">
      <c r="J1378" s="9"/>
    </row>
    <row r="1379" spans="10:10" x14ac:dyDescent="0.3">
      <c r="J1379" s="9"/>
    </row>
    <row r="1380" spans="10:10" x14ac:dyDescent="0.3">
      <c r="J1380" s="9"/>
    </row>
    <row r="1381" spans="10:10" x14ac:dyDescent="0.3">
      <c r="J1381" s="9"/>
    </row>
    <row r="1382" spans="10:10" x14ac:dyDescent="0.3">
      <c r="J1382" s="9"/>
    </row>
    <row r="1383" spans="10:10" x14ac:dyDescent="0.3">
      <c r="J1383" s="9"/>
    </row>
    <row r="1384" spans="10:10" x14ac:dyDescent="0.3">
      <c r="J1384" s="9"/>
    </row>
    <row r="1385" spans="10:10" x14ac:dyDescent="0.3">
      <c r="J1385" s="9"/>
    </row>
    <row r="1386" spans="10:10" x14ac:dyDescent="0.3">
      <c r="J1386" s="9"/>
    </row>
    <row r="1387" spans="10:10" x14ac:dyDescent="0.3">
      <c r="J1387" s="9"/>
    </row>
    <row r="1388" spans="10:10" x14ac:dyDescent="0.3">
      <c r="J1388" s="9"/>
    </row>
    <row r="1389" spans="10:10" x14ac:dyDescent="0.3">
      <c r="J1389" s="9"/>
    </row>
    <row r="1390" spans="10:10" x14ac:dyDescent="0.3">
      <c r="J1390" s="9"/>
    </row>
    <row r="1391" spans="10:10" x14ac:dyDescent="0.3">
      <c r="J1391" s="9"/>
    </row>
    <row r="1392" spans="10:10" x14ac:dyDescent="0.3">
      <c r="J1392" s="9"/>
    </row>
    <row r="1393" spans="10:10" x14ac:dyDescent="0.3">
      <c r="J1393" s="9"/>
    </row>
    <row r="1394" spans="10:10" x14ac:dyDescent="0.3">
      <c r="J1394" s="9"/>
    </row>
    <row r="1395" spans="10:10" x14ac:dyDescent="0.3">
      <c r="J1395" s="9"/>
    </row>
    <row r="1396" spans="10:10" x14ac:dyDescent="0.3">
      <c r="J1396" s="9"/>
    </row>
    <row r="1397" spans="10:10" x14ac:dyDescent="0.3">
      <c r="J1397" s="9"/>
    </row>
    <row r="1398" spans="10:10" x14ac:dyDescent="0.3">
      <c r="J1398" s="9"/>
    </row>
    <row r="1399" spans="10:10" x14ac:dyDescent="0.3">
      <c r="J1399" s="9"/>
    </row>
    <row r="1400" spans="10:10" x14ac:dyDescent="0.3">
      <c r="J1400" s="9"/>
    </row>
    <row r="1401" spans="10:10" x14ac:dyDescent="0.3">
      <c r="J1401" s="9"/>
    </row>
    <row r="1402" spans="10:10" x14ac:dyDescent="0.3">
      <c r="J1402" s="9"/>
    </row>
    <row r="1403" spans="10:10" x14ac:dyDescent="0.3">
      <c r="J1403" s="9"/>
    </row>
    <row r="1404" spans="10:10" x14ac:dyDescent="0.3">
      <c r="J1404" s="9"/>
    </row>
    <row r="1405" spans="10:10" x14ac:dyDescent="0.3">
      <c r="J1405" s="9"/>
    </row>
    <row r="1406" spans="10:10" x14ac:dyDescent="0.3">
      <c r="J1406" s="9"/>
    </row>
    <row r="1407" spans="10:10" x14ac:dyDescent="0.3">
      <c r="J1407" s="9"/>
    </row>
    <row r="1408" spans="10:10" x14ac:dyDescent="0.3">
      <c r="J1408" s="9"/>
    </row>
    <row r="1409" spans="10:10" x14ac:dyDescent="0.3">
      <c r="J1409" s="9"/>
    </row>
    <row r="1410" spans="10:10" x14ac:dyDescent="0.3">
      <c r="J1410" s="9"/>
    </row>
    <row r="1411" spans="10:10" x14ac:dyDescent="0.3">
      <c r="J1411" s="9"/>
    </row>
    <row r="1412" spans="10:10" x14ac:dyDescent="0.3">
      <c r="J1412" s="9"/>
    </row>
    <row r="1413" spans="10:10" x14ac:dyDescent="0.3">
      <c r="J1413" s="9"/>
    </row>
    <row r="1414" spans="10:10" x14ac:dyDescent="0.3">
      <c r="J1414" s="9"/>
    </row>
    <row r="1415" spans="10:10" x14ac:dyDescent="0.3">
      <c r="J1415" s="9"/>
    </row>
    <row r="1416" spans="10:10" x14ac:dyDescent="0.3">
      <c r="J1416" s="9"/>
    </row>
    <row r="1417" spans="10:10" x14ac:dyDescent="0.3">
      <c r="J1417" s="9"/>
    </row>
    <row r="1418" spans="10:10" x14ac:dyDescent="0.3">
      <c r="J1418" s="9"/>
    </row>
    <row r="1419" spans="10:10" x14ac:dyDescent="0.3">
      <c r="J1419" s="9"/>
    </row>
    <row r="1420" spans="10:10" x14ac:dyDescent="0.3">
      <c r="J1420" s="9"/>
    </row>
    <row r="1421" spans="10:10" x14ac:dyDescent="0.3">
      <c r="J1421" s="9"/>
    </row>
    <row r="1422" spans="10:10" x14ac:dyDescent="0.3">
      <c r="J1422" s="9"/>
    </row>
    <row r="1423" spans="10:10" x14ac:dyDescent="0.3">
      <c r="J1423" s="9"/>
    </row>
    <row r="1424" spans="10:10" x14ac:dyDescent="0.3">
      <c r="J1424" s="9"/>
    </row>
    <row r="1425" spans="10:10" x14ac:dyDescent="0.3">
      <c r="J1425" s="9"/>
    </row>
    <row r="1426" spans="10:10" x14ac:dyDescent="0.3">
      <c r="J1426" s="9"/>
    </row>
    <row r="1427" spans="10:10" x14ac:dyDescent="0.3">
      <c r="J1427" s="9"/>
    </row>
    <row r="1428" spans="10:10" x14ac:dyDescent="0.3">
      <c r="J1428" s="9"/>
    </row>
    <row r="1429" spans="10:10" x14ac:dyDescent="0.3">
      <c r="J1429" s="9"/>
    </row>
    <row r="1430" spans="10:10" x14ac:dyDescent="0.3">
      <c r="J1430" s="9"/>
    </row>
    <row r="1431" spans="10:10" x14ac:dyDescent="0.3">
      <c r="J1431" s="9"/>
    </row>
    <row r="1432" spans="10:10" x14ac:dyDescent="0.3">
      <c r="J1432" s="9"/>
    </row>
    <row r="1433" spans="10:10" x14ac:dyDescent="0.3">
      <c r="J1433" s="9"/>
    </row>
    <row r="1434" spans="10:10" x14ac:dyDescent="0.3">
      <c r="J1434" s="9"/>
    </row>
    <row r="1435" spans="10:10" x14ac:dyDescent="0.3">
      <c r="J1435" s="9"/>
    </row>
    <row r="1436" spans="10:10" x14ac:dyDescent="0.3">
      <c r="J1436" s="9"/>
    </row>
    <row r="1437" spans="10:10" x14ac:dyDescent="0.3">
      <c r="J1437" s="9"/>
    </row>
    <row r="1438" spans="10:10" x14ac:dyDescent="0.3">
      <c r="J1438" s="9"/>
    </row>
    <row r="1439" spans="10:10" x14ac:dyDescent="0.3">
      <c r="J1439" s="9"/>
    </row>
    <row r="1440" spans="10:10" x14ac:dyDescent="0.3">
      <c r="J1440" s="9"/>
    </row>
    <row r="1441" spans="10:10" x14ac:dyDescent="0.3">
      <c r="J1441" s="9"/>
    </row>
    <row r="1442" spans="10:10" x14ac:dyDescent="0.3">
      <c r="J1442" s="9"/>
    </row>
    <row r="1443" spans="10:10" x14ac:dyDescent="0.3">
      <c r="J1443" s="9"/>
    </row>
    <row r="1444" spans="10:10" x14ac:dyDescent="0.3">
      <c r="J1444" s="9"/>
    </row>
    <row r="1445" spans="10:10" x14ac:dyDescent="0.3">
      <c r="J1445" s="9"/>
    </row>
    <row r="1446" spans="10:10" x14ac:dyDescent="0.3">
      <c r="J1446" s="9"/>
    </row>
    <row r="1447" spans="10:10" x14ac:dyDescent="0.3">
      <c r="J1447" s="9"/>
    </row>
    <row r="1448" spans="10:10" x14ac:dyDescent="0.3">
      <c r="J1448" s="9"/>
    </row>
    <row r="1449" spans="10:10" x14ac:dyDescent="0.3">
      <c r="J1449" s="9"/>
    </row>
    <row r="1450" spans="10:10" x14ac:dyDescent="0.3">
      <c r="J1450" s="9"/>
    </row>
    <row r="1451" spans="10:10" x14ac:dyDescent="0.3">
      <c r="J1451" s="9"/>
    </row>
    <row r="1452" spans="10:10" x14ac:dyDescent="0.3">
      <c r="J1452" s="9"/>
    </row>
    <row r="1453" spans="10:10" x14ac:dyDescent="0.3">
      <c r="J1453" s="9"/>
    </row>
    <row r="1454" spans="10:10" x14ac:dyDescent="0.3">
      <c r="J1454" s="9"/>
    </row>
    <row r="1455" spans="10:10" x14ac:dyDescent="0.3">
      <c r="J1455" s="9"/>
    </row>
    <row r="1456" spans="10:10" x14ac:dyDescent="0.3">
      <c r="J1456" s="9"/>
    </row>
    <row r="1457" spans="10:10" x14ac:dyDescent="0.3">
      <c r="J1457" s="9"/>
    </row>
    <row r="1458" spans="10:10" x14ac:dyDescent="0.3">
      <c r="J1458" s="9"/>
    </row>
    <row r="1459" spans="10:10" x14ac:dyDescent="0.3">
      <c r="J1459" s="9"/>
    </row>
    <row r="1460" spans="10:10" x14ac:dyDescent="0.3">
      <c r="J1460" s="9"/>
    </row>
    <row r="1461" spans="10:10" x14ac:dyDescent="0.3">
      <c r="J1461" s="9"/>
    </row>
    <row r="1462" spans="10:10" x14ac:dyDescent="0.3">
      <c r="J1462" s="9"/>
    </row>
    <row r="1463" spans="10:10" x14ac:dyDescent="0.3">
      <c r="J1463" s="9"/>
    </row>
    <row r="1464" spans="10:10" x14ac:dyDescent="0.3">
      <c r="J1464" s="9"/>
    </row>
    <row r="1465" spans="10:10" x14ac:dyDescent="0.3">
      <c r="J1465" s="9"/>
    </row>
    <row r="1466" spans="10:10" x14ac:dyDescent="0.3">
      <c r="J1466" s="9"/>
    </row>
    <row r="1467" spans="10:10" x14ac:dyDescent="0.3">
      <c r="J1467" s="9"/>
    </row>
    <row r="1468" spans="10:10" x14ac:dyDescent="0.3">
      <c r="J1468" s="9"/>
    </row>
    <row r="1469" spans="10:10" x14ac:dyDescent="0.3">
      <c r="J1469" s="9"/>
    </row>
    <row r="1470" spans="10:10" x14ac:dyDescent="0.3">
      <c r="J1470" s="9"/>
    </row>
    <row r="1471" spans="10:10" x14ac:dyDescent="0.3">
      <c r="J1471" s="9"/>
    </row>
    <row r="1472" spans="10:10" x14ac:dyDescent="0.3">
      <c r="J1472" s="9"/>
    </row>
    <row r="1473" spans="10:10" x14ac:dyDescent="0.3">
      <c r="J1473" s="9"/>
    </row>
    <row r="1474" spans="10:10" x14ac:dyDescent="0.3">
      <c r="J1474" s="9"/>
    </row>
    <row r="1475" spans="10:10" x14ac:dyDescent="0.3">
      <c r="J1475" s="9"/>
    </row>
    <row r="1476" spans="10:10" x14ac:dyDescent="0.3">
      <c r="J1476" s="9"/>
    </row>
    <row r="1477" spans="10:10" x14ac:dyDescent="0.3">
      <c r="J1477" s="9"/>
    </row>
    <row r="1478" spans="10:10" x14ac:dyDescent="0.3">
      <c r="J1478" s="9"/>
    </row>
    <row r="1479" spans="10:10" x14ac:dyDescent="0.3">
      <c r="J1479" s="9"/>
    </row>
    <row r="1480" spans="10:10" x14ac:dyDescent="0.3">
      <c r="J1480" s="9"/>
    </row>
    <row r="1481" spans="10:10" x14ac:dyDescent="0.3">
      <c r="J1481" s="9"/>
    </row>
    <row r="1482" spans="10:10" x14ac:dyDescent="0.3">
      <c r="J1482" s="9"/>
    </row>
    <row r="1483" spans="10:10" x14ac:dyDescent="0.3">
      <c r="J1483" s="9"/>
    </row>
    <row r="1484" spans="10:10" x14ac:dyDescent="0.3">
      <c r="J1484" s="9"/>
    </row>
    <row r="1485" spans="10:10" x14ac:dyDescent="0.3">
      <c r="J1485" s="9"/>
    </row>
    <row r="1486" spans="10:10" x14ac:dyDescent="0.3">
      <c r="J1486" s="9"/>
    </row>
    <row r="1487" spans="10:10" x14ac:dyDescent="0.3">
      <c r="J1487" s="9"/>
    </row>
    <row r="1488" spans="10:10" x14ac:dyDescent="0.3">
      <c r="J1488" s="9"/>
    </row>
    <row r="1489" spans="10:10" x14ac:dyDescent="0.3">
      <c r="J1489" s="9"/>
    </row>
    <row r="1490" spans="10:10" x14ac:dyDescent="0.3">
      <c r="J1490" s="9"/>
    </row>
    <row r="1491" spans="10:10" x14ac:dyDescent="0.3">
      <c r="J1491" s="9"/>
    </row>
    <row r="1492" spans="10:10" x14ac:dyDescent="0.3">
      <c r="J1492" s="9"/>
    </row>
    <row r="1493" spans="10:10" x14ac:dyDescent="0.3">
      <c r="J1493" s="9"/>
    </row>
    <row r="1494" spans="10:10" x14ac:dyDescent="0.3">
      <c r="J1494" s="9"/>
    </row>
    <row r="1495" spans="10:10" x14ac:dyDescent="0.3">
      <c r="J1495" s="9"/>
    </row>
    <row r="1496" spans="10:10" x14ac:dyDescent="0.3">
      <c r="J1496" s="9"/>
    </row>
    <row r="1497" spans="10:10" x14ac:dyDescent="0.3">
      <c r="J1497" s="9"/>
    </row>
    <row r="1498" spans="10:10" x14ac:dyDescent="0.3">
      <c r="J1498" s="9"/>
    </row>
    <row r="1499" spans="10:10" x14ac:dyDescent="0.3">
      <c r="J1499" s="9"/>
    </row>
    <row r="1500" spans="10:10" x14ac:dyDescent="0.3">
      <c r="J1500" s="9"/>
    </row>
    <row r="1501" spans="10:10" x14ac:dyDescent="0.3">
      <c r="J1501" s="9"/>
    </row>
    <row r="1502" spans="10:10" x14ac:dyDescent="0.3">
      <c r="J1502" s="9"/>
    </row>
    <row r="1503" spans="10:10" x14ac:dyDescent="0.3">
      <c r="J1503" s="9"/>
    </row>
    <row r="1504" spans="10:10" x14ac:dyDescent="0.3">
      <c r="J1504" s="9"/>
    </row>
    <row r="1505" spans="10:10" x14ac:dyDescent="0.3">
      <c r="J1505" s="9"/>
    </row>
    <row r="1506" spans="10:10" x14ac:dyDescent="0.3">
      <c r="J1506" s="9"/>
    </row>
    <row r="1507" spans="10:10" x14ac:dyDescent="0.3">
      <c r="J1507" s="9"/>
    </row>
    <row r="1508" spans="10:10" x14ac:dyDescent="0.3">
      <c r="J1508" s="9"/>
    </row>
    <row r="1509" spans="10:10" x14ac:dyDescent="0.3">
      <c r="J1509" s="9"/>
    </row>
    <row r="1510" spans="10:10" x14ac:dyDescent="0.3">
      <c r="J1510" s="9"/>
    </row>
    <row r="1511" spans="10:10" x14ac:dyDescent="0.3">
      <c r="J1511" s="9"/>
    </row>
    <row r="1512" spans="10:10" x14ac:dyDescent="0.3">
      <c r="J1512" s="9"/>
    </row>
    <row r="1513" spans="10:10" x14ac:dyDescent="0.3">
      <c r="J1513" s="9"/>
    </row>
    <row r="1514" spans="10:10" x14ac:dyDescent="0.3">
      <c r="J1514" s="9"/>
    </row>
    <row r="1515" spans="10:10" x14ac:dyDescent="0.3">
      <c r="J1515" s="9"/>
    </row>
    <row r="1516" spans="10:10" x14ac:dyDescent="0.3">
      <c r="J1516" s="9"/>
    </row>
    <row r="1517" spans="10:10" x14ac:dyDescent="0.3">
      <c r="J1517" s="9"/>
    </row>
    <row r="1518" spans="10:10" x14ac:dyDescent="0.3">
      <c r="J1518" s="9"/>
    </row>
    <row r="1519" spans="10:10" x14ac:dyDescent="0.3">
      <c r="J1519" s="9"/>
    </row>
    <row r="1520" spans="10:10" x14ac:dyDescent="0.3">
      <c r="J1520" s="9"/>
    </row>
    <row r="1521" spans="10:10" x14ac:dyDescent="0.3">
      <c r="J1521" s="9"/>
    </row>
    <row r="1522" spans="10:10" x14ac:dyDescent="0.3">
      <c r="J1522" s="9"/>
    </row>
    <row r="1523" spans="10:10" x14ac:dyDescent="0.3">
      <c r="J1523" s="9"/>
    </row>
    <row r="1524" spans="10:10" x14ac:dyDescent="0.3">
      <c r="J1524" s="9"/>
    </row>
    <row r="1525" spans="10:10" x14ac:dyDescent="0.3">
      <c r="J1525" s="9"/>
    </row>
    <row r="1526" spans="10:10" x14ac:dyDescent="0.3">
      <c r="J1526" s="9"/>
    </row>
    <row r="1527" spans="10:10" x14ac:dyDescent="0.3">
      <c r="J1527" s="9"/>
    </row>
    <row r="1528" spans="10:10" x14ac:dyDescent="0.3">
      <c r="J1528" s="9"/>
    </row>
    <row r="1529" spans="10:10" x14ac:dyDescent="0.3">
      <c r="J1529" s="9"/>
    </row>
    <row r="1530" spans="10:10" x14ac:dyDescent="0.3">
      <c r="J1530" s="9"/>
    </row>
    <row r="1531" spans="10:10" x14ac:dyDescent="0.3">
      <c r="J1531" s="9"/>
    </row>
    <row r="1532" spans="10:10" x14ac:dyDescent="0.3">
      <c r="J1532" s="9"/>
    </row>
    <row r="1533" spans="10:10" x14ac:dyDescent="0.3">
      <c r="J1533" s="9"/>
    </row>
    <row r="1534" spans="10:10" x14ac:dyDescent="0.3">
      <c r="J1534" s="9"/>
    </row>
    <row r="1535" spans="10:10" x14ac:dyDescent="0.3">
      <c r="J1535" s="9"/>
    </row>
    <row r="1536" spans="10:10" x14ac:dyDescent="0.3">
      <c r="J1536" s="9"/>
    </row>
    <row r="1537" spans="10:10" x14ac:dyDescent="0.3">
      <c r="J1537" s="9"/>
    </row>
    <row r="1538" spans="10:10" x14ac:dyDescent="0.3">
      <c r="J1538" s="9"/>
    </row>
    <row r="1539" spans="10:10" x14ac:dyDescent="0.3">
      <c r="J1539" s="9"/>
    </row>
    <row r="1540" spans="10:10" x14ac:dyDescent="0.3">
      <c r="J1540" s="9"/>
    </row>
    <row r="1541" spans="10:10" x14ac:dyDescent="0.3">
      <c r="J1541" s="9"/>
    </row>
    <row r="1542" spans="10:10" x14ac:dyDescent="0.3">
      <c r="J1542" s="9"/>
    </row>
    <row r="1543" spans="10:10" x14ac:dyDescent="0.3">
      <c r="J1543" s="9"/>
    </row>
    <row r="1544" spans="10:10" x14ac:dyDescent="0.3">
      <c r="J1544" s="9"/>
    </row>
    <row r="1545" spans="10:10" x14ac:dyDescent="0.3">
      <c r="J1545" s="9"/>
    </row>
    <row r="1546" spans="10:10" x14ac:dyDescent="0.3">
      <c r="J1546" s="9"/>
    </row>
    <row r="1547" spans="10:10" x14ac:dyDescent="0.3">
      <c r="J1547" s="9"/>
    </row>
    <row r="1548" spans="10:10" x14ac:dyDescent="0.3">
      <c r="J1548" s="9"/>
    </row>
    <row r="1549" spans="10:10" x14ac:dyDescent="0.3">
      <c r="J1549" s="9"/>
    </row>
    <row r="1550" spans="10:10" x14ac:dyDescent="0.3">
      <c r="J1550" s="9"/>
    </row>
    <row r="1551" spans="10:10" x14ac:dyDescent="0.3">
      <c r="J1551" s="9"/>
    </row>
    <row r="1552" spans="10:10" x14ac:dyDescent="0.3">
      <c r="J1552" s="9"/>
    </row>
    <row r="1553" spans="10:10" x14ac:dyDescent="0.3">
      <c r="J1553" s="9"/>
    </row>
    <row r="1554" spans="10:10" x14ac:dyDescent="0.3">
      <c r="J1554" s="9"/>
    </row>
    <row r="1555" spans="10:10" x14ac:dyDescent="0.3">
      <c r="J1555" s="9"/>
    </row>
    <row r="1556" spans="10:10" x14ac:dyDescent="0.3">
      <c r="J1556" s="9"/>
    </row>
    <row r="1557" spans="10:10" x14ac:dyDescent="0.3">
      <c r="J1557" s="9"/>
    </row>
    <row r="1558" spans="10:10" x14ac:dyDescent="0.3">
      <c r="J1558" s="9"/>
    </row>
    <row r="1559" spans="10:10" x14ac:dyDescent="0.3">
      <c r="J1559" s="9"/>
    </row>
    <row r="1560" spans="10:10" x14ac:dyDescent="0.3">
      <c r="J1560" s="9"/>
    </row>
    <row r="1561" spans="10:10" x14ac:dyDescent="0.3">
      <c r="J1561" s="9"/>
    </row>
    <row r="1562" spans="10:10" x14ac:dyDescent="0.3">
      <c r="J1562" s="9"/>
    </row>
    <row r="1563" spans="10:10" x14ac:dyDescent="0.3">
      <c r="J1563" s="9"/>
    </row>
    <row r="1564" spans="10:10" x14ac:dyDescent="0.3">
      <c r="J1564" s="9"/>
    </row>
    <row r="1565" spans="10:10" x14ac:dyDescent="0.3">
      <c r="J1565" s="9"/>
    </row>
    <row r="1566" spans="10:10" x14ac:dyDescent="0.3">
      <c r="J1566" s="9"/>
    </row>
    <row r="1567" spans="10:10" x14ac:dyDescent="0.3">
      <c r="J1567" s="9"/>
    </row>
    <row r="1568" spans="10:10" x14ac:dyDescent="0.3">
      <c r="J1568" s="9"/>
    </row>
    <row r="1569" spans="10:10" x14ac:dyDescent="0.3">
      <c r="J1569" s="9"/>
    </row>
    <row r="1570" spans="10:10" x14ac:dyDescent="0.3">
      <c r="J1570" s="9"/>
    </row>
    <row r="1571" spans="10:10" x14ac:dyDescent="0.3">
      <c r="J1571" s="9"/>
    </row>
    <row r="1572" spans="10:10" x14ac:dyDescent="0.3">
      <c r="J1572" s="9"/>
    </row>
    <row r="1573" spans="10:10" x14ac:dyDescent="0.3">
      <c r="J1573" s="9"/>
    </row>
    <row r="1574" spans="10:10" x14ac:dyDescent="0.3">
      <c r="J1574" s="9"/>
    </row>
    <row r="1575" spans="10:10" x14ac:dyDescent="0.3">
      <c r="J1575" s="9"/>
    </row>
    <row r="1576" spans="10:10" x14ac:dyDescent="0.3">
      <c r="J1576" s="9"/>
    </row>
    <row r="1577" spans="10:10" x14ac:dyDescent="0.3">
      <c r="J1577" s="9"/>
    </row>
    <row r="1578" spans="10:10" x14ac:dyDescent="0.3">
      <c r="J1578" s="9"/>
    </row>
    <row r="1579" spans="10:10" x14ac:dyDescent="0.3">
      <c r="J1579" s="9"/>
    </row>
    <row r="1580" spans="10:10" x14ac:dyDescent="0.3">
      <c r="J1580" s="9"/>
    </row>
    <row r="1581" spans="10:10" x14ac:dyDescent="0.3">
      <c r="J1581" s="9"/>
    </row>
    <row r="1582" spans="10:10" x14ac:dyDescent="0.3">
      <c r="J1582" s="9"/>
    </row>
    <row r="1583" spans="10:10" x14ac:dyDescent="0.3">
      <c r="J1583" s="9"/>
    </row>
    <row r="1584" spans="10:10" x14ac:dyDescent="0.3">
      <c r="J1584" s="9"/>
    </row>
    <row r="1585" spans="10:10" x14ac:dyDescent="0.3">
      <c r="J1585" s="9"/>
    </row>
    <row r="1586" spans="10:10" x14ac:dyDescent="0.3">
      <c r="J1586" s="9"/>
    </row>
    <row r="1587" spans="10:10" x14ac:dyDescent="0.3">
      <c r="J1587" s="9"/>
    </row>
    <row r="1588" spans="10:10" x14ac:dyDescent="0.3">
      <c r="J1588" s="9"/>
    </row>
    <row r="1589" spans="10:10" x14ac:dyDescent="0.3">
      <c r="J1589" s="9"/>
    </row>
    <row r="1590" spans="10:10" x14ac:dyDescent="0.3">
      <c r="J1590" s="9"/>
    </row>
    <row r="1591" spans="10:10" x14ac:dyDescent="0.3">
      <c r="J1591" s="9"/>
    </row>
    <row r="1592" spans="10:10" x14ac:dyDescent="0.3">
      <c r="J1592" s="9"/>
    </row>
    <row r="1593" spans="10:10" x14ac:dyDescent="0.3">
      <c r="J1593" s="9"/>
    </row>
    <row r="1594" spans="10:10" x14ac:dyDescent="0.3">
      <c r="J1594" s="9"/>
    </row>
    <row r="1595" spans="10:10" x14ac:dyDescent="0.3">
      <c r="J1595" s="9"/>
    </row>
    <row r="1596" spans="10:10" x14ac:dyDescent="0.3">
      <c r="J1596" s="9"/>
    </row>
    <row r="1597" spans="10:10" x14ac:dyDescent="0.3">
      <c r="J1597" s="9"/>
    </row>
    <row r="1598" spans="10:10" x14ac:dyDescent="0.3">
      <c r="J1598" s="9"/>
    </row>
    <row r="1599" spans="10:10" x14ac:dyDescent="0.3">
      <c r="J1599" s="9"/>
    </row>
    <row r="1600" spans="10:10" x14ac:dyDescent="0.3">
      <c r="J1600" s="9"/>
    </row>
    <row r="1601" spans="10:10" x14ac:dyDescent="0.3">
      <c r="J1601" s="9"/>
    </row>
    <row r="1602" spans="10:10" x14ac:dyDescent="0.3">
      <c r="J1602" s="9"/>
    </row>
    <row r="1603" spans="10:10" x14ac:dyDescent="0.3">
      <c r="J1603" s="9"/>
    </row>
    <row r="1604" spans="10:10" x14ac:dyDescent="0.3">
      <c r="J1604" s="9"/>
    </row>
    <row r="1605" spans="10:10" x14ac:dyDescent="0.3">
      <c r="J1605" s="9"/>
    </row>
    <row r="1606" spans="10:10" x14ac:dyDescent="0.3">
      <c r="J1606" s="9"/>
    </row>
    <row r="1607" spans="10:10" x14ac:dyDescent="0.3">
      <c r="J1607" s="9"/>
    </row>
    <row r="1608" spans="10:10" x14ac:dyDescent="0.3">
      <c r="J1608" s="9"/>
    </row>
    <row r="1609" spans="10:10" x14ac:dyDescent="0.3">
      <c r="J1609" s="9"/>
    </row>
    <row r="1610" spans="10:10" x14ac:dyDescent="0.3">
      <c r="J1610" s="9"/>
    </row>
    <row r="1611" spans="10:10" x14ac:dyDescent="0.3">
      <c r="J1611" s="9"/>
    </row>
    <row r="1612" spans="10:10" x14ac:dyDescent="0.3">
      <c r="J1612" s="9"/>
    </row>
    <row r="1613" spans="10:10" x14ac:dyDescent="0.3">
      <c r="J1613" s="9"/>
    </row>
    <row r="1614" spans="10:10" x14ac:dyDescent="0.3">
      <c r="J1614" s="9"/>
    </row>
    <row r="1615" spans="10:10" x14ac:dyDescent="0.3">
      <c r="J1615" s="9"/>
    </row>
    <row r="1616" spans="10:10" x14ac:dyDescent="0.3">
      <c r="J1616" s="9"/>
    </row>
    <row r="1617" spans="10:10" x14ac:dyDescent="0.3">
      <c r="J1617" s="9"/>
    </row>
    <row r="1618" spans="10:10" x14ac:dyDescent="0.3">
      <c r="J1618" s="9"/>
    </row>
    <row r="1619" spans="10:10" x14ac:dyDescent="0.3">
      <c r="J1619" s="9"/>
    </row>
    <row r="1620" spans="10:10" x14ac:dyDescent="0.3">
      <c r="J1620" s="9"/>
    </row>
    <row r="1621" spans="10:10" x14ac:dyDescent="0.3">
      <c r="J1621" s="9"/>
    </row>
    <row r="1622" spans="10:10" x14ac:dyDescent="0.3">
      <c r="J1622" s="9"/>
    </row>
    <row r="1623" spans="10:10" x14ac:dyDescent="0.3">
      <c r="J1623" s="9"/>
    </row>
    <row r="1624" spans="10:10" x14ac:dyDescent="0.3">
      <c r="J1624" s="9"/>
    </row>
    <row r="1625" spans="10:10" x14ac:dyDescent="0.3">
      <c r="J1625" s="9"/>
    </row>
    <row r="1626" spans="10:10" x14ac:dyDescent="0.3">
      <c r="J1626" s="9"/>
    </row>
    <row r="1627" spans="10:10" x14ac:dyDescent="0.3">
      <c r="J1627" s="9"/>
    </row>
    <row r="1628" spans="10:10" x14ac:dyDescent="0.3">
      <c r="J1628" s="9"/>
    </row>
    <row r="1629" spans="10:10" x14ac:dyDescent="0.3">
      <c r="J1629" s="9"/>
    </row>
    <row r="1630" spans="10:10" x14ac:dyDescent="0.3">
      <c r="J1630" s="9"/>
    </row>
    <row r="1631" spans="10:10" x14ac:dyDescent="0.3">
      <c r="J1631" s="9"/>
    </row>
    <row r="1632" spans="10:10" x14ac:dyDescent="0.3">
      <c r="J1632" s="9"/>
    </row>
    <row r="1633" spans="10:10" x14ac:dyDescent="0.3">
      <c r="J1633" s="9"/>
    </row>
    <row r="1634" spans="10:10" x14ac:dyDescent="0.3">
      <c r="J1634" s="9"/>
    </row>
    <row r="1635" spans="10:10" x14ac:dyDescent="0.3">
      <c r="J1635" s="9"/>
    </row>
    <row r="1636" spans="10:10" x14ac:dyDescent="0.3">
      <c r="J1636" s="9"/>
    </row>
    <row r="1637" spans="10:10" x14ac:dyDescent="0.3">
      <c r="J1637" s="9"/>
    </row>
    <row r="1638" spans="10:10" x14ac:dyDescent="0.3">
      <c r="J1638" s="9"/>
    </row>
    <row r="1639" spans="10:10" x14ac:dyDescent="0.3">
      <c r="J1639" s="9"/>
    </row>
    <row r="1640" spans="10:10" x14ac:dyDescent="0.3">
      <c r="J1640" s="9"/>
    </row>
    <row r="1641" spans="10:10" x14ac:dyDescent="0.3">
      <c r="J1641" s="9"/>
    </row>
    <row r="1642" spans="10:10" x14ac:dyDescent="0.3">
      <c r="J1642" s="9"/>
    </row>
    <row r="1643" spans="10:10" x14ac:dyDescent="0.3">
      <c r="J1643" s="9"/>
    </row>
    <row r="1644" spans="10:10" x14ac:dyDescent="0.3">
      <c r="J1644" s="9"/>
    </row>
    <row r="1645" spans="10:10" x14ac:dyDescent="0.3">
      <c r="J1645" s="9"/>
    </row>
    <row r="1646" spans="10:10" x14ac:dyDescent="0.3">
      <c r="J1646" s="9"/>
    </row>
    <row r="1647" spans="10:10" x14ac:dyDescent="0.3">
      <c r="J1647" s="9"/>
    </row>
    <row r="1648" spans="10:10" x14ac:dyDescent="0.3">
      <c r="J1648" s="9"/>
    </row>
    <row r="1649" spans="10:10" x14ac:dyDescent="0.3">
      <c r="J1649" s="9"/>
    </row>
    <row r="1650" spans="10:10" x14ac:dyDescent="0.3">
      <c r="J1650" s="9"/>
    </row>
    <row r="1651" spans="10:10" x14ac:dyDescent="0.3">
      <c r="J1651" s="9"/>
    </row>
    <row r="1652" spans="10:10" x14ac:dyDescent="0.3">
      <c r="J1652" s="9"/>
    </row>
    <row r="1653" spans="10:10" x14ac:dyDescent="0.3">
      <c r="J1653" s="9"/>
    </row>
    <row r="1654" spans="10:10" x14ac:dyDescent="0.3">
      <c r="J1654" s="9"/>
    </row>
    <row r="1655" spans="10:10" x14ac:dyDescent="0.3">
      <c r="J1655" s="9"/>
    </row>
    <row r="1656" spans="10:10" x14ac:dyDescent="0.3">
      <c r="J1656" s="9"/>
    </row>
    <row r="1657" spans="10:10" x14ac:dyDescent="0.3">
      <c r="J1657" s="9"/>
    </row>
    <row r="1658" spans="10:10" x14ac:dyDescent="0.3">
      <c r="J1658" s="9"/>
    </row>
    <row r="1659" spans="10:10" x14ac:dyDescent="0.3">
      <c r="J1659" s="9"/>
    </row>
    <row r="1660" spans="10:10" x14ac:dyDescent="0.3">
      <c r="J1660" s="9"/>
    </row>
    <row r="1661" spans="10:10" x14ac:dyDescent="0.3">
      <c r="J1661" s="9"/>
    </row>
    <row r="1662" spans="10:10" x14ac:dyDescent="0.3">
      <c r="J1662" s="9"/>
    </row>
    <row r="1663" spans="10:10" x14ac:dyDescent="0.3">
      <c r="J1663" s="9"/>
    </row>
    <row r="1664" spans="10:10" x14ac:dyDescent="0.3">
      <c r="J1664" s="9"/>
    </row>
    <row r="1665" spans="10:10" x14ac:dyDescent="0.3">
      <c r="J1665" s="9"/>
    </row>
    <row r="1666" spans="10:10" x14ac:dyDescent="0.3">
      <c r="J1666" s="9"/>
    </row>
    <row r="1667" spans="10:10" x14ac:dyDescent="0.3">
      <c r="J1667" s="9"/>
    </row>
    <row r="1668" spans="10:10" x14ac:dyDescent="0.3">
      <c r="J1668" s="9"/>
    </row>
    <row r="1669" spans="10:10" x14ac:dyDescent="0.3">
      <c r="J1669" s="9"/>
    </row>
    <row r="1670" spans="10:10" x14ac:dyDescent="0.3">
      <c r="J1670" s="9"/>
    </row>
    <row r="1671" spans="10:10" x14ac:dyDescent="0.3">
      <c r="J1671" s="9"/>
    </row>
    <row r="1672" spans="10:10" x14ac:dyDescent="0.3">
      <c r="J1672" s="9"/>
    </row>
    <row r="1673" spans="10:10" x14ac:dyDescent="0.3">
      <c r="J1673" s="9"/>
    </row>
    <row r="1674" spans="10:10" x14ac:dyDescent="0.3">
      <c r="J1674" s="9"/>
    </row>
    <row r="1675" spans="10:10" x14ac:dyDescent="0.3">
      <c r="J1675" s="9"/>
    </row>
    <row r="1676" spans="10:10" x14ac:dyDescent="0.3">
      <c r="J1676" s="9"/>
    </row>
    <row r="1677" spans="10:10" x14ac:dyDescent="0.3">
      <c r="J1677" s="9"/>
    </row>
    <row r="1678" spans="10:10" x14ac:dyDescent="0.3">
      <c r="J1678" s="9"/>
    </row>
    <row r="1679" spans="10:10" x14ac:dyDescent="0.3">
      <c r="J1679" s="9"/>
    </row>
    <row r="1680" spans="10:10" x14ac:dyDescent="0.3">
      <c r="J1680" s="9"/>
    </row>
    <row r="1681" spans="10:10" x14ac:dyDescent="0.3">
      <c r="J1681" s="9"/>
    </row>
    <row r="1682" spans="10:10" x14ac:dyDescent="0.3">
      <c r="J1682" s="9"/>
    </row>
    <row r="1683" spans="10:10" x14ac:dyDescent="0.3">
      <c r="J1683" s="9"/>
    </row>
    <row r="1684" spans="10:10" x14ac:dyDescent="0.3">
      <c r="J1684" s="9"/>
    </row>
    <row r="1685" spans="10:10" x14ac:dyDescent="0.3">
      <c r="J1685" s="9"/>
    </row>
    <row r="1686" spans="10:10" x14ac:dyDescent="0.3">
      <c r="J1686" s="9"/>
    </row>
    <row r="1687" spans="10:10" x14ac:dyDescent="0.3">
      <c r="J1687" s="9"/>
    </row>
    <row r="1688" spans="10:10" x14ac:dyDescent="0.3">
      <c r="J1688" s="9"/>
    </row>
    <row r="1689" spans="10:10" x14ac:dyDescent="0.3">
      <c r="J1689" s="9"/>
    </row>
    <row r="1690" spans="10:10" x14ac:dyDescent="0.3">
      <c r="J1690" s="9"/>
    </row>
    <row r="1691" spans="10:10" x14ac:dyDescent="0.3">
      <c r="J1691" s="9"/>
    </row>
    <row r="1692" spans="10:10" x14ac:dyDescent="0.3">
      <c r="J1692" s="9"/>
    </row>
    <row r="1693" spans="10:10" x14ac:dyDescent="0.3">
      <c r="J1693" s="9"/>
    </row>
    <row r="1694" spans="10:10" x14ac:dyDescent="0.3">
      <c r="J1694" s="9"/>
    </row>
    <row r="1695" spans="10:10" x14ac:dyDescent="0.3">
      <c r="J1695" s="9"/>
    </row>
    <row r="1696" spans="10:10" x14ac:dyDescent="0.3">
      <c r="J1696" s="9"/>
    </row>
    <row r="1697" spans="10:10" x14ac:dyDescent="0.3">
      <c r="J1697" s="9"/>
    </row>
    <row r="1698" spans="10:10" x14ac:dyDescent="0.3">
      <c r="J1698" s="9"/>
    </row>
    <row r="1699" spans="10:10" x14ac:dyDescent="0.3">
      <c r="J1699" s="9"/>
    </row>
    <row r="1700" spans="10:10" x14ac:dyDescent="0.3">
      <c r="J1700" s="9"/>
    </row>
    <row r="1701" spans="10:10" x14ac:dyDescent="0.3">
      <c r="J1701" s="9"/>
    </row>
    <row r="1702" spans="10:10" x14ac:dyDescent="0.3">
      <c r="J1702" s="9"/>
    </row>
    <row r="1703" spans="10:10" x14ac:dyDescent="0.3">
      <c r="J1703" s="9"/>
    </row>
    <row r="1704" spans="10:10" x14ac:dyDescent="0.3">
      <c r="J1704" s="9"/>
    </row>
    <row r="1705" spans="10:10" x14ac:dyDescent="0.3">
      <c r="J1705" s="9"/>
    </row>
    <row r="1706" spans="10:10" x14ac:dyDescent="0.3">
      <c r="J1706" s="9"/>
    </row>
    <row r="1707" spans="10:10" x14ac:dyDescent="0.3">
      <c r="J1707" s="9"/>
    </row>
    <row r="1708" spans="10:10" x14ac:dyDescent="0.3">
      <c r="J1708" s="9"/>
    </row>
    <row r="1709" spans="10:10" x14ac:dyDescent="0.3">
      <c r="J1709" s="9"/>
    </row>
    <row r="1710" spans="10:10" x14ac:dyDescent="0.3">
      <c r="J1710" s="9"/>
    </row>
    <row r="1711" spans="10:10" x14ac:dyDescent="0.3">
      <c r="J1711" s="9"/>
    </row>
    <row r="1712" spans="10:10" x14ac:dyDescent="0.3">
      <c r="J1712" s="9"/>
    </row>
    <row r="1713" spans="10:10" x14ac:dyDescent="0.3">
      <c r="J1713" s="9"/>
    </row>
    <row r="1714" spans="10:10" x14ac:dyDescent="0.3">
      <c r="J1714" s="9"/>
    </row>
    <row r="1715" spans="10:10" x14ac:dyDescent="0.3">
      <c r="J1715" s="9"/>
    </row>
    <row r="1716" spans="10:10" x14ac:dyDescent="0.3">
      <c r="J1716" s="9"/>
    </row>
    <row r="1717" spans="10:10" x14ac:dyDescent="0.3">
      <c r="J1717" s="9"/>
    </row>
    <row r="1718" spans="10:10" x14ac:dyDescent="0.3">
      <c r="J1718" s="9"/>
    </row>
    <row r="1719" spans="10:10" x14ac:dyDescent="0.3">
      <c r="J1719" s="9"/>
    </row>
    <row r="1720" spans="10:10" x14ac:dyDescent="0.3">
      <c r="J1720" s="9"/>
    </row>
    <row r="1721" spans="10:10" x14ac:dyDescent="0.3">
      <c r="J1721" s="9"/>
    </row>
    <row r="1722" spans="10:10" x14ac:dyDescent="0.3">
      <c r="J1722" s="9"/>
    </row>
    <row r="1723" spans="10:10" x14ac:dyDescent="0.3">
      <c r="J1723" s="9"/>
    </row>
    <row r="1724" spans="10:10" x14ac:dyDescent="0.3">
      <c r="J1724" s="9"/>
    </row>
    <row r="1725" spans="10:10" x14ac:dyDescent="0.3">
      <c r="J1725" s="9"/>
    </row>
    <row r="1726" spans="10:10" x14ac:dyDescent="0.3">
      <c r="J1726" s="9"/>
    </row>
    <row r="1727" spans="10:10" x14ac:dyDescent="0.3">
      <c r="J1727" s="9"/>
    </row>
    <row r="1728" spans="10:10" x14ac:dyDescent="0.3">
      <c r="J1728" s="9"/>
    </row>
    <row r="1729" spans="10:10" x14ac:dyDescent="0.3">
      <c r="J1729" s="9"/>
    </row>
    <row r="1730" spans="10:10" x14ac:dyDescent="0.3">
      <c r="J1730" s="9"/>
    </row>
    <row r="1731" spans="10:10" x14ac:dyDescent="0.3">
      <c r="J1731" s="9"/>
    </row>
    <row r="1732" spans="10:10" x14ac:dyDescent="0.3">
      <c r="J1732" s="9"/>
    </row>
    <row r="1733" spans="10:10" x14ac:dyDescent="0.3">
      <c r="J1733" s="9"/>
    </row>
    <row r="1734" spans="10:10" x14ac:dyDescent="0.3">
      <c r="J1734" s="9"/>
    </row>
    <row r="1735" spans="10:10" x14ac:dyDescent="0.3">
      <c r="J1735" s="9"/>
    </row>
    <row r="1736" spans="10:10" x14ac:dyDescent="0.3">
      <c r="J1736" s="9"/>
    </row>
    <row r="1737" spans="10:10" x14ac:dyDescent="0.3">
      <c r="J1737" s="9"/>
    </row>
    <row r="1738" spans="10:10" x14ac:dyDescent="0.3">
      <c r="J1738" s="9"/>
    </row>
    <row r="1739" spans="10:10" x14ac:dyDescent="0.3">
      <c r="J1739" s="9"/>
    </row>
    <row r="1740" spans="10:10" x14ac:dyDescent="0.3">
      <c r="J1740" s="9"/>
    </row>
    <row r="1741" spans="10:10" x14ac:dyDescent="0.3">
      <c r="J1741" s="9"/>
    </row>
    <row r="1742" spans="10:10" x14ac:dyDescent="0.3">
      <c r="J1742" s="9"/>
    </row>
    <row r="1743" spans="10:10" x14ac:dyDescent="0.3">
      <c r="J1743" s="9"/>
    </row>
    <row r="1744" spans="10:10" x14ac:dyDescent="0.3">
      <c r="J1744" s="9"/>
    </row>
    <row r="1745" spans="10:10" x14ac:dyDescent="0.3">
      <c r="J1745" s="9"/>
    </row>
    <row r="1746" spans="10:10" x14ac:dyDescent="0.3">
      <c r="J1746" s="9"/>
    </row>
    <row r="1747" spans="10:10" x14ac:dyDescent="0.3">
      <c r="J1747" s="9"/>
    </row>
    <row r="1748" spans="10:10" x14ac:dyDescent="0.3">
      <c r="J1748" s="9"/>
    </row>
    <row r="1749" spans="10:10" x14ac:dyDescent="0.3">
      <c r="J1749" s="9"/>
    </row>
    <row r="1750" spans="10:10" x14ac:dyDescent="0.3">
      <c r="J1750" s="9"/>
    </row>
    <row r="1751" spans="10:10" x14ac:dyDescent="0.3">
      <c r="J1751" s="9"/>
    </row>
    <row r="1752" spans="10:10" x14ac:dyDescent="0.3">
      <c r="J1752" s="9"/>
    </row>
    <row r="1753" spans="10:10" x14ac:dyDescent="0.3">
      <c r="J1753" s="9"/>
    </row>
    <row r="1754" spans="10:10" x14ac:dyDescent="0.3">
      <c r="J1754" s="9"/>
    </row>
    <row r="1755" spans="10:10" x14ac:dyDescent="0.3">
      <c r="J1755" s="9"/>
    </row>
    <row r="1756" spans="10:10" x14ac:dyDescent="0.3">
      <c r="J1756" s="9"/>
    </row>
    <row r="1757" spans="10:10" x14ac:dyDescent="0.3">
      <c r="J1757" s="9"/>
    </row>
    <row r="1758" spans="10:10" x14ac:dyDescent="0.3">
      <c r="J1758" s="9"/>
    </row>
    <row r="1759" spans="10:10" x14ac:dyDescent="0.3">
      <c r="J1759" s="9"/>
    </row>
    <row r="1760" spans="10:10" x14ac:dyDescent="0.3">
      <c r="J1760" s="9"/>
    </row>
    <row r="1761" spans="10:10" x14ac:dyDescent="0.3">
      <c r="J1761" s="9"/>
    </row>
    <row r="1762" spans="10:10" x14ac:dyDescent="0.3">
      <c r="J1762" s="9"/>
    </row>
    <row r="1763" spans="10:10" x14ac:dyDescent="0.3">
      <c r="J1763" s="9"/>
    </row>
    <row r="1764" spans="10:10" x14ac:dyDescent="0.3">
      <c r="J1764" s="9"/>
    </row>
    <row r="1765" spans="10:10" x14ac:dyDescent="0.3">
      <c r="J1765" s="9"/>
    </row>
    <row r="1766" spans="10:10" x14ac:dyDescent="0.3">
      <c r="J1766" s="9"/>
    </row>
    <row r="1767" spans="10:10" x14ac:dyDescent="0.3">
      <c r="J1767" s="9"/>
    </row>
    <row r="1768" spans="10:10" x14ac:dyDescent="0.3">
      <c r="J1768" s="9"/>
    </row>
    <row r="1769" spans="10:10" x14ac:dyDescent="0.3">
      <c r="J1769" s="9"/>
    </row>
    <row r="1770" spans="10:10" x14ac:dyDescent="0.3">
      <c r="J1770" s="9"/>
    </row>
    <row r="1771" spans="10:10" x14ac:dyDescent="0.3">
      <c r="J1771" s="9"/>
    </row>
    <row r="1772" spans="10:10" x14ac:dyDescent="0.3">
      <c r="J1772" s="9"/>
    </row>
    <row r="1773" spans="10:10" x14ac:dyDescent="0.3">
      <c r="J1773" s="9"/>
    </row>
    <row r="1774" spans="10:10" x14ac:dyDescent="0.3">
      <c r="J1774" s="9"/>
    </row>
    <row r="1775" spans="10:10" x14ac:dyDescent="0.3">
      <c r="J1775" s="9"/>
    </row>
    <row r="1776" spans="10:10" x14ac:dyDescent="0.3">
      <c r="J1776" s="9"/>
    </row>
    <row r="1777" spans="10:10" x14ac:dyDescent="0.3">
      <c r="J1777" s="9"/>
    </row>
    <row r="1778" spans="10:10" x14ac:dyDescent="0.3">
      <c r="J1778" s="9"/>
    </row>
    <row r="1779" spans="10:10" x14ac:dyDescent="0.3">
      <c r="J1779" s="9"/>
    </row>
    <row r="1780" spans="10:10" x14ac:dyDescent="0.3">
      <c r="J1780" s="9"/>
    </row>
    <row r="1781" spans="10:10" x14ac:dyDescent="0.3">
      <c r="J1781" s="9"/>
    </row>
    <row r="1782" spans="10:10" x14ac:dyDescent="0.3">
      <c r="J1782" s="9"/>
    </row>
    <row r="1783" spans="10:10" x14ac:dyDescent="0.3">
      <c r="J1783" s="9"/>
    </row>
    <row r="1784" spans="10:10" x14ac:dyDescent="0.3">
      <c r="J1784" s="9"/>
    </row>
    <row r="1785" spans="10:10" x14ac:dyDescent="0.3">
      <c r="J1785" s="9"/>
    </row>
    <row r="1786" spans="10:10" x14ac:dyDescent="0.3">
      <c r="J1786" s="9"/>
    </row>
    <row r="1787" spans="10:10" x14ac:dyDescent="0.3">
      <c r="J1787" s="9"/>
    </row>
    <row r="1788" spans="10:10" x14ac:dyDescent="0.3">
      <c r="J1788" s="9"/>
    </row>
    <row r="1789" spans="10:10" x14ac:dyDescent="0.3">
      <c r="J1789" s="9"/>
    </row>
    <row r="1790" spans="10:10" x14ac:dyDescent="0.3">
      <c r="J1790" s="9"/>
    </row>
    <row r="1791" spans="10:10" x14ac:dyDescent="0.3">
      <c r="J1791" s="9"/>
    </row>
    <row r="1792" spans="10:10" x14ac:dyDescent="0.3">
      <c r="J1792" s="9"/>
    </row>
    <row r="1793" spans="10:10" x14ac:dyDescent="0.3">
      <c r="J1793" s="9"/>
    </row>
    <row r="1794" spans="10:10" x14ac:dyDescent="0.3">
      <c r="J1794" s="9"/>
    </row>
    <row r="1795" spans="10:10" x14ac:dyDescent="0.3">
      <c r="J1795" s="9"/>
    </row>
    <row r="1796" spans="10:10" x14ac:dyDescent="0.3">
      <c r="J1796" s="9"/>
    </row>
    <row r="1797" spans="10:10" x14ac:dyDescent="0.3">
      <c r="J1797" s="9"/>
    </row>
    <row r="1798" spans="10:10" x14ac:dyDescent="0.3">
      <c r="J1798" s="9"/>
    </row>
    <row r="1799" spans="10:10" x14ac:dyDescent="0.3">
      <c r="J1799" s="9"/>
    </row>
    <row r="1800" spans="10:10" x14ac:dyDescent="0.3">
      <c r="J1800" s="9"/>
    </row>
    <row r="1801" spans="10:10" x14ac:dyDescent="0.3">
      <c r="J1801" s="9"/>
    </row>
    <row r="1802" spans="10:10" x14ac:dyDescent="0.3">
      <c r="J1802" s="9"/>
    </row>
    <row r="1803" spans="10:10" x14ac:dyDescent="0.3">
      <c r="J1803" s="9"/>
    </row>
    <row r="1804" spans="10:10" x14ac:dyDescent="0.3">
      <c r="J1804" s="9"/>
    </row>
    <row r="1805" spans="10:10" x14ac:dyDescent="0.3">
      <c r="J1805" s="9"/>
    </row>
    <row r="1806" spans="10:10" x14ac:dyDescent="0.3">
      <c r="J1806" s="9"/>
    </row>
    <row r="1807" spans="10:10" x14ac:dyDescent="0.3">
      <c r="J1807" s="9"/>
    </row>
    <row r="1808" spans="10:10" x14ac:dyDescent="0.3">
      <c r="J1808" s="9"/>
    </row>
    <row r="1809" spans="10:10" x14ac:dyDescent="0.3">
      <c r="J1809" s="9"/>
    </row>
    <row r="1810" spans="10:10" x14ac:dyDescent="0.3">
      <c r="J1810" s="9"/>
    </row>
    <row r="1811" spans="10:10" x14ac:dyDescent="0.3">
      <c r="J1811" s="9"/>
    </row>
    <row r="1812" spans="10:10" x14ac:dyDescent="0.3">
      <c r="J1812" s="9"/>
    </row>
    <row r="1813" spans="10:10" x14ac:dyDescent="0.3">
      <c r="J1813" s="9"/>
    </row>
    <row r="1814" spans="10:10" x14ac:dyDescent="0.3">
      <c r="J1814" s="9"/>
    </row>
    <row r="1815" spans="10:10" x14ac:dyDescent="0.3">
      <c r="J1815" s="9"/>
    </row>
    <row r="1816" spans="10:10" x14ac:dyDescent="0.3">
      <c r="J1816" s="9"/>
    </row>
    <row r="1817" spans="10:10" x14ac:dyDescent="0.3">
      <c r="J1817" s="9"/>
    </row>
    <row r="1818" spans="10:10" x14ac:dyDescent="0.3">
      <c r="J1818" s="9"/>
    </row>
    <row r="1819" spans="10:10" x14ac:dyDescent="0.3">
      <c r="J1819" s="9"/>
    </row>
    <row r="1820" spans="10:10" x14ac:dyDescent="0.3">
      <c r="J1820" s="9"/>
    </row>
    <row r="1821" spans="10:10" x14ac:dyDescent="0.3">
      <c r="J1821" s="9"/>
    </row>
    <row r="1822" spans="10:10" x14ac:dyDescent="0.3">
      <c r="J1822" s="9"/>
    </row>
    <row r="1823" spans="10:10" x14ac:dyDescent="0.3">
      <c r="J1823" s="9"/>
    </row>
    <row r="1824" spans="10:10" x14ac:dyDescent="0.3">
      <c r="J1824" s="9"/>
    </row>
    <row r="1825" spans="10:10" x14ac:dyDescent="0.3">
      <c r="J1825" s="9"/>
    </row>
    <row r="1826" spans="10:10" x14ac:dyDescent="0.3">
      <c r="J1826" s="9"/>
    </row>
    <row r="1827" spans="10:10" x14ac:dyDescent="0.3">
      <c r="J1827" s="9"/>
    </row>
    <row r="1828" spans="10:10" x14ac:dyDescent="0.3">
      <c r="J1828" s="9"/>
    </row>
    <row r="1829" spans="10:10" x14ac:dyDescent="0.3">
      <c r="J1829" s="9"/>
    </row>
    <row r="1830" spans="10:10" x14ac:dyDescent="0.3">
      <c r="J1830" s="9"/>
    </row>
    <row r="1831" spans="10:10" x14ac:dyDescent="0.3">
      <c r="J1831" s="9"/>
    </row>
    <row r="1832" spans="10:10" x14ac:dyDescent="0.3">
      <c r="J1832" s="9"/>
    </row>
    <row r="1833" spans="10:10" x14ac:dyDescent="0.3">
      <c r="J1833" s="9"/>
    </row>
    <row r="1834" spans="10:10" x14ac:dyDescent="0.3">
      <c r="J1834" s="9"/>
    </row>
    <row r="1835" spans="10:10" x14ac:dyDescent="0.3">
      <c r="J1835" s="9"/>
    </row>
    <row r="1836" spans="10:10" x14ac:dyDescent="0.3">
      <c r="J1836" s="9"/>
    </row>
    <row r="1837" spans="10:10" x14ac:dyDescent="0.3">
      <c r="J1837" s="9"/>
    </row>
    <row r="1838" spans="10:10" x14ac:dyDescent="0.3">
      <c r="J1838" s="9"/>
    </row>
    <row r="1839" spans="10:10" x14ac:dyDescent="0.3">
      <c r="J1839" s="9"/>
    </row>
    <row r="1840" spans="10:10" x14ac:dyDescent="0.3">
      <c r="J1840" s="9"/>
    </row>
    <row r="1841" spans="10:10" x14ac:dyDescent="0.3">
      <c r="J1841" s="9"/>
    </row>
    <row r="1842" spans="10:10" x14ac:dyDescent="0.3">
      <c r="J1842" s="9"/>
    </row>
    <row r="1843" spans="10:10" x14ac:dyDescent="0.3">
      <c r="J1843" s="9"/>
    </row>
    <row r="1844" spans="10:10" x14ac:dyDescent="0.3">
      <c r="J1844" s="9"/>
    </row>
    <row r="1845" spans="10:10" x14ac:dyDescent="0.3">
      <c r="J1845" s="9"/>
    </row>
    <row r="1846" spans="10:10" x14ac:dyDescent="0.3">
      <c r="J1846" s="9"/>
    </row>
    <row r="1847" spans="10:10" x14ac:dyDescent="0.3">
      <c r="J1847" s="9"/>
    </row>
    <row r="1848" spans="10:10" x14ac:dyDescent="0.3">
      <c r="J1848" s="9"/>
    </row>
    <row r="1849" spans="10:10" x14ac:dyDescent="0.3">
      <c r="J1849" s="9"/>
    </row>
    <row r="1850" spans="10:10" x14ac:dyDescent="0.3">
      <c r="J1850" s="9"/>
    </row>
    <row r="1851" spans="10:10" x14ac:dyDescent="0.3">
      <c r="J1851" s="9"/>
    </row>
    <row r="1852" spans="10:10" x14ac:dyDescent="0.3">
      <c r="J1852" s="9"/>
    </row>
    <row r="1853" spans="10:10" x14ac:dyDescent="0.3">
      <c r="J1853" s="9"/>
    </row>
    <row r="1854" spans="10:10" x14ac:dyDescent="0.3">
      <c r="J1854" s="9"/>
    </row>
    <row r="1855" spans="10:10" x14ac:dyDescent="0.3">
      <c r="J1855" s="9"/>
    </row>
    <row r="1856" spans="10:10" x14ac:dyDescent="0.3">
      <c r="J1856" s="9"/>
    </row>
    <row r="1857" spans="7:10" x14ac:dyDescent="0.3">
      <c r="J1857" s="9"/>
    </row>
    <row r="1858" spans="7:10" x14ac:dyDescent="0.3">
      <c r="J1858" s="9"/>
    </row>
    <row r="1859" spans="7:10" x14ac:dyDescent="0.3">
      <c r="J1859" s="9"/>
    </row>
    <row r="1860" spans="7:10" x14ac:dyDescent="0.3">
      <c r="J1860" s="9"/>
    </row>
    <row r="1861" spans="7:10" x14ac:dyDescent="0.3">
      <c r="J1861" s="9"/>
    </row>
    <row r="1862" spans="7:10" x14ac:dyDescent="0.3">
      <c r="J1862" s="9"/>
    </row>
    <row r="1863" spans="7:10" x14ac:dyDescent="0.3">
      <c r="G1863" s="43"/>
      <c r="J1863" s="9"/>
    </row>
    <row r="1864" spans="7:10" x14ac:dyDescent="0.3">
      <c r="J1864" s="9"/>
    </row>
    <row r="1865" spans="7:10" x14ac:dyDescent="0.3">
      <c r="J1865" s="9"/>
    </row>
    <row r="1866" spans="7:10" x14ac:dyDescent="0.3">
      <c r="J1866" s="9"/>
    </row>
    <row r="1867" spans="7:10" x14ac:dyDescent="0.3">
      <c r="J1867" s="9"/>
    </row>
    <row r="1868" spans="7:10" x14ac:dyDescent="0.3">
      <c r="J1868" s="9"/>
    </row>
    <row r="1869" spans="7:10" x14ac:dyDescent="0.3">
      <c r="J1869" s="9"/>
    </row>
    <row r="1870" spans="7:10" x14ac:dyDescent="0.3">
      <c r="J1870" s="9"/>
    </row>
    <row r="1871" spans="7:10" x14ac:dyDescent="0.3">
      <c r="J1871" s="9"/>
    </row>
    <row r="1872" spans="7:10" x14ac:dyDescent="0.3">
      <c r="J1872" s="9"/>
    </row>
    <row r="1873" spans="10:10" x14ac:dyDescent="0.3">
      <c r="J1873" s="9"/>
    </row>
    <row r="1874" spans="10:10" x14ac:dyDescent="0.3">
      <c r="J1874" s="9"/>
    </row>
    <row r="1875" spans="10:10" x14ac:dyDescent="0.3">
      <c r="J1875" s="9"/>
    </row>
    <row r="1876" spans="10:10" x14ac:dyDescent="0.3">
      <c r="J1876" s="9"/>
    </row>
    <row r="1877" spans="10:10" x14ac:dyDescent="0.3">
      <c r="J1877" s="9"/>
    </row>
    <row r="1878" spans="10:10" x14ac:dyDescent="0.3">
      <c r="J1878" s="9"/>
    </row>
    <row r="1879" spans="10:10" x14ac:dyDescent="0.3">
      <c r="J1879" s="9"/>
    </row>
    <row r="1880" spans="10:10" x14ac:dyDescent="0.3">
      <c r="J1880" s="9"/>
    </row>
    <row r="1881" spans="10:10" x14ac:dyDescent="0.3">
      <c r="J1881" s="9"/>
    </row>
    <row r="1882" spans="10:10" x14ac:dyDescent="0.3">
      <c r="J1882" s="9"/>
    </row>
    <row r="1883" spans="10:10" x14ac:dyDescent="0.3">
      <c r="J1883" s="9"/>
    </row>
    <row r="1884" spans="10:10" x14ac:dyDescent="0.3">
      <c r="J1884" s="9"/>
    </row>
    <row r="1885" spans="10:10" x14ac:dyDescent="0.3">
      <c r="J1885" s="9"/>
    </row>
    <row r="1886" spans="10:10" x14ac:dyDescent="0.3">
      <c r="J1886" s="9"/>
    </row>
    <row r="1887" spans="10:10" x14ac:dyDescent="0.3">
      <c r="J1887" s="9"/>
    </row>
    <row r="1888" spans="10:10" x14ac:dyDescent="0.3">
      <c r="J1888" s="9"/>
    </row>
    <row r="1889" spans="10:10" x14ac:dyDescent="0.3">
      <c r="J1889" s="9"/>
    </row>
    <row r="1890" spans="10:10" x14ac:dyDescent="0.3">
      <c r="J1890" s="9"/>
    </row>
    <row r="1891" spans="10:10" x14ac:dyDescent="0.3">
      <c r="J1891" s="9"/>
    </row>
    <row r="1892" spans="10:10" x14ac:dyDescent="0.3">
      <c r="J1892" s="9"/>
    </row>
    <row r="1893" spans="10:10" x14ac:dyDescent="0.3">
      <c r="J1893" s="9"/>
    </row>
    <row r="1894" spans="10:10" x14ac:dyDescent="0.3">
      <c r="J1894" s="9"/>
    </row>
    <row r="1895" spans="10:10" x14ac:dyDescent="0.3">
      <c r="J1895" s="9"/>
    </row>
    <row r="1896" spans="10:10" x14ac:dyDescent="0.3">
      <c r="J1896" s="9"/>
    </row>
    <row r="1897" spans="10:10" x14ac:dyDescent="0.3">
      <c r="J1897" s="9"/>
    </row>
    <row r="1898" spans="10:10" x14ac:dyDescent="0.3">
      <c r="J1898" s="9"/>
    </row>
    <row r="1899" spans="10:10" x14ac:dyDescent="0.3">
      <c r="J1899" s="9"/>
    </row>
    <row r="1900" spans="10:10" x14ac:dyDescent="0.3">
      <c r="J1900" s="9"/>
    </row>
    <row r="1901" spans="10:10" x14ac:dyDescent="0.3">
      <c r="J1901" s="9"/>
    </row>
    <row r="1902" spans="10:10" x14ac:dyDescent="0.3">
      <c r="J1902" s="9"/>
    </row>
    <row r="1903" spans="10:10" x14ac:dyDescent="0.3">
      <c r="J1903" s="9"/>
    </row>
    <row r="1904" spans="10:10" x14ac:dyDescent="0.3">
      <c r="J1904" s="9"/>
    </row>
    <row r="1905" spans="10:10" x14ac:dyDescent="0.3">
      <c r="J1905" s="9"/>
    </row>
    <row r="1906" spans="10:10" x14ac:dyDescent="0.3">
      <c r="J1906" s="9"/>
    </row>
    <row r="1907" spans="10:10" x14ac:dyDescent="0.3">
      <c r="J1907" s="9"/>
    </row>
    <row r="1908" spans="10:10" x14ac:dyDescent="0.3">
      <c r="J1908" s="9"/>
    </row>
    <row r="1909" spans="10:10" x14ac:dyDescent="0.3">
      <c r="J1909" s="9"/>
    </row>
    <row r="1910" spans="10:10" x14ac:dyDescent="0.3">
      <c r="J1910" s="9"/>
    </row>
    <row r="1911" spans="10:10" x14ac:dyDescent="0.3">
      <c r="J1911" s="9"/>
    </row>
    <row r="1912" spans="10:10" x14ac:dyDescent="0.3">
      <c r="J1912" s="9"/>
    </row>
    <row r="1913" spans="10:10" x14ac:dyDescent="0.3">
      <c r="J1913" s="9"/>
    </row>
    <row r="1914" spans="10:10" x14ac:dyDescent="0.3">
      <c r="J1914" s="9"/>
    </row>
    <row r="1915" spans="10:10" x14ac:dyDescent="0.3">
      <c r="J1915" s="9"/>
    </row>
    <row r="1916" spans="10:10" x14ac:dyDescent="0.3">
      <c r="J1916" s="9"/>
    </row>
    <row r="1917" spans="10:10" x14ac:dyDescent="0.3">
      <c r="J1917" s="9"/>
    </row>
    <row r="1918" spans="10:10" x14ac:dyDescent="0.3">
      <c r="J1918" s="9"/>
    </row>
    <row r="1919" spans="10:10" x14ac:dyDescent="0.3">
      <c r="J1919" s="9"/>
    </row>
    <row r="1920" spans="10:10" x14ac:dyDescent="0.3">
      <c r="J1920" s="9"/>
    </row>
    <row r="1921" spans="10:10" x14ac:dyDescent="0.3">
      <c r="J1921" s="9"/>
    </row>
    <row r="1922" spans="10:10" x14ac:dyDescent="0.3">
      <c r="J1922" s="9"/>
    </row>
    <row r="1923" spans="10:10" x14ac:dyDescent="0.3">
      <c r="J1923" s="9"/>
    </row>
    <row r="1924" spans="10:10" x14ac:dyDescent="0.3">
      <c r="J1924" s="9"/>
    </row>
    <row r="1925" spans="10:10" x14ac:dyDescent="0.3">
      <c r="J1925" s="9"/>
    </row>
    <row r="1926" spans="10:10" x14ac:dyDescent="0.3">
      <c r="J1926" s="9"/>
    </row>
    <row r="1927" spans="10:10" x14ac:dyDescent="0.3">
      <c r="J1927" s="9"/>
    </row>
    <row r="1928" spans="10:10" x14ac:dyDescent="0.3">
      <c r="J1928" s="9"/>
    </row>
    <row r="1929" spans="10:10" x14ac:dyDescent="0.3">
      <c r="J1929" s="9"/>
    </row>
    <row r="1930" spans="10:10" x14ac:dyDescent="0.3">
      <c r="J1930" s="9"/>
    </row>
    <row r="1931" spans="10:10" x14ac:dyDescent="0.3">
      <c r="J1931" s="9"/>
    </row>
    <row r="1932" spans="10:10" x14ac:dyDescent="0.3">
      <c r="J1932" s="9"/>
    </row>
    <row r="1933" spans="10:10" x14ac:dyDescent="0.3">
      <c r="J1933" s="9"/>
    </row>
    <row r="1934" spans="10:10" x14ac:dyDescent="0.3">
      <c r="J1934" s="9"/>
    </row>
    <row r="1935" spans="10:10" x14ac:dyDescent="0.3">
      <c r="J1935" s="9"/>
    </row>
    <row r="1936" spans="10:10" x14ac:dyDescent="0.3">
      <c r="J1936" s="9"/>
    </row>
    <row r="1937" spans="10:10" x14ac:dyDescent="0.3">
      <c r="J1937" s="9"/>
    </row>
    <row r="1938" spans="10:10" x14ac:dyDescent="0.3">
      <c r="J1938" s="9"/>
    </row>
    <row r="1939" spans="10:10" x14ac:dyDescent="0.3">
      <c r="J1939" s="9"/>
    </row>
    <row r="1940" spans="10:10" x14ac:dyDescent="0.3">
      <c r="J1940" s="9"/>
    </row>
    <row r="1941" spans="10:10" x14ac:dyDescent="0.3">
      <c r="J1941" s="9"/>
    </row>
    <row r="1942" spans="10:10" x14ac:dyDescent="0.3">
      <c r="J1942" s="9"/>
    </row>
    <row r="1943" spans="10:10" x14ac:dyDescent="0.3">
      <c r="J1943" s="9"/>
    </row>
    <row r="1944" spans="10:10" x14ac:dyDescent="0.3">
      <c r="J1944" s="9"/>
    </row>
    <row r="1945" spans="10:10" x14ac:dyDescent="0.3">
      <c r="J1945" s="9"/>
    </row>
    <row r="1946" spans="10:10" x14ac:dyDescent="0.3">
      <c r="J1946" s="9"/>
    </row>
    <row r="1947" spans="10:10" x14ac:dyDescent="0.3">
      <c r="J1947" s="9"/>
    </row>
    <row r="1948" spans="10:10" x14ac:dyDescent="0.3">
      <c r="J1948" s="9"/>
    </row>
    <row r="1949" spans="10:10" x14ac:dyDescent="0.3">
      <c r="J1949" s="9"/>
    </row>
    <row r="1950" spans="10:10" x14ac:dyDescent="0.3">
      <c r="J1950" s="9"/>
    </row>
    <row r="1951" spans="10:10" x14ac:dyDescent="0.3">
      <c r="J1951" s="9"/>
    </row>
    <row r="1952" spans="10:10" x14ac:dyDescent="0.3">
      <c r="J1952" s="9"/>
    </row>
    <row r="1953" spans="10:10" x14ac:dyDescent="0.3">
      <c r="J1953" s="9"/>
    </row>
    <row r="1954" spans="10:10" x14ac:dyDescent="0.3">
      <c r="J1954" s="9"/>
    </row>
    <row r="1955" spans="10:10" x14ac:dyDescent="0.3">
      <c r="J1955" s="9"/>
    </row>
    <row r="1956" spans="10:10" x14ac:dyDescent="0.3">
      <c r="J1956" s="9"/>
    </row>
    <row r="1957" spans="10:10" x14ac:dyDescent="0.3">
      <c r="J1957" s="9"/>
    </row>
    <row r="1958" spans="10:10" x14ac:dyDescent="0.3">
      <c r="J1958" s="9"/>
    </row>
    <row r="1959" spans="10:10" x14ac:dyDescent="0.3">
      <c r="J1959" s="9"/>
    </row>
    <row r="1960" spans="10:10" x14ac:dyDescent="0.3">
      <c r="J1960" s="9"/>
    </row>
    <row r="1961" spans="10:10" x14ac:dyDescent="0.3">
      <c r="J1961" s="9"/>
    </row>
    <row r="1962" spans="10:10" x14ac:dyDescent="0.3">
      <c r="J1962" s="9"/>
    </row>
    <row r="1963" spans="10:10" x14ac:dyDescent="0.3">
      <c r="J1963" s="9"/>
    </row>
    <row r="1964" spans="10:10" x14ac:dyDescent="0.3">
      <c r="J1964" s="9"/>
    </row>
    <row r="1965" spans="10:10" x14ac:dyDescent="0.3">
      <c r="J1965" s="9"/>
    </row>
    <row r="1966" spans="10:10" x14ac:dyDescent="0.3">
      <c r="J1966" s="9"/>
    </row>
    <row r="1967" spans="10:10" x14ac:dyDescent="0.3">
      <c r="J1967" s="9"/>
    </row>
    <row r="1968" spans="10:10" x14ac:dyDescent="0.3">
      <c r="J1968" s="9"/>
    </row>
    <row r="1969" spans="10:10" x14ac:dyDescent="0.3">
      <c r="J1969" s="9"/>
    </row>
    <row r="1970" spans="10:10" x14ac:dyDescent="0.3">
      <c r="J1970" s="9"/>
    </row>
    <row r="1971" spans="10:10" x14ac:dyDescent="0.3">
      <c r="J1971" s="9"/>
    </row>
    <row r="1972" spans="10:10" x14ac:dyDescent="0.3">
      <c r="J1972" s="9"/>
    </row>
    <row r="1973" spans="10:10" x14ac:dyDescent="0.3">
      <c r="J1973" s="9"/>
    </row>
    <row r="1974" spans="10:10" x14ac:dyDescent="0.3">
      <c r="J1974" s="9"/>
    </row>
    <row r="1975" spans="10:10" x14ac:dyDescent="0.3">
      <c r="J1975" s="9"/>
    </row>
    <row r="1976" spans="10:10" x14ac:dyDescent="0.3">
      <c r="J1976" s="9"/>
    </row>
    <row r="1977" spans="10:10" x14ac:dyDescent="0.3">
      <c r="J1977" s="9"/>
    </row>
    <row r="1978" spans="10:10" x14ac:dyDescent="0.3">
      <c r="J1978" s="9"/>
    </row>
    <row r="1979" spans="10:10" x14ac:dyDescent="0.3">
      <c r="J1979" s="9"/>
    </row>
    <row r="1980" spans="10:10" x14ac:dyDescent="0.3">
      <c r="J1980" s="9"/>
    </row>
    <row r="1981" spans="10:10" x14ac:dyDescent="0.3">
      <c r="J1981" s="9"/>
    </row>
    <row r="1982" spans="10:10" x14ac:dyDescent="0.3">
      <c r="J1982" s="9"/>
    </row>
    <row r="1983" spans="10:10" x14ac:dyDescent="0.3">
      <c r="J1983" s="9"/>
    </row>
    <row r="1984" spans="10:10" x14ac:dyDescent="0.3">
      <c r="J1984" s="9"/>
    </row>
    <row r="1985" spans="10:10" x14ac:dyDescent="0.3">
      <c r="J1985" s="9"/>
    </row>
    <row r="1986" spans="10:10" x14ac:dyDescent="0.3">
      <c r="J1986" s="9"/>
    </row>
    <row r="1987" spans="10:10" x14ac:dyDescent="0.3">
      <c r="J1987" s="9"/>
    </row>
    <row r="1988" spans="10:10" x14ac:dyDescent="0.3">
      <c r="J1988" s="9"/>
    </row>
    <row r="1989" spans="10:10" x14ac:dyDescent="0.3">
      <c r="J1989" s="9"/>
    </row>
    <row r="1990" spans="10:10" x14ac:dyDescent="0.3">
      <c r="J1990" s="9"/>
    </row>
    <row r="1991" spans="10:10" x14ac:dyDescent="0.3">
      <c r="J1991" s="9"/>
    </row>
    <row r="1992" spans="10:10" x14ac:dyDescent="0.3">
      <c r="J1992" s="9"/>
    </row>
    <row r="1993" spans="10:10" x14ac:dyDescent="0.3">
      <c r="J1993" s="9"/>
    </row>
    <row r="1994" spans="10:10" x14ac:dyDescent="0.3">
      <c r="J1994" s="9"/>
    </row>
    <row r="1995" spans="10:10" x14ac:dyDescent="0.3">
      <c r="J1995" s="9"/>
    </row>
    <row r="1996" spans="10:10" x14ac:dyDescent="0.3">
      <c r="J1996" s="9"/>
    </row>
    <row r="1997" spans="10:10" x14ac:dyDescent="0.3">
      <c r="J1997" s="9"/>
    </row>
    <row r="1998" spans="10:10" x14ac:dyDescent="0.3">
      <c r="J1998" s="9"/>
    </row>
    <row r="1999" spans="10:10" x14ac:dyDescent="0.3">
      <c r="J1999" s="9"/>
    </row>
    <row r="2000" spans="10:10" x14ac:dyDescent="0.3">
      <c r="J2000" s="9"/>
    </row>
    <row r="2001" spans="10:10" x14ac:dyDescent="0.3">
      <c r="J2001" s="9"/>
    </row>
    <row r="2002" spans="10:10" x14ac:dyDescent="0.3">
      <c r="J2002" s="9"/>
    </row>
    <row r="2003" spans="10:10" x14ac:dyDescent="0.3">
      <c r="J2003" s="9"/>
    </row>
    <row r="2004" spans="10:10" x14ac:dyDescent="0.3">
      <c r="J2004" s="9"/>
    </row>
    <row r="2005" spans="10:10" x14ac:dyDescent="0.3">
      <c r="J2005" s="9"/>
    </row>
    <row r="2006" spans="10:10" x14ac:dyDescent="0.3">
      <c r="J2006" s="9"/>
    </row>
    <row r="2007" spans="10:10" x14ac:dyDescent="0.3">
      <c r="J2007" s="9"/>
    </row>
    <row r="2008" spans="10:10" x14ac:dyDescent="0.3">
      <c r="J2008" s="9"/>
    </row>
    <row r="2009" spans="10:10" x14ac:dyDescent="0.3">
      <c r="J2009" s="9"/>
    </row>
    <row r="2010" spans="10:10" x14ac:dyDescent="0.3">
      <c r="J2010" s="9"/>
    </row>
    <row r="2011" spans="10:10" x14ac:dyDescent="0.3">
      <c r="J2011" s="9"/>
    </row>
    <row r="2012" spans="10:10" x14ac:dyDescent="0.3">
      <c r="J2012" s="9"/>
    </row>
    <row r="2013" spans="10:10" x14ac:dyDescent="0.3">
      <c r="J2013" s="9"/>
    </row>
    <row r="2014" spans="10:10" x14ac:dyDescent="0.3">
      <c r="J2014" s="9"/>
    </row>
    <row r="2015" spans="10:10" x14ac:dyDescent="0.3">
      <c r="J2015" s="9"/>
    </row>
    <row r="2016" spans="10:10" x14ac:dyDescent="0.3">
      <c r="J2016" s="9"/>
    </row>
    <row r="2017" spans="10:10" x14ac:dyDescent="0.3">
      <c r="J2017" s="9"/>
    </row>
    <row r="2018" spans="10:10" x14ac:dyDescent="0.3">
      <c r="J2018" s="9"/>
    </row>
    <row r="2019" spans="10:10" x14ac:dyDescent="0.3">
      <c r="J2019" s="9"/>
    </row>
    <row r="2020" spans="10:10" x14ac:dyDescent="0.3">
      <c r="J2020" s="9"/>
    </row>
    <row r="2021" spans="10:10" x14ac:dyDescent="0.3">
      <c r="J2021" s="9"/>
    </row>
    <row r="2022" spans="10:10" x14ac:dyDescent="0.3">
      <c r="J2022" s="9"/>
    </row>
    <row r="2023" spans="10:10" x14ac:dyDescent="0.3">
      <c r="J2023" s="9"/>
    </row>
    <row r="2024" spans="10:10" x14ac:dyDescent="0.3">
      <c r="J2024" s="9"/>
    </row>
    <row r="2025" spans="10:10" x14ac:dyDescent="0.3">
      <c r="J2025" s="9"/>
    </row>
    <row r="2026" spans="10:10" x14ac:dyDescent="0.3">
      <c r="J2026" s="9"/>
    </row>
    <row r="2027" spans="10:10" x14ac:dyDescent="0.3">
      <c r="J2027" s="9"/>
    </row>
    <row r="2028" spans="10:10" x14ac:dyDescent="0.3">
      <c r="J2028" s="9"/>
    </row>
    <row r="2029" spans="10:10" x14ac:dyDescent="0.3">
      <c r="J2029" s="9"/>
    </row>
    <row r="2030" spans="10:10" x14ac:dyDescent="0.3">
      <c r="J2030" s="9"/>
    </row>
    <row r="2031" spans="10:10" x14ac:dyDescent="0.3">
      <c r="J2031" s="9"/>
    </row>
    <row r="2032" spans="10:10" x14ac:dyDescent="0.3">
      <c r="J2032" s="9"/>
    </row>
    <row r="2033" spans="7:10" x14ac:dyDescent="0.3">
      <c r="J2033" s="9"/>
    </row>
    <row r="2034" spans="7:10" x14ac:dyDescent="0.3">
      <c r="J2034" s="9"/>
    </row>
    <row r="2035" spans="7:10" x14ac:dyDescent="0.3">
      <c r="J2035" s="9"/>
    </row>
    <row r="2036" spans="7:10" x14ac:dyDescent="0.3">
      <c r="J2036" s="9"/>
    </row>
    <row r="2037" spans="7:10" x14ac:dyDescent="0.3">
      <c r="J2037" s="9"/>
    </row>
    <row r="2038" spans="7:10" x14ac:dyDescent="0.3">
      <c r="J2038" s="9"/>
    </row>
    <row r="2039" spans="7:10" x14ac:dyDescent="0.3">
      <c r="J2039" s="9"/>
    </row>
    <row r="2040" spans="7:10" x14ac:dyDescent="0.3">
      <c r="J2040" s="9"/>
    </row>
    <row r="2041" spans="7:10" x14ac:dyDescent="0.3">
      <c r="J2041" s="9"/>
    </row>
    <row r="2042" spans="7:10" x14ac:dyDescent="0.3">
      <c r="J2042" s="9"/>
    </row>
    <row r="2043" spans="7:10" x14ac:dyDescent="0.3">
      <c r="J2043" s="9"/>
    </row>
    <row r="2044" spans="7:10" x14ac:dyDescent="0.3">
      <c r="J2044" s="9"/>
    </row>
    <row r="2045" spans="7:10" x14ac:dyDescent="0.3">
      <c r="J2045" s="9"/>
    </row>
    <row r="2046" spans="7:10" x14ac:dyDescent="0.3">
      <c r="J2046" s="9"/>
    </row>
    <row r="2047" spans="7:10" x14ac:dyDescent="0.3">
      <c r="J2047" s="9"/>
    </row>
    <row r="2048" spans="7:10" x14ac:dyDescent="0.3">
      <c r="G2048" s="43"/>
      <c r="J2048" s="9"/>
    </row>
    <row r="2049" spans="10:10" x14ac:dyDescent="0.3">
      <c r="J2049" s="9"/>
    </row>
    <row r="2050" spans="10:10" x14ac:dyDescent="0.3">
      <c r="J2050" s="9"/>
    </row>
    <row r="2051" spans="10:10" x14ac:dyDescent="0.3">
      <c r="J2051" s="9"/>
    </row>
    <row r="2052" spans="10:10" x14ac:dyDescent="0.3">
      <c r="J2052" s="9"/>
    </row>
    <row r="2053" spans="10:10" x14ac:dyDescent="0.3">
      <c r="J2053" s="9"/>
    </row>
    <row r="2054" spans="10:10" x14ac:dyDescent="0.3">
      <c r="J2054" s="9"/>
    </row>
    <row r="2055" spans="10:10" x14ac:dyDescent="0.3">
      <c r="J2055" s="9"/>
    </row>
    <row r="2056" spans="10:10" x14ac:dyDescent="0.3">
      <c r="J2056" s="9"/>
    </row>
    <row r="2057" spans="10:10" x14ac:dyDescent="0.3">
      <c r="J2057" s="9"/>
    </row>
    <row r="2058" spans="10:10" x14ac:dyDescent="0.3">
      <c r="J2058" s="9"/>
    </row>
    <row r="2059" spans="10:10" x14ac:dyDescent="0.3">
      <c r="J2059" s="9"/>
    </row>
    <row r="2060" spans="10:10" x14ac:dyDescent="0.3">
      <c r="J2060" s="9"/>
    </row>
    <row r="2061" spans="10:10" x14ac:dyDescent="0.3">
      <c r="J2061" s="9"/>
    </row>
    <row r="2062" spans="10:10" x14ac:dyDescent="0.3">
      <c r="J2062" s="9"/>
    </row>
    <row r="2063" spans="10:10" x14ac:dyDescent="0.3">
      <c r="J2063" s="9"/>
    </row>
    <row r="2064" spans="10:10" x14ac:dyDescent="0.3">
      <c r="J2064" s="9"/>
    </row>
    <row r="2065" spans="10:10" x14ac:dyDescent="0.3">
      <c r="J2065" s="9"/>
    </row>
    <row r="2066" spans="10:10" x14ac:dyDescent="0.3">
      <c r="J2066" s="9"/>
    </row>
    <row r="2067" spans="10:10" x14ac:dyDescent="0.3">
      <c r="J2067" s="9"/>
    </row>
    <row r="2068" spans="10:10" x14ac:dyDescent="0.3">
      <c r="J2068" s="9"/>
    </row>
    <row r="2069" spans="10:10" x14ac:dyDescent="0.3">
      <c r="J2069" s="9"/>
    </row>
    <row r="2070" spans="10:10" x14ac:dyDescent="0.3">
      <c r="J2070" s="9"/>
    </row>
    <row r="2071" spans="10:10" x14ac:dyDescent="0.3">
      <c r="J2071" s="9"/>
    </row>
    <row r="2072" spans="10:10" x14ac:dyDescent="0.3">
      <c r="J2072" s="9"/>
    </row>
    <row r="2073" spans="10:10" x14ac:dyDescent="0.3">
      <c r="J2073" s="9"/>
    </row>
    <row r="2074" spans="10:10" x14ac:dyDescent="0.3">
      <c r="J2074" s="9"/>
    </row>
    <row r="2075" spans="10:10" x14ac:dyDescent="0.3">
      <c r="J2075" s="9"/>
    </row>
    <row r="2076" spans="10:10" x14ac:dyDescent="0.3">
      <c r="J2076" s="9"/>
    </row>
    <row r="2077" spans="10:10" x14ac:dyDescent="0.3">
      <c r="J2077" s="9"/>
    </row>
    <row r="2078" spans="10:10" x14ac:dyDescent="0.3">
      <c r="J2078" s="9"/>
    </row>
    <row r="2079" spans="10:10" x14ac:dyDescent="0.3">
      <c r="J2079" s="9"/>
    </row>
    <row r="2080" spans="10:10" x14ac:dyDescent="0.3">
      <c r="J2080" s="9"/>
    </row>
    <row r="2081" spans="10:10" x14ac:dyDescent="0.3">
      <c r="J2081" s="9"/>
    </row>
    <row r="2082" spans="10:10" x14ac:dyDescent="0.3">
      <c r="J2082" s="9"/>
    </row>
    <row r="2083" spans="10:10" x14ac:dyDescent="0.3">
      <c r="J2083" s="9"/>
    </row>
    <row r="2084" spans="10:10" x14ac:dyDescent="0.3">
      <c r="J2084" s="9"/>
    </row>
    <row r="2085" spans="10:10" x14ac:dyDescent="0.3">
      <c r="J2085" s="9"/>
    </row>
    <row r="2086" spans="10:10" x14ac:dyDescent="0.3">
      <c r="J2086" s="9"/>
    </row>
    <row r="2087" spans="10:10" x14ac:dyDescent="0.3">
      <c r="J2087" s="9"/>
    </row>
    <row r="2088" spans="10:10" x14ac:dyDescent="0.3">
      <c r="J2088" s="9"/>
    </row>
    <row r="2089" spans="10:10" x14ac:dyDescent="0.3">
      <c r="J2089" s="9"/>
    </row>
    <row r="2090" spans="10:10" x14ac:dyDescent="0.3">
      <c r="J2090" s="9"/>
    </row>
    <row r="2091" spans="10:10" x14ac:dyDescent="0.3">
      <c r="J2091" s="9"/>
    </row>
    <row r="2092" spans="10:10" x14ac:dyDescent="0.3">
      <c r="J2092" s="9"/>
    </row>
    <row r="2093" spans="10:10" x14ac:dyDescent="0.3">
      <c r="J2093" s="9"/>
    </row>
    <row r="2094" spans="10:10" x14ac:dyDescent="0.3">
      <c r="J2094" s="9"/>
    </row>
    <row r="2095" spans="10:10" x14ac:dyDescent="0.3">
      <c r="J2095" s="9"/>
    </row>
    <row r="2096" spans="10:10" x14ac:dyDescent="0.3">
      <c r="J2096" s="9"/>
    </row>
    <row r="2097" spans="10:10" x14ac:dyDescent="0.3">
      <c r="J2097" s="9"/>
    </row>
    <row r="2098" spans="10:10" x14ac:dyDescent="0.3">
      <c r="J2098" s="9"/>
    </row>
    <row r="2099" spans="10:10" x14ac:dyDescent="0.3">
      <c r="J2099" s="9"/>
    </row>
    <row r="2100" spans="10:10" x14ac:dyDescent="0.3">
      <c r="J2100" s="9"/>
    </row>
    <row r="2101" spans="10:10" x14ac:dyDescent="0.3">
      <c r="J2101" s="9"/>
    </row>
    <row r="2102" spans="10:10" x14ac:dyDescent="0.3">
      <c r="J2102" s="9"/>
    </row>
    <row r="2103" spans="10:10" x14ac:dyDescent="0.3">
      <c r="J2103" s="9"/>
    </row>
    <row r="2104" spans="10:10" x14ac:dyDescent="0.3">
      <c r="J2104" s="9"/>
    </row>
    <row r="2105" spans="10:10" x14ac:dyDescent="0.3">
      <c r="J2105" s="9"/>
    </row>
    <row r="2106" spans="10:10" x14ac:dyDescent="0.3">
      <c r="J2106" s="9"/>
    </row>
    <row r="2107" spans="10:10" x14ac:dyDescent="0.3">
      <c r="J2107" s="9"/>
    </row>
    <row r="2108" spans="10:10" x14ac:dyDescent="0.3">
      <c r="J2108" s="9"/>
    </row>
    <row r="2109" spans="10:10" x14ac:dyDescent="0.3">
      <c r="J2109" s="9"/>
    </row>
    <row r="2110" spans="10:10" x14ac:dyDescent="0.3">
      <c r="J2110" s="9"/>
    </row>
    <row r="2111" spans="10:10" x14ac:dyDescent="0.3">
      <c r="J2111" s="9"/>
    </row>
    <row r="2112" spans="10:10" x14ac:dyDescent="0.3">
      <c r="J2112" s="9"/>
    </row>
    <row r="2113" spans="10:10" x14ac:dyDescent="0.3">
      <c r="J2113" s="9"/>
    </row>
    <row r="2114" spans="10:10" x14ac:dyDescent="0.3">
      <c r="J2114" s="9"/>
    </row>
    <row r="2115" spans="10:10" x14ac:dyDescent="0.3">
      <c r="J2115" s="9"/>
    </row>
    <row r="2116" spans="10:10" x14ac:dyDescent="0.3">
      <c r="J2116" s="9"/>
    </row>
    <row r="2117" spans="10:10" x14ac:dyDescent="0.3">
      <c r="J2117" s="9"/>
    </row>
    <row r="2118" spans="10:10" x14ac:dyDescent="0.3">
      <c r="J2118" s="9"/>
    </row>
    <row r="2119" spans="10:10" x14ac:dyDescent="0.3">
      <c r="J2119" s="9"/>
    </row>
    <row r="2120" spans="10:10" x14ac:dyDescent="0.3">
      <c r="J2120" s="9"/>
    </row>
    <row r="2121" spans="10:10" x14ac:dyDescent="0.3">
      <c r="J2121" s="9"/>
    </row>
    <row r="2122" spans="10:10" x14ac:dyDescent="0.3">
      <c r="J2122" s="9"/>
    </row>
    <row r="2123" spans="10:10" x14ac:dyDescent="0.3">
      <c r="J2123" s="9"/>
    </row>
    <row r="2124" spans="10:10" x14ac:dyDescent="0.3">
      <c r="J2124" s="9"/>
    </row>
    <row r="2125" spans="10:10" x14ac:dyDescent="0.3">
      <c r="J2125" s="9"/>
    </row>
    <row r="2126" spans="10:10" x14ac:dyDescent="0.3">
      <c r="J2126" s="9"/>
    </row>
    <row r="2127" spans="10:10" x14ac:dyDescent="0.3">
      <c r="J2127" s="9"/>
    </row>
    <row r="2128" spans="10:10" x14ac:dyDescent="0.3">
      <c r="J2128" s="9"/>
    </row>
    <row r="2129" spans="10:10" x14ac:dyDescent="0.3">
      <c r="J2129" s="9"/>
    </row>
    <row r="2130" spans="10:10" x14ac:dyDescent="0.3">
      <c r="J2130" s="9"/>
    </row>
    <row r="2131" spans="10:10" x14ac:dyDescent="0.3">
      <c r="J2131" s="9"/>
    </row>
    <row r="2132" spans="10:10" x14ac:dyDescent="0.3">
      <c r="J2132" s="9"/>
    </row>
    <row r="2133" spans="10:10" x14ac:dyDescent="0.3">
      <c r="J2133" s="9"/>
    </row>
    <row r="2134" spans="10:10" x14ac:dyDescent="0.3">
      <c r="J2134" s="9"/>
    </row>
    <row r="2135" spans="10:10" x14ac:dyDescent="0.3">
      <c r="J2135" s="9"/>
    </row>
    <row r="2136" spans="10:10" x14ac:dyDescent="0.3">
      <c r="J2136" s="9"/>
    </row>
    <row r="2137" spans="10:10" x14ac:dyDescent="0.3">
      <c r="J2137" s="9"/>
    </row>
    <row r="2138" spans="10:10" x14ac:dyDescent="0.3">
      <c r="J2138" s="9"/>
    </row>
    <row r="2139" spans="10:10" x14ac:dyDescent="0.3">
      <c r="J2139" s="9"/>
    </row>
    <row r="2140" spans="10:10" x14ac:dyDescent="0.3">
      <c r="J2140" s="9"/>
    </row>
    <row r="2141" spans="10:10" x14ac:dyDescent="0.3">
      <c r="J2141" s="9"/>
    </row>
    <row r="2142" spans="10:10" x14ac:dyDescent="0.3">
      <c r="J2142" s="9"/>
    </row>
    <row r="2143" spans="10:10" x14ac:dyDescent="0.3">
      <c r="J2143" s="9"/>
    </row>
    <row r="2144" spans="10:10" x14ac:dyDescent="0.3">
      <c r="J2144" s="9"/>
    </row>
    <row r="2145" spans="10:10" x14ac:dyDescent="0.3">
      <c r="J2145" s="9"/>
    </row>
    <row r="2146" spans="10:10" x14ac:dyDescent="0.3">
      <c r="J2146" s="9"/>
    </row>
    <row r="2147" spans="10:10" x14ac:dyDescent="0.3">
      <c r="J2147" s="9"/>
    </row>
    <row r="2148" spans="10:10" x14ac:dyDescent="0.3">
      <c r="J2148" s="9"/>
    </row>
    <row r="2149" spans="10:10" x14ac:dyDescent="0.3">
      <c r="J2149" s="9"/>
    </row>
    <row r="2150" spans="10:10" x14ac:dyDescent="0.3">
      <c r="J2150" s="9"/>
    </row>
    <row r="2151" spans="10:10" x14ac:dyDescent="0.3">
      <c r="J2151" s="9"/>
    </row>
    <row r="2152" spans="10:10" x14ac:dyDescent="0.3">
      <c r="J2152" s="9"/>
    </row>
    <row r="2153" spans="10:10" x14ac:dyDescent="0.3">
      <c r="J2153" s="9"/>
    </row>
    <row r="2154" spans="10:10" x14ac:dyDescent="0.3">
      <c r="J2154" s="9"/>
    </row>
    <row r="2155" spans="10:10" x14ac:dyDescent="0.3">
      <c r="J2155" s="9"/>
    </row>
    <row r="2156" spans="10:10" x14ac:dyDescent="0.3">
      <c r="J2156" s="9"/>
    </row>
    <row r="2157" spans="10:10" x14ac:dyDescent="0.3">
      <c r="J2157" s="9"/>
    </row>
    <row r="2158" spans="10:10" x14ac:dyDescent="0.3">
      <c r="J2158" s="9"/>
    </row>
    <row r="2159" spans="10:10" x14ac:dyDescent="0.3">
      <c r="J2159" s="9"/>
    </row>
    <row r="2160" spans="10:10" x14ac:dyDescent="0.3">
      <c r="J2160" s="9"/>
    </row>
    <row r="2161" spans="10:10" x14ac:dyDescent="0.3">
      <c r="J2161" s="9"/>
    </row>
    <row r="2162" spans="10:10" x14ac:dyDescent="0.3">
      <c r="J2162" s="9"/>
    </row>
    <row r="2163" spans="10:10" x14ac:dyDescent="0.3">
      <c r="J2163" s="9"/>
    </row>
    <row r="2164" spans="10:10" x14ac:dyDescent="0.3">
      <c r="J2164" s="9"/>
    </row>
    <row r="2165" spans="10:10" x14ac:dyDescent="0.3">
      <c r="J2165" s="9"/>
    </row>
    <row r="2166" spans="10:10" x14ac:dyDescent="0.3">
      <c r="J2166" s="9"/>
    </row>
    <row r="2167" spans="10:10" x14ac:dyDescent="0.3">
      <c r="J2167" s="9"/>
    </row>
    <row r="2168" spans="10:10" x14ac:dyDescent="0.3">
      <c r="J2168" s="9"/>
    </row>
    <row r="2169" spans="10:10" x14ac:dyDescent="0.3">
      <c r="J2169" s="9"/>
    </row>
    <row r="2170" spans="10:10" x14ac:dyDescent="0.3">
      <c r="J2170" s="9"/>
    </row>
    <row r="2171" spans="10:10" x14ac:dyDescent="0.3">
      <c r="J2171" s="9"/>
    </row>
    <row r="2172" spans="10:10" x14ac:dyDescent="0.3">
      <c r="J2172" s="9"/>
    </row>
    <row r="2173" spans="10:10" x14ac:dyDescent="0.3">
      <c r="J2173" s="9"/>
    </row>
    <row r="2174" spans="10:10" x14ac:dyDescent="0.3">
      <c r="J2174" s="9"/>
    </row>
    <row r="2175" spans="10:10" x14ac:dyDescent="0.3">
      <c r="J2175" s="9"/>
    </row>
    <row r="2176" spans="10:10" x14ac:dyDescent="0.3">
      <c r="J2176" s="9"/>
    </row>
    <row r="2177" spans="10:10" x14ac:dyDescent="0.3">
      <c r="J2177" s="9"/>
    </row>
    <row r="2178" spans="10:10" x14ac:dyDescent="0.3">
      <c r="J2178" s="9"/>
    </row>
    <row r="2179" spans="10:10" x14ac:dyDescent="0.3">
      <c r="J2179" s="9"/>
    </row>
    <row r="2180" spans="10:10" x14ac:dyDescent="0.3">
      <c r="J2180" s="9"/>
    </row>
    <row r="2181" spans="10:10" x14ac:dyDescent="0.3">
      <c r="J2181" s="9"/>
    </row>
    <row r="2182" spans="10:10" x14ac:dyDescent="0.3">
      <c r="J2182" s="9"/>
    </row>
    <row r="2183" spans="10:10" x14ac:dyDescent="0.3">
      <c r="J2183" s="9"/>
    </row>
    <row r="2184" spans="10:10" x14ac:dyDescent="0.3">
      <c r="J2184" s="9"/>
    </row>
    <row r="2185" spans="10:10" x14ac:dyDescent="0.3">
      <c r="J2185" s="9"/>
    </row>
    <row r="2186" spans="10:10" x14ac:dyDescent="0.3">
      <c r="J2186" s="9"/>
    </row>
    <row r="2187" spans="10:10" x14ac:dyDescent="0.3">
      <c r="J2187" s="9"/>
    </row>
    <row r="2188" spans="10:10" x14ac:dyDescent="0.3">
      <c r="J2188" s="9"/>
    </row>
    <row r="2189" spans="10:10" x14ac:dyDescent="0.3">
      <c r="J2189" s="9"/>
    </row>
    <row r="2190" spans="10:10" x14ac:dyDescent="0.3">
      <c r="J2190" s="9"/>
    </row>
    <row r="2191" spans="10:10" x14ac:dyDescent="0.3">
      <c r="J2191" s="9"/>
    </row>
    <row r="2192" spans="10:10" x14ac:dyDescent="0.3">
      <c r="J2192" s="9"/>
    </row>
    <row r="2193" spans="10:10" x14ac:dyDescent="0.3">
      <c r="J2193" s="9"/>
    </row>
    <row r="2194" spans="10:10" x14ac:dyDescent="0.3">
      <c r="J2194" s="9"/>
    </row>
    <row r="2195" spans="10:10" x14ac:dyDescent="0.3">
      <c r="J2195" s="9"/>
    </row>
    <row r="2196" spans="10:10" x14ac:dyDescent="0.3">
      <c r="J2196" s="9"/>
    </row>
    <row r="2197" spans="10:10" x14ac:dyDescent="0.3">
      <c r="J2197" s="9"/>
    </row>
    <row r="2198" spans="10:10" x14ac:dyDescent="0.3">
      <c r="J2198" s="9"/>
    </row>
    <row r="2199" spans="10:10" x14ac:dyDescent="0.3">
      <c r="J2199" s="9"/>
    </row>
    <row r="2200" spans="10:10" x14ac:dyDescent="0.3">
      <c r="J2200" s="9"/>
    </row>
    <row r="2201" spans="10:10" x14ac:dyDescent="0.3">
      <c r="J2201" s="9"/>
    </row>
    <row r="2202" spans="10:10" x14ac:dyDescent="0.3">
      <c r="J2202" s="9"/>
    </row>
    <row r="2203" spans="10:10" x14ac:dyDescent="0.3">
      <c r="J2203" s="9"/>
    </row>
    <row r="2204" spans="10:10" x14ac:dyDescent="0.3">
      <c r="J2204" s="9"/>
    </row>
    <row r="2205" spans="10:10" x14ac:dyDescent="0.3">
      <c r="J2205" s="9"/>
    </row>
    <row r="2206" spans="10:10" x14ac:dyDescent="0.3">
      <c r="J2206" s="9"/>
    </row>
    <row r="2207" spans="10:10" x14ac:dyDescent="0.3">
      <c r="J2207" s="9"/>
    </row>
    <row r="2208" spans="10:10" x14ac:dyDescent="0.3">
      <c r="J2208" s="9"/>
    </row>
    <row r="2209" spans="10:10" x14ac:dyDescent="0.3">
      <c r="J2209" s="9"/>
    </row>
    <row r="2210" spans="10:10" x14ac:dyDescent="0.3">
      <c r="J2210" s="9"/>
    </row>
    <row r="2211" spans="10:10" x14ac:dyDescent="0.3">
      <c r="J2211" s="9"/>
    </row>
    <row r="2212" spans="10:10" x14ac:dyDescent="0.3">
      <c r="J2212" s="9"/>
    </row>
    <row r="2213" spans="10:10" x14ac:dyDescent="0.3">
      <c r="J2213" s="9"/>
    </row>
    <row r="2214" spans="10:10" x14ac:dyDescent="0.3">
      <c r="J2214" s="9"/>
    </row>
    <row r="2215" spans="10:10" x14ac:dyDescent="0.3">
      <c r="J2215" s="9"/>
    </row>
    <row r="2216" spans="10:10" x14ac:dyDescent="0.3">
      <c r="J2216" s="9"/>
    </row>
    <row r="2217" spans="10:10" x14ac:dyDescent="0.3">
      <c r="J2217" s="9"/>
    </row>
    <row r="2218" spans="10:10" x14ac:dyDescent="0.3">
      <c r="J2218" s="9"/>
    </row>
    <row r="2219" spans="10:10" x14ac:dyDescent="0.3">
      <c r="J2219" s="9"/>
    </row>
    <row r="2220" spans="10:10" x14ac:dyDescent="0.3">
      <c r="J2220" s="9"/>
    </row>
    <row r="2221" spans="10:10" x14ac:dyDescent="0.3">
      <c r="J2221" s="9"/>
    </row>
    <row r="2222" spans="10:10" x14ac:dyDescent="0.3">
      <c r="J2222" s="9"/>
    </row>
    <row r="2223" spans="10:10" x14ac:dyDescent="0.3">
      <c r="J2223" s="9"/>
    </row>
    <row r="2224" spans="10:10" x14ac:dyDescent="0.3">
      <c r="J2224" s="9"/>
    </row>
    <row r="2225" spans="6:10" x14ac:dyDescent="0.3">
      <c r="J2225" s="9"/>
    </row>
    <row r="2226" spans="6:10" x14ac:dyDescent="0.3">
      <c r="J2226" s="9"/>
    </row>
    <row r="2227" spans="6:10" x14ac:dyDescent="0.3">
      <c r="J2227" s="9"/>
    </row>
    <row r="2228" spans="6:10" x14ac:dyDescent="0.3">
      <c r="J2228" s="9"/>
    </row>
    <row r="2229" spans="6:10" x14ac:dyDescent="0.3">
      <c r="J2229" s="9"/>
    </row>
    <row r="2230" spans="6:10" x14ac:dyDescent="0.3">
      <c r="F2230" s="5"/>
      <c r="G2230" s="5"/>
      <c r="J2230" s="9"/>
    </row>
    <row r="2231" spans="6:10" x14ac:dyDescent="0.3">
      <c r="F2231" s="5"/>
      <c r="G2231" s="5"/>
      <c r="J2231" s="9"/>
    </row>
    <row r="2232" spans="6:10" x14ac:dyDescent="0.3">
      <c r="F2232" s="5"/>
      <c r="G2232" s="5"/>
      <c r="J2232" s="9"/>
    </row>
    <row r="2233" spans="6:10" x14ac:dyDescent="0.3">
      <c r="F2233" s="5"/>
      <c r="G2233" s="5"/>
      <c r="J2233" s="9"/>
    </row>
    <row r="2234" spans="6:10" x14ac:dyDescent="0.3">
      <c r="G2234" s="5"/>
      <c r="J2234" s="9"/>
    </row>
    <row r="2235" spans="6:10" x14ac:dyDescent="0.3">
      <c r="G2235" s="5"/>
      <c r="J2235" s="9"/>
    </row>
    <row r="2236" spans="6:10" x14ac:dyDescent="0.3">
      <c r="G2236" s="5"/>
      <c r="J2236" s="9"/>
    </row>
    <row r="2237" spans="6:10" x14ac:dyDescent="0.3">
      <c r="J2237" s="9"/>
    </row>
    <row r="2238" spans="6:10" x14ac:dyDescent="0.3">
      <c r="J2238" s="9"/>
    </row>
    <row r="2239" spans="6:10" x14ac:dyDescent="0.3">
      <c r="J2239" s="9"/>
    </row>
    <row r="2240" spans="6:10" x14ac:dyDescent="0.3">
      <c r="J2240" s="9"/>
    </row>
    <row r="2241" spans="10:10" x14ac:dyDescent="0.3">
      <c r="J2241" s="9"/>
    </row>
    <row r="2242" spans="10:10" x14ac:dyDescent="0.3">
      <c r="J2242" s="9"/>
    </row>
    <row r="2243" spans="10:10" x14ac:dyDescent="0.3">
      <c r="J2243" s="9"/>
    </row>
    <row r="2244" spans="10:10" x14ac:dyDescent="0.3">
      <c r="J2244" s="9"/>
    </row>
    <row r="2245" spans="10:10" x14ac:dyDescent="0.3">
      <c r="J2245" s="9"/>
    </row>
    <row r="2246" spans="10:10" x14ac:dyDescent="0.3">
      <c r="J2246" s="9"/>
    </row>
    <row r="2247" spans="10:10" x14ac:dyDescent="0.3">
      <c r="J2247" s="9"/>
    </row>
    <row r="2248" spans="10:10" x14ac:dyDescent="0.3">
      <c r="J2248" s="9"/>
    </row>
    <row r="2249" spans="10:10" x14ac:dyDescent="0.3">
      <c r="J2249" s="9"/>
    </row>
    <row r="2250" spans="10:10" x14ac:dyDescent="0.3">
      <c r="J2250" s="9"/>
    </row>
    <row r="2251" spans="10:10" x14ac:dyDescent="0.3">
      <c r="J2251" s="9"/>
    </row>
    <row r="2252" spans="10:10" x14ac:dyDescent="0.3">
      <c r="J2252" s="9"/>
    </row>
    <row r="2253" spans="10:10" x14ac:dyDescent="0.3">
      <c r="J2253" s="9"/>
    </row>
    <row r="2254" spans="10:10" x14ac:dyDescent="0.3">
      <c r="J2254" s="9"/>
    </row>
    <row r="2255" spans="10:10" x14ac:dyDescent="0.3">
      <c r="J2255" s="9"/>
    </row>
    <row r="2256" spans="10:10" x14ac:dyDescent="0.3">
      <c r="J2256" s="9"/>
    </row>
    <row r="2257" spans="10:10" x14ac:dyDescent="0.3">
      <c r="J2257" s="9"/>
    </row>
    <row r="2258" spans="10:10" x14ac:dyDescent="0.3">
      <c r="J2258" s="9"/>
    </row>
    <row r="2259" spans="10:10" x14ac:dyDescent="0.3">
      <c r="J2259" s="9"/>
    </row>
    <row r="2260" spans="10:10" x14ac:dyDescent="0.3">
      <c r="J2260" s="9"/>
    </row>
    <row r="2261" spans="10:10" x14ac:dyDescent="0.3">
      <c r="J2261" s="9"/>
    </row>
    <row r="2262" spans="10:10" x14ac:dyDescent="0.3">
      <c r="J2262" s="9"/>
    </row>
    <row r="2263" spans="10:10" x14ac:dyDescent="0.3">
      <c r="J2263" s="9"/>
    </row>
    <row r="2264" spans="10:10" x14ac:dyDescent="0.3">
      <c r="J2264" s="9"/>
    </row>
    <row r="2265" spans="10:10" x14ac:dyDescent="0.3">
      <c r="J2265" s="9"/>
    </row>
    <row r="2266" spans="10:10" x14ac:dyDescent="0.3">
      <c r="J2266" s="9"/>
    </row>
    <row r="2267" spans="10:10" x14ac:dyDescent="0.3">
      <c r="J2267" s="9"/>
    </row>
    <row r="2268" spans="10:10" x14ac:dyDescent="0.3">
      <c r="J2268" s="9"/>
    </row>
    <row r="2269" spans="10:10" x14ac:dyDescent="0.3">
      <c r="J2269" s="9"/>
    </row>
    <row r="2270" spans="10:10" x14ac:dyDescent="0.3">
      <c r="J2270" s="9"/>
    </row>
    <row r="2271" spans="10:10" x14ac:dyDescent="0.3">
      <c r="J2271" s="9"/>
    </row>
    <row r="2272" spans="10:10" x14ac:dyDescent="0.3">
      <c r="J2272" s="9"/>
    </row>
    <row r="2273" spans="10:10" x14ac:dyDescent="0.3">
      <c r="J2273" s="9"/>
    </row>
    <row r="2274" spans="10:10" x14ac:dyDescent="0.3">
      <c r="J2274" s="9"/>
    </row>
    <row r="2275" spans="10:10" x14ac:dyDescent="0.3">
      <c r="J2275" s="9"/>
    </row>
    <row r="2276" spans="10:10" x14ac:dyDescent="0.3">
      <c r="J2276" s="9"/>
    </row>
    <row r="2277" spans="10:10" x14ac:dyDescent="0.3">
      <c r="J2277" s="9"/>
    </row>
    <row r="2278" spans="10:10" x14ac:dyDescent="0.3">
      <c r="J2278" s="9"/>
    </row>
    <row r="2279" spans="10:10" x14ac:dyDescent="0.3">
      <c r="J2279" s="9"/>
    </row>
    <row r="2280" spans="10:10" x14ac:dyDescent="0.3">
      <c r="J2280" s="9"/>
    </row>
    <row r="2281" spans="10:10" x14ac:dyDescent="0.3">
      <c r="J2281" s="9"/>
    </row>
    <row r="2282" spans="10:10" x14ac:dyDescent="0.3">
      <c r="J2282" s="9"/>
    </row>
    <row r="2283" spans="10:10" x14ac:dyDescent="0.3">
      <c r="J2283" s="9"/>
    </row>
    <row r="2284" spans="10:10" x14ac:dyDescent="0.3">
      <c r="J2284" s="9"/>
    </row>
    <row r="2285" spans="10:10" x14ac:dyDescent="0.3">
      <c r="J2285" s="9"/>
    </row>
    <row r="2286" spans="10:10" x14ac:dyDescent="0.3">
      <c r="J2286" s="9"/>
    </row>
    <row r="2287" spans="10:10" x14ac:dyDescent="0.3">
      <c r="J2287" s="9"/>
    </row>
    <row r="2288" spans="10:10" x14ac:dyDescent="0.3">
      <c r="J2288" s="9"/>
    </row>
    <row r="2289" spans="10:10" x14ac:dyDescent="0.3">
      <c r="J2289" s="9"/>
    </row>
    <row r="2290" spans="10:10" x14ac:dyDescent="0.3">
      <c r="J2290" s="9"/>
    </row>
    <row r="2291" spans="10:10" x14ac:dyDescent="0.3">
      <c r="J2291" s="9"/>
    </row>
    <row r="2292" spans="10:10" x14ac:dyDescent="0.3">
      <c r="J2292" s="9"/>
    </row>
    <row r="2293" spans="10:10" x14ac:dyDescent="0.3">
      <c r="J2293" s="9"/>
    </row>
    <row r="2294" spans="10:10" x14ac:dyDescent="0.3">
      <c r="J2294" s="9"/>
    </row>
    <row r="2295" spans="10:10" x14ac:dyDescent="0.3">
      <c r="J2295" s="9"/>
    </row>
    <row r="2296" spans="10:10" x14ac:dyDescent="0.3">
      <c r="J2296" s="9"/>
    </row>
    <row r="2297" spans="10:10" x14ac:dyDescent="0.3">
      <c r="J2297" s="9"/>
    </row>
    <row r="2298" spans="10:10" x14ac:dyDescent="0.3">
      <c r="J2298" s="9"/>
    </row>
    <row r="2299" spans="10:10" x14ac:dyDescent="0.3">
      <c r="J2299" s="9"/>
    </row>
    <row r="2300" spans="10:10" x14ac:dyDescent="0.3">
      <c r="J2300" s="9"/>
    </row>
    <row r="2301" spans="10:10" x14ac:dyDescent="0.3">
      <c r="J2301" s="9"/>
    </row>
    <row r="2302" spans="10:10" x14ac:dyDescent="0.3">
      <c r="J2302" s="9"/>
    </row>
    <row r="2303" spans="10:10" x14ac:dyDescent="0.3">
      <c r="J2303" s="9"/>
    </row>
    <row r="2304" spans="10:10" x14ac:dyDescent="0.3">
      <c r="J2304" s="9"/>
    </row>
    <row r="2305" spans="10:10" x14ac:dyDescent="0.3">
      <c r="J2305" s="9"/>
    </row>
    <row r="2306" spans="10:10" x14ac:dyDescent="0.3">
      <c r="J2306" s="9"/>
    </row>
    <row r="2307" spans="10:10" x14ac:dyDescent="0.3">
      <c r="J2307" s="9"/>
    </row>
    <row r="2308" spans="10:10" x14ac:dyDescent="0.3">
      <c r="J2308" s="9"/>
    </row>
    <row r="2309" spans="10:10" x14ac:dyDescent="0.3">
      <c r="J2309" s="9"/>
    </row>
    <row r="2310" spans="10:10" x14ac:dyDescent="0.3">
      <c r="J2310" s="9"/>
    </row>
    <row r="2311" spans="10:10" x14ac:dyDescent="0.3">
      <c r="J2311" s="9"/>
    </row>
    <row r="2312" spans="10:10" x14ac:dyDescent="0.3">
      <c r="J2312" s="9"/>
    </row>
    <row r="2313" spans="10:10" x14ac:dyDescent="0.3">
      <c r="J2313" s="9"/>
    </row>
    <row r="2314" spans="10:10" x14ac:dyDescent="0.3">
      <c r="J2314" s="9"/>
    </row>
    <row r="2315" spans="10:10" x14ac:dyDescent="0.3">
      <c r="J2315" s="9"/>
    </row>
    <row r="2316" spans="10:10" x14ac:dyDescent="0.3">
      <c r="J2316" s="9"/>
    </row>
    <row r="2317" spans="10:10" x14ac:dyDescent="0.3">
      <c r="J2317" s="9"/>
    </row>
    <row r="2318" spans="10:10" x14ac:dyDescent="0.3">
      <c r="J2318" s="9"/>
    </row>
    <row r="2319" spans="10:10" x14ac:dyDescent="0.3">
      <c r="J2319" s="9"/>
    </row>
    <row r="2320" spans="10:10" x14ac:dyDescent="0.3">
      <c r="J2320" s="9"/>
    </row>
    <row r="2321" spans="10:10" x14ac:dyDescent="0.3">
      <c r="J2321" s="9"/>
    </row>
    <row r="2322" spans="10:10" x14ac:dyDescent="0.3">
      <c r="J2322" s="9"/>
    </row>
    <row r="2323" spans="10:10" x14ac:dyDescent="0.3">
      <c r="J2323" s="9"/>
    </row>
    <row r="2324" spans="10:10" x14ac:dyDescent="0.3">
      <c r="J2324" s="9"/>
    </row>
    <row r="2325" spans="10:10" x14ac:dyDescent="0.3">
      <c r="J2325" s="9"/>
    </row>
    <row r="2326" spans="10:10" x14ac:dyDescent="0.3">
      <c r="J2326" s="9"/>
    </row>
    <row r="2327" spans="10:10" x14ac:dyDescent="0.3">
      <c r="J2327" s="9"/>
    </row>
    <row r="2328" spans="10:10" x14ac:dyDescent="0.3">
      <c r="J2328" s="9"/>
    </row>
    <row r="2329" spans="10:10" x14ac:dyDescent="0.3">
      <c r="J2329" s="9"/>
    </row>
    <row r="2330" spans="10:10" x14ac:dyDescent="0.3">
      <c r="J2330" s="9"/>
    </row>
    <row r="2331" spans="10:10" x14ac:dyDescent="0.3">
      <c r="J2331" s="9"/>
    </row>
    <row r="2332" spans="10:10" x14ac:dyDescent="0.3">
      <c r="J2332" s="9"/>
    </row>
    <row r="2333" spans="10:10" x14ac:dyDescent="0.3">
      <c r="J2333" s="9"/>
    </row>
    <row r="2334" spans="10:10" x14ac:dyDescent="0.3">
      <c r="J2334" s="9"/>
    </row>
    <row r="2335" spans="10:10" x14ac:dyDescent="0.3">
      <c r="J2335" s="9"/>
    </row>
    <row r="2336" spans="10:10" x14ac:dyDescent="0.3">
      <c r="J2336" s="9"/>
    </row>
    <row r="2337" spans="10:10" x14ac:dyDescent="0.3">
      <c r="J2337" s="9"/>
    </row>
    <row r="2338" spans="10:10" x14ac:dyDescent="0.3">
      <c r="J2338" s="9"/>
    </row>
    <row r="2339" spans="10:10" x14ac:dyDescent="0.3">
      <c r="J2339" s="9"/>
    </row>
    <row r="2340" spans="10:10" x14ac:dyDescent="0.3">
      <c r="J2340" s="9"/>
    </row>
    <row r="2341" spans="10:10" x14ac:dyDescent="0.3">
      <c r="J2341" s="9"/>
    </row>
    <row r="2342" spans="10:10" x14ac:dyDescent="0.3">
      <c r="J2342" s="9"/>
    </row>
    <row r="2343" spans="10:10" x14ac:dyDescent="0.3">
      <c r="J2343" s="9"/>
    </row>
    <row r="2344" spans="10:10" x14ac:dyDescent="0.3">
      <c r="J2344" s="9"/>
    </row>
    <row r="2345" spans="10:10" x14ac:dyDescent="0.3">
      <c r="J2345" s="9"/>
    </row>
    <row r="2346" spans="10:10" x14ac:dyDescent="0.3">
      <c r="J2346" s="9"/>
    </row>
    <row r="2347" spans="10:10" x14ac:dyDescent="0.3">
      <c r="J2347" s="9"/>
    </row>
    <row r="2348" spans="10:10" x14ac:dyDescent="0.3">
      <c r="J2348" s="9"/>
    </row>
    <row r="2349" spans="10:10" x14ac:dyDescent="0.3">
      <c r="J2349" s="9"/>
    </row>
    <row r="2350" spans="10:10" x14ac:dyDescent="0.3">
      <c r="J2350" s="9"/>
    </row>
    <row r="2351" spans="10:10" x14ac:dyDescent="0.3">
      <c r="J2351" s="9"/>
    </row>
    <row r="2352" spans="10:10" x14ac:dyDescent="0.3">
      <c r="J2352" s="9"/>
    </row>
    <row r="2353" spans="10:10" x14ac:dyDescent="0.3">
      <c r="J2353" s="9"/>
    </row>
    <row r="2354" spans="10:10" x14ac:dyDescent="0.3">
      <c r="J2354" s="9"/>
    </row>
    <row r="2355" spans="10:10" x14ac:dyDescent="0.3">
      <c r="J2355" s="9"/>
    </row>
    <row r="2356" spans="10:10" x14ac:dyDescent="0.3">
      <c r="J2356" s="9"/>
    </row>
    <row r="2357" spans="10:10" x14ac:dyDescent="0.3">
      <c r="J2357" s="9"/>
    </row>
    <row r="2358" spans="10:10" x14ac:dyDescent="0.3">
      <c r="J2358" s="9"/>
    </row>
    <row r="2359" spans="10:10" x14ac:dyDescent="0.3">
      <c r="J2359" s="9"/>
    </row>
    <row r="2360" spans="10:10" x14ac:dyDescent="0.3">
      <c r="J2360" s="9"/>
    </row>
    <row r="2361" spans="10:10" x14ac:dyDescent="0.3">
      <c r="J2361" s="9"/>
    </row>
    <row r="2362" spans="10:10" x14ac:dyDescent="0.3">
      <c r="J2362" s="9"/>
    </row>
    <row r="2363" spans="10:10" x14ac:dyDescent="0.3">
      <c r="J2363" s="9"/>
    </row>
    <row r="2364" spans="10:10" x14ac:dyDescent="0.3">
      <c r="J2364" s="9"/>
    </row>
    <row r="2365" spans="10:10" x14ac:dyDescent="0.3">
      <c r="J2365" s="9"/>
    </row>
    <row r="2366" spans="10:10" x14ac:dyDescent="0.3">
      <c r="J2366" s="9"/>
    </row>
    <row r="2367" spans="10:10" x14ac:dyDescent="0.3">
      <c r="J2367" s="9"/>
    </row>
    <row r="2368" spans="10:10" x14ac:dyDescent="0.3">
      <c r="J2368" s="9"/>
    </row>
    <row r="2369" spans="10:10" x14ac:dyDescent="0.3">
      <c r="J2369" s="9"/>
    </row>
    <row r="2370" spans="10:10" x14ac:dyDescent="0.3">
      <c r="J2370" s="9"/>
    </row>
    <row r="2371" spans="10:10" x14ac:dyDescent="0.3">
      <c r="J2371" s="9"/>
    </row>
    <row r="2372" spans="10:10" x14ac:dyDescent="0.3">
      <c r="J2372" s="9"/>
    </row>
    <row r="2373" spans="10:10" x14ac:dyDescent="0.3">
      <c r="J2373" s="9"/>
    </row>
    <row r="2374" spans="10:10" x14ac:dyDescent="0.3">
      <c r="J2374" s="9"/>
    </row>
    <row r="2375" spans="10:10" x14ac:dyDescent="0.3">
      <c r="J2375" s="9"/>
    </row>
    <row r="2376" spans="10:10" x14ac:dyDescent="0.3">
      <c r="J2376" s="9"/>
    </row>
    <row r="2377" spans="10:10" x14ac:dyDescent="0.3">
      <c r="J2377" s="9"/>
    </row>
    <row r="2378" spans="10:10" x14ac:dyDescent="0.3">
      <c r="J2378" s="9"/>
    </row>
    <row r="2379" spans="10:10" x14ac:dyDescent="0.3">
      <c r="J2379" s="9"/>
    </row>
    <row r="2380" spans="10:10" x14ac:dyDescent="0.3">
      <c r="J2380" s="9"/>
    </row>
    <row r="2381" spans="10:10" x14ac:dyDescent="0.3">
      <c r="J2381" s="9"/>
    </row>
    <row r="2382" spans="10:10" x14ac:dyDescent="0.3">
      <c r="J2382" s="9"/>
    </row>
    <row r="2383" spans="10:10" x14ac:dyDescent="0.3">
      <c r="J2383" s="9"/>
    </row>
    <row r="2384" spans="10:10" x14ac:dyDescent="0.3">
      <c r="J2384" s="9"/>
    </row>
    <row r="2385" spans="10:10" x14ac:dyDescent="0.3">
      <c r="J2385" s="9"/>
    </row>
    <row r="2386" spans="10:10" x14ac:dyDescent="0.3">
      <c r="J2386" s="9"/>
    </row>
    <row r="2387" spans="10:10" x14ac:dyDescent="0.3">
      <c r="J2387" s="9"/>
    </row>
    <row r="2388" spans="10:10" x14ac:dyDescent="0.3">
      <c r="J2388" s="9"/>
    </row>
    <row r="2389" spans="10:10" x14ac:dyDescent="0.3">
      <c r="J2389" s="9"/>
    </row>
    <row r="2390" spans="10:10" x14ac:dyDescent="0.3">
      <c r="J2390" s="9"/>
    </row>
    <row r="2391" spans="10:10" x14ac:dyDescent="0.3">
      <c r="J2391" s="9"/>
    </row>
    <row r="2392" spans="10:10" x14ac:dyDescent="0.3">
      <c r="J2392" s="9"/>
    </row>
    <row r="2393" spans="10:10" x14ac:dyDescent="0.3">
      <c r="J2393" s="9"/>
    </row>
    <row r="2394" spans="10:10" x14ac:dyDescent="0.3">
      <c r="J2394" s="9"/>
    </row>
    <row r="2395" spans="10:10" x14ac:dyDescent="0.3">
      <c r="J2395" s="9"/>
    </row>
    <row r="2396" spans="10:10" x14ac:dyDescent="0.3">
      <c r="J2396" s="9"/>
    </row>
    <row r="2397" spans="10:10" x14ac:dyDescent="0.3">
      <c r="J2397" s="9"/>
    </row>
    <row r="2398" spans="10:10" x14ac:dyDescent="0.3">
      <c r="J2398" s="9"/>
    </row>
    <row r="2399" spans="10:10" x14ac:dyDescent="0.3">
      <c r="J2399" s="9"/>
    </row>
    <row r="2400" spans="10:10" x14ac:dyDescent="0.3">
      <c r="J2400" s="9"/>
    </row>
    <row r="2401" spans="10:10" x14ac:dyDescent="0.3">
      <c r="J2401" s="9"/>
    </row>
    <row r="2402" spans="10:10" x14ac:dyDescent="0.3">
      <c r="J2402" s="9"/>
    </row>
    <row r="2403" spans="10:10" x14ac:dyDescent="0.3">
      <c r="J2403" s="9"/>
    </row>
    <row r="2404" spans="10:10" x14ac:dyDescent="0.3">
      <c r="J2404" s="9"/>
    </row>
    <row r="2405" spans="10:10" x14ac:dyDescent="0.3">
      <c r="J2405" s="9"/>
    </row>
    <row r="2406" spans="10:10" x14ac:dyDescent="0.3">
      <c r="J2406" s="9"/>
    </row>
    <row r="2407" spans="10:10" x14ac:dyDescent="0.3">
      <c r="J2407" s="9"/>
    </row>
    <row r="2408" spans="10:10" x14ac:dyDescent="0.3">
      <c r="J2408" s="9"/>
    </row>
    <row r="2409" spans="10:10" x14ac:dyDescent="0.3">
      <c r="J2409" s="9"/>
    </row>
    <row r="2410" spans="10:10" x14ac:dyDescent="0.3">
      <c r="J2410" s="9"/>
    </row>
    <row r="2411" spans="10:10" x14ac:dyDescent="0.3">
      <c r="J2411" s="9"/>
    </row>
    <row r="2412" spans="10:10" x14ac:dyDescent="0.3">
      <c r="J2412" s="9"/>
    </row>
    <row r="2413" spans="10:10" x14ac:dyDescent="0.3">
      <c r="J2413" s="9"/>
    </row>
    <row r="2414" spans="10:10" x14ac:dyDescent="0.3">
      <c r="J2414" s="9"/>
    </row>
    <row r="2415" spans="10:10" x14ac:dyDescent="0.3">
      <c r="J2415" s="9"/>
    </row>
    <row r="2416" spans="10:10" x14ac:dyDescent="0.3">
      <c r="J2416" s="9"/>
    </row>
    <row r="2417" spans="10:10" x14ac:dyDescent="0.3">
      <c r="J2417" s="9"/>
    </row>
    <row r="2418" spans="10:10" x14ac:dyDescent="0.3">
      <c r="J2418" s="9"/>
    </row>
    <row r="2419" spans="10:10" x14ac:dyDescent="0.3">
      <c r="J2419" s="9"/>
    </row>
    <row r="2420" spans="10:10" x14ac:dyDescent="0.3">
      <c r="J2420" s="9"/>
    </row>
    <row r="2421" spans="10:10" x14ac:dyDescent="0.3">
      <c r="J2421" s="9"/>
    </row>
    <row r="2422" spans="10:10" x14ac:dyDescent="0.3">
      <c r="J2422" s="9"/>
    </row>
    <row r="2423" spans="10:10" x14ac:dyDescent="0.3">
      <c r="J2423" s="9"/>
    </row>
    <row r="2424" spans="10:10" x14ac:dyDescent="0.3">
      <c r="J2424" s="9"/>
    </row>
    <row r="2425" spans="10:10" x14ac:dyDescent="0.3">
      <c r="J2425" s="9"/>
    </row>
    <row r="2426" spans="10:10" x14ac:dyDescent="0.3">
      <c r="J2426" s="9"/>
    </row>
    <row r="2427" spans="10:10" x14ac:dyDescent="0.3">
      <c r="J2427" s="9"/>
    </row>
    <row r="2428" spans="10:10" x14ac:dyDescent="0.3">
      <c r="J2428" s="9"/>
    </row>
    <row r="2429" spans="10:10" x14ac:dyDescent="0.3">
      <c r="J2429" s="9"/>
    </row>
    <row r="2430" spans="10:10" x14ac:dyDescent="0.3">
      <c r="J2430" s="9"/>
    </row>
    <row r="2431" spans="10:10" x14ac:dyDescent="0.3">
      <c r="J2431" s="9"/>
    </row>
    <row r="2432" spans="10:10" x14ac:dyDescent="0.3">
      <c r="J2432" s="9"/>
    </row>
    <row r="2433" spans="10:10" x14ac:dyDescent="0.3">
      <c r="J2433" s="9"/>
    </row>
    <row r="2434" spans="10:10" x14ac:dyDescent="0.3">
      <c r="J2434" s="9"/>
    </row>
    <row r="2435" spans="10:10" x14ac:dyDescent="0.3">
      <c r="J2435" s="9"/>
    </row>
    <row r="2436" spans="10:10" x14ac:dyDescent="0.3">
      <c r="J2436" s="9"/>
    </row>
    <row r="2437" spans="10:10" x14ac:dyDescent="0.3">
      <c r="J2437" s="9"/>
    </row>
    <row r="2438" spans="10:10" x14ac:dyDescent="0.3">
      <c r="J2438" s="9"/>
    </row>
    <row r="2439" spans="10:10" x14ac:dyDescent="0.3">
      <c r="J2439" s="9"/>
    </row>
    <row r="2440" spans="10:10" x14ac:dyDescent="0.3">
      <c r="J2440" s="9"/>
    </row>
    <row r="2441" spans="10:10" x14ac:dyDescent="0.3">
      <c r="J2441" s="9"/>
    </row>
    <row r="2442" spans="10:10" x14ac:dyDescent="0.3">
      <c r="J2442" s="9"/>
    </row>
    <row r="2443" spans="10:10" x14ac:dyDescent="0.3">
      <c r="J2443" s="9"/>
    </row>
    <row r="2444" spans="10:10" x14ac:dyDescent="0.3">
      <c r="J2444" s="9"/>
    </row>
    <row r="2445" spans="10:10" x14ac:dyDescent="0.3">
      <c r="J2445" s="9"/>
    </row>
    <row r="2446" spans="10:10" x14ac:dyDescent="0.3">
      <c r="J2446" s="9"/>
    </row>
    <row r="2447" spans="10:10" x14ac:dyDescent="0.3">
      <c r="J2447" s="9"/>
    </row>
    <row r="2448" spans="10:10" x14ac:dyDescent="0.3">
      <c r="J2448" s="9"/>
    </row>
    <row r="2449" spans="10:10" x14ac:dyDescent="0.3">
      <c r="J2449" s="9"/>
    </row>
    <row r="2450" spans="10:10" x14ac:dyDescent="0.3">
      <c r="J2450" s="9"/>
    </row>
    <row r="2451" spans="10:10" x14ac:dyDescent="0.3">
      <c r="J2451" s="9"/>
    </row>
    <row r="2452" spans="10:10" x14ac:dyDescent="0.3">
      <c r="J2452" s="9"/>
    </row>
    <row r="2453" spans="10:10" x14ac:dyDescent="0.3">
      <c r="J2453" s="9"/>
    </row>
    <row r="2454" spans="10:10" x14ac:dyDescent="0.3">
      <c r="J2454" s="9"/>
    </row>
    <row r="2455" spans="10:10" x14ac:dyDescent="0.3">
      <c r="J2455" s="9"/>
    </row>
    <row r="2456" spans="10:10" x14ac:dyDescent="0.3">
      <c r="J2456" s="9"/>
    </row>
    <row r="2457" spans="10:10" x14ac:dyDescent="0.3">
      <c r="J2457" s="9"/>
    </row>
    <row r="2458" spans="10:10" x14ac:dyDescent="0.3">
      <c r="J2458" s="9"/>
    </row>
    <row r="2459" spans="10:10" x14ac:dyDescent="0.3">
      <c r="J2459" s="9"/>
    </row>
    <row r="2460" spans="10:10" x14ac:dyDescent="0.3">
      <c r="J2460" s="9"/>
    </row>
    <row r="2461" spans="10:10" x14ac:dyDescent="0.3">
      <c r="J2461" s="9"/>
    </row>
    <row r="2462" spans="10:10" x14ac:dyDescent="0.3">
      <c r="J2462" s="9"/>
    </row>
    <row r="2463" spans="10:10" x14ac:dyDescent="0.3">
      <c r="J2463" s="9"/>
    </row>
    <row r="2464" spans="10:10" x14ac:dyDescent="0.3">
      <c r="J2464" s="9"/>
    </row>
    <row r="2465" spans="10:10" x14ac:dyDescent="0.3">
      <c r="J2465" s="9"/>
    </row>
    <row r="2466" spans="10:10" x14ac:dyDescent="0.3">
      <c r="J2466" s="9"/>
    </row>
    <row r="2467" spans="10:10" x14ac:dyDescent="0.3">
      <c r="J2467" s="9"/>
    </row>
    <row r="2468" spans="10:10" x14ac:dyDescent="0.3">
      <c r="J2468" s="9"/>
    </row>
    <row r="2469" spans="10:10" x14ac:dyDescent="0.3">
      <c r="J2469" s="9"/>
    </row>
    <row r="2470" spans="10:10" x14ac:dyDescent="0.3">
      <c r="J2470" s="9"/>
    </row>
    <row r="2471" spans="10:10" x14ac:dyDescent="0.3">
      <c r="J2471" s="9"/>
    </row>
    <row r="2472" spans="10:10" x14ac:dyDescent="0.3">
      <c r="J2472" s="9"/>
    </row>
    <row r="2473" spans="10:10" x14ac:dyDescent="0.3">
      <c r="J2473" s="9"/>
    </row>
    <row r="2474" spans="10:10" x14ac:dyDescent="0.3">
      <c r="J2474" s="9"/>
    </row>
    <row r="2475" spans="10:10" x14ac:dyDescent="0.3">
      <c r="J2475" s="9"/>
    </row>
    <row r="2476" spans="10:10" x14ac:dyDescent="0.3">
      <c r="J2476" s="9"/>
    </row>
    <row r="2477" spans="10:10" x14ac:dyDescent="0.3">
      <c r="J2477" s="9"/>
    </row>
    <row r="2478" spans="10:10" x14ac:dyDescent="0.3">
      <c r="J2478" s="9"/>
    </row>
    <row r="2479" spans="10:10" x14ac:dyDescent="0.3">
      <c r="J2479" s="9"/>
    </row>
    <row r="2480" spans="10:10" x14ac:dyDescent="0.3">
      <c r="J2480" s="9"/>
    </row>
    <row r="2481" spans="10:10" x14ac:dyDescent="0.3">
      <c r="J2481" s="9"/>
    </row>
    <row r="2482" spans="10:10" x14ac:dyDescent="0.3">
      <c r="J2482" s="9"/>
    </row>
    <row r="2483" spans="10:10" x14ac:dyDescent="0.3">
      <c r="J2483" s="9"/>
    </row>
    <row r="2484" spans="10:10" x14ac:dyDescent="0.3">
      <c r="J2484" s="9"/>
    </row>
    <row r="2485" spans="10:10" x14ac:dyDescent="0.3">
      <c r="J2485" s="9"/>
    </row>
    <row r="2486" spans="10:10" x14ac:dyDescent="0.3">
      <c r="J2486" s="9"/>
    </row>
    <row r="2487" spans="10:10" x14ac:dyDescent="0.3">
      <c r="J2487" s="9"/>
    </row>
    <row r="2488" spans="10:10" x14ac:dyDescent="0.3">
      <c r="J2488" s="9"/>
    </row>
    <row r="2489" spans="10:10" x14ac:dyDescent="0.3">
      <c r="J2489" s="9"/>
    </row>
    <row r="2490" spans="10:10" x14ac:dyDescent="0.3">
      <c r="J2490" s="9"/>
    </row>
    <row r="2491" spans="10:10" x14ac:dyDescent="0.3">
      <c r="J2491" s="9"/>
    </row>
    <row r="2492" spans="10:10" x14ac:dyDescent="0.3">
      <c r="J2492" s="9"/>
    </row>
    <row r="2493" spans="10:10" x14ac:dyDescent="0.3">
      <c r="J2493" s="9"/>
    </row>
    <row r="2494" spans="10:10" x14ac:dyDescent="0.3">
      <c r="J2494" s="9"/>
    </row>
    <row r="2495" spans="10:10" x14ac:dyDescent="0.3">
      <c r="J2495" s="9"/>
    </row>
    <row r="2496" spans="10:10" x14ac:dyDescent="0.3">
      <c r="J2496" s="9"/>
    </row>
    <row r="2497" spans="10:10" x14ac:dyDescent="0.3">
      <c r="J2497" s="9"/>
    </row>
    <row r="2498" spans="10:10" x14ac:dyDescent="0.3">
      <c r="J2498" s="9"/>
    </row>
    <row r="2499" spans="10:10" x14ac:dyDescent="0.3">
      <c r="J2499" s="9"/>
    </row>
    <row r="2500" spans="10:10" x14ac:dyDescent="0.3">
      <c r="J2500" s="9"/>
    </row>
    <row r="2501" spans="10:10" x14ac:dyDescent="0.3">
      <c r="J2501" s="9"/>
    </row>
    <row r="2502" spans="10:10" x14ac:dyDescent="0.3">
      <c r="J2502" s="9"/>
    </row>
    <row r="2503" spans="10:10" x14ac:dyDescent="0.3">
      <c r="J2503" s="9"/>
    </row>
    <row r="2504" spans="10:10" x14ac:dyDescent="0.3">
      <c r="J2504" s="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G2502"/>
  <sheetViews>
    <sheetView zoomScale="90" zoomScaleNormal="90" workbookViewId="0">
      <selection activeCell="A2" sqref="A2:A768"/>
    </sheetView>
  </sheetViews>
  <sheetFormatPr baseColWidth="10" defaultRowHeight="14.4" x14ac:dyDescent="0.3"/>
  <cols>
    <col min="1" max="1" width="13.88671875" customWidth="1"/>
    <col min="2" max="2" width="50.6640625" customWidth="1"/>
    <col min="3" max="3" width="37.44140625" customWidth="1"/>
    <col min="4" max="4" width="20.44140625" customWidth="1"/>
    <col min="5" max="5" width="19.44140625" customWidth="1"/>
    <col min="6" max="6" width="23.109375" customWidth="1"/>
    <col min="7" max="7" width="33.21875" customWidth="1"/>
  </cols>
  <sheetData>
    <row r="1" spans="1:7" ht="12" customHeight="1" x14ac:dyDescent="0.3">
      <c r="A1" s="2" t="s">
        <v>0</v>
      </c>
      <c r="B1" s="2" t="s">
        <v>3</v>
      </c>
      <c r="C1" s="2" t="s">
        <v>4</v>
      </c>
      <c r="D1" s="2" t="s">
        <v>8</v>
      </c>
      <c r="E1" s="2" t="s">
        <v>9</v>
      </c>
      <c r="F1" s="2" t="s">
        <v>10</v>
      </c>
      <c r="G1" s="10" t="s">
        <v>44</v>
      </c>
    </row>
    <row r="2" spans="1:7" ht="12" customHeight="1" x14ac:dyDescent="0.3">
      <c r="A2" s="4">
        <v>1000</v>
      </c>
      <c r="B2" s="6" t="str">
        <f>VLOOKUP(TABLA_PRECIOS_LISTBOX[Código],LISTADO_PRODUCTOS[#All],4)</f>
        <v>Cuaderno 29.7 America flex - 7792216854173</v>
      </c>
      <c r="C2" s="6" t="str">
        <f>VLOOKUP(TABLA_PRECIOS_LISTBOX[Código],LISTADO_PRODUCTOS[#All],5)</f>
        <v>N/A</v>
      </c>
      <c r="D2" s="11">
        <f>VLOOKUP(TABLA_PRECIOS_LISTBOX[[#This Row],[Código]],TABLA_PRECIOS[#All],6)</f>
        <v>180</v>
      </c>
      <c r="E2" s="28">
        <f>VLOOKUP(TABLA_PRECIOS_LISTBOX[[#This Row],[Código]],TABLA_PRECIOS[#All],7)</f>
        <v>260</v>
      </c>
      <c r="F2" s="32">
        <f>VLOOKUP(TABLA_PRECIOS_LISTBOX[[#This Row],[Código]],TABLA_PRECIOS[#All],8)</f>
        <v>31</v>
      </c>
      <c r="G2" s="9" t="str">
        <f>VLOOKUP(TABLA_PRECIOS_LISTBOX[[#This Row],[Código]],TABLA_PRECIOS[#All],10)</f>
        <v>18/07/2023</v>
      </c>
    </row>
    <row r="3" spans="1:7" ht="12" customHeight="1" x14ac:dyDescent="0.3">
      <c r="A3" s="4">
        <v>1001</v>
      </c>
      <c r="B3" s="6" t="str">
        <f>VLOOKUP(TABLA_PRECIOS_LISTBOX[Código],LISTADO_PRODUCTOS[#All],4)</f>
        <v>Cuaderno Rivadavia escolar 194h 88g</v>
      </c>
      <c r="C3" s="6" t="str">
        <f>VLOOKUP(TABLA_PRECIOS_LISTBOX[Código],LISTADO_PRODUCTOS[#All],5)</f>
        <v>N/A</v>
      </c>
      <c r="D3" s="13">
        <f>VLOOKUP(TABLA_PRECIOS_LISTBOX[[#This Row],[Código]],TABLA_PRECIOS[#All],6)</f>
        <v>230</v>
      </c>
      <c r="E3" s="28">
        <f>VLOOKUP(TABLA_PRECIOS_LISTBOX[[#This Row],[Código]],TABLA_PRECIOS[#All],7)</f>
        <v>288</v>
      </c>
      <c r="F3" s="32">
        <f>VLOOKUP(TABLA_PRECIOS_LISTBOX[[#This Row],[Código]],TABLA_PRECIOS[#All],8)</f>
        <v>20</v>
      </c>
      <c r="G3" s="9" t="str">
        <f>VLOOKUP(TABLA_PRECIOS_LISTBOX[[#This Row],[Código]],TABLA_PRECIOS[#All],10)</f>
        <v>17/07/2023</v>
      </c>
    </row>
    <row r="4" spans="1:7" ht="12" customHeight="1" x14ac:dyDescent="0.3">
      <c r="A4" s="4">
        <v>1002</v>
      </c>
      <c r="B4" s="6" t="str">
        <f>VLOOKUP(TABLA_PRECIOS_LISTBOX[Código],LISTADO_PRODUCTOS[#All],4)</f>
        <v>Cuaderno 29.7 America Nos/Avon 80h</v>
      </c>
      <c r="C4" s="6" t="str">
        <f>VLOOKUP(TABLA_PRECIOS_LISTBOX[Código],LISTADO_PRODUCTOS[#All],5)</f>
        <v>N/A</v>
      </c>
      <c r="D4" s="13">
        <f>VLOOKUP(TABLA_PRECIOS_LISTBOX[[#This Row],[Código]],TABLA_PRECIOS[#All],6)</f>
        <v>215</v>
      </c>
      <c r="E4" s="28">
        <f>VLOOKUP(TABLA_PRECIOS_LISTBOX[[#This Row],[Código]],TABLA_PRECIOS[#All],7)</f>
        <v>500</v>
      </c>
      <c r="F4" s="32">
        <f>VLOOKUP(TABLA_PRECIOS_LISTBOX[[#This Row],[Código]],TABLA_PRECIOS[#All],8)</f>
        <v>57</v>
      </c>
      <c r="G4" s="9" t="str">
        <f>VLOOKUP(TABLA_PRECIOS_LISTBOX[[#This Row],[Código]],TABLA_PRECIOS[#All],10)</f>
        <v>18/07/2023</v>
      </c>
    </row>
    <row r="5" spans="1:7" ht="12" customHeight="1" x14ac:dyDescent="0.3">
      <c r="A5" s="4">
        <v>1004</v>
      </c>
      <c r="B5" s="6" t="str">
        <f>VLOOKUP(TABLA_PRECIOS_LISTBOX[Código],LISTADO_PRODUCTOS[#All],4)</f>
        <v>Resaltador Sharpie x12</v>
      </c>
      <c r="C5" s="6" t="str">
        <f>VLOOKUP(TABLA_PRECIOS_LISTBOX[Código],LISTADO_PRODUCTOS[#All],5)</f>
        <v>N/A</v>
      </c>
      <c r="D5" s="13">
        <f>VLOOKUP(TABLA_PRECIOS_LISTBOX[[#This Row],[Código]],TABLA_PRECIOS[#All],6)</f>
        <v>260</v>
      </c>
      <c r="E5" s="28">
        <f>VLOOKUP(TABLA_PRECIOS_LISTBOX[[#This Row],[Código]],TABLA_PRECIOS[#All],7)</f>
        <v>351</v>
      </c>
      <c r="F5" s="32">
        <f>VLOOKUP(TABLA_PRECIOS_LISTBOX[[#This Row],[Código]],TABLA_PRECIOS[#All],8)</f>
        <v>26</v>
      </c>
      <c r="G5" s="9">
        <f>VLOOKUP(TABLA_PRECIOS_LISTBOX[[#This Row],[Código]],TABLA_PRECIOS[#All],10)</f>
        <v>45113</v>
      </c>
    </row>
    <row r="6" spans="1:7" ht="12" customHeight="1" x14ac:dyDescent="0.3">
      <c r="A6" s="4">
        <v>1007</v>
      </c>
      <c r="B6" s="6" t="str">
        <f>VLOOKUP(TABLA_PRECIOS_LISTBOX[Código],LISTADO_PRODUCTOS[#All],4)</f>
        <v>Cuaderno 16.21 America Nos c/espiral x 84h</v>
      </c>
      <c r="C6" s="6" t="str">
        <f>VLOOKUP(TABLA_PRECIOS_LISTBOX[Código],LISTADO_PRODUCTOS[#All],5)</f>
        <v>N/A</v>
      </c>
      <c r="D6" s="13">
        <f>VLOOKUP(TABLA_PRECIOS_LISTBOX[[#This Row],[Código]],TABLA_PRECIOS[#All],6)</f>
        <v>2986</v>
      </c>
      <c r="E6" s="28">
        <f>VLOOKUP(TABLA_PRECIOS_LISTBOX[[#This Row],[Código]],TABLA_PRECIOS[#All],7)</f>
        <v>4266</v>
      </c>
      <c r="F6" s="32">
        <f>VLOOKUP(TABLA_PRECIOS_LISTBOX[[#This Row],[Código]],TABLA_PRECIOS[#All],8)</f>
        <v>30</v>
      </c>
      <c r="G6" s="9" t="str">
        <f>VLOOKUP(TABLA_PRECIOS_LISTBOX[[#This Row],[Código]],TABLA_PRECIOS[#All],10)</f>
        <v>24/07/2023</v>
      </c>
    </row>
    <row r="7" spans="1:7" ht="12" customHeight="1" x14ac:dyDescent="0.3">
      <c r="A7" s="4">
        <v>1009</v>
      </c>
      <c r="B7" s="6" t="str">
        <f>VLOOKUP(TABLA_PRECIOS_LISTBOX[Código],LISTADO_PRODUCTOS[#All],4)</f>
        <v>Cuaderno E7 Éxito Colegial Tapa c/ motivos 60h</v>
      </c>
      <c r="C7" s="6" t="str">
        <f>VLOOKUP(TABLA_PRECIOS_LISTBOX[Código],LISTADO_PRODUCTOS[#All],5)</f>
        <v>N/A</v>
      </c>
      <c r="D7" s="13">
        <f>VLOOKUP(TABLA_PRECIOS_LISTBOX[[#This Row],[Código]],TABLA_PRECIOS[#All],6)</f>
        <v>200</v>
      </c>
      <c r="E7" s="28">
        <f>VLOOKUP(TABLA_PRECIOS_LISTBOX[[#This Row],[Código]],TABLA_PRECIOS[#All],7)</f>
        <v>600</v>
      </c>
      <c r="F7" s="32">
        <f>VLOOKUP(TABLA_PRECIOS_LISTBOX[[#This Row],[Código]],TABLA_PRECIOS[#All],8)</f>
        <v>67</v>
      </c>
      <c r="G7" s="9" t="str">
        <f>VLOOKUP(TABLA_PRECIOS_LISTBOX[[#This Row],[Código]],TABLA_PRECIOS[#All],10)</f>
        <v>18/07/2023</v>
      </c>
    </row>
    <row r="8" spans="1:7" ht="12" customHeight="1" x14ac:dyDescent="0.3">
      <c r="A8" s="4">
        <v>1010</v>
      </c>
      <c r="B8" s="6" t="str">
        <f>VLOOKUP(TABLA_PRECIOS_LISTBOX[Código],LISTADO_PRODUCTOS[#All],4)</f>
        <v>Cuaderno Colegial Éxito x 60h</v>
      </c>
      <c r="C8" s="6" t="str">
        <f>VLOOKUP(TABLA_PRECIOS_LISTBOX[Código],LISTADO_PRODUCTOS[#All],5)</f>
        <v>N/A</v>
      </c>
      <c r="D8" s="13">
        <f>VLOOKUP(TABLA_PRECIOS_LISTBOX[[#This Row],[Código]],TABLA_PRECIOS[#All],6)</f>
        <v>350</v>
      </c>
      <c r="E8" s="28">
        <f>VLOOKUP(TABLA_PRECIOS_LISTBOX[[#This Row],[Código]],TABLA_PRECIOS[#All],7)</f>
        <v>530</v>
      </c>
      <c r="F8" s="32">
        <f>VLOOKUP(TABLA_PRECIOS_LISTBOX[[#This Row],[Código]],TABLA_PRECIOS[#All],8)</f>
        <v>34</v>
      </c>
      <c r="G8" s="9">
        <f>VLOOKUP(TABLA_PRECIOS_LISTBOX[[#This Row],[Código]],TABLA_PRECIOS[#All],10)</f>
        <v>45113</v>
      </c>
    </row>
    <row r="9" spans="1:7" ht="12" customHeight="1" x14ac:dyDescent="0.3">
      <c r="A9" s="4">
        <v>1011</v>
      </c>
      <c r="B9" s="6" t="str">
        <f>VLOOKUP(TABLA_PRECIOS_LISTBOX[Código],LISTADO_PRODUCTOS[#All],4)</f>
        <v>Cuaderno Colegial Éxito x 100h</v>
      </c>
      <c r="C9" s="6" t="str">
        <f>VLOOKUP(TABLA_PRECIOS_LISTBOX[Código],LISTADO_PRODUCTOS[#All],5)</f>
        <v>N/A</v>
      </c>
      <c r="D9" s="13">
        <f>VLOOKUP(TABLA_PRECIOS_LISTBOX[[#This Row],[Código]],TABLA_PRECIOS[#All],6)</f>
        <v>240</v>
      </c>
      <c r="E9" s="28">
        <f>VLOOKUP(TABLA_PRECIOS_LISTBOX[[#This Row],[Código]],TABLA_PRECIOS[#All],7)</f>
        <v>369</v>
      </c>
      <c r="F9" s="32">
        <f>VLOOKUP(TABLA_PRECIOS_LISTBOX[[#This Row],[Código]],TABLA_PRECIOS[#All],8)</f>
        <v>35</v>
      </c>
      <c r="G9" s="9">
        <f>VLOOKUP(TABLA_PRECIOS_LISTBOX[[#This Row],[Código]],TABLA_PRECIOS[#All],10)</f>
        <v>45113</v>
      </c>
    </row>
    <row r="10" spans="1:7" ht="12" customHeight="1" x14ac:dyDescent="0.3">
      <c r="A10" s="4">
        <v>1012</v>
      </c>
      <c r="B10" s="6" t="str">
        <f>VLOOKUP(TABLA_PRECIOS_LISTBOX[Código],LISTADO_PRODUCTOS[#All],4)</f>
        <v>Cuaderno ABC Rivadavia x 60h</v>
      </c>
      <c r="C10" s="6" t="str">
        <f>VLOOKUP(TABLA_PRECIOS_LISTBOX[Código],LISTADO_PRODUCTOS[#All],5)</f>
        <v>N/A</v>
      </c>
      <c r="D10" s="13">
        <f>VLOOKUP(TABLA_PRECIOS_LISTBOX[[#This Row],[Código]],TABLA_PRECIOS[#All],6)</f>
        <v>195</v>
      </c>
      <c r="E10" s="28">
        <f>VLOOKUP(TABLA_PRECIOS_LISTBOX[[#This Row],[Código]],TABLA_PRECIOS[#All],7)</f>
        <v>279</v>
      </c>
      <c r="F10" s="32">
        <f>VLOOKUP(TABLA_PRECIOS_LISTBOX[[#This Row],[Código]],TABLA_PRECIOS[#All],8)</f>
        <v>30</v>
      </c>
      <c r="G10" s="9">
        <f>VLOOKUP(TABLA_PRECIOS_LISTBOX[[#This Row],[Código]],TABLA_PRECIOS[#All],10)</f>
        <v>45113</v>
      </c>
    </row>
    <row r="11" spans="1:7" ht="12" customHeight="1" x14ac:dyDescent="0.3">
      <c r="A11" s="4">
        <v>1013</v>
      </c>
      <c r="B11" s="6" t="str">
        <f>VLOOKUP(TABLA_PRECIOS_LISTBOX[Código],LISTADO_PRODUCTOS[#All],4)</f>
        <v>Cuaderno ABC Rivadavia x 100h</v>
      </c>
      <c r="C11" s="6" t="str">
        <f>VLOOKUP(TABLA_PRECIOS_LISTBOX[Código],LISTADO_PRODUCTOS[#All],5)</f>
        <v>N/A</v>
      </c>
      <c r="D11" s="13">
        <f>VLOOKUP(TABLA_PRECIOS_LISTBOX[[#This Row],[Código]],TABLA_PRECIOS[#All],6)</f>
        <v>290</v>
      </c>
      <c r="E11" s="28">
        <f>VLOOKUP(TABLA_PRECIOS_LISTBOX[[#This Row],[Código]],TABLA_PRECIOS[#All],7)</f>
        <v>392</v>
      </c>
      <c r="F11" s="32">
        <f>VLOOKUP(TABLA_PRECIOS_LISTBOX[[#This Row],[Código]],TABLA_PRECIOS[#All],8)</f>
        <v>26</v>
      </c>
      <c r="G11" s="9">
        <f>VLOOKUP(TABLA_PRECIOS_LISTBOX[[#This Row],[Código]],TABLA_PRECIOS[#All],10)</f>
        <v>45113</v>
      </c>
    </row>
    <row r="12" spans="1:7" ht="12" customHeight="1" x14ac:dyDescent="0.3">
      <c r="A12" s="4">
        <v>1014</v>
      </c>
      <c r="B12" s="6" t="str">
        <f>VLOOKUP(TABLA_PRECIOS_LISTBOX[Código],LISTADO_PRODUCTOS[#All],4)</f>
        <v>Block A6 Alfa anillado Rayado 80h</v>
      </c>
      <c r="C12" s="6" t="str">
        <f>VLOOKUP(TABLA_PRECIOS_LISTBOX[Código],LISTADO_PRODUCTOS[#All],5)</f>
        <v>N/A</v>
      </c>
      <c r="D12" s="13">
        <f>VLOOKUP(TABLA_PRECIOS_LISTBOX[[#This Row],[Código]],TABLA_PRECIOS[#All],6)</f>
        <v>1</v>
      </c>
      <c r="E12" s="28">
        <f>VLOOKUP(TABLA_PRECIOS_LISTBOX[[#This Row],[Código]],TABLA_PRECIOS[#All],7)</f>
        <v>1</v>
      </c>
      <c r="F12" s="32">
        <f>VLOOKUP(TABLA_PRECIOS_LISTBOX[[#This Row],[Código]],TABLA_PRECIOS[#All],8)</f>
        <v>1</v>
      </c>
      <c r="G12" s="9">
        <f>VLOOKUP(TABLA_PRECIOS_LISTBOX[[#This Row],[Código]],TABLA_PRECIOS[#All],10)</f>
        <v>0</v>
      </c>
    </row>
    <row r="13" spans="1:7" ht="12" customHeight="1" x14ac:dyDescent="0.3">
      <c r="A13" s="4">
        <v>1015</v>
      </c>
      <c r="B13" s="6" t="str">
        <f>VLOOKUP(TABLA_PRECIOS_LISTBOX[Código],LISTADO_PRODUCTOS[#All],4)</f>
        <v xml:space="preserve">Cuaderno 16.21 Avon x 84h Rayadas </v>
      </c>
      <c r="C13" s="6" t="str">
        <f>VLOOKUP(TABLA_PRECIOS_LISTBOX[Código],LISTADO_PRODUCTOS[#All],5)</f>
        <v>N/A</v>
      </c>
      <c r="D13" s="13">
        <f>VLOOKUP(TABLA_PRECIOS_LISTBOX[[#This Row],[Código]],TABLA_PRECIOS[#All],6)</f>
        <v>1</v>
      </c>
      <c r="E13" s="28">
        <f>VLOOKUP(TABLA_PRECIOS_LISTBOX[[#This Row],[Código]],TABLA_PRECIOS[#All],7)</f>
        <v>1</v>
      </c>
      <c r="F13" s="32">
        <f>VLOOKUP(TABLA_PRECIOS_LISTBOX[[#This Row],[Código]],TABLA_PRECIOS[#All],8)</f>
        <v>1</v>
      </c>
      <c r="G13" s="9">
        <f>VLOOKUP(TABLA_PRECIOS_LISTBOX[[#This Row],[Código]],TABLA_PRECIOS[#All],10)</f>
        <v>0</v>
      </c>
    </row>
    <row r="14" spans="1:7" ht="12" customHeight="1" x14ac:dyDescent="0.3">
      <c r="A14" s="4">
        <v>1016</v>
      </c>
      <c r="B14" s="6" t="str">
        <f>VLOOKUP(TABLA_PRECIOS_LISTBOX[Código],LISTADO_PRODUCTOS[#All],4)</f>
        <v>Block A5 anillado Alfa</v>
      </c>
      <c r="C14" s="6" t="str">
        <f>VLOOKUP(TABLA_PRECIOS_LISTBOX[Código],LISTADO_PRODUCTOS[#All],5)</f>
        <v>N/A</v>
      </c>
      <c r="D14" s="13">
        <f>VLOOKUP(TABLA_PRECIOS_LISTBOX[[#This Row],[Código]],TABLA_PRECIOS[#All],6)</f>
        <v>1</v>
      </c>
      <c r="E14" s="28">
        <f>VLOOKUP(TABLA_PRECIOS_LISTBOX[[#This Row],[Código]],TABLA_PRECIOS[#All],7)</f>
        <v>1</v>
      </c>
      <c r="F14" s="32">
        <f>VLOOKUP(TABLA_PRECIOS_LISTBOX[[#This Row],[Código]],TABLA_PRECIOS[#All],8)</f>
        <v>1</v>
      </c>
      <c r="G14" s="9">
        <f>VLOOKUP(TABLA_PRECIOS_LISTBOX[[#This Row],[Código]],TABLA_PRECIOS[#All],10)</f>
        <v>0</v>
      </c>
    </row>
    <row r="15" spans="1:7" ht="12" customHeight="1" x14ac:dyDescent="0.3">
      <c r="A15" s="4">
        <v>1017</v>
      </c>
      <c r="B15" s="6" t="str">
        <f>VLOOKUP(TABLA_PRECIOS_LISTBOX[Código],LISTADO_PRODUCTOS[#All],4)</f>
        <v>Block A4 Alfa anillado</v>
      </c>
      <c r="C15" s="6" t="str">
        <f>VLOOKUP(TABLA_PRECIOS_LISTBOX[Código],LISTADO_PRODUCTOS[#All],5)</f>
        <v>N/A</v>
      </c>
      <c r="D15" s="13">
        <f>VLOOKUP(TABLA_PRECIOS_LISTBOX[[#This Row],[Código]],TABLA_PRECIOS[#All],6)</f>
        <v>1</v>
      </c>
      <c r="E15" s="28">
        <f>VLOOKUP(TABLA_PRECIOS_LISTBOX[[#This Row],[Código]],TABLA_PRECIOS[#All],7)</f>
        <v>1</v>
      </c>
      <c r="F15" s="32">
        <f>VLOOKUP(TABLA_PRECIOS_LISTBOX[[#This Row],[Código]],TABLA_PRECIOS[#All],8)</f>
        <v>1</v>
      </c>
      <c r="G15" s="9">
        <f>VLOOKUP(TABLA_PRECIOS_LISTBOX[[#This Row],[Código]],TABLA_PRECIOS[#All],10)</f>
        <v>0</v>
      </c>
    </row>
    <row r="16" spans="1:7" ht="12" customHeight="1" x14ac:dyDescent="0.3">
      <c r="A16" s="4">
        <v>1018</v>
      </c>
      <c r="B16" s="6" t="str">
        <f>VLOOKUP(TABLA_PRECIOS_LISTBOX[Código],LISTADO_PRODUCTOS[#All],4)</f>
        <v>Block A4 Avon</v>
      </c>
      <c r="C16" s="6" t="str">
        <f>VLOOKUP(TABLA_PRECIOS_LISTBOX[Código],LISTADO_PRODUCTOS[#All],5)</f>
        <v>N/A</v>
      </c>
      <c r="D16" s="13">
        <f>VLOOKUP(TABLA_PRECIOS_LISTBOX[[#This Row],[Código]],TABLA_PRECIOS[#All],6)</f>
        <v>1</v>
      </c>
      <c r="E16" s="28">
        <f>VLOOKUP(TABLA_PRECIOS_LISTBOX[[#This Row],[Código]],TABLA_PRECIOS[#All],7)</f>
        <v>1</v>
      </c>
      <c r="F16" s="32">
        <f>VLOOKUP(TABLA_PRECIOS_LISTBOX[[#This Row],[Código]],TABLA_PRECIOS[#All],8)</f>
        <v>1</v>
      </c>
      <c r="G16" s="9">
        <f>VLOOKUP(TABLA_PRECIOS_LISTBOX[[#This Row],[Código]],TABLA_PRECIOS[#All],10)</f>
        <v>0</v>
      </c>
    </row>
    <row r="17" spans="1:7" ht="12" customHeight="1" x14ac:dyDescent="0.3">
      <c r="A17" s="4">
        <v>1020</v>
      </c>
      <c r="B17" s="6" t="str">
        <f>VLOOKUP(TABLA_PRECIOS_LISTBOX[Código],LISTADO_PRODUCTOS[#All],4)</f>
        <v>Block Oficio Avon</v>
      </c>
      <c r="C17" s="6" t="str">
        <f>VLOOKUP(TABLA_PRECIOS_LISTBOX[Código],LISTADO_PRODUCTOS[#All],5)</f>
        <v>N/A</v>
      </c>
      <c r="D17" s="13">
        <f>VLOOKUP(TABLA_PRECIOS_LISTBOX[[#This Row],[Código]],TABLA_PRECIOS[#All],6)</f>
        <v>1</v>
      </c>
      <c r="E17" s="28">
        <f>VLOOKUP(TABLA_PRECIOS_LISTBOX[[#This Row],[Código]],TABLA_PRECIOS[#All],7)</f>
        <v>1</v>
      </c>
      <c r="F17" s="32">
        <f>VLOOKUP(TABLA_PRECIOS_LISTBOX[[#This Row],[Código]],TABLA_PRECIOS[#All],8)</f>
        <v>1</v>
      </c>
      <c r="G17" s="9">
        <f>VLOOKUP(TABLA_PRECIOS_LISTBOX[[#This Row],[Código]],TABLA_PRECIOS[#All],10)</f>
        <v>0</v>
      </c>
    </row>
    <row r="18" spans="1:7" ht="12" customHeight="1" x14ac:dyDescent="0.3">
      <c r="A18" s="4">
        <v>1021</v>
      </c>
      <c r="B18" s="6" t="str">
        <f>VLOOKUP(TABLA_PRECIOS_LISTBOX[Código],LISTADO_PRODUCTOS[#All],4)</f>
        <v>Tijera para Zurdos Maped</v>
      </c>
      <c r="C18" s="6" t="str">
        <f>VLOOKUP(TABLA_PRECIOS_LISTBOX[Código],LISTADO_PRODUCTOS[#All],5)</f>
        <v>N/A</v>
      </c>
      <c r="D18" s="13">
        <f>VLOOKUP(TABLA_PRECIOS_LISTBOX[[#This Row],[Código]],TABLA_PRECIOS[#All],6)</f>
        <v>1</v>
      </c>
      <c r="E18" s="28">
        <f>VLOOKUP(TABLA_PRECIOS_LISTBOX[[#This Row],[Código]],TABLA_PRECIOS[#All],7)</f>
        <v>1</v>
      </c>
      <c r="F18" s="32">
        <f>VLOOKUP(TABLA_PRECIOS_LISTBOX[[#This Row],[Código]],TABLA_PRECIOS[#All],8)</f>
        <v>1</v>
      </c>
      <c r="G18" s="9">
        <f>VLOOKUP(TABLA_PRECIOS_LISTBOX[[#This Row],[Código]],TABLA_PRECIOS[#All],10)</f>
        <v>0</v>
      </c>
    </row>
    <row r="19" spans="1:7" ht="12" customHeight="1" x14ac:dyDescent="0.3">
      <c r="A19" s="4">
        <v>1023</v>
      </c>
      <c r="B19" s="6" t="str">
        <f>VLOOKUP(TABLA_PRECIOS_LISTBOX[Código],LISTADO_PRODUCTOS[#All],4)</f>
        <v>Cuaderno Éxito Nº3 x 48h Forrado</v>
      </c>
      <c r="C19" s="6" t="str">
        <f>VLOOKUP(TABLA_PRECIOS_LISTBOX[Código],LISTADO_PRODUCTOS[#All],5)</f>
        <v>N/A</v>
      </c>
      <c r="D19" s="13">
        <f>VLOOKUP(TABLA_PRECIOS_LISTBOX[[#This Row],[Código]],TABLA_PRECIOS[#All],6)</f>
        <v>1</v>
      </c>
      <c r="E19" s="28">
        <f>VLOOKUP(TABLA_PRECIOS_LISTBOX[[#This Row],[Código]],TABLA_PRECIOS[#All],7)</f>
        <v>1</v>
      </c>
      <c r="F19" s="32">
        <f>VLOOKUP(TABLA_PRECIOS_LISTBOX[[#This Row],[Código]],TABLA_PRECIOS[#All],8)</f>
        <v>1</v>
      </c>
      <c r="G19" s="9">
        <f>VLOOKUP(TABLA_PRECIOS_LISTBOX[[#This Row],[Código]],TABLA_PRECIOS[#All],10)</f>
        <v>0</v>
      </c>
    </row>
    <row r="20" spans="1:7" ht="12" customHeight="1" x14ac:dyDescent="0.3">
      <c r="A20" s="4">
        <v>1024</v>
      </c>
      <c r="B20" s="6" t="str">
        <f>VLOOKUP(TABLA_PRECIOS_LISTBOX[Código],LISTADO_PRODUCTOS[#All],4)</f>
        <v>Cuaderno Éxito Nº3 x 48h Motivos - 7791762225079</v>
      </c>
      <c r="C20" s="6" t="str">
        <f>VLOOKUP(TABLA_PRECIOS_LISTBOX[Código],LISTADO_PRODUCTOS[#All],5)</f>
        <v>N/A</v>
      </c>
      <c r="D20" s="13">
        <f>VLOOKUP(TABLA_PRECIOS_LISTBOX[[#This Row],[Código]],TABLA_PRECIOS[#All],6)</f>
        <v>1</v>
      </c>
      <c r="E20" s="28">
        <f>VLOOKUP(TABLA_PRECIOS_LISTBOX[[#This Row],[Código]],TABLA_PRECIOS[#All],7)</f>
        <v>1</v>
      </c>
      <c r="F20" s="32">
        <f>VLOOKUP(TABLA_PRECIOS_LISTBOX[[#This Row],[Código]],TABLA_PRECIOS[#All],8)</f>
        <v>1</v>
      </c>
      <c r="G20" s="9">
        <f>VLOOKUP(TABLA_PRECIOS_LISTBOX[[#This Row],[Código]],TABLA_PRECIOS[#All],10)</f>
        <v>0</v>
      </c>
    </row>
    <row r="21" spans="1:7" ht="12" customHeight="1" x14ac:dyDescent="0.3">
      <c r="A21" s="4">
        <v>1025</v>
      </c>
      <c r="B21" s="6" t="str">
        <f>VLOOKUP(TABLA_PRECIOS_LISTBOX[Código],LISTADO_PRODUCTOS[#All],4)</f>
        <v>Cuaderno Éxito Nº3 x 48h Lunares - 7791762378072</v>
      </c>
      <c r="C21" s="6" t="str">
        <f>VLOOKUP(TABLA_PRECIOS_LISTBOX[Código],LISTADO_PRODUCTOS[#All],5)</f>
        <v>N/A</v>
      </c>
      <c r="D21" s="13">
        <f>VLOOKUP(TABLA_PRECIOS_LISTBOX[[#This Row],[Código]],TABLA_PRECIOS[#All],6)</f>
        <v>1</v>
      </c>
      <c r="E21" s="28">
        <f>VLOOKUP(TABLA_PRECIOS_LISTBOX[[#This Row],[Código]],TABLA_PRECIOS[#All],7)</f>
        <v>1</v>
      </c>
      <c r="F21" s="32">
        <f>VLOOKUP(TABLA_PRECIOS_LISTBOX[[#This Row],[Código]],TABLA_PRECIOS[#All],8)</f>
        <v>1</v>
      </c>
      <c r="G21" s="9">
        <f>VLOOKUP(TABLA_PRECIOS_LISTBOX[[#This Row],[Código]],TABLA_PRECIOS[#All],10)</f>
        <v>0</v>
      </c>
    </row>
    <row r="22" spans="1:7" ht="12" customHeight="1" x14ac:dyDescent="0.3">
      <c r="A22" s="4">
        <v>1026</v>
      </c>
      <c r="B22" s="6" t="str">
        <f>VLOOKUP(TABLA_PRECIOS_LISTBOX[Código],LISTADO_PRODUCTOS[#All],4)</f>
        <v>Cuaderno Rivadavia Nº3 x 50h Forrado araña</v>
      </c>
      <c r="C22" s="6" t="str">
        <f>VLOOKUP(TABLA_PRECIOS_LISTBOX[Código],LISTADO_PRODUCTOS[#All],5)</f>
        <v>N/A</v>
      </c>
      <c r="D22" s="13">
        <f>VLOOKUP(TABLA_PRECIOS_LISTBOX[[#This Row],[Código]],TABLA_PRECIOS[#All],6)</f>
        <v>1</v>
      </c>
      <c r="E22" s="28">
        <f>VLOOKUP(TABLA_PRECIOS_LISTBOX[[#This Row],[Código]],TABLA_PRECIOS[#All],7)</f>
        <v>1</v>
      </c>
      <c r="F22" s="32">
        <f>VLOOKUP(TABLA_PRECIOS_LISTBOX[[#This Row],[Código]],TABLA_PRECIOS[#All],8)</f>
        <v>1</v>
      </c>
      <c r="G22" s="9">
        <f>VLOOKUP(TABLA_PRECIOS_LISTBOX[[#This Row],[Código]],TABLA_PRECIOS[#All],10)</f>
        <v>0</v>
      </c>
    </row>
    <row r="23" spans="1:7" ht="12" customHeight="1" x14ac:dyDescent="0.3">
      <c r="A23" s="4">
        <v>1027</v>
      </c>
      <c r="B23" s="6" t="str">
        <f>VLOOKUP(TABLA_PRECIOS_LISTBOX[Código],LISTADO_PRODUCTOS[#All],4)</f>
        <v>Cuaderno Rivadavia Nº3 x 50h Lunar</v>
      </c>
      <c r="C23" s="6" t="str">
        <f>VLOOKUP(TABLA_PRECIOS_LISTBOX[Código],LISTADO_PRODUCTOS[#All],5)</f>
        <v>N/A</v>
      </c>
      <c r="D23" s="13">
        <f>VLOOKUP(TABLA_PRECIOS_LISTBOX[[#This Row],[Código]],TABLA_PRECIOS[#All],6)</f>
        <v>1</v>
      </c>
      <c r="E23" s="28">
        <f>VLOOKUP(TABLA_PRECIOS_LISTBOX[[#This Row],[Código]],TABLA_PRECIOS[#All],7)</f>
        <v>1</v>
      </c>
      <c r="F23" s="32">
        <f>VLOOKUP(TABLA_PRECIOS_LISTBOX[[#This Row],[Código]],TABLA_PRECIOS[#All],8)</f>
        <v>1</v>
      </c>
      <c r="G23" s="9">
        <f>VLOOKUP(TABLA_PRECIOS_LISTBOX[[#This Row],[Código]],TABLA_PRECIOS[#All],10)</f>
        <v>0</v>
      </c>
    </row>
    <row r="24" spans="1:7" ht="12" customHeight="1" x14ac:dyDescent="0.3">
      <c r="A24" s="4">
        <v>1028</v>
      </c>
      <c r="B24" s="6" t="str">
        <f>VLOOKUP(TABLA_PRECIOS_LISTBOX[Código],LISTADO_PRODUCTOS[#All],4)</f>
        <v>Cuaderno ABC Inicial T/C</v>
      </c>
      <c r="C24" s="6" t="str">
        <f>VLOOKUP(TABLA_PRECIOS_LISTBOX[Código],LISTADO_PRODUCTOS[#All],5)</f>
        <v>N/A</v>
      </c>
      <c r="D24" s="13">
        <f>VLOOKUP(TABLA_PRECIOS_LISTBOX[[#This Row],[Código]],TABLA_PRECIOS[#All],6)</f>
        <v>1</v>
      </c>
      <c r="E24" s="28">
        <f>VLOOKUP(TABLA_PRECIOS_LISTBOX[[#This Row],[Código]],TABLA_PRECIOS[#All],7)</f>
        <v>1</v>
      </c>
      <c r="F24" s="32">
        <f>VLOOKUP(TABLA_PRECIOS_LISTBOX[[#This Row],[Código]],TABLA_PRECIOS[#All],8)</f>
        <v>1</v>
      </c>
      <c r="G24" s="9">
        <f>VLOOKUP(TABLA_PRECIOS_LISTBOX[[#This Row],[Código]],TABLA_PRECIOS[#All],10)</f>
        <v>0</v>
      </c>
    </row>
    <row r="25" spans="1:7" ht="12" customHeight="1" x14ac:dyDescent="0.3">
      <c r="A25" s="4">
        <v>1029</v>
      </c>
      <c r="B25" s="6" t="str">
        <f>VLOOKUP(TABLA_PRECIOS_LISTBOX[Código],LISTADO_PRODUCTOS[#All],4)</f>
        <v>Cuaderno Escolar Éxito x 48h Forrado</v>
      </c>
      <c r="C25" s="6" t="str">
        <f>VLOOKUP(TABLA_PRECIOS_LISTBOX[Código],LISTADO_PRODUCTOS[#All],5)</f>
        <v>N/A</v>
      </c>
      <c r="D25" s="13">
        <f>VLOOKUP(TABLA_PRECIOS_LISTBOX[[#This Row],[Código]],TABLA_PRECIOS[#All],6)</f>
        <v>1</v>
      </c>
      <c r="E25" s="28">
        <f>VLOOKUP(TABLA_PRECIOS_LISTBOX[[#This Row],[Código]],TABLA_PRECIOS[#All],7)</f>
        <v>1</v>
      </c>
      <c r="F25" s="32">
        <f>VLOOKUP(TABLA_PRECIOS_LISTBOX[[#This Row],[Código]],TABLA_PRECIOS[#All],8)</f>
        <v>1</v>
      </c>
      <c r="G25" s="9">
        <f>VLOOKUP(TABLA_PRECIOS_LISTBOX[[#This Row],[Código]],TABLA_PRECIOS[#All],10)</f>
        <v>0</v>
      </c>
    </row>
    <row r="26" spans="1:7" ht="12" customHeight="1" x14ac:dyDescent="0.3">
      <c r="A26" s="4">
        <v>1030</v>
      </c>
      <c r="B26" s="6" t="str">
        <f>VLOOKUP(TABLA_PRECIOS_LISTBOX[Código],LISTADO_PRODUCTOS[#All],4)</f>
        <v>Cuaderno Escolar ABC Rivadavia x 50h - 7792216051053</v>
      </c>
      <c r="C26" s="6" t="str">
        <f>VLOOKUP(TABLA_PRECIOS_LISTBOX[Código],LISTADO_PRODUCTOS[#All],5)</f>
        <v>N/A</v>
      </c>
      <c r="D26" s="13">
        <f>VLOOKUP(TABLA_PRECIOS_LISTBOX[[#This Row],[Código]],TABLA_PRECIOS[#All],6)</f>
        <v>1</v>
      </c>
      <c r="E26" s="28">
        <f>VLOOKUP(TABLA_PRECIOS_LISTBOX[[#This Row],[Código]],TABLA_PRECIOS[#All],7)</f>
        <v>1</v>
      </c>
      <c r="F26" s="32">
        <f>VLOOKUP(TABLA_PRECIOS_LISTBOX[[#This Row],[Código]],TABLA_PRECIOS[#All],8)</f>
        <v>1</v>
      </c>
      <c r="G26" s="9">
        <f>VLOOKUP(TABLA_PRECIOS_LISTBOX[[#This Row],[Código]],TABLA_PRECIOS[#All],10)</f>
        <v>0</v>
      </c>
    </row>
    <row r="27" spans="1:7" ht="12" customHeight="1" x14ac:dyDescent="0.3">
      <c r="A27" s="4">
        <v>1031</v>
      </c>
      <c r="B27" s="6" t="str">
        <f>VLOOKUP(TABLA_PRECIOS_LISTBOX[Código],LISTADO_PRODUCTOS[#All],4)</f>
        <v>Cuaderno Escolar America x 82h T/C - 7792216675709</v>
      </c>
      <c r="C27" s="6" t="str">
        <f>VLOOKUP(TABLA_PRECIOS_LISTBOX[Código],LISTADO_PRODUCTOS[#All],5)</f>
        <v>N/A</v>
      </c>
      <c r="D27" s="13">
        <f>VLOOKUP(TABLA_PRECIOS_LISTBOX[[#This Row],[Código]],TABLA_PRECIOS[#All],6)</f>
        <v>1</v>
      </c>
      <c r="E27" s="28">
        <f>VLOOKUP(TABLA_PRECIOS_LISTBOX[[#This Row],[Código]],TABLA_PRECIOS[#All],7)</f>
        <v>1</v>
      </c>
      <c r="F27" s="32">
        <f>VLOOKUP(TABLA_PRECIOS_LISTBOX[[#This Row],[Código]],TABLA_PRECIOS[#All],8)</f>
        <v>1</v>
      </c>
      <c r="G27" s="9">
        <f>VLOOKUP(TABLA_PRECIOS_LISTBOX[[#This Row],[Código]],TABLA_PRECIOS[#All],10)</f>
        <v>0</v>
      </c>
    </row>
    <row r="28" spans="1:7" ht="12" customHeight="1" x14ac:dyDescent="0.3">
      <c r="A28" s="4">
        <v>1032</v>
      </c>
      <c r="B28" s="6" t="str">
        <f>VLOOKUP(TABLA_PRECIOS_LISTBOX[Código],LISTADO_PRODUCTOS[#All],4)</f>
        <v xml:space="preserve"> cuaderno Escolar America 42h T/C - 7792216000495</v>
      </c>
      <c r="C28" s="6" t="str">
        <f>VLOOKUP(TABLA_PRECIOS_LISTBOX[Código],LISTADO_PRODUCTOS[#All],5)</f>
        <v>N/A</v>
      </c>
      <c r="D28" s="13">
        <f>VLOOKUP(TABLA_PRECIOS_LISTBOX[[#This Row],[Código]],TABLA_PRECIOS[#All],6)</f>
        <v>1</v>
      </c>
      <c r="E28" s="28">
        <f>VLOOKUP(TABLA_PRECIOS_LISTBOX[[#This Row],[Código]],TABLA_PRECIOS[#All],7)</f>
        <v>1</v>
      </c>
      <c r="F28" s="32">
        <f>VLOOKUP(TABLA_PRECIOS_LISTBOX[[#This Row],[Código]],TABLA_PRECIOS[#All],8)</f>
        <v>1</v>
      </c>
      <c r="G28" s="9">
        <f>VLOOKUP(TABLA_PRECIOS_LISTBOX[[#This Row],[Código]],TABLA_PRECIOS[#All],10)</f>
        <v>0</v>
      </c>
    </row>
    <row r="29" spans="1:7" ht="12" customHeight="1" x14ac:dyDescent="0.3">
      <c r="A29" s="4">
        <v>1033</v>
      </c>
      <c r="B29" s="6" t="str">
        <f>VLOOKUP(TABLA_PRECIOS_LISTBOX[Código],LISTADO_PRODUCTOS[#All],4)</f>
        <v>Cuaderno Escolar Gloria x 84h</v>
      </c>
      <c r="C29" s="6" t="str">
        <f>VLOOKUP(TABLA_PRECIOS_LISTBOX[Código],LISTADO_PRODUCTOS[#All],5)</f>
        <v>N/A</v>
      </c>
      <c r="D29" s="13">
        <f>VLOOKUP(TABLA_PRECIOS_LISTBOX[[#This Row],[Código]],TABLA_PRECIOS[#All],6)</f>
        <v>1</v>
      </c>
      <c r="E29" s="28">
        <f>VLOOKUP(TABLA_PRECIOS_LISTBOX[[#This Row],[Código]],TABLA_PRECIOS[#All],7)</f>
        <v>1</v>
      </c>
      <c r="F29" s="32">
        <f>VLOOKUP(TABLA_PRECIOS_LISTBOX[[#This Row],[Código]],TABLA_PRECIOS[#All],8)</f>
        <v>1</v>
      </c>
      <c r="G29" s="9">
        <f>VLOOKUP(TABLA_PRECIOS_LISTBOX[[#This Row],[Código]],TABLA_PRECIOS[#All],10)</f>
        <v>0</v>
      </c>
    </row>
    <row r="30" spans="1:7" ht="12" customHeight="1" x14ac:dyDescent="0.3">
      <c r="A30" s="4">
        <v>1036</v>
      </c>
      <c r="B30" s="6" t="str">
        <f>VLOOKUP(TABLA_PRECIOS_LISTBOX[Código],LISTADO_PRODUCTOS[#All],4)</f>
        <v>Cuaderno Rivadavia escolar T dura 50h 16.21</v>
      </c>
      <c r="C30" s="6" t="str">
        <f>VLOOKUP(TABLA_PRECIOS_LISTBOX[Código],LISTADO_PRODUCTOS[#All],5)</f>
        <v>N/A</v>
      </c>
      <c r="D30" s="13">
        <f>VLOOKUP(TABLA_PRECIOS_LISTBOX[[#This Row],[Código]],TABLA_PRECIOS[#All],6)</f>
        <v>1</v>
      </c>
      <c r="E30" s="28">
        <f>VLOOKUP(TABLA_PRECIOS_LISTBOX[[#This Row],[Código]],TABLA_PRECIOS[#All],7)</f>
        <v>1</v>
      </c>
      <c r="F30" s="32">
        <f>VLOOKUP(TABLA_PRECIOS_LISTBOX[[#This Row],[Código]],TABLA_PRECIOS[#All],8)</f>
        <v>1</v>
      </c>
      <c r="G30" s="9">
        <f>VLOOKUP(TABLA_PRECIOS_LISTBOX[[#This Row],[Código]],TABLA_PRECIOS[#All],10)</f>
        <v>0</v>
      </c>
    </row>
    <row r="31" spans="1:7" ht="12" customHeight="1" x14ac:dyDescent="0.3">
      <c r="A31" s="4">
        <v>1038</v>
      </c>
      <c r="B31" s="6" t="str">
        <f>VLOOKUP(TABLA_PRECIOS_LISTBOX[Código],LISTADO_PRODUCTOS[#All],4)</f>
        <v>Cuaderno T/flex Gloria x 48h - 7791762110078</v>
      </c>
      <c r="C31" s="6" t="str">
        <f>VLOOKUP(TABLA_PRECIOS_LISTBOX[Código],LISTADO_PRODUCTOS[#All],5)</f>
        <v>N/A</v>
      </c>
      <c r="D31" s="13">
        <f>VLOOKUP(TABLA_PRECIOS_LISTBOX[[#This Row],[Código]],TABLA_PRECIOS[#All],6)</f>
        <v>1</v>
      </c>
      <c r="E31" s="28">
        <f>VLOOKUP(TABLA_PRECIOS_LISTBOX[[#This Row],[Código]],TABLA_PRECIOS[#All],7)</f>
        <v>1</v>
      </c>
      <c r="F31" s="32">
        <f>VLOOKUP(TABLA_PRECIOS_LISTBOX[[#This Row],[Código]],TABLA_PRECIOS[#All],8)</f>
        <v>1</v>
      </c>
      <c r="G31" s="9">
        <f>VLOOKUP(TABLA_PRECIOS_LISTBOX[[#This Row],[Código]],TABLA_PRECIOS[#All],10)</f>
        <v>0</v>
      </c>
    </row>
    <row r="32" spans="1:7" ht="12" customHeight="1" x14ac:dyDescent="0.3">
      <c r="A32" s="4">
        <v>1039</v>
      </c>
      <c r="B32" s="6" t="str">
        <f>VLOOKUP(TABLA_PRECIOS_LISTBOX[Código],LISTADO_PRODUCTOS[#All],4)</f>
        <v>Cuaderno T/flex Gloria x 24h</v>
      </c>
      <c r="C32" s="6" t="str">
        <f>VLOOKUP(TABLA_PRECIOS_LISTBOX[Código],LISTADO_PRODUCTOS[#All],5)</f>
        <v>N/A</v>
      </c>
      <c r="D32" s="13">
        <f>VLOOKUP(TABLA_PRECIOS_LISTBOX[[#This Row],[Código]],TABLA_PRECIOS[#All],6)</f>
        <v>1</v>
      </c>
      <c r="E32" s="28">
        <f>VLOOKUP(TABLA_PRECIOS_LISTBOX[[#This Row],[Código]],TABLA_PRECIOS[#All],7)</f>
        <v>1</v>
      </c>
      <c r="F32" s="32">
        <f>VLOOKUP(TABLA_PRECIOS_LISTBOX[[#This Row],[Código]],TABLA_PRECIOS[#All],8)</f>
        <v>1</v>
      </c>
      <c r="G32" s="9">
        <f>VLOOKUP(TABLA_PRECIOS_LISTBOX[[#This Row],[Código]],TABLA_PRECIOS[#All],10)</f>
        <v>0</v>
      </c>
    </row>
    <row r="33" spans="1:7" ht="12" customHeight="1" x14ac:dyDescent="0.3">
      <c r="A33" s="4">
        <v>1040</v>
      </c>
      <c r="B33" s="6" t="str">
        <f>VLOOKUP(TABLA_PRECIOS_LISTBOX[Código],LISTADO_PRODUCTOS[#All],4)</f>
        <v>Repuesto N°3 Husares x 480h</v>
      </c>
      <c r="C33" s="6" t="str">
        <f>VLOOKUP(TABLA_PRECIOS_LISTBOX[Código],LISTADO_PRODUCTOS[#All],5)</f>
        <v>N/A</v>
      </c>
      <c r="D33" s="13">
        <f>VLOOKUP(TABLA_PRECIOS_LISTBOX[[#This Row],[Código]],TABLA_PRECIOS[#All],6)</f>
        <v>1</v>
      </c>
      <c r="E33" s="28">
        <f>VLOOKUP(TABLA_PRECIOS_LISTBOX[[#This Row],[Código]],TABLA_PRECIOS[#All],7)</f>
        <v>1</v>
      </c>
      <c r="F33" s="32">
        <f>VLOOKUP(TABLA_PRECIOS_LISTBOX[[#This Row],[Código]],TABLA_PRECIOS[#All],8)</f>
        <v>1</v>
      </c>
      <c r="G33" s="9">
        <f>VLOOKUP(TABLA_PRECIOS_LISTBOX[[#This Row],[Código]],TABLA_PRECIOS[#All],10)</f>
        <v>0</v>
      </c>
    </row>
    <row r="34" spans="1:7" ht="12" customHeight="1" x14ac:dyDescent="0.3">
      <c r="A34" s="4">
        <v>1041</v>
      </c>
      <c r="B34" s="6" t="str">
        <f>VLOOKUP(TABLA_PRECIOS_LISTBOX[Código],LISTADO_PRODUCTOS[#All],4)</f>
        <v>Repuesto A4 Éxito M/Reforzado x 96h - 7791762400124</v>
      </c>
      <c r="C34" s="6" t="str">
        <f>VLOOKUP(TABLA_PRECIOS_LISTBOX[Código],LISTADO_PRODUCTOS[#All],5)</f>
        <v>N/A</v>
      </c>
      <c r="D34" s="13">
        <f>VLOOKUP(TABLA_PRECIOS_LISTBOX[[#This Row],[Código]],TABLA_PRECIOS[#All],6)</f>
        <v>1</v>
      </c>
      <c r="E34" s="28">
        <f>VLOOKUP(TABLA_PRECIOS_LISTBOX[[#This Row],[Código]],TABLA_PRECIOS[#All],7)</f>
        <v>1</v>
      </c>
      <c r="F34" s="32">
        <f>VLOOKUP(TABLA_PRECIOS_LISTBOX[[#This Row],[Código]],TABLA_PRECIOS[#All],8)</f>
        <v>1</v>
      </c>
      <c r="G34" s="9">
        <f>VLOOKUP(TABLA_PRECIOS_LISTBOX[[#This Row],[Código]],TABLA_PRECIOS[#All],10)</f>
        <v>0</v>
      </c>
    </row>
    <row r="35" spans="1:7" ht="12" customHeight="1" x14ac:dyDescent="0.3">
      <c r="A35" s="4">
        <v>1042</v>
      </c>
      <c r="B35" s="6" t="str">
        <f>VLOOKUP(TABLA_PRECIOS_LISTBOX[Código],LISTADO_PRODUCTOS[#All],4)</f>
        <v>Repuesto A4 Rivadavia M/Ref x96h - 7792216041917</v>
      </c>
      <c r="C35" s="6" t="str">
        <f>VLOOKUP(TABLA_PRECIOS_LISTBOX[Código],LISTADO_PRODUCTOS[#All],5)</f>
        <v>N/A</v>
      </c>
      <c r="D35" s="13">
        <f>VLOOKUP(TABLA_PRECIOS_LISTBOX[[#This Row],[Código]],TABLA_PRECIOS[#All],6)</f>
        <v>1</v>
      </c>
      <c r="E35" s="28">
        <f>VLOOKUP(TABLA_PRECIOS_LISTBOX[[#This Row],[Código]],TABLA_PRECIOS[#All],7)</f>
        <v>1</v>
      </c>
      <c r="F35" s="32">
        <f>VLOOKUP(TABLA_PRECIOS_LISTBOX[[#This Row],[Código]],TABLA_PRECIOS[#All],8)</f>
        <v>1</v>
      </c>
      <c r="G35" s="9">
        <f>VLOOKUP(TABLA_PRECIOS_LISTBOX[[#This Row],[Código]],TABLA_PRECIOS[#All],10)</f>
        <v>0</v>
      </c>
    </row>
    <row r="36" spans="1:7" ht="12" customHeight="1" x14ac:dyDescent="0.3">
      <c r="A36" s="4">
        <v>1043</v>
      </c>
      <c r="B36" s="6" t="str">
        <f>VLOOKUP(TABLA_PRECIOS_LISTBOX[Código],LISTADO_PRODUCTOS[#All],4)</f>
        <v>Repuesto A4 Rivadavia M/Ref x 48h</v>
      </c>
      <c r="C36" s="6" t="str">
        <f>VLOOKUP(TABLA_PRECIOS_LISTBOX[Código],LISTADO_PRODUCTOS[#All],5)</f>
        <v>N/A</v>
      </c>
      <c r="D36" s="13">
        <f>VLOOKUP(TABLA_PRECIOS_LISTBOX[[#This Row],[Código]],TABLA_PRECIOS[#All],6)</f>
        <v>1</v>
      </c>
      <c r="E36" s="28">
        <f>VLOOKUP(TABLA_PRECIOS_LISTBOX[[#This Row],[Código]],TABLA_PRECIOS[#All],7)</f>
        <v>1</v>
      </c>
      <c r="F36" s="32">
        <f>VLOOKUP(TABLA_PRECIOS_LISTBOX[[#This Row],[Código]],TABLA_PRECIOS[#All],8)</f>
        <v>1</v>
      </c>
      <c r="G36" s="9">
        <f>VLOOKUP(TABLA_PRECIOS_LISTBOX[[#This Row],[Código]],TABLA_PRECIOS[#All],10)</f>
        <v>0</v>
      </c>
    </row>
    <row r="37" spans="1:7" ht="12" customHeight="1" x14ac:dyDescent="0.3">
      <c r="A37" s="4">
        <v>1044</v>
      </c>
      <c r="B37" s="6" t="str">
        <f>VLOOKUP(TABLA_PRECIOS_LISTBOX[Código],LISTADO_PRODUCTOS[#All],4)</f>
        <v>Repuesto escolar A4 Éxito x 192h M/Reforzado</v>
      </c>
      <c r="C37" s="6" t="str">
        <f>VLOOKUP(TABLA_PRECIOS_LISTBOX[Código],LISTADO_PRODUCTOS[#All],5)</f>
        <v>N/A</v>
      </c>
      <c r="D37" s="13">
        <f>VLOOKUP(TABLA_PRECIOS_LISTBOX[[#This Row],[Código]],TABLA_PRECIOS[#All],6)</f>
        <v>1</v>
      </c>
      <c r="E37" s="28">
        <f>VLOOKUP(TABLA_PRECIOS_LISTBOX[[#This Row],[Código]],TABLA_PRECIOS[#All],7)</f>
        <v>1</v>
      </c>
      <c r="F37" s="32">
        <f>VLOOKUP(TABLA_PRECIOS_LISTBOX[[#This Row],[Código]],TABLA_PRECIOS[#All],8)</f>
        <v>1</v>
      </c>
      <c r="G37" s="9">
        <f>VLOOKUP(TABLA_PRECIOS_LISTBOX[[#This Row],[Código]],TABLA_PRECIOS[#All],10)</f>
        <v>0</v>
      </c>
    </row>
    <row r="38" spans="1:7" ht="12" customHeight="1" x14ac:dyDescent="0.3">
      <c r="A38" s="4">
        <v>1045</v>
      </c>
      <c r="B38" s="6" t="str">
        <f>VLOOKUP(TABLA_PRECIOS_LISTBOX[Código],LISTADO_PRODUCTOS[#All],4)</f>
        <v xml:space="preserve">Repuesto A4 Husares x 48h </v>
      </c>
      <c r="C38" s="6" t="str">
        <f>VLOOKUP(TABLA_PRECIOS_LISTBOX[Código],LISTADO_PRODUCTOS[#All],5)</f>
        <v>N/A</v>
      </c>
      <c r="D38" s="13">
        <f>VLOOKUP(TABLA_PRECIOS_LISTBOX[[#This Row],[Código]],TABLA_PRECIOS[#All],6)</f>
        <v>1</v>
      </c>
      <c r="E38" s="28">
        <f>VLOOKUP(TABLA_PRECIOS_LISTBOX[[#This Row],[Código]],TABLA_PRECIOS[#All],7)</f>
        <v>1</v>
      </c>
      <c r="F38" s="32">
        <f>VLOOKUP(TABLA_PRECIOS_LISTBOX[[#This Row],[Código]],TABLA_PRECIOS[#All],8)</f>
        <v>1</v>
      </c>
      <c r="G38" s="9">
        <f>VLOOKUP(TABLA_PRECIOS_LISTBOX[[#This Row],[Código]],TABLA_PRECIOS[#All],10)</f>
        <v>0</v>
      </c>
    </row>
    <row r="39" spans="1:7" ht="12" customHeight="1" x14ac:dyDescent="0.3">
      <c r="A39" s="4">
        <v>1047</v>
      </c>
      <c r="B39" s="6" t="str">
        <f>VLOOKUP(TABLA_PRECIOS_LISTBOX[Código],LISTADO_PRODUCTOS[#All],4)</f>
        <v>Repuesto A4 Husares 120h</v>
      </c>
      <c r="C39" s="6" t="str">
        <f>VLOOKUP(TABLA_PRECIOS_LISTBOX[Código],LISTADO_PRODUCTOS[#All],5)</f>
        <v>N/A</v>
      </c>
      <c r="D39" s="13">
        <f>VLOOKUP(TABLA_PRECIOS_LISTBOX[[#This Row],[Código]],TABLA_PRECIOS[#All],6)</f>
        <v>1</v>
      </c>
      <c r="E39" s="28">
        <f>VLOOKUP(TABLA_PRECIOS_LISTBOX[[#This Row],[Código]],TABLA_PRECIOS[#All],7)</f>
        <v>1</v>
      </c>
      <c r="F39" s="32">
        <f>VLOOKUP(TABLA_PRECIOS_LISTBOX[[#This Row],[Código]],TABLA_PRECIOS[#All],8)</f>
        <v>1</v>
      </c>
      <c r="G39" s="9">
        <f>VLOOKUP(TABLA_PRECIOS_LISTBOX[[#This Row],[Código]],TABLA_PRECIOS[#All],10)</f>
        <v>0</v>
      </c>
    </row>
    <row r="40" spans="1:7" ht="12" customHeight="1" x14ac:dyDescent="0.3">
      <c r="A40" s="4">
        <v>1048</v>
      </c>
      <c r="B40" s="6" t="str">
        <f>VLOOKUP(TABLA_PRECIOS_LISTBOX[Código],LISTADO_PRODUCTOS[#All],4)</f>
        <v>Repuesto Nº3 Éxito M/R x 480h</v>
      </c>
      <c r="C40" s="6" t="str">
        <f>VLOOKUP(TABLA_PRECIOS_LISTBOX[Código],LISTADO_PRODUCTOS[#All],5)</f>
        <v>N/A</v>
      </c>
      <c r="D40" s="13">
        <f>VLOOKUP(TABLA_PRECIOS_LISTBOX[[#This Row],[Código]],TABLA_PRECIOS[#All],6)</f>
        <v>1</v>
      </c>
      <c r="E40" s="28">
        <f>VLOOKUP(TABLA_PRECIOS_LISTBOX[[#This Row],[Código]],TABLA_PRECIOS[#All],7)</f>
        <v>1</v>
      </c>
      <c r="F40" s="32">
        <f>VLOOKUP(TABLA_PRECIOS_LISTBOX[[#This Row],[Código]],TABLA_PRECIOS[#All],8)</f>
        <v>1</v>
      </c>
      <c r="G40" s="9">
        <f>VLOOKUP(TABLA_PRECIOS_LISTBOX[[#This Row],[Código]],TABLA_PRECIOS[#All],10)</f>
        <v>0</v>
      </c>
    </row>
    <row r="41" spans="1:7" ht="12" customHeight="1" x14ac:dyDescent="0.3">
      <c r="A41" s="4">
        <v>1049</v>
      </c>
      <c r="B41" s="6" t="str">
        <f>VLOOKUP(TABLA_PRECIOS_LISTBOX[Código],LISTADO_PRODUCTOS[#All],4)</f>
        <v>Repuesto Nº3 Éxito M/R x 96h - 7791762480126</v>
      </c>
      <c r="C41" s="6" t="str">
        <f>VLOOKUP(TABLA_PRECIOS_LISTBOX[Código],LISTADO_PRODUCTOS[#All],5)</f>
        <v>N/A</v>
      </c>
      <c r="D41" s="13">
        <f>VLOOKUP(TABLA_PRECIOS_LISTBOX[[#This Row],[Código]],TABLA_PRECIOS[#All],6)</f>
        <v>1</v>
      </c>
      <c r="E41" s="28">
        <f>VLOOKUP(TABLA_PRECIOS_LISTBOX[[#This Row],[Código]],TABLA_PRECIOS[#All],7)</f>
        <v>1</v>
      </c>
      <c r="F41" s="32">
        <f>VLOOKUP(TABLA_PRECIOS_LISTBOX[[#This Row],[Código]],TABLA_PRECIOS[#All],8)</f>
        <v>1</v>
      </c>
      <c r="G41" s="9">
        <f>VLOOKUP(TABLA_PRECIOS_LISTBOX[[#This Row],[Código]],TABLA_PRECIOS[#All],10)</f>
        <v>0</v>
      </c>
    </row>
    <row r="42" spans="1:7" ht="12" customHeight="1" x14ac:dyDescent="0.3">
      <c r="A42" s="4">
        <v>1050</v>
      </c>
      <c r="B42" s="6" t="str">
        <f>VLOOKUP(TABLA_PRECIOS_LISTBOX[Código],LISTADO_PRODUCTOS[#All],4)</f>
        <v>Repuesto Éxito N°3 M/R x 48h</v>
      </c>
      <c r="C42" s="6" t="str">
        <f>VLOOKUP(TABLA_PRECIOS_LISTBOX[Código],LISTADO_PRODUCTOS[#All],5)</f>
        <v>N/A</v>
      </c>
      <c r="D42" s="13">
        <f>VLOOKUP(TABLA_PRECIOS_LISTBOX[[#This Row],[Código]],TABLA_PRECIOS[#All],6)</f>
        <v>1</v>
      </c>
      <c r="E42" s="28">
        <f>VLOOKUP(TABLA_PRECIOS_LISTBOX[[#This Row],[Código]],TABLA_PRECIOS[#All],7)</f>
        <v>1</v>
      </c>
      <c r="F42" s="32">
        <f>VLOOKUP(TABLA_PRECIOS_LISTBOX[[#This Row],[Código]],TABLA_PRECIOS[#All],8)</f>
        <v>1</v>
      </c>
      <c r="G42" s="9">
        <f>VLOOKUP(TABLA_PRECIOS_LISTBOX[[#This Row],[Código]],TABLA_PRECIOS[#All],10)</f>
        <v>0</v>
      </c>
    </row>
    <row r="43" spans="1:7" ht="12" customHeight="1" x14ac:dyDescent="0.3">
      <c r="A43" s="4">
        <v>1051</v>
      </c>
      <c r="B43" s="6" t="str">
        <f>VLOOKUP(TABLA_PRECIOS_LISTBOX[Código],LISTADO_PRODUCTOS[#All],4)</f>
        <v>Repuesto Nº3 Éxito M/R x 24h</v>
      </c>
      <c r="C43" s="6" t="str">
        <f>VLOOKUP(TABLA_PRECIOS_LISTBOX[Código],LISTADO_PRODUCTOS[#All],5)</f>
        <v>N/A</v>
      </c>
      <c r="D43" s="13">
        <f>VLOOKUP(TABLA_PRECIOS_LISTBOX[[#This Row],[Código]],TABLA_PRECIOS[#All],6)</f>
        <v>1</v>
      </c>
      <c r="E43" s="28">
        <f>VLOOKUP(TABLA_PRECIOS_LISTBOX[[#This Row],[Código]],TABLA_PRECIOS[#All],7)</f>
        <v>1</v>
      </c>
      <c r="F43" s="32">
        <f>VLOOKUP(TABLA_PRECIOS_LISTBOX[[#This Row],[Código]],TABLA_PRECIOS[#All],8)</f>
        <v>1</v>
      </c>
      <c r="G43" s="9">
        <f>VLOOKUP(TABLA_PRECIOS_LISTBOX[[#This Row],[Código]],TABLA_PRECIOS[#All],10)</f>
        <v>0</v>
      </c>
    </row>
    <row r="44" spans="1:7" ht="12" customHeight="1" x14ac:dyDescent="0.3">
      <c r="A44" s="4">
        <v>1052</v>
      </c>
      <c r="B44" s="6" t="str">
        <f>VLOOKUP(TABLA_PRECIOS_LISTBOX[Código],LISTADO_PRODUCTOS[#All],4)</f>
        <v>Repuesto Nº3 Éxito x 480h</v>
      </c>
      <c r="C44" s="6" t="str">
        <f>VLOOKUP(TABLA_PRECIOS_LISTBOX[Código],LISTADO_PRODUCTOS[#All],5)</f>
        <v>N/A</v>
      </c>
      <c r="D44" s="13">
        <f>VLOOKUP(TABLA_PRECIOS_LISTBOX[[#This Row],[Código]],TABLA_PRECIOS[#All],6)</f>
        <v>1</v>
      </c>
      <c r="E44" s="28">
        <f>VLOOKUP(TABLA_PRECIOS_LISTBOX[[#This Row],[Código]],TABLA_PRECIOS[#All],7)</f>
        <v>1</v>
      </c>
      <c r="F44" s="32">
        <f>VLOOKUP(TABLA_PRECIOS_LISTBOX[[#This Row],[Código]],TABLA_PRECIOS[#All],8)</f>
        <v>1</v>
      </c>
      <c r="G44" s="9">
        <f>VLOOKUP(TABLA_PRECIOS_LISTBOX[[#This Row],[Código]],TABLA_PRECIOS[#All],10)</f>
        <v>0</v>
      </c>
    </row>
    <row r="45" spans="1:7" ht="12" customHeight="1" x14ac:dyDescent="0.3">
      <c r="A45" s="4">
        <v>1053</v>
      </c>
      <c r="B45" s="6" t="str">
        <f>VLOOKUP(TABLA_PRECIOS_LISTBOX[Código],LISTADO_PRODUCTOS[#All],4)</f>
        <v>Repuesto Nº3 Éxito x 96h</v>
      </c>
      <c r="C45" s="6" t="str">
        <f>VLOOKUP(TABLA_PRECIOS_LISTBOX[Código],LISTADO_PRODUCTOS[#All],5)</f>
        <v>N/A</v>
      </c>
      <c r="D45" s="13">
        <f>VLOOKUP(TABLA_PRECIOS_LISTBOX[[#This Row],[Código]],TABLA_PRECIOS[#All],6)</f>
        <v>1</v>
      </c>
      <c r="E45" s="28">
        <f>VLOOKUP(TABLA_PRECIOS_LISTBOX[[#This Row],[Código]],TABLA_PRECIOS[#All],7)</f>
        <v>1</v>
      </c>
      <c r="F45" s="32">
        <f>VLOOKUP(TABLA_PRECIOS_LISTBOX[[#This Row],[Código]],TABLA_PRECIOS[#All],8)</f>
        <v>1</v>
      </c>
      <c r="G45" s="9">
        <f>VLOOKUP(TABLA_PRECIOS_LISTBOX[[#This Row],[Código]],TABLA_PRECIOS[#All],10)</f>
        <v>0</v>
      </c>
    </row>
    <row r="46" spans="1:7" ht="12" customHeight="1" x14ac:dyDescent="0.3">
      <c r="A46" s="4">
        <v>1054</v>
      </c>
      <c r="B46" s="6" t="str">
        <f>VLOOKUP(TABLA_PRECIOS_LISTBOX[Código],LISTADO_PRODUCTOS[#All],4)</f>
        <v>Repuesto Nº3 Éxito x 48h</v>
      </c>
      <c r="C46" s="6" t="str">
        <f>VLOOKUP(TABLA_PRECIOS_LISTBOX[Código],LISTADO_PRODUCTOS[#All],5)</f>
        <v>N/A</v>
      </c>
      <c r="D46" s="13">
        <f>VLOOKUP(TABLA_PRECIOS_LISTBOX[[#This Row],[Código]],TABLA_PRECIOS[#All],6)</f>
        <v>1</v>
      </c>
      <c r="E46" s="28">
        <f>VLOOKUP(TABLA_PRECIOS_LISTBOX[[#This Row],[Código]],TABLA_PRECIOS[#All],7)</f>
        <v>1</v>
      </c>
      <c r="F46" s="32">
        <f>VLOOKUP(TABLA_PRECIOS_LISTBOX[[#This Row],[Código]],TABLA_PRECIOS[#All],8)</f>
        <v>1</v>
      </c>
      <c r="G46" s="9">
        <f>VLOOKUP(TABLA_PRECIOS_LISTBOX[[#This Row],[Código]],TABLA_PRECIOS[#All],10)</f>
        <v>0</v>
      </c>
    </row>
    <row r="47" spans="1:7" ht="12" customHeight="1" x14ac:dyDescent="0.3">
      <c r="A47" s="4">
        <v>1055</v>
      </c>
      <c r="B47" s="6" t="str">
        <f>VLOOKUP(TABLA_PRECIOS_LISTBOX[Código],LISTADO_PRODUCTOS[#All],4)</f>
        <v>Repuesto Nº3 Éxito x 24h - 7791762486333</v>
      </c>
      <c r="C47" s="6" t="str">
        <f>VLOOKUP(TABLA_PRECIOS_LISTBOX[Código],LISTADO_PRODUCTOS[#All],5)</f>
        <v>N/A</v>
      </c>
      <c r="D47" s="13">
        <f>VLOOKUP(TABLA_PRECIOS_LISTBOX[[#This Row],[Código]],TABLA_PRECIOS[#All],6)</f>
        <v>1</v>
      </c>
      <c r="E47" s="28">
        <f>VLOOKUP(TABLA_PRECIOS_LISTBOX[[#This Row],[Código]],TABLA_PRECIOS[#All],7)</f>
        <v>1</v>
      </c>
      <c r="F47" s="32">
        <f>VLOOKUP(TABLA_PRECIOS_LISTBOX[[#This Row],[Código]],TABLA_PRECIOS[#All],8)</f>
        <v>1</v>
      </c>
      <c r="G47" s="9">
        <f>VLOOKUP(TABLA_PRECIOS_LISTBOX[[#This Row],[Código]],TABLA_PRECIOS[#All],10)</f>
        <v>0</v>
      </c>
    </row>
    <row r="48" spans="1:7" ht="12" customHeight="1" x14ac:dyDescent="0.3">
      <c r="A48" s="4">
        <v>1056</v>
      </c>
      <c r="B48" s="6" t="str">
        <f>VLOOKUP(TABLA_PRECIOS_LISTBOX[Código],LISTADO_PRODUCTOS[#All],4)</f>
        <v>Repuesto Nº3 Rivadavia x 480h - 7792216050162</v>
      </c>
      <c r="C48" s="6" t="str">
        <f>VLOOKUP(TABLA_PRECIOS_LISTBOX[Código],LISTADO_PRODUCTOS[#All],5)</f>
        <v>N/A</v>
      </c>
      <c r="D48" s="13">
        <f>VLOOKUP(TABLA_PRECIOS_LISTBOX[[#This Row],[Código]],TABLA_PRECIOS[#All],6)</f>
        <v>1</v>
      </c>
      <c r="E48" s="28">
        <f>VLOOKUP(TABLA_PRECIOS_LISTBOX[[#This Row],[Código]],TABLA_PRECIOS[#All],7)</f>
        <v>1</v>
      </c>
      <c r="F48" s="32">
        <f>VLOOKUP(TABLA_PRECIOS_LISTBOX[[#This Row],[Código]],TABLA_PRECIOS[#All],8)</f>
        <v>1</v>
      </c>
      <c r="G48" s="9">
        <f>VLOOKUP(TABLA_PRECIOS_LISTBOX[[#This Row],[Código]],TABLA_PRECIOS[#All],10)</f>
        <v>0</v>
      </c>
    </row>
    <row r="49" spans="1:7" ht="12" customHeight="1" x14ac:dyDescent="0.3">
      <c r="A49" s="4">
        <v>1057</v>
      </c>
      <c r="B49" s="6" t="str">
        <f>VLOOKUP(TABLA_PRECIOS_LISTBOX[Código],LISTADO_PRODUCTOS[#All],4)</f>
        <v>Repuesto Nº3 Rivadavia x 96h - 7792216041658</v>
      </c>
      <c r="C49" s="6" t="str">
        <f>VLOOKUP(TABLA_PRECIOS_LISTBOX[Código],LISTADO_PRODUCTOS[#All],5)</f>
        <v>N/A</v>
      </c>
      <c r="D49" s="13">
        <f>VLOOKUP(TABLA_PRECIOS_LISTBOX[[#This Row],[Código]],TABLA_PRECIOS[#All],6)</f>
        <v>1</v>
      </c>
      <c r="E49" s="28">
        <f>VLOOKUP(TABLA_PRECIOS_LISTBOX[[#This Row],[Código]],TABLA_PRECIOS[#All],7)</f>
        <v>1</v>
      </c>
      <c r="F49" s="32">
        <f>VLOOKUP(TABLA_PRECIOS_LISTBOX[[#This Row],[Código]],TABLA_PRECIOS[#All],8)</f>
        <v>1</v>
      </c>
      <c r="G49" s="9">
        <f>VLOOKUP(TABLA_PRECIOS_LISTBOX[[#This Row],[Código]],TABLA_PRECIOS[#All],10)</f>
        <v>0</v>
      </c>
    </row>
    <row r="50" spans="1:7" ht="12" customHeight="1" x14ac:dyDescent="0.3">
      <c r="A50" s="4">
        <v>1058</v>
      </c>
      <c r="B50" s="6" t="str">
        <f>VLOOKUP(TABLA_PRECIOS_LISTBOX[Código],LISTADO_PRODUCTOS[#All],4)</f>
        <v>Repuesto Nº3 Rivadavia x 48h</v>
      </c>
      <c r="C50" s="6" t="str">
        <f>VLOOKUP(TABLA_PRECIOS_LISTBOX[Código],LISTADO_PRODUCTOS[#All],5)</f>
        <v>N/A</v>
      </c>
      <c r="D50" s="13">
        <f>VLOOKUP(TABLA_PRECIOS_LISTBOX[[#This Row],[Código]],TABLA_PRECIOS[#All],6)</f>
        <v>1</v>
      </c>
      <c r="E50" s="28">
        <f>VLOOKUP(TABLA_PRECIOS_LISTBOX[[#This Row],[Código]],TABLA_PRECIOS[#All],7)</f>
        <v>1</v>
      </c>
      <c r="F50" s="32">
        <f>VLOOKUP(TABLA_PRECIOS_LISTBOX[[#This Row],[Código]],TABLA_PRECIOS[#All],8)</f>
        <v>1</v>
      </c>
      <c r="G50" s="9">
        <f>VLOOKUP(TABLA_PRECIOS_LISTBOX[[#This Row],[Código]],TABLA_PRECIOS[#All],10)</f>
        <v>0</v>
      </c>
    </row>
    <row r="51" spans="1:7" ht="12" customHeight="1" x14ac:dyDescent="0.3">
      <c r="A51" s="4">
        <v>1059</v>
      </c>
      <c r="B51" s="6" t="str">
        <f>VLOOKUP(TABLA_PRECIOS_LISTBOX[Código],LISTADO_PRODUCTOS[#All],4)</f>
        <v>Repuesto Nº3 Rivadavia x 24h</v>
      </c>
      <c r="C51" s="6" t="str">
        <f>VLOOKUP(TABLA_PRECIOS_LISTBOX[Código],LISTADO_PRODUCTOS[#All],5)</f>
        <v>N/A</v>
      </c>
      <c r="D51" s="13">
        <f>VLOOKUP(TABLA_PRECIOS_LISTBOX[[#This Row],[Código]],TABLA_PRECIOS[#All],6)</f>
        <v>1</v>
      </c>
      <c r="E51" s="28">
        <f>VLOOKUP(TABLA_PRECIOS_LISTBOX[[#This Row],[Código]],TABLA_PRECIOS[#All],7)</f>
        <v>1</v>
      </c>
      <c r="F51" s="32">
        <f>VLOOKUP(TABLA_PRECIOS_LISTBOX[[#This Row],[Código]],TABLA_PRECIOS[#All],8)</f>
        <v>1</v>
      </c>
      <c r="G51" s="9">
        <f>VLOOKUP(TABLA_PRECIOS_LISTBOX[[#This Row],[Código]],TABLA_PRECIOS[#All],10)</f>
        <v>0</v>
      </c>
    </row>
    <row r="52" spans="1:7" ht="12" customHeight="1" x14ac:dyDescent="0.3">
      <c r="A52" s="4">
        <v>1060</v>
      </c>
      <c r="B52" s="6" t="str">
        <f>VLOOKUP(TABLA_PRECIOS_LISTBOX[Código],LISTADO_PRODUCTOS[#All],4)</f>
        <v>Cuaderno T/flex Gloria x 84h</v>
      </c>
      <c r="C52" s="6" t="str">
        <f>VLOOKUP(TABLA_PRECIOS_LISTBOX[Código],LISTADO_PRODUCTOS[#All],5)</f>
        <v>N/A</v>
      </c>
      <c r="D52" s="13">
        <f>VLOOKUP(TABLA_PRECIOS_LISTBOX[[#This Row],[Código]],TABLA_PRECIOS[#All],6)</f>
        <v>1</v>
      </c>
      <c r="E52" s="28">
        <f>VLOOKUP(TABLA_PRECIOS_LISTBOX[[#This Row],[Código]],TABLA_PRECIOS[#All],7)</f>
        <v>1</v>
      </c>
      <c r="F52" s="32">
        <f>VLOOKUP(TABLA_PRECIOS_LISTBOX[[#This Row],[Código]],TABLA_PRECIOS[#All],8)</f>
        <v>1</v>
      </c>
      <c r="G52" s="9">
        <f>VLOOKUP(TABLA_PRECIOS_LISTBOX[[#This Row],[Código]],TABLA_PRECIOS[#All],10)</f>
        <v>0</v>
      </c>
    </row>
    <row r="53" spans="1:7" ht="12" customHeight="1" x14ac:dyDescent="0.3">
      <c r="A53" s="4">
        <v>1061</v>
      </c>
      <c r="B53" s="6" t="str">
        <f>VLOOKUP(TABLA_PRECIOS_LISTBOX[Código],LISTADO_PRODUCTOS[#All],4)</f>
        <v xml:space="preserve">Repuesto husares x 96h A4 rayado - </v>
      </c>
      <c r="C53" s="6" t="str">
        <f>VLOOKUP(TABLA_PRECIOS_LISTBOX[Código],LISTADO_PRODUCTOS[#All],5)</f>
        <v>N/A</v>
      </c>
      <c r="D53" s="13">
        <f>VLOOKUP(TABLA_PRECIOS_LISTBOX[[#This Row],[Código]],TABLA_PRECIOS[#All],6)</f>
        <v>1</v>
      </c>
      <c r="E53" s="28">
        <f>VLOOKUP(TABLA_PRECIOS_LISTBOX[[#This Row],[Código]],TABLA_PRECIOS[#All],7)</f>
        <v>1</v>
      </c>
      <c r="F53" s="32">
        <f>VLOOKUP(TABLA_PRECIOS_LISTBOX[[#This Row],[Código]],TABLA_PRECIOS[#All],8)</f>
        <v>1</v>
      </c>
      <c r="G53" s="9">
        <f>VLOOKUP(TABLA_PRECIOS_LISTBOX[[#This Row],[Código]],TABLA_PRECIOS[#All],10)</f>
        <v>0</v>
      </c>
    </row>
    <row r="54" spans="1:7" ht="12" customHeight="1" x14ac:dyDescent="0.3">
      <c r="A54" s="4">
        <v>1062</v>
      </c>
      <c r="B54" s="6" t="str">
        <f>VLOOKUP(TABLA_PRECIOS_LISTBOX[Código],LISTADO_PRODUCTOS[#All],4)</f>
        <v>Repuesto A4 Husares 96h - 7792564060837</v>
      </c>
      <c r="C54" s="6" t="str">
        <f>VLOOKUP(TABLA_PRECIOS_LISTBOX[Código],LISTADO_PRODUCTOS[#All],5)</f>
        <v>N/A</v>
      </c>
      <c r="D54" s="13">
        <f>VLOOKUP(TABLA_PRECIOS_LISTBOX[[#This Row],[Código]],TABLA_PRECIOS[#All],6)</f>
        <v>1</v>
      </c>
      <c r="E54" s="28">
        <f>VLOOKUP(TABLA_PRECIOS_LISTBOX[[#This Row],[Código]],TABLA_PRECIOS[#All],7)</f>
        <v>1</v>
      </c>
      <c r="F54" s="32">
        <f>VLOOKUP(TABLA_PRECIOS_LISTBOX[[#This Row],[Código]],TABLA_PRECIOS[#All],8)</f>
        <v>1</v>
      </c>
      <c r="G54" s="9">
        <f>VLOOKUP(TABLA_PRECIOS_LISTBOX[[#This Row],[Código]],TABLA_PRECIOS[#All],10)</f>
        <v>0</v>
      </c>
    </row>
    <row r="55" spans="1:7" ht="12" customHeight="1" x14ac:dyDescent="0.3">
      <c r="A55" s="4">
        <v>1063</v>
      </c>
      <c r="B55" s="6" t="str">
        <f>VLOOKUP(TABLA_PRECIOS_LISTBOX[Código],LISTADO_PRODUCTOS[#All],4)</f>
        <v>Repuesto escolar N°3 Husares x 96h</v>
      </c>
      <c r="C55" s="6" t="str">
        <f>VLOOKUP(TABLA_PRECIOS_LISTBOX[Código],LISTADO_PRODUCTOS[#All],5)</f>
        <v>N/A</v>
      </c>
      <c r="D55" s="13">
        <f>VLOOKUP(TABLA_PRECIOS_LISTBOX[[#This Row],[Código]],TABLA_PRECIOS[#All],6)</f>
        <v>1</v>
      </c>
      <c r="E55" s="28">
        <f>VLOOKUP(TABLA_PRECIOS_LISTBOX[[#This Row],[Código]],TABLA_PRECIOS[#All],7)</f>
        <v>1</v>
      </c>
      <c r="F55" s="32">
        <f>VLOOKUP(TABLA_PRECIOS_LISTBOX[[#This Row],[Código]],TABLA_PRECIOS[#All],8)</f>
        <v>1</v>
      </c>
      <c r="G55" s="9">
        <f>VLOOKUP(TABLA_PRECIOS_LISTBOX[[#This Row],[Código]],TABLA_PRECIOS[#All],10)</f>
        <v>0</v>
      </c>
    </row>
    <row r="56" spans="1:7" ht="12" customHeight="1" x14ac:dyDescent="0.3">
      <c r="A56" s="4">
        <v>1064</v>
      </c>
      <c r="B56" s="6" t="str">
        <f>VLOOKUP(TABLA_PRECIOS_LISTBOX[Código],LISTADO_PRODUCTOS[#All],4)</f>
        <v>Repuesto Nº6 Canson Luma Blanco</v>
      </c>
      <c r="C56" s="6" t="str">
        <f>VLOOKUP(TABLA_PRECIOS_LISTBOX[Código],LISTADO_PRODUCTOS[#All],5)</f>
        <v>N/A</v>
      </c>
      <c r="D56" s="13">
        <f>VLOOKUP(TABLA_PRECIOS_LISTBOX[[#This Row],[Código]],TABLA_PRECIOS[#All],6)</f>
        <v>1</v>
      </c>
      <c r="E56" s="28">
        <f>VLOOKUP(TABLA_PRECIOS_LISTBOX[[#This Row],[Código]],TABLA_PRECIOS[#All],7)</f>
        <v>1</v>
      </c>
      <c r="F56" s="32">
        <f>VLOOKUP(TABLA_PRECIOS_LISTBOX[[#This Row],[Código]],TABLA_PRECIOS[#All],8)</f>
        <v>1</v>
      </c>
      <c r="G56" s="9">
        <f>VLOOKUP(TABLA_PRECIOS_LISTBOX[[#This Row],[Código]],TABLA_PRECIOS[#All],10)</f>
        <v>0</v>
      </c>
    </row>
    <row r="57" spans="1:7" ht="12" customHeight="1" x14ac:dyDescent="0.3">
      <c r="A57" s="4">
        <v>1065</v>
      </c>
      <c r="B57" s="6" t="str">
        <f>VLOOKUP(TABLA_PRECIOS_LISTBOX[Código],LISTADO_PRODUCTOS[#All],4)</f>
        <v>Repuesto Nº5 Canson Luma Blanco</v>
      </c>
      <c r="C57" s="6" t="str">
        <f>VLOOKUP(TABLA_PRECIOS_LISTBOX[Código],LISTADO_PRODUCTOS[#All],5)</f>
        <v>N/A</v>
      </c>
      <c r="D57" s="13">
        <f>VLOOKUP(TABLA_PRECIOS_LISTBOX[[#This Row],[Código]],TABLA_PRECIOS[#All],6)</f>
        <v>1</v>
      </c>
      <c r="E57" s="28">
        <f>VLOOKUP(TABLA_PRECIOS_LISTBOX[[#This Row],[Código]],TABLA_PRECIOS[#All],7)</f>
        <v>1</v>
      </c>
      <c r="F57" s="32">
        <f>VLOOKUP(TABLA_PRECIOS_LISTBOX[[#This Row],[Código]],TABLA_PRECIOS[#All],8)</f>
        <v>1</v>
      </c>
      <c r="G57" s="9">
        <f>VLOOKUP(TABLA_PRECIOS_LISTBOX[[#This Row],[Código]],TABLA_PRECIOS[#All],10)</f>
        <v>0</v>
      </c>
    </row>
    <row r="58" spans="1:7" ht="12" customHeight="1" x14ac:dyDescent="0.3">
      <c r="A58" s="4">
        <v>1066</v>
      </c>
      <c r="B58" s="6" t="str">
        <f>VLOOKUP(TABLA_PRECIOS_LISTBOX[Código],LISTADO_PRODUCTOS[#All],4)</f>
        <v>Repuesto Nº3 Canson Luma Blanco</v>
      </c>
      <c r="C58" s="6" t="str">
        <f>VLOOKUP(TABLA_PRECIOS_LISTBOX[Código],LISTADO_PRODUCTOS[#All],5)</f>
        <v>N/A</v>
      </c>
      <c r="D58" s="13">
        <f>VLOOKUP(TABLA_PRECIOS_LISTBOX[[#This Row],[Código]],TABLA_PRECIOS[#All],6)</f>
        <v>1</v>
      </c>
      <c r="E58" s="28">
        <f>VLOOKUP(TABLA_PRECIOS_LISTBOX[[#This Row],[Código]],TABLA_PRECIOS[#All],7)</f>
        <v>1</v>
      </c>
      <c r="F58" s="32">
        <f>VLOOKUP(TABLA_PRECIOS_LISTBOX[[#This Row],[Código]],TABLA_PRECIOS[#All],8)</f>
        <v>1</v>
      </c>
      <c r="G58" s="9">
        <f>VLOOKUP(TABLA_PRECIOS_LISTBOX[[#This Row],[Código]],TABLA_PRECIOS[#All],10)</f>
        <v>0</v>
      </c>
    </row>
    <row r="59" spans="1:7" ht="12" customHeight="1" x14ac:dyDescent="0.3">
      <c r="A59" s="4">
        <v>1067</v>
      </c>
      <c r="B59" s="6" t="str">
        <f>VLOOKUP(TABLA_PRECIOS_LISTBOX[Código],LISTADO_PRODUCTOS[#All],4)</f>
        <v>Repuesto Nº5 Canson Luma Color</v>
      </c>
      <c r="C59" s="6" t="str">
        <f>VLOOKUP(TABLA_PRECIOS_LISTBOX[Código],LISTADO_PRODUCTOS[#All],5)</f>
        <v>N/A</v>
      </c>
      <c r="D59" s="13">
        <f>VLOOKUP(TABLA_PRECIOS_LISTBOX[[#This Row],[Código]],TABLA_PRECIOS[#All],6)</f>
        <v>1</v>
      </c>
      <c r="E59" s="28">
        <f>VLOOKUP(TABLA_PRECIOS_LISTBOX[[#This Row],[Código]],TABLA_PRECIOS[#All],7)</f>
        <v>1</v>
      </c>
      <c r="F59" s="32">
        <f>VLOOKUP(TABLA_PRECIOS_LISTBOX[[#This Row],[Código]],TABLA_PRECIOS[#All],8)</f>
        <v>1</v>
      </c>
      <c r="G59" s="9">
        <f>VLOOKUP(TABLA_PRECIOS_LISTBOX[[#This Row],[Código]],TABLA_PRECIOS[#All],10)</f>
        <v>0</v>
      </c>
    </row>
    <row r="60" spans="1:7" ht="12" customHeight="1" x14ac:dyDescent="0.3">
      <c r="A60" s="4">
        <v>1068</v>
      </c>
      <c r="B60" s="6" t="str">
        <f>VLOOKUP(TABLA_PRECIOS_LISTBOX[Código],LISTADO_PRODUCTOS[#All],4)</f>
        <v>Repuesto Nº3 Canson Luma Color</v>
      </c>
      <c r="C60" s="6" t="str">
        <f>VLOOKUP(TABLA_PRECIOS_LISTBOX[Código],LISTADO_PRODUCTOS[#All],5)</f>
        <v>N/A</v>
      </c>
      <c r="D60" s="13">
        <f>VLOOKUP(TABLA_PRECIOS_LISTBOX[[#This Row],[Código]],TABLA_PRECIOS[#All],6)</f>
        <v>1</v>
      </c>
      <c r="E60" s="28">
        <f>VLOOKUP(TABLA_PRECIOS_LISTBOX[[#This Row],[Código]],TABLA_PRECIOS[#All],7)</f>
        <v>1</v>
      </c>
      <c r="F60" s="32">
        <f>VLOOKUP(TABLA_PRECIOS_LISTBOX[[#This Row],[Código]],TABLA_PRECIOS[#All],8)</f>
        <v>1</v>
      </c>
      <c r="G60" s="9">
        <f>VLOOKUP(TABLA_PRECIOS_LISTBOX[[#This Row],[Código]],TABLA_PRECIOS[#All],10)</f>
        <v>0</v>
      </c>
    </row>
    <row r="61" spans="1:7" ht="12" customHeight="1" x14ac:dyDescent="0.3">
      <c r="A61" s="4">
        <v>1069</v>
      </c>
      <c r="B61" s="6" t="str">
        <f>VLOOKUP(TABLA_PRECIOS_LISTBOX[Código],LISTADO_PRODUCTOS[#All],4)</f>
        <v>Repuesto Nº5 Canson Luma Negro</v>
      </c>
      <c r="C61" s="6" t="str">
        <f>VLOOKUP(TABLA_PRECIOS_LISTBOX[Código],LISTADO_PRODUCTOS[#All],5)</f>
        <v>N/A</v>
      </c>
      <c r="D61" s="13">
        <f>VLOOKUP(TABLA_PRECIOS_LISTBOX[[#This Row],[Código]],TABLA_PRECIOS[#All],6)</f>
        <v>1</v>
      </c>
      <c r="E61" s="28">
        <f>VLOOKUP(TABLA_PRECIOS_LISTBOX[[#This Row],[Código]],TABLA_PRECIOS[#All],7)</f>
        <v>1</v>
      </c>
      <c r="F61" s="32">
        <f>VLOOKUP(TABLA_PRECIOS_LISTBOX[[#This Row],[Código]],TABLA_PRECIOS[#All],8)</f>
        <v>1</v>
      </c>
      <c r="G61" s="9">
        <f>VLOOKUP(TABLA_PRECIOS_LISTBOX[[#This Row],[Código]],TABLA_PRECIOS[#All],10)</f>
        <v>0</v>
      </c>
    </row>
    <row r="62" spans="1:7" ht="12" customHeight="1" x14ac:dyDescent="0.3">
      <c r="A62" s="4">
        <v>1070</v>
      </c>
      <c r="B62" s="6" t="str">
        <f>VLOOKUP(TABLA_PRECIOS_LISTBOX[Código],LISTADO_PRODUCTOS[#All],4)</f>
        <v>Repuesto Nº3 Canson Luma Negro</v>
      </c>
      <c r="C62" s="6" t="str">
        <f>VLOOKUP(TABLA_PRECIOS_LISTBOX[Código],LISTADO_PRODUCTOS[#All],5)</f>
        <v>N/A</v>
      </c>
      <c r="D62" s="13">
        <f>VLOOKUP(TABLA_PRECIOS_LISTBOX[[#This Row],[Código]],TABLA_PRECIOS[#All],6)</f>
        <v>1</v>
      </c>
      <c r="E62" s="28">
        <f>VLOOKUP(TABLA_PRECIOS_LISTBOX[[#This Row],[Código]],TABLA_PRECIOS[#All],7)</f>
        <v>1</v>
      </c>
      <c r="F62" s="32">
        <f>VLOOKUP(TABLA_PRECIOS_LISTBOX[[#This Row],[Código]],TABLA_PRECIOS[#All],8)</f>
        <v>1</v>
      </c>
      <c r="G62" s="9">
        <f>VLOOKUP(TABLA_PRECIOS_LISTBOX[[#This Row],[Código]],TABLA_PRECIOS[#All],10)</f>
        <v>0</v>
      </c>
    </row>
    <row r="63" spans="1:7" ht="12" customHeight="1" x14ac:dyDescent="0.3">
      <c r="A63" s="4">
        <v>1071</v>
      </c>
      <c r="B63" s="6" t="str">
        <f>VLOOKUP(TABLA_PRECIOS_LISTBOX[Código],LISTADO_PRODUCTOS[#All],4)</f>
        <v>Repuesto Nº5 Calcar Luma</v>
      </c>
      <c r="C63" s="6" t="str">
        <f>VLOOKUP(TABLA_PRECIOS_LISTBOX[Código],LISTADO_PRODUCTOS[#All],5)</f>
        <v>N/A</v>
      </c>
      <c r="D63" s="13">
        <f>VLOOKUP(TABLA_PRECIOS_LISTBOX[[#This Row],[Código]],TABLA_PRECIOS[#All],6)</f>
        <v>1</v>
      </c>
      <c r="E63" s="28">
        <f>VLOOKUP(TABLA_PRECIOS_LISTBOX[[#This Row],[Código]],TABLA_PRECIOS[#All],7)</f>
        <v>1</v>
      </c>
      <c r="F63" s="32">
        <f>VLOOKUP(TABLA_PRECIOS_LISTBOX[[#This Row],[Código]],TABLA_PRECIOS[#All],8)</f>
        <v>1</v>
      </c>
      <c r="G63" s="9">
        <f>VLOOKUP(TABLA_PRECIOS_LISTBOX[[#This Row],[Código]],TABLA_PRECIOS[#All],10)</f>
        <v>0</v>
      </c>
    </row>
    <row r="64" spans="1:7" ht="12" customHeight="1" x14ac:dyDescent="0.3">
      <c r="A64" s="4">
        <v>1072</v>
      </c>
      <c r="B64" s="6" t="str">
        <f>VLOOKUP(TABLA_PRECIOS_LISTBOX[Código],LISTADO_PRODUCTOS[#All],4)</f>
        <v>Repuesto Nº3 Calcar Luma</v>
      </c>
      <c r="C64" s="6" t="str">
        <f>VLOOKUP(TABLA_PRECIOS_LISTBOX[Código],LISTADO_PRODUCTOS[#All],5)</f>
        <v>N/A</v>
      </c>
      <c r="D64" s="13">
        <f>VLOOKUP(TABLA_PRECIOS_LISTBOX[[#This Row],[Código]],TABLA_PRECIOS[#All],6)</f>
        <v>1</v>
      </c>
      <c r="E64" s="28">
        <f>VLOOKUP(TABLA_PRECIOS_LISTBOX[[#This Row],[Código]],TABLA_PRECIOS[#All],7)</f>
        <v>1</v>
      </c>
      <c r="F64" s="32">
        <f>VLOOKUP(TABLA_PRECIOS_LISTBOX[[#This Row],[Código]],TABLA_PRECIOS[#All],8)</f>
        <v>1</v>
      </c>
      <c r="G64" s="9">
        <f>VLOOKUP(TABLA_PRECIOS_LISTBOX[[#This Row],[Código]],TABLA_PRECIOS[#All],10)</f>
        <v>0</v>
      </c>
    </row>
    <row r="65" spans="1:7" ht="12" customHeight="1" x14ac:dyDescent="0.3">
      <c r="A65" s="4">
        <v>1073</v>
      </c>
      <c r="B65" s="6" t="str">
        <f>VLOOKUP(TABLA_PRECIOS_LISTBOX[Código],LISTADO_PRODUCTOS[#All],4)</f>
        <v>Carpeta escolar Nº3 colores y dibujos lindos Mooving</v>
      </c>
      <c r="C65" s="6" t="str">
        <f>VLOOKUP(TABLA_PRECIOS_LISTBOX[Código],LISTADO_PRODUCTOS[#All],5)</f>
        <v>N/A</v>
      </c>
      <c r="D65" s="13">
        <f>VLOOKUP(TABLA_PRECIOS_LISTBOX[[#This Row],[Código]],TABLA_PRECIOS[#All],6)</f>
        <v>1</v>
      </c>
      <c r="E65" s="28">
        <f>VLOOKUP(TABLA_PRECIOS_LISTBOX[[#This Row],[Código]],TABLA_PRECIOS[#All],7)</f>
        <v>1</v>
      </c>
      <c r="F65" s="32">
        <f>VLOOKUP(TABLA_PRECIOS_LISTBOX[[#This Row],[Código]],TABLA_PRECIOS[#All],8)</f>
        <v>1</v>
      </c>
      <c r="G65" s="9">
        <f>VLOOKUP(TABLA_PRECIOS_LISTBOX[[#This Row],[Código]],TABLA_PRECIOS[#All],10)</f>
        <v>0</v>
      </c>
    </row>
    <row r="66" spans="1:7" ht="12" customHeight="1" x14ac:dyDescent="0.3">
      <c r="A66" s="4">
        <v>1074</v>
      </c>
      <c r="B66" s="6" t="str">
        <f>VLOOKUP(TABLA_PRECIOS_LISTBOX[Código],LISTADO_PRODUCTOS[#All],4)</f>
        <v>Carpeta Nº3 Neon 2020</v>
      </c>
      <c r="C66" s="6" t="str">
        <f>VLOOKUP(TABLA_PRECIOS_LISTBOX[Código],LISTADO_PRODUCTOS[#All],5)</f>
        <v>N/A</v>
      </c>
      <c r="D66" s="13">
        <f>VLOOKUP(TABLA_PRECIOS_LISTBOX[[#This Row],[Código]],TABLA_PRECIOS[#All],6)</f>
        <v>1</v>
      </c>
      <c r="E66" s="28">
        <f>VLOOKUP(TABLA_PRECIOS_LISTBOX[[#This Row],[Código]],TABLA_PRECIOS[#All],7)</f>
        <v>1</v>
      </c>
      <c r="F66" s="32">
        <f>VLOOKUP(TABLA_PRECIOS_LISTBOX[[#This Row],[Código]],TABLA_PRECIOS[#All],8)</f>
        <v>1</v>
      </c>
      <c r="G66" s="9">
        <f>VLOOKUP(TABLA_PRECIOS_LISTBOX[[#This Row],[Código]],TABLA_PRECIOS[#All],10)</f>
        <v>0</v>
      </c>
    </row>
    <row r="67" spans="1:7" ht="12" customHeight="1" x14ac:dyDescent="0.3">
      <c r="A67" s="4">
        <v>1075</v>
      </c>
      <c r="B67" s="6" t="str">
        <f>VLOOKUP(TABLA_PRECIOS_LISTBOX[Código],LISTADO_PRODUCTOS[#All],4)</f>
        <v>Carpeta Nº3 Jurasic Park</v>
      </c>
      <c r="C67" s="6" t="str">
        <f>VLOOKUP(TABLA_PRECIOS_LISTBOX[Código],LISTADO_PRODUCTOS[#All],5)</f>
        <v>N/A</v>
      </c>
      <c r="D67" s="13">
        <f>VLOOKUP(TABLA_PRECIOS_LISTBOX[[#This Row],[Código]],TABLA_PRECIOS[#All],6)</f>
        <v>1</v>
      </c>
      <c r="E67" s="28">
        <f>VLOOKUP(TABLA_PRECIOS_LISTBOX[[#This Row],[Código]],TABLA_PRECIOS[#All],7)</f>
        <v>1</v>
      </c>
      <c r="F67" s="32">
        <f>VLOOKUP(TABLA_PRECIOS_LISTBOX[[#This Row],[Código]],TABLA_PRECIOS[#All],8)</f>
        <v>1</v>
      </c>
      <c r="G67" s="9">
        <f>VLOOKUP(TABLA_PRECIOS_LISTBOX[[#This Row],[Código]],TABLA_PRECIOS[#All],10)</f>
        <v>0</v>
      </c>
    </row>
    <row r="68" spans="1:7" ht="12" customHeight="1" x14ac:dyDescent="0.3">
      <c r="A68" s="4">
        <v>1076</v>
      </c>
      <c r="B68" s="6" t="str">
        <f>VLOOKUP(TABLA_PRECIOS_LISTBOX[Código],LISTADO_PRODUCTOS[#All],4)</f>
        <v>Carpeta Nº3 3aros diseño zapatilla linea snakers Ito 2020</v>
      </c>
      <c r="C68" s="6" t="str">
        <f>VLOOKUP(TABLA_PRECIOS_LISTBOX[Código],LISTADO_PRODUCTOS[#All],5)</f>
        <v>N/A</v>
      </c>
      <c r="D68" s="13">
        <f>VLOOKUP(TABLA_PRECIOS_LISTBOX[[#This Row],[Código]],TABLA_PRECIOS[#All],6)</f>
        <v>1</v>
      </c>
      <c r="E68" s="28">
        <f>VLOOKUP(TABLA_PRECIOS_LISTBOX[[#This Row],[Código]],TABLA_PRECIOS[#All],7)</f>
        <v>1</v>
      </c>
      <c r="F68" s="32">
        <f>VLOOKUP(TABLA_PRECIOS_LISTBOX[[#This Row],[Código]],TABLA_PRECIOS[#All],8)</f>
        <v>1</v>
      </c>
      <c r="G68" s="9">
        <f>VLOOKUP(TABLA_PRECIOS_LISTBOX[[#This Row],[Código]],TABLA_PRECIOS[#All],10)</f>
        <v>0</v>
      </c>
    </row>
    <row r="69" spans="1:7" ht="12" customHeight="1" x14ac:dyDescent="0.3">
      <c r="A69" s="4">
        <v>1077</v>
      </c>
      <c r="B69" s="6" t="str">
        <f>VLOOKUP(TABLA_PRECIOS_LISTBOX[Código],LISTADO_PRODUCTOS[#All],4)</f>
        <v>Carpeta Nº3 isofit forrada lisa</v>
      </c>
      <c r="C69" s="6" t="str">
        <f>VLOOKUP(TABLA_PRECIOS_LISTBOX[Código],LISTADO_PRODUCTOS[#All],5)</f>
        <v>N/A</v>
      </c>
      <c r="D69" s="13">
        <f>VLOOKUP(TABLA_PRECIOS_LISTBOX[[#This Row],[Código]],TABLA_PRECIOS[#All],6)</f>
        <v>1</v>
      </c>
      <c r="E69" s="28">
        <f>VLOOKUP(TABLA_PRECIOS_LISTBOX[[#This Row],[Código]],TABLA_PRECIOS[#All],7)</f>
        <v>1</v>
      </c>
      <c r="F69" s="32">
        <f>VLOOKUP(TABLA_PRECIOS_LISTBOX[[#This Row],[Código]],TABLA_PRECIOS[#All],8)</f>
        <v>1</v>
      </c>
      <c r="G69" s="9">
        <f>VLOOKUP(TABLA_PRECIOS_LISTBOX[[#This Row],[Código]],TABLA_PRECIOS[#All],10)</f>
        <v>0</v>
      </c>
    </row>
    <row r="70" spans="1:7" ht="12" customHeight="1" x14ac:dyDescent="0.3">
      <c r="A70" s="4">
        <v>1078</v>
      </c>
      <c r="B70" s="6" t="str">
        <f>VLOOKUP(TABLA_PRECIOS_LISTBOX[Código],LISTADO_PRODUCTOS[#All],4)</f>
        <v>Carpeta Nº3 Rivadavia C/Çhojas</v>
      </c>
      <c r="C70" s="6" t="str">
        <f>VLOOKUP(TABLA_PRECIOS_LISTBOX[Código],LISTADO_PRODUCTOS[#All],5)</f>
        <v>N/A</v>
      </c>
      <c r="D70" s="13">
        <f>VLOOKUP(TABLA_PRECIOS_LISTBOX[[#This Row],[Código]],TABLA_PRECIOS[#All],6)</f>
        <v>1</v>
      </c>
      <c r="E70" s="28">
        <f>VLOOKUP(TABLA_PRECIOS_LISTBOX[[#This Row],[Código]],TABLA_PRECIOS[#All],7)</f>
        <v>1</v>
      </c>
      <c r="F70" s="32">
        <f>VLOOKUP(TABLA_PRECIOS_LISTBOX[[#This Row],[Código]],TABLA_PRECIOS[#All],8)</f>
        <v>1</v>
      </c>
      <c r="G70" s="9">
        <f>VLOOKUP(TABLA_PRECIOS_LISTBOX[[#This Row],[Código]],TABLA_PRECIOS[#All],10)</f>
        <v>0</v>
      </c>
    </row>
    <row r="71" spans="1:7" ht="12" customHeight="1" x14ac:dyDescent="0.3">
      <c r="A71" s="4">
        <v>1079</v>
      </c>
      <c r="B71" s="6" t="str">
        <f>VLOOKUP(TABLA_PRECIOS_LISTBOX[Código],LISTADO_PRODUCTOS[#All],4)</f>
        <v>Carpeta escolar Nº3 Util-off Mia / Love</v>
      </c>
      <c r="C71" s="6" t="str">
        <f>VLOOKUP(TABLA_PRECIOS_LISTBOX[Código],LISTADO_PRODUCTOS[#All],5)</f>
        <v>N/A</v>
      </c>
      <c r="D71" s="13">
        <f>VLOOKUP(TABLA_PRECIOS_LISTBOX[[#This Row],[Código]],TABLA_PRECIOS[#All],6)</f>
        <v>1</v>
      </c>
      <c r="E71" s="28">
        <f>VLOOKUP(TABLA_PRECIOS_LISTBOX[[#This Row],[Código]],TABLA_PRECIOS[#All],7)</f>
        <v>1</v>
      </c>
      <c r="F71" s="32">
        <f>VLOOKUP(TABLA_PRECIOS_LISTBOX[[#This Row],[Código]],TABLA_PRECIOS[#All],8)</f>
        <v>1</v>
      </c>
      <c r="G71" s="9">
        <f>VLOOKUP(TABLA_PRECIOS_LISTBOX[[#This Row],[Código]],TABLA_PRECIOS[#All],10)</f>
        <v>0</v>
      </c>
    </row>
    <row r="72" spans="1:7" ht="12" customHeight="1" x14ac:dyDescent="0.3">
      <c r="A72" s="4">
        <v>1080</v>
      </c>
      <c r="B72" s="6" t="str">
        <f>VLOOKUP(TABLA_PRECIOS_LISTBOX[Código],LISTADO_PRODUCTOS[#All],4)</f>
        <v>Carpeta Dibujo Nº3 3aros (Se entrega con aros OTA 35mm)</v>
      </c>
      <c r="C72" s="6" t="str">
        <f>VLOOKUP(TABLA_PRECIOS_LISTBOX[Código],LISTADO_PRODUCTOS[#All],5)</f>
        <v>N/A</v>
      </c>
      <c r="D72" s="13">
        <f>VLOOKUP(TABLA_PRECIOS_LISTBOX[[#This Row],[Código]],TABLA_PRECIOS[#All],6)</f>
        <v>1</v>
      </c>
      <c r="E72" s="28">
        <f>VLOOKUP(TABLA_PRECIOS_LISTBOX[[#This Row],[Código]],TABLA_PRECIOS[#All],7)</f>
        <v>1</v>
      </c>
      <c r="F72" s="32">
        <f>VLOOKUP(TABLA_PRECIOS_LISTBOX[[#This Row],[Código]],TABLA_PRECIOS[#All],8)</f>
        <v>1</v>
      </c>
      <c r="G72" s="9">
        <f>VLOOKUP(TABLA_PRECIOS_LISTBOX[[#This Row],[Código]],TABLA_PRECIOS[#All],10)</f>
        <v>0</v>
      </c>
    </row>
    <row r="73" spans="1:7" ht="12" customHeight="1" x14ac:dyDescent="0.3">
      <c r="A73" s="4">
        <v>1081</v>
      </c>
      <c r="B73" s="6" t="str">
        <f>VLOOKUP(TABLA_PRECIOS_LISTBOX[Código],LISTADO_PRODUCTOS[#All],4)</f>
        <v>Carpeta Avery esquela 3 anillos small format</v>
      </c>
      <c r="C73" s="6" t="str">
        <f>VLOOKUP(TABLA_PRECIOS_LISTBOX[Código],LISTADO_PRODUCTOS[#All],5)</f>
        <v>N/A</v>
      </c>
      <c r="D73" s="13">
        <f>VLOOKUP(TABLA_PRECIOS_LISTBOX[[#This Row],[Código]],TABLA_PRECIOS[#All],6)</f>
        <v>1</v>
      </c>
      <c r="E73" s="28">
        <f>VLOOKUP(TABLA_PRECIOS_LISTBOX[[#This Row],[Código]],TABLA_PRECIOS[#All],7)</f>
        <v>1</v>
      </c>
      <c r="F73" s="32">
        <f>VLOOKUP(TABLA_PRECIOS_LISTBOX[[#This Row],[Código]],TABLA_PRECIOS[#All],8)</f>
        <v>1</v>
      </c>
      <c r="G73" s="9">
        <f>VLOOKUP(TABLA_PRECIOS_LISTBOX[[#This Row],[Código]],TABLA_PRECIOS[#All],10)</f>
        <v>0</v>
      </c>
    </row>
    <row r="74" spans="1:7" ht="12" customHeight="1" x14ac:dyDescent="0.3">
      <c r="A74" s="4">
        <v>1082</v>
      </c>
      <c r="B74" s="6" t="str">
        <f>VLOOKUP(TABLA_PRECIOS_LISTBOX[Código],LISTADO_PRODUCTOS[#All],4)</f>
        <v>Cuaderno Nº3 Triunfante lunares x 50h</v>
      </c>
      <c r="C74" s="6" t="str">
        <f>VLOOKUP(TABLA_PRECIOS_LISTBOX[Código],LISTADO_PRODUCTOS[#All],5)</f>
        <v>N/A</v>
      </c>
      <c r="D74" s="13">
        <f>VLOOKUP(TABLA_PRECIOS_LISTBOX[[#This Row],[Código]],TABLA_PRECIOS[#All],6)</f>
        <v>1</v>
      </c>
      <c r="E74" s="28">
        <f>VLOOKUP(TABLA_PRECIOS_LISTBOX[[#This Row],[Código]],TABLA_PRECIOS[#All],7)</f>
        <v>1</v>
      </c>
      <c r="F74" s="32">
        <f>VLOOKUP(TABLA_PRECIOS_LISTBOX[[#This Row],[Código]],TABLA_PRECIOS[#All],8)</f>
        <v>1</v>
      </c>
      <c r="G74" s="9">
        <f>VLOOKUP(TABLA_PRECIOS_LISTBOX[[#This Row],[Código]],TABLA_PRECIOS[#All],10)</f>
        <v>0</v>
      </c>
    </row>
    <row r="75" spans="1:7" ht="12" customHeight="1" x14ac:dyDescent="0.3">
      <c r="A75" s="4">
        <v>1083</v>
      </c>
      <c r="B75" s="6" t="str">
        <f>VLOOKUP(TABLA_PRECIOS_LISTBOX[Código],LISTADO_PRODUCTOS[#All],4)</f>
        <v>Carpeta Nº5 mooving / camaron brujo / rexon / ink-drop  c/aros</v>
      </c>
      <c r="C75" s="6" t="str">
        <f>VLOOKUP(TABLA_PRECIOS_LISTBOX[Código],LISTADO_PRODUCTOS[#All],5)</f>
        <v>N/A</v>
      </c>
      <c r="D75" s="13">
        <f>VLOOKUP(TABLA_PRECIOS_LISTBOX[[#This Row],[Código]],TABLA_PRECIOS[#All],6)</f>
        <v>1</v>
      </c>
      <c r="E75" s="28">
        <f>VLOOKUP(TABLA_PRECIOS_LISTBOX[[#This Row],[Código]],TABLA_PRECIOS[#All],7)</f>
        <v>1</v>
      </c>
      <c r="F75" s="32">
        <f>VLOOKUP(TABLA_PRECIOS_LISTBOX[[#This Row],[Código]],TABLA_PRECIOS[#All],8)</f>
        <v>1</v>
      </c>
      <c r="G75" s="9">
        <f>VLOOKUP(TABLA_PRECIOS_LISTBOX[[#This Row],[Código]],TABLA_PRECIOS[#All],10)</f>
        <v>0</v>
      </c>
    </row>
    <row r="76" spans="1:7" ht="12" customHeight="1" x14ac:dyDescent="0.3">
      <c r="A76" s="4">
        <v>1084</v>
      </c>
      <c r="B76" s="6" t="str">
        <f>VLOOKUP(TABLA_PRECIOS_LISTBOX[Código],LISTADO_PRODUCTOS[#All],4)</f>
        <v>Carpeta Nº5 el nene c/aros y hojas</v>
      </c>
      <c r="C76" s="6" t="str">
        <f>VLOOKUP(TABLA_PRECIOS_LISTBOX[Código],LISTADO_PRODUCTOS[#All],5)</f>
        <v>N/A</v>
      </c>
      <c r="D76" s="13">
        <f>VLOOKUP(TABLA_PRECIOS_LISTBOX[[#This Row],[Código]],TABLA_PRECIOS[#All],6)</f>
        <v>1</v>
      </c>
      <c r="E76" s="28">
        <f>VLOOKUP(TABLA_PRECIOS_LISTBOX[[#This Row],[Código]],TABLA_PRECIOS[#All],7)</f>
        <v>1</v>
      </c>
      <c r="F76" s="32">
        <f>VLOOKUP(TABLA_PRECIOS_LISTBOX[[#This Row],[Código]],TABLA_PRECIOS[#All],8)</f>
        <v>1</v>
      </c>
      <c r="G76" s="9">
        <f>VLOOKUP(TABLA_PRECIOS_LISTBOX[[#This Row],[Código]],TABLA_PRECIOS[#All],10)</f>
        <v>0</v>
      </c>
    </row>
    <row r="77" spans="1:7" ht="12" customHeight="1" x14ac:dyDescent="0.3">
      <c r="A77" s="4">
        <v>1085</v>
      </c>
      <c r="B77" s="6" t="str">
        <f>VLOOKUP(TABLA_PRECIOS_LISTBOX[Código],LISTADO_PRODUCTOS[#All],4)</f>
        <v>Carpeta Nº5 C/Relieve</v>
      </c>
      <c r="C77" s="6" t="str">
        <f>VLOOKUP(TABLA_PRECIOS_LISTBOX[Código],LISTADO_PRODUCTOS[#All],5)</f>
        <v>N/A</v>
      </c>
      <c r="D77" s="13">
        <f>VLOOKUP(TABLA_PRECIOS_LISTBOX[[#This Row],[Código]],TABLA_PRECIOS[#All],6)</f>
        <v>1</v>
      </c>
      <c r="E77" s="28">
        <f>VLOOKUP(TABLA_PRECIOS_LISTBOX[[#This Row],[Código]],TABLA_PRECIOS[#All],7)</f>
        <v>1</v>
      </c>
      <c r="F77" s="32">
        <f>VLOOKUP(TABLA_PRECIOS_LISTBOX[[#This Row],[Código]],TABLA_PRECIOS[#All],8)</f>
        <v>1</v>
      </c>
      <c r="G77" s="9">
        <f>VLOOKUP(TABLA_PRECIOS_LISTBOX[[#This Row],[Código]],TABLA_PRECIOS[#All],10)</f>
        <v>0</v>
      </c>
    </row>
    <row r="78" spans="1:7" ht="12" customHeight="1" x14ac:dyDescent="0.3">
      <c r="A78" s="4">
        <v>1086</v>
      </c>
      <c r="B78" s="6" t="str">
        <f>VLOOKUP(TABLA_PRECIOS_LISTBOX[Código],LISTADO_PRODUCTOS[#All],4)</f>
        <v>Carpeta Nº5 Lavable</v>
      </c>
      <c r="C78" s="6" t="str">
        <f>VLOOKUP(TABLA_PRECIOS_LISTBOX[Código],LISTADO_PRODUCTOS[#All],5)</f>
        <v>N/A</v>
      </c>
      <c r="D78" s="13">
        <f>VLOOKUP(TABLA_PRECIOS_LISTBOX[[#This Row],[Código]],TABLA_PRECIOS[#All],6)</f>
        <v>1</v>
      </c>
      <c r="E78" s="28">
        <f>VLOOKUP(TABLA_PRECIOS_LISTBOX[[#This Row],[Código]],TABLA_PRECIOS[#All],7)</f>
        <v>1</v>
      </c>
      <c r="F78" s="32">
        <f>VLOOKUP(TABLA_PRECIOS_LISTBOX[[#This Row],[Código]],TABLA_PRECIOS[#All],8)</f>
        <v>1</v>
      </c>
      <c r="G78" s="9">
        <f>VLOOKUP(TABLA_PRECIOS_LISTBOX[[#This Row],[Código]],TABLA_PRECIOS[#All],10)</f>
        <v>0</v>
      </c>
    </row>
    <row r="79" spans="1:7" ht="12" customHeight="1" x14ac:dyDescent="0.3">
      <c r="A79" s="4">
        <v>1087</v>
      </c>
      <c r="B79" s="6" t="str">
        <f>VLOOKUP(TABLA_PRECIOS_LISTBOX[Código],LISTADO_PRODUCTOS[#All],4)</f>
        <v>Carpeta 3 Solapas Mot. Varios</v>
      </c>
      <c r="C79" s="6" t="str">
        <f>VLOOKUP(TABLA_PRECIOS_LISTBOX[Código],LISTADO_PRODUCTOS[#All],5)</f>
        <v>N/A</v>
      </c>
      <c r="D79" s="13">
        <f>VLOOKUP(TABLA_PRECIOS_LISTBOX[[#This Row],[Código]],TABLA_PRECIOS[#All],6)</f>
        <v>1</v>
      </c>
      <c r="E79" s="28">
        <f>VLOOKUP(TABLA_PRECIOS_LISTBOX[[#This Row],[Código]],TABLA_PRECIOS[#All],7)</f>
        <v>1</v>
      </c>
      <c r="F79" s="32">
        <f>VLOOKUP(TABLA_PRECIOS_LISTBOX[[#This Row],[Código]],TABLA_PRECIOS[#All],8)</f>
        <v>1</v>
      </c>
      <c r="G79" s="9">
        <f>VLOOKUP(TABLA_PRECIOS_LISTBOX[[#This Row],[Código]],TABLA_PRECIOS[#All],10)</f>
        <v>0</v>
      </c>
    </row>
    <row r="80" spans="1:7" ht="12" customHeight="1" x14ac:dyDescent="0.3">
      <c r="A80" s="4">
        <v>1088</v>
      </c>
      <c r="B80" s="6" t="str">
        <f>VLOOKUP(TABLA_PRECIOS_LISTBOX[Código],LISTADO_PRODUCTOS[#All],4)</f>
        <v>Carpeta 3 Solapas Comun</v>
      </c>
      <c r="C80" s="6" t="str">
        <f>VLOOKUP(TABLA_PRECIOS_LISTBOX[Código],LISTADO_PRODUCTOS[#All],5)</f>
        <v>N/A</v>
      </c>
      <c r="D80" s="13">
        <f>VLOOKUP(TABLA_PRECIOS_LISTBOX[[#This Row],[Código]],TABLA_PRECIOS[#All],6)</f>
        <v>1</v>
      </c>
      <c r="E80" s="28">
        <f>VLOOKUP(TABLA_PRECIOS_LISTBOX[[#This Row],[Código]],TABLA_PRECIOS[#All],7)</f>
        <v>1</v>
      </c>
      <c r="F80" s="32">
        <f>VLOOKUP(TABLA_PRECIOS_LISTBOX[[#This Row],[Código]],TABLA_PRECIOS[#All],8)</f>
        <v>1</v>
      </c>
      <c r="G80" s="9">
        <f>VLOOKUP(TABLA_PRECIOS_LISTBOX[[#This Row],[Código]],TABLA_PRECIOS[#All],10)</f>
        <v>0</v>
      </c>
    </row>
    <row r="81" spans="1:7" ht="12" customHeight="1" x14ac:dyDescent="0.3">
      <c r="A81" s="4">
        <v>1089</v>
      </c>
      <c r="B81" s="6" t="str">
        <f>VLOOKUP(TABLA_PRECIOS_LISTBOX[Código],LISTADO_PRODUCTOS[#All],4)</f>
        <v>Carpeta 3 solapas 35 x 50 Rivadavia</v>
      </c>
      <c r="C81" s="6" t="str">
        <f>VLOOKUP(TABLA_PRECIOS_LISTBOX[Código],LISTADO_PRODUCTOS[#All],5)</f>
        <v>N/A</v>
      </c>
      <c r="D81" s="13">
        <f>VLOOKUP(TABLA_PRECIOS_LISTBOX[[#This Row],[Código]],TABLA_PRECIOS[#All],6)</f>
        <v>1</v>
      </c>
      <c r="E81" s="28">
        <f>VLOOKUP(TABLA_PRECIOS_LISTBOX[[#This Row],[Código]],TABLA_PRECIOS[#All],7)</f>
        <v>1</v>
      </c>
      <c r="F81" s="32">
        <f>VLOOKUP(TABLA_PRECIOS_LISTBOX[[#This Row],[Código]],TABLA_PRECIOS[#All],8)</f>
        <v>1</v>
      </c>
      <c r="G81" s="9">
        <f>VLOOKUP(TABLA_PRECIOS_LISTBOX[[#This Row],[Código]],TABLA_PRECIOS[#All],10)</f>
        <v>0</v>
      </c>
    </row>
    <row r="82" spans="1:7" ht="12" customHeight="1" x14ac:dyDescent="0.3">
      <c r="A82" s="4">
        <v>1090</v>
      </c>
      <c r="B82" s="6" t="str">
        <f>VLOOKUP(TABLA_PRECIOS_LISTBOX[Código],LISTADO_PRODUCTOS[#All],4)</f>
        <v>Carpeta Fibra 35 x 50</v>
      </c>
      <c r="C82" s="6" t="str">
        <f>VLOOKUP(TABLA_PRECIOS_LISTBOX[Código],LISTADO_PRODUCTOS[#All],5)</f>
        <v>N/A</v>
      </c>
      <c r="D82" s="13">
        <f>VLOOKUP(TABLA_PRECIOS_LISTBOX[[#This Row],[Código]],TABLA_PRECIOS[#All],6)</f>
        <v>1</v>
      </c>
      <c r="E82" s="28">
        <f>VLOOKUP(TABLA_PRECIOS_LISTBOX[[#This Row],[Código]],TABLA_PRECIOS[#All],7)</f>
        <v>1</v>
      </c>
      <c r="F82" s="32">
        <f>VLOOKUP(TABLA_PRECIOS_LISTBOX[[#This Row],[Código]],TABLA_PRECIOS[#All],8)</f>
        <v>1</v>
      </c>
      <c r="G82" s="9">
        <f>VLOOKUP(TABLA_PRECIOS_LISTBOX[[#This Row],[Código]],TABLA_PRECIOS[#All],10)</f>
        <v>0</v>
      </c>
    </row>
    <row r="83" spans="1:7" ht="12" customHeight="1" x14ac:dyDescent="0.3">
      <c r="A83" s="4">
        <v>1091</v>
      </c>
      <c r="B83" s="6" t="str">
        <f>VLOOKUP(TABLA_PRECIOS_LISTBOX[Código],LISTADO_PRODUCTOS[#All],4)</f>
        <v>Repuesto Canson N°5 Luma FLUO</v>
      </c>
      <c r="C83" s="6" t="str">
        <f>VLOOKUP(TABLA_PRECIOS_LISTBOX[Código],LISTADO_PRODUCTOS[#All],5)</f>
        <v>N/A</v>
      </c>
      <c r="D83" s="13">
        <f>VLOOKUP(TABLA_PRECIOS_LISTBOX[[#This Row],[Código]],TABLA_PRECIOS[#All],6)</f>
        <v>1</v>
      </c>
      <c r="E83" s="28">
        <f>VLOOKUP(TABLA_PRECIOS_LISTBOX[[#This Row],[Código]],TABLA_PRECIOS[#All],7)</f>
        <v>1</v>
      </c>
      <c r="F83" s="32">
        <f>VLOOKUP(TABLA_PRECIOS_LISTBOX[[#This Row],[Código]],TABLA_PRECIOS[#All],8)</f>
        <v>1</v>
      </c>
      <c r="G83" s="9">
        <f>VLOOKUP(TABLA_PRECIOS_LISTBOX[[#This Row],[Código]],TABLA_PRECIOS[#All],10)</f>
        <v>0</v>
      </c>
    </row>
    <row r="84" spans="1:7" ht="12" customHeight="1" x14ac:dyDescent="0.3">
      <c r="A84" s="4">
        <v>1092</v>
      </c>
      <c r="B84" s="6" t="str">
        <f>VLOOKUP(TABLA_PRECIOS_LISTBOX[Código],LISTADO_PRODUCTOS[#All],4)</f>
        <v>Carpeta A4 Arte Benito/Barsky/Elisa/Milagros c/repuesto</v>
      </c>
      <c r="C84" s="6" t="str">
        <f>VLOOKUP(TABLA_PRECIOS_LISTBOX[Código],LISTADO_PRODUCTOS[#All],5)</f>
        <v>N/A</v>
      </c>
      <c r="D84" s="13">
        <f>VLOOKUP(TABLA_PRECIOS_LISTBOX[[#This Row],[Código]],TABLA_PRECIOS[#All],6)</f>
        <v>1</v>
      </c>
      <c r="E84" s="28">
        <f>VLOOKUP(TABLA_PRECIOS_LISTBOX[[#This Row],[Código]],TABLA_PRECIOS[#All],7)</f>
        <v>1</v>
      </c>
      <c r="F84" s="32">
        <f>VLOOKUP(TABLA_PRECIOS_LISTBOX[[#This Row],[Código]],TABLA_PRECIOS[#All],8)</f>
        <v>1</v>
      </c>
      <c r="G84" s="9">
        <f>VLOOKUP(TABLA_PRECIOS_LISTBOX[[#This Row],[Código]],TABLA_PRECIOS[#All],10)</f>
        <v>0</v>
      </c>
    </row>
    <row r="85" spans="1:7" ht="12" customHeight="1" x14ac:dyDescent="0.3">
      <c r="A85" s="4">
        <v>1093</v>
      </c>
      <c r="B85" s="6" t="str">
        <f>VLOOKUP(TABLA_PRECIOS_LISTBOX[Código],LISTADO_PRODUCTOS[#All],4)</f>
        <v>Carpeta A4 Rivadavia c/repuesto x96hray y 48h cuad + separadores</v>
      </c>
      <c r="C85" s="6" t="str">
        <f>VLOOKUP(TABLA_PRECIOS_LISTBOX[Código],LISTADO_PRODUCTOS[#All],5)</f>
        <v>N/A</v>
      </c>
      <c r="D85" s="13">
        <f>VLOOKUP(TABLA_PRECIOS_LISTBOX[[#This Row],[Código]],TABLA_PRECIOS[#All],6)</f>
        <v>1</v>
      </c>
      <c r="E85" s="28">
        <f>VLOOKUP(TABLA_PRECIOS_LISTBOX[[#This Row],[Código]],TABLA_PRECIOS[#All],7)</f>
        <v>1</v>
      </c>
      <c r="F85" s="32">
        <f>VLOOKUP(TABLA_PRECIOS_LISTBOX[[#This Row],[Código]],TABLA_PRECIOS[#All],8)</f>
        <v>1</v>
      </c>
      <c r="G85" s="9">
        <f>VLOOKUP(TABLA_PRECIOS_LISTBOX[[#This Row],[Código]],TABLA_PRECIOS[#All],10)</f>
        <v>0</v>
      </c>
    </row>
    <row r="86" spans="1:7" ht="12" customHeight="1" x14ac:dyDescent="0.3">
      <c r="A86" s="4">
        <v>1094</v>
      </c>
      <c r="B86" s="6" t="str">
        <f>VLOOKUP(TABLA_PRECIOS_LISTBOX[Código],LISTADO_PRODUCTOS[#All],4)</f>
        <v>Carpeta A4 Arte Clip/Bloom/barsky/benito c/repuesto</v>
      </c>
      <c r="C86" s="6" t="str">
        <f>VLOOKUP(TABLA_PRECIOS_LISTBOX[Código],LISTADO_PRODUCTOS[#All],5)</f>
        <v>N/A</v>
      </c>
      <c r="D86" s="13">
        <f>VLOOKUP(TABLA_PRECIOS_LISTBOX[[#This Row],[Código]],TABLA_PRECIOS[#All],6)</f>
        <v>1</v>
      </c>
      <c r="E86" s="28">
        <f>VLOOKUP(TABLA_PRECIOS_LISTBOX[[#This Row],[Código]],TABLA_PRECIOS[#All],7)</f>
        <v>1</v>
      </c>
      <c r="F86" s="32">
        <f>VLOOKUP(TABLA_PRECIOS_LISTBOX[[#This Row],[Código]],TABLA_PRECIOS[#All],8)</f>
        <v>1</v>
      </c>
      <c r="G86" s="9">
        <f>VLOOKUP(TABLA_PRECIOS_LISTBOX[[#This Row],[Código]],TABLA_PRECIOS[#All],10)</f>
        <v>0</v>
      </c>
    </row>
    <row r="87" spans="1:7" ht="12" customHeight="1" x14ac:dyDescent="0.3">
      <c r="A87" s="4">
        <v>1095</v>
      </c>
      <c r="B87" s="6" t="str">
        <f>VLOOKUP(TABLA_PRECIOS_LISTBOX[Código],LISTADO_PRODUCTOS[#All],4)</f>
        <v>Marcador Maped Color Peps Duo Stamp</v>
      </c>
      <c r="C87" s="6" t="str">
        <f>VLOOKUP(TABLA_PRECIOS_LISTBOX[Código],LISTADO_PRODUCTOS[#All],5)</f>
        <v>N/A</v>
      </c>
      <c r="D87" s="13">
        <f>VLOOKUP(TABLA_PRECIOS_LISTBOX[[#This Row],[Código]],TABLA_PRECIOS[#All],6)</f>
        <v>1</v>
      </c>
      <c r="E87" s="28">
        <f>VLOOKUP(TABLA_PRECIOS_LISTBOX[[#This Row],[Código]],TABLA_PRECIOS[#All],7)</f>
        <v>1</v>
      </c>
      <c r="F87" s="32">
        <f>VLOOKUP(TABLA_PRECIOS_LISTBOX[[#This Row],[Código]],TABLA_PRECIOS[#All],8)</f>
        <v>1</v>
      </c>
      <c r="G87" s="9">
        <f>VLOOKUP(TABLA_PRECIOS_LISTBOX[[#This Row],[Código]],TABLA_PRECIOS[#All],10)</f>
        <v>0</v>
      </c>
    </row>
    <row r="88" spans="1:7" ht="12" customHeight="1" x14ac:dyDescent="0.3">
      <c r="A88" s="4">
        <v>1098</v>
      </c>
      <c r="B88" s="6" t="str">
        <f>VLOOKUP(TABLA_PRECIOS_LISTBOX[Código],LISTADO_PRODUCTOS[#All],4)</f>
        <v>Crayon Pizzini x 6u Art. 9206</v>
      </c>
      <c r="C88" s="6" t="str">
        <f>VLOOKUP(TABLA_PRECIOS_LISTBOX[Código],LISTADO_PRODUCTOS[#All],5)</f>
        <v>N/A</v>
      </c>
      <c r="D88" s="13">
        <f>VLOOKUP(TABLA_PRECIOS_LISTBOX[[#This Row],[Código]],TABLA_PRECIOS[#All],6)</f>
        <v>1</v>
      </c>
      <c r="E88" s="28">
        <f>VLOOKUP(TABLA_PRECIOS_LISTBOX[[#This Row],[Código]],TABLA_PRECIOS[#All],7)</f>
        <v>1</v>
      </c>
      <c r="F88" s="32">
        <f>VLOOKUP(TABLA_PRECIOS_LISTBOX[[#This Row],[Código]],TABLA_PRECIOS[#All],8)</f>
        <v>1</v>
      </c>
      <c r="G88" s="9">
        <f>VLOOKUP(TABLA_PRECIOS_LISTBOX[[#This Row],[Código]],TABLA_PRECIOS[#All],10)</f>
        <v>0</v>
      </c>
    </row>
    <row r="89" spans="1:7" ht="12" customHeight="1" x14ac:dyDescent="0.3">
      <c r="A89" s="4">
        <v>1099</v>
      </c>
      <c r="B89" s="6" t="str">
        <f>VLOOKUP(TABLA_PRECIOS_LISTBOX[Código],LISTADO_PRODUCTOS[#All],4)</f>
        <v>Block de dibujo Luma/triunfante Nº5 20/24 hojas color</v>
      </c>
      <c r="C89" s="6" t="str">
        <f>VLOOKUP(TABLA_PRECIOS_LISTBOX[Código],LISTADO_PRODUCTOS[#All],5)</f>
        <v>N/A</v>
      </c>
      <c r="D89" s="13">
        <f>VLOOKUP(TABLA_PRECIOS_LISTBOX[[#This Row],[Código]],TABLA_PRECIOS[#All],6)</f>
        <v>1</v>
      </c>
      <c r="E89" s="28">
        <f>VLOOKUP(TABLA_PRECIOS_LISTBOX[[#This Row],[Código]],TABLA_PRECIOS[#All],7)</f>
        <v>1</v>
      </c>
      <c r="F89" s="32">
        <f>VLOOKUP(TABLA_PRECIOS_LISTBOX[[#This Row],[Código]],TABLA_PRECIOS[#All],8)</f>
        <v>1</v>
      </c>
      <c r="G89" s="9">
        <f>VLOOKUP(TABLA_PRECIOS_LISTBOX[[#This Row],[Código]],TABLA_PRECIOS[#All],10)</f>
        <v>0</v>
      </c>
    </row>
    <row r="90" spans="1:7" ht="12" customHeight="1" x14ac:dyDescent="0.3">
      <c r="A90" s="4">
        <v>1100</v>
      </c>
      <c r="B90" s="6" t="str">
        <f>VLOOKUP(TABLA_PRECIOS_LISTBOX[Código],LISTADO_PRODUCTOS[#All],4)</f>
        <v>Micro Tank pen 0,7</v>
      </c>
      <c r="C90" s="6" t="str">
        <f>VLOOKUP(TABLA_PRECIOS_LISTBOX[Código],LISTADO_PRODUCTOS[#All],5)</f>
        <v>N/A</v>
      </c>
      <c r="D90" s="13">
        <f>VLOOKUP(TABLA_PRECIOS_LISTBOX[[#This Row],[Código]],TABLA_PRECIOS[#All],6)</f>
        <v>1</v>
      </c>
      <c r="E90" s="28">
        <f>VLOOKUP(TABLA_PRECIOS_LISTBOX[[#This Row],[Código]],TABLA_PRECIOS[#All],7)</f>
        <v>1</v>
      </c>
      <c r="F90" s="32">
        <f>VLOOKUP(TABLA_PRECIOS_LISTBOX[[#This Row],[Código]],TABLA_PRECIOS[#All],8)</f>
        <v>1</v>
      </c>
      <c r="G90" s="9">
        <f>VLOOKUP(TABLA_PRECIOS_LISTBOX[[#This Row],[Código]],TABLA_PRECIOS[#All],10)</f>
        <v>0</v>
      </c>
    </row>
    <row r="91" spans="1:7" ht="12" customHeight="1" x14ac:dyDescent="0.3">
      <c r="A91" s="4">
        <v>1101</v>
      </c>
      <c r="B91" s="6" t="str">
        <f>VLOOKUP(TABLA_PRECIOS_LISTBOX[Código],LISTADO_PRODUCTOS[#All],4)</f>
        <v>Toyo Max 0,7</v>
      </c>
      <c r="C91" s="6" t="str">
        <f>VLOOKUP(TABLA_PRECIOS_LISTBOX[Código],LISTADO_PRODUCTOS[#All],5)</f>
        <v>N/A</v>
      </c>
      <c r="D91" s="13">
        <f>VLOOKUP(TABLA_PRECIOS_LISTBOX[[#This Row],[Código]],TABLA_PRECIOS[#All],6)</f>
        <v>1</v>
      </c>
      <c r="E91" s="28">
        <f>VLOOKUP(TABLA_PRECIOS_LISTBOX[[#This Row],[Código]],TABLA_PRECIOS[#All],7)</f>
        <v>1</v>
      </c>
      <c r="F91" s="32">
        <f>VLOOKUP(TABLA_PRECIOS_LISTBOX[[#This Row],[Código]],TABLA_PRECIOS[#All],8)</f>
        <v>1</v>
      </c>
      <c r="G91" s="9">
        <f>VLOOKUP(TABLA_PRECIOS_LISTBOX[[#This Row],[Código]],TABLA_PRECIOS[#All],10)</f>
        <v>0</v>
      </c>
    </row>
    <row r="92" spans="1:7" ht="12" customHeight="1" x14ac:dyDescent="0.3">
      <c r="A92" s="4">
        <v>1102</v>
      </c>
      <c r="B92" s="6" t="str">
        <f>VLOOKUP(TABLA_PRECIOS_LISTBOX[Código],LISTADO_PRODUCTOS[#All],4)</f>
        <v>Boligrafo Bic Grip</v>
      </c>
      <c r="C92" s="6" t="str">
        <f>VLOOKUP(TABLA_PRECIOS_LISTBOX[Código],LISTADO_PRODUCTOS[#All],5)</f>
        <v>N/A</v>
      </c>
      <c r="D92" s="13">
        <f>VLOOKUP(TABLA_PRECIOS_LISTBOX[[#This Row],[Código]],TABLA_PRECIOS[#All],6)</f>
        <v>56</v>
      </c>
      <c r="E92" s="28">
        <f>VLOOKUP(TABLA_PRECIOS_LISTBOX[[#This Row],[Código]],TABLA_PRECIOS[#All],7)</f>
        <v>140</v>
      </c>
      <c r="F92" s="32">
        <f>VLOOKUP(TABLA_PRECIOS_LISTBOX[[#This Row],[Código]],TABLA_PRECIOS[#All],8)</f>
        <v>60</v>
      </c>
      <c r="G92" s="9" t="str">
        <f>VLOOKUP(TABLA_PRECIOS_LISTBOX[[#This Row],[Código]],TABLA_PRECIOS[#All],10)</f>
        <v>18/07/2023</v>
      </c>
    </row>
    <row r="93" spans="1:7" ht="12" customHeight="1" x14ac:dyDescent="0.3">
      <c r="A93" s="4">
        <v>1103</v>
      </c>
      <c r="B93" s="6" t="str">
        <f>VLOOKUP(TABLA_PRECIOS_LISTBOX[Código],LISTADO_PRODUCTOS[#All],4)</f>
        <v>Boligrafo Paper Mate Kilometrico 300RT</v>
      </c>
      <c r="C93" s="6" t="str">
        <f>VLOOKUP(TABLA_PRECIOS_LISTBOX[Código],LISTADO_PRODUCTOS[#All],5)</f>
        <v>N/A</v>
      </c>
      <c r="D93" s="13">
        <f>VLOOKUP(TABLA_PRECIOS_LISTBOX[[#This Row],[Código]],TABLA_PRECIOS[#All],6)</f>
        <v>1</v>
      </c>
      <c r="E93" s="28">
        <f>VLOOKUP(TABLA_PRECIOS_LISTBOX[[#This Row],[Código]],TABLA_PRECIOS[#All],7)</f>
        <v>1</v>
      </c>
      <c r="F93" s="32">
        <f>VLOOKUP(TABLA_PRECIOS_LISTBOX[[#This Row],[Código]],TABLA_PRECIOS[#All],8)</f>
        <v>1</v>
      </c>
      <c r="G93" s="9">
        <f>VLOOKUP(TABLA_PRECIOS_LISTBOX[[#This Row],[Código]],TABLA_PRECIOS[#All],10)</f>
        <v>0</v>
      </c>
    </row>
    <row r="94" spans="1:7" ht="12" customHeight="1" x14ac:dyDescent="0.3">
      <c r="A94" s="4">
        <v>1104</v>
      </c>
      <c r="B94" s="6" t="str">
        <f>VLOOKUP(TABLA_PRECIOS_LISTBOX[Código],LISTADO_PRODUCTOS[#All],4)</f>
        <v>Boligrafo Bic Cristal fina 2x $300</v>
      </c>
      <c r="C94" s="6" t="str">
        <f>VLOOKUP(TABLA_PRECIOS_LISTBOX[Código],LISTADO_PRODUCTOS[#All],5)</f>
        <v>N/A</v>
      </c>
      <c r="D94" s="13">
        <f>VLOOKUP(TABLA_PRECIOS_LISTBOX[[#This Row],[Código]],TABLA_PRECIOS[#All],6)</f>
        <v>1</v>
      </c>
      <c r="E94" s="28">
        <f>VLOOKUP(TABLA_PRECIOS_LISTBOX[[#This Row],[Código]],TABLA_PRECIOS[#All],7)</f>
        <v>1</v>
      </c>
      <c r="F94" s="32">
        <f>VLOOKUP(TABLA_PRECIOS_LISTBOX[[#This Row],[Código]],TABLA_PRECIOS[#All],8)</f>
        <v>1</v>
      </c>
      <c r="G94" s="9">
        <f>VLOOKUP(TABLA_PRECIOS_LISTBOX[[#This Row],[Código]],TABLA_PRECIOS[#All],10)</f>
        <v>0</v>
      </c>
    </row>
    <row r="95" spans="1:7" ht="12" customHeight="1" x14ac:dyDescent="0.3">
      <c r="A95" s="4">
        <v>1105</v>
      </c>
      <c r="B95" s="6" t="str">
        <f>VLOOKUP(TABLA_PRECIOS_LISTBOX[Código],LISTADO_PRODUCTOS[#All],4)</f>
        <v>Boligrafo Bic Cristal</v>
      </c>
      <c r="C95" s="6" t="str">
        <f>VLOOKUP(TABLA_PRECIOS_LISTBOX[Código],LISTADO_PRODUCTOS[#All],5)</f>
        <v>N/A</v>
      </c>
      <c r="D95" s="13">
        <f>VLOOKUP(TABLA_PRECIOS_LISTBOX[[#This Row],[Código]],TABLA_PRECIOS[#All],6)</f>
        <v>1</v>
      </c>
      <c r="E95" s="28">
        <f>VLOOKUP(TABLA_PRECIOS_LISTBOX[[#This Row],[Código]],TABLA_PRECIOS[#All],7)</f>
        <v>1</v>
      </c>
      <c r="F95" s="32">
        <f>VLOOKUP(TABLA_PRECIOS_LISTBOX[[#This Row],[Código]],TABLA_PRECIOS[#All],8)</f>
        <v>1</v>
      </c>
      <c r="G95" s="9">
        <f>VLOOKUP(TABLA_PRECIOS_LISTBOX[[#This Row],[Código]],TABLA_PRECIOS[#All],10)</f>
        <v>0</v>
      </c>
    </row>
    <row r="96" spans="1:7" ht="12" customHeight="1" x14ac:dyDescent="0.3">
      <c r="A96" s="4">
        <v>1107</v>
      </c>
      <c r="B96" s="6" t="str">
        <f>VLOOKUP(TABLA_PRECIOS_LISTBOX[Código],LISTADO_PRODUCTOS[#All],4)</f>
        <v>Boligrafo Faber Trilux 3 x $300</v>
      </c>
      <c r="C96" s="6" t="str">
        <f>VLOOKUP(TABLA_PRECIOS_LISTBOX[Código],LISTADO_PRODUCTOS[#All],5)</f>
        <v>N/A</v>
      </c>
      <c r="D96" s="13">
        <f>VLOOKUP(TABLA_PRECIOS_LISTBOX[[#This Row],[Código]],TABLA_PRECIOS[#All],6)</f>
        <v>1</v>
      </c>
      <c r="E96" s="28">
        <f>VLOOKUP(TABLA_PRECIOS_LISTBOX[[#This Row],[Código]],TABLA_PRECIOS[#All],7)</f>
        <v>1</v>
      </c>
      <c r="F96" s="32">
        <f>VLOOKUP(TABLA_PRECIOS_LISTBOX[[#This Row],[Código]],TABLA_PRECIOS[#All],8)</f>
        <v>1</v>
      </c>
      <c r="G96" s="9">
        <f>VLOOKUP(TABLA_PRECIOS_LISTBOX[[#This Row],[Código]],TABLA_PRECIOS[#All],10)</f>
        <v>0</v>
      </c>
    </row>
    <row r="97" spans="1:7" ht="12" customHeight="1" x14ac:dyDescent="0.3">
      <c r="A97" s="4">
        <v>1108</v>
      </c>
      <c r="B97" s="6" t="str">
        <f>VLOOKUP(TABLA_PRECIOS_LISTBOX[Código],LISTADO_PRODUCTOS[#All],4)</f>
        <v>Boligrafo Bic opaco 2 x $300</v>
      </c>
      <c r="C97" s="6" t="str">
        <f>VLOOKUP(TABLA_PRECIOS_LISTBOX[Código],LISTADO_PRODUCTOS[#All],5)</f>
        <v>N/A</v>
      </c>
      <c r="D97" s="13">
        <f>VLOOKUP(TABLA_PRECIOS_LISTBOX[[#This Row],[Código]],TABLA_PRECIOS[#All],6)</f>
        <v>1</v>
      </c>
      <c r="E97" s="28">
        <f>VLOOKUP(TABLA_PRECIOS_LISTBOX[[#This Row],[Código]],TABLA_PRECIOS[#All],7)</f>
        <v>1</v>
      </c>
      <c r="F97" s="32">
        <f>VLOOKUP(TABLA_PRECIOS_LISTBOX[[#This Row],[Código]],TABLA_PRECIOS[#All],8)</f>
        <v>1</v>
      </c>
      <c r="G97" s="9">
        <f>VLOOKUP(TABLA_PRECIOS_LISTBOX[[#This Row],[Código]],TABLA_PRECIOS[#All],10)</f>
        <v>0</v>
      </c>
    </row>
    <row r="98" spans="1:7" ht="12" customHeight="1" x14ac:dyDescent="0.3">
      <c r="A98" s="4">
        <v>1109</v>
      </c>
      <c r="B98" s="6" t="str">
        <f>VLOOKUP(TABLA_PRECIOS_LISTBOX[Código],LISTADO_PRODUCTOS[#All],4)</f>
        <v>Boligrafo Bic Vive</v>
      </c>
      <c r="C98" s="6" t="str">
        <f>VLOOKUP(TABLA_PRECIOS_LISTBOX[Código],LISTADO_PRODUCTOS[#All],5)</f>
        <v>N/A</v>
      </c>
      <c r="D98" s="13">
        <f>VLOOKUP(TABLA_PRECIOS_LISTBOX[[#This Row],[Código]],TABLA_PRECIOS[#All],6)</f>
        <v>1</v>
      </c>
      <c r="E98" s="28">
        <f>VLOOKUP(TABLA_PRECIOS_LISTBOX[[#This Row],[Código]],TABLA_PRECIOS[#All],7)</f>
        <v>1</v>
      </c>
      <c r="F98" s="32">
        <f>VLOOKUP(TABLA_PRECIOS_LISTBOX[[#This Row],[Código]],TABLA_PRECIOS[#All],8)</f>
        <v>1</v>
      </c>
      <c r="G98" s="9">
        <f>VLOOKUP(TABLA_PRECIOS_LISTBOX[[#This Row],[Código]],TABLA_PRECIOS[#All],10)</f>
        <v>0</v>
      </c>
    </row>
    <row r="99" spans="1:7" ht="12" customHeight="1" x14ac:dyDescent="0.3">
      <c r="A99" s="4">
        <v>1110</v>
      </c>
      <c r="B99" s="6" t="str">
        <f>VLOOKUP(TABLA_PRECIOS_LISTBOX[Código],LISTADO_PRODUCTOS[#All],4)</f>
        <v>Boligrafo Bic Shimmer 2 x $300</v>
      </c>
      <c r="C99" s="6" t="str">
        <f>VLOOKUP(TABLA_PRECIOS_LISTBOX[Código],LISTADO_PRODUCTOS[#All],5)</f>
        <v>N/A</v>
      </c>
      <c r="D99" s="13">
        <f>VLOOKUP(TABLA_PRECIOS_LISTBOX[[#This Row],[Código]],TABLA_PRECIOS[#All],6)</f>
        <v>1</v>
      </c>
      <c r="E99" s="28">
        <f>VLOOKUP(TABLA_PRECIOS_LISTBOX[[#This Row],[Código]],TABLA_PRECIOS[#All],7)</f>
        <v>1</v>
      </c>
      <c r="F99" s="32">
        <f>VLOOKUP(TABLA_PRECIOS_LISTBOX[[#This Row],[Código]],TABLA_PRECIOS[#All],8)</f>
        <v>1</v>
      </c>
      <c r="G99" s="9">
        <f>VLOOKUP(TABLA_PRECIOS_LISTBOX[[#This Row],[Código]],TABLA_PRECIOS[#All],10)</f>
        <v>0</v>
      </c>
    </row>
    <row r="100" spans="1:7" ht="12" customHeight="1" x14ac:dyDescent="0.3">
      <c r="A100" s="4">
        <v>1111</v>
      </c>
      <c r="B100" s="6" t="str">
        <f>VLOOKUP(TABLA_PRECIOS_LISTBOX[Código],LISTADO_PRODUCTOS[#All],4)</f>
        <v>Boligrafo Bic Opaco fina</v>
      </c>
      <c r="C100" s="6" t="str">
        <f>VLOOKUP(TABLA_PRECIOS_LISTBOX[Código],LISTADO_PRODUCTOS[#All],5)</f>
        <v>N/A</v>
      </c>
      <c r="D100" s="13">
        <f>VLOOKUP(TABLA_PRECIOS_LISTBOX[[#This Row],[Código]],TABLA_PRECIOS[#All],6)</f>
        <v>1</v>
      </c>
      <c r="E100" s="28">
        <f>VLOOKUP(TABLA_PRECIOS_LISTBOX[[#This Row],[Código]],TABLA_PRECIOS[#All],7)</f>
        <v>1</v>
      </c>
      <c r="F100" s="32">
        <f>VLOOKUP(TABLA_PRECIOS_LISTBOX[[#This Row],[Código]],TABLA_PRECIOS[#All],8)</f>
        <v>1</v>
      </c>
      <c r="G100" s="9">
        <f>VLOOKUP(TABLA_PRECIOS_LISTBOX[[#This Row],[Código]],TABLA_PRECIOS[#All],10)</f>
        <v>0</v>
      </c>
    </row>
    <row r="101" spans="1:7" ht="12" customHeight="1" x14ac:dyDescent="0.3">
      <c r="A101" s="4">
        <v>1112</v>
      </c>
      <c r="B101" s="6" t="str">
        <f>VLOOKUP(TABLA_PRECIOS_LISTBOX[Código],LISTADO_PRODUCTOS[#All],4)</f>
        <v>Boligrafo Bic Bold</v>
      </c>
      <c r="C101" s="6" t="str">
        <f>VLOOKUP(TABLA_PRECIOS_LISTBOX[Código],LISTADO_PRODUCTOS[#All],5)</f>
        <v>N/A</v>
      </c>
      <c r="D101" s="13">
        <f>VLOOKUP(TABLA_PRECIOS_LISTBOX[[#This Row],[Código]],TABLA_PRECIOS[#All],6)</f>
        <v>1</v>
      </c>
      <c r="E101" s="28">
        <f>VLOOKUP(TABLA_PRECIOS_LISTBOX[[#This Row],[Código]],TABLA_PRECIOS[#All],7)</f>
        <v>1</v>
      </c>
      <c r="F101" s="32">
        <f>VLOOKUP(TABLA_PRECIOS_LISTBOX[[#This Row],[Código]],TABLA_PRECIOS[#All],8)</f>
        <v>1</v>
      </c>
      <c r="G101" s="9">
        <f>VLOOKUP(TABLA_PRECIOS_LISTBOX[[#This Row],[Código]],TABLA_PRECIOS[#All],10)</f>
        <v>0</v>
      </c>
    </row>
    <row r="102" spans="1:7" ht="12" customHeight="1" x14ac:dyDescent="0.3">
      <c r="A102" s="4">
        <v>1113</v>
      </c>
      <c r="B102" s="6" t="str">
        <f>VLOOKUP(TABLA_PRECIOS_LISTBOX[Código],LISTADO_PRODUCTOS[#All],4)</f>
        <v>Roller Bic Gripp</v>
      </c>
      <c r="C102" s="6" t="str">
        <f>VLOOKUP(TABLA_PRECIOS_LISTBOX[Código],LISTADO_PRODUCTOS[#All],5)</f>
        <v>N/A</v>
      </c>
      <c r="D102" s="13">
        <f>VLOOKUP(TABLA_PRECIOS_LISTBOX[[#This Row],[Código]],TABLA_PRECIOS[#All],6)</f>
        <v>1</v>
      </c>
      <c r="E102" s="28">
        <f>VLOOKUP(TABLA_PRECIOS_LISTBOX[[#This Row],[Código]],TABLA_PRECIOS[#All],7)</f>
        <v>1</v>
      </c>
      <c r="F102" s="32">
        <f>VLOOKUP(TABLA_PRECIOS_LISTBOX[[#This Row],[Código]],TABLA_PRECIOS[#All],8)</f>
        <v>1</v>
      </c>
      <c r="G102" s="9">
        <f>VLOOKUP(TABLA_PRECIOS_LISTBOX[[#This Row],[Código]],TABLA_PRECIOS[#All],10)</f>
        <v>0</v>
      </c>
    </row>
    <row r="103" spans="1:7" ht="12" customHeight="1" x14ac:dyDescent="0.3">
      <c r="A103" s="4">
        <v>1114</v>
      </c>
      <c r="B103" s="6" t="str">
        <f>VLOOKUP(TABLA_PRECIOS_LISTBOX[Código],LISTADO_PRODUCTOS[#All],4)</f>
        <v>Carpeta N°3 con cordon Comunes</v>
      </c>
      <c r="C103" s="6" t="str">
        <f>VLOOKUP(TABLA_PRECIOS_LISTBOX[Código],LISTADO_PRODUCTOS[#All],5)</f>
        <v>N/A</v>
      </c>
      <c r="D103" s="13">
        <f>VLOOKUP(TABLA_PRECIOS_LISTBOX[[#This Row],[Código]],TABLA_PRECIOS[#All],6)</f>
        <v>1</v>
      </c>
      <c r="E103" s="28">
        <f>VLOOKUP(TABLA_PRECIOS_LISTBOX[[#This Row],[Código]],TABLA_PRECIOS[#All],7)</f>
        <v>1</v>
      </c>
      <c r="F103" s="32">
        <f>VLOOKUP(TABLA_PRECIOS_LISTBOX[[#This Row],[Código]],TABLA_PRECIOS[#All],8)</f>
        <v>1</v>
      </c>
      <c r="G103" s="9">
        <f>VLOOKUP(TABLA_PRECIOS_LISTBOX[[#This Row],[Código]],TABLA_PRECIOS[#All],10)</f>
        <v>0</v>
      </c>
    </row>
    <row r="104" spans="1:7" ht="12" customHeight="1" x14ac:dyDescent="0.3">
      <c r="A104" s="4">
        <v>1115</v>
      </c>
      <c r="B104" s="6" t="str">
        <f>VLOOKUP(TABLA_PRECIOS_LISTBOX[Código],LISTADO_PRODUCTOS[#All],4)</f>
        <v>Boligrafo borrable Erasermate comun</v>
      </c>
      <c r="C104" s="6" t="str">
        <f>VLOOKUP(TABLA_PRECIOS_LISTBOX[Código],LISTADO_PRODUCTOS[#All],5)</f>
        <v>N/A</v>
      </c>
      <c r="D104" s="13">
        <f>VLOOKUP(TABLA_PRECIOS_LISTBOX[[#This Row],[Código]],TABLA_PRECIOS[#All],6)</f>
        <v>1</v>
      </c>
      <c r="E104" s="28">
        <f>VLOOKUP(TABLA_PRECIOS_LISTBOX[[#This Row],[Código]],TABLA_PRECIOS[#All],7)</f>
        <v>1</v>
      </c>
      <c r="F104" s="32">
        <f>VLOOKUP(TABLA_PRECIOS_LISTBOX[[#This Row],[Código]],TABLA_PRECIOS[#All],8)</f>
        <v>1</v>
      </c>
      <c r="G104" s="9">
        <f>VLOOKUP(TABLA_PRECIOS_LISTBOX[[#This Row],[Código]],TABLA_PRECIOS[#All],10)</f>
        <v>0</v>
      </c>
    </row>
    <row r="105" spans="1:7" ht="12" customHeight="1" x14ac:dyDescent="0.3">
      <c r="A105" s="4">
        <v>1116</v>
      </c>
      <c r="B105" s="6" t="str">
        <f>VLOOKUP(TABLA_PRECIOS_LISTBOX[Código],LISTADO_PRODUCTOS[#All],4)</f>
        <v>Boligrafo Borrable OLAMI Negro</v>
      </c>
      <c r="C105" s="6" t="str">
        <f>VLOOKUP(TABLA_PRECIOS_LISTBOX[Código],LISTADO_PRODUCTOS[#All],5)</f>
        <v>N/A</v>
      </c>
      <c r="D105" s="13">
        <f>VLOOKUP(TABLA_PRECIOS_LISTBOX[[#This Row],[Código]],TABLA_PRECIOS[#All],6)</f>
        <v>1</v>
      </c>
      <c r="E105" s="28">
        <f>VLOOKUP(TABLA_PRECIOS_LISTBOX[[#This Row],[Código]],TABLA_PRECIOS[#All],7)</f>
        <v>1</v>
      </c>
      <c r="F105" s="32">
        <f>VLOOKUP(TABLA_PRECIOS_LISTBOX[[#This Row],[Código]],TABLA_PRECIOS[#All],8)</f>
        <v>1</v>
      </c>
      <c r="G105" s="9">
        <f>VLOOKUP(TABLA_PRECIOS_LISTBOX[[#This Row],[Código]],TABLA_PRECIOS[#All],10)</f>
        <v>0</v>
      </c>
    </row>
    <row r="106" spans="1:7" ht="12" customHeight="1" x14ac:dyDescent="0.3">
      <c r="A106" s="4">
        <v>1117</v>
      </c>
      <c r="B106" s="6" t="str">
        <f>VLOOKUP(TABLA_PRECIOS_LISTBOX[Código],LISTADO_PRODUCTOS[#All],4)</f>
        <v>Portaminas Filgo Real Grip 0.5</v>
      </c>
      <c r="C106" s="6" t="str">
        <f>VLOOKUP(TABLA_PRECIOS_LISTBOX[Código],LISTADO_PRODUCTOS[#All],5)</f>
        <v>N/A</v>
      </c>
      <c r="D106" s="13">
        <f>VLOOKUP(TABLA_PRECIOS_LISTBOX[[#This Row],[Código]],TABLA_PRECIOS[#All],6)</f>
        <v>1</v>
      </c>
      <c r="E106" s="28">
        <f>VLOOKUP(TABLA_PRECIOS_LISTBOX[[#This Row],[Código]],TABLA_PRECIOS[#All],7)</f>
        <v>1</v>
      </c>
      <c r="F106" s="32">
        <f>VLOOKUP(TABLA_PRECIOS_LISTBOX[[#This Row],[Código]],TABLA_PRECIOS[#All],8)</f>
        <v>1</v>
      </c>
      <c r="G106" s="9">
        <f>VLOOKUP(TABLA_PRECIOS_LISTBOX[[#This Row],[Código]],TABLA_PRECIOS[#All],10)</f>
        <v>0</v>
      </c>
    </row>
    <row r="107" spans="1:7" ht="12" customHeight="1" x14ac:dyDescent="0.3">
      <c r="A107" s="4">
        <v>1118</v>
      </c>
      <c r="B107" s="6" t="str">
        <f>VLOOKUP(TABLA_PRECIOS_LISTBOX[Código],LISTADO_PRODUCTOS[#All],4)</f>
        <v>Boligrafo Wero retractil Pastel Notes Corazon</v>
      </c>
      <c r="C107" s="6" t="str">
        <f>VLOOKUP(TABLA_PRECIOS_LISTBOX[Código],LISTADO_PRODUCTOS[#All],5)</f>
        <v>N/A</v>
      </c>
      <c r="D107" s="13">
        <f>VLOOKUP(TABLA_PRECIOS_LISTBOX[[#This Row],[Código]],TABLA_PRECIOS[#All],6)</f>
        <v>1</v>
      </c>
      <c r="E107" s="28">
        <f>VLOOKUP(TABLA_PRECIOS_LISTBOX[[#This Row],[Código]],TABLA_PRECIOS[#All],7)</f>
        <v>1</v>
      </c>
      <c r="F107" s="32">
        <f>VLOOKUP(TABLA_PRECIOS_LISTBOX[[#This Row],[Código]],TABLA_PRECIOS[#All],8)</f>
        <v>1</v>
      </c>
      <c r="G107" s="9">
        <f>VLOOKUP(TABLA_PRECIOS_LISTBOX[[#This Row],[Código]],TABLA_PRECIOS[#All],10)</f>
        <v>0</v>
      </c>
    </row>
    <row r="108" spans="1:7" ht="12" customHeight="1" x14ac:dyDescent="0.3">
      <c r="A108" s="4">
        <v>1119</v>
      </c>
      <c r="B108" s="6" t="str">
        <f>VLOOKUP(TABLA_PRECIOS_LISTBOX[Código],LISTADO_PRODUCTOS[#All],4)</f>
        <v>Boligrafo retractil pastel notes unicornio</v>
      </c>
      <c r="C108" s="6" t="str">
        <f>VLOOKUP(TABLA_PRECIOS_LISTBOX[Código],LISTADO_PRODUCTOS[#All],5)</f>
        <v>N/A</v>
      </c>
      <c r="D108" s="13">
        <f>VLOOKUP(TABLA_PRECIOS_LISTBOX[[#This Row],[Código]],TABLA_PRECIOS[#All],6)</f>
        <v>1</v>
      </c>
      <c r="E108" s="28">
        <f>VLOOKUP(TABLA_PRECIOS_LISTBOX[[#This Row],[Código]],TABLA_PRECIOS[#All],7)</f>
        <v>1</v>
      </c>
      <c r="F108" s="32">
        <f>VLOOKUP(TABLA_PRECIOS_LISTBOX[[#This Row],[Código]],TABLA_PRECIOS[#All],8)</f>
        <v>1</v>
      </c>
      <c r="G108" s="9">
        <f>VLOOKUP(TABLA_PRECIOS_LISTBOX[[#This Row],[Código]],TABLA_PRECIOS[#All],10)</f>
        <v>0</v>
      </c>
    </row>
    <row r="109" spans="1:7" ht="12" customHeight="1" x14ac:dyDescent="0.3">
      <c r="A109" s="4">
        <v>1124</v>
      </c>
      <c r="B109" s="6" t="str">
        <f>VLOOKUP(TABLA_PRECIOS_LISTBOX[Código],LISTADO_PRODUCTOS[#All],4)</f>
        <v>Portaminas Bic Clic Matic Atlantis pencil 0.5</v>
      </c>
      <c r="C109" s="6" t="str">
        <f>VLOOKUP(TABLA_PRECIOS_LISTBOX[Código],LISTADO_PRODUCTOS[#All],5)</f>
        <v>N/A</v>
      </c>
      <c r="D109" s="13">
        <f>VLOOKUP(TABLA_PRECIOS_LISTBOX[[#This Row],[Código]],TABLA_PRECIOS[#All],6)</f>
        <v>1</v>
      </c>
      <c r="E109" s="28">
        <f>VLOOKUP(TABLA_PRECIOS_LISTBOX[[#This Row],[Código]],TABLA_PRECIOS[#All],7)</f>
        <v>1</v>
      </c>
      <c r="F109" s="32">
        <f>VLOOKUP(TABLA_PRECIOS_LISTBOX[[#This Row],[Código]],TABLA_PRECIOS[#All],8)</f>
        <v>1</v>
      </c>
      <c r="G109" s="9">
        <f>VLOOKUP(TABLA_PRECIOS_LISTBOX[[#This Row],[Código]],TABLA_PRECIOS[#All],10)</f>
        <v>0</v>
      </c>
    </row>
    <row r="110" spans="1:7" ht="12" customHeight="1" x14ac:dyDescent="0.3">
      <c r="A110" s="4">
        <v>1125</v>
      </c>
      <c r="B110" s="6" t="str">
        <f>VLOOKUP(TABLA_PRECIOS_LISTBOX[Código],LISTADO_PRODUCTOS[#All],4)</f>
        <v>Minas pizzini 0.5 HB - Art. S5300HB - 7793198530079</v>
      </c>
      <c r="C110" s="6" t="str">
        <f>VLOOKUP(TABLA_PRECIOS_LISTBOX[Código],LISTADO_PRODUCTOS[#All],5)</f>
        <v>N/A</v>
      </c>
      <c r="D110" s="13">
        <f>VLOOKUP(TABLA_PRECIOS_LISTBOX[[#This Row],[Código]],TABLA_PRECIOS[#All],6)</f>
        <v>1</v>
      </c>
      <c r="E110" s="28">
        <f>VLOOKUP(TABLA_PRECIOS_LISTBOX[[#This Row],[Código]],TABLA_PRECIOS[#All],7)</f>
        <v>1</v>
      </c>
      <c r="F110" s="32">
        <f>VLOOKUP(TABLA_PRECIOS_LISTBOX[[#This Row],[Código]],TABLA_PRECIOS[#All],8)</f>
        <v>1</v>
      </c>
      <c r="G110" s="9">
        <f>VLOOKUP(TABLA_PRECIOS_LISTBOX[[#This Row],[Código]],TABLA_PRECIOS[#All],10)</f>
        <v>0</v>
      </c>
    </row>
    <row r="111" spans="1:7" ht="12" customHeight="1" x14ac:dyDescent="0.3">
      <c r="A111" s="4">
        <v>1126</v>
      </c>
      <c r="B111" s="6" t="str">
        <f>VLOOKUP(TABLA_PRECIOS_LISTBOX[Código],LISTADO_PRODUCTOS[#All],4)</f>
        <v>Minas Pizzini 0,7 HB - Art. S7300HB - 7793198730073</v>
      </c>
      <c r="C111" s="6" t="str">
        <f>VLOOKUP(TABLA_PRECIOS_LISTBOX[Código],LISTADO_PRODUCTOS[#All],5)</f>
        <v>N/A</v>
      </c>
      <c r="D111" s="13">
        <f>VLOOKUP(TABLA_PRECIOS_LISTBOX[[#This Row],[Código]],TABLA_PRECIOS[#All],6)</f>
        <v>1</v>
      </c>
      <c r="E111" s="28">
        <f>VLOOKUP(TABLA_PRECIOS_LISTBOX[[#This Row],[Código]],TABLA_PRECIOS[#All],7)</f>
        <v>1</v>
      </c>
      <c r="F111" s="32">
        <f>VLOOKUP(TABLA_PRECIOS_LISTBOX[[#This Row],[Código]],TABLA_PRECIOS[#All],8)</f>
        <v>1</v>
      </c>
      <c r="G111" s="9">
        <f>VLOOKUP(TABLA_PRECIOS_LISTBOX[[#This Row],[Código]],TABLA_PRECIOS[#All],10)</f>
        <v>0</v>
      </c>
    </row>
    <row r="112" spans="1:7" ht="12" customHeight="1" x14ac:dyDescent="0.3">
      <c r="A112" s="4">
        <v>1127</v>
      </c>
      <c r="B112" s="6" t="str">
        <f>VLOOKUP(TABLA_PRECIOS_LISTBOX[Código],LISTADO_PRODUCTOS[#All],4)</f>
        <v>Minas Faber Castell 0.5 HB</v>
      </c>
      <c r="C112" s="6" t="str">
        <f>VLOOKUP(TABLA_PRECIOS_LISTBOX[Código],LISTADO_PRODUCTOS[#All],5)</f>
        <v>N/A</v>
      </c>
      <c r="D112" s="13">
        <f>VLOOKUP(TABLA_PRECIOS_LISTBOX[[#This Row],[Código]],TABLA_PRECIOS[#All],6)</f>
        <v>1</v>
      </c>
      <c r="E112" s="28">
        <f>VLOOKUP(TABLA_PRECIOS_LISTBOX[[#This Row],[Código]],TABLA_PRECIOS[#All],7)</f>
        <v>1</v>
      </c>
      <c r="F112" s="32">
        <f>VLOOKUP(TABLA_PRECIOS_LISTBOX[[#This Row],[Código]],TABLA_PRECIOS[#All],8)</f>
        <v>1</v>
      </c>
      <c r="G112" s="9">
        <f>VLOOKUP(TABLA_PRECIOS_LISTBOX[[#This Row],[Código]],TABLA_PRECIOS[#All],10)</f>
        <v>0</v>
      </c>
    </row>
    <row r="113" spans="1:7" ht="12" customHeight="1" x14ac:dyDescent="0.3">
      <c r="A113" s="4">
        <v>1128</v>
      </c>
      <c r="B113" s="6" t="str">
        <f>VLOOKUP(TABLA_PRECIOS_LISTBOX[Código],LISTADO_PRODUCTOS[#All],4)</f>
        <v>Minas Faber Castell 0,7 HB</v>
      </c>
      <c r="C113" s="6" t="str">
        <f>VLOOKUP(TABLA_PRECIOS_LISTBOX[Código],LISTADO_PRODUCTOS[#All],5)</f>
        <v>N/A</v>
      </c>
      <c r="D113" s="13">
        <f>VLOOKUP(TABLA_PRECIOS_LISTBOX[[#This Row],[Código]],TABLA_PRECIOS[#All],6)</f>
        <v>1</v>
      </c>
      <c r="E113" s="28">
        <f>VLOOKUP(TABLA_PRECIOS_LISTBOX[[#This Row],[Código]],TABLA_PRECIOS[#All],7)</f>
        <v>1</v>
      </c>
      <c r="F113" s="32">
        <f>VLOOKUP(TABLA_PRECIOS_LISTBOX[[#This Row],[Código]],TABLA_PRECIOS[#All],8)</f>
        <v>1</v>
      </c>
      <c r="G113" s="9">
        <f>VLOOKUP(TABLA_PRECIOS_LISTBOX[[#This Row],[Código]],TABLA_PRECIOS[#All],10)</f>
        <v>0</v>
      </c>
    </row>
    <row r="114" spans="1:7" ht="12" customHeight="1" x14ac:dyDescent="0.3">
      <c r="A114" s="4">
        <v>1129</v>
      </c>
      <c r="B114" s="6" t="str">
        <f>VLOOKUP(TABLA_PRECIOS_LISTBOX[Código],LISTADO_PRODUCTOS[#All],4)</f>
        <v>Minas Faber Castell 0.5 2H</v>
      </c>
      <c r="C114" s="6" t="str">
        <f>VLOOKUP(TABLA_PRECIOS_LISTBOX[Código],LISTADO_PRODUCTOS[#All],5)</f>
        <v>N/A</v>
      </c>
      <c r="D114" s="13">
        <f>VLOOKUP(TABLA_PRECIOS_LISTBOX[[#This Row],[Código]],TABLA_PRECIOS[#All],6)</f>
        <v>1</v>
      </c>
      <c r="E114" s="28">
        <f>VLOOKUP(TABLA_PRECIOS_LISTBOX[[#This Row],[Código]],TABLA_PRECIOS[#All],7)</f>
        <v>1</v>
      </c>
      <c r="F114" s="32">
        <f>VLOOKUP(TABLA_PRECIOS_LISTBOX[[#This Row],[Código]],TABLA_PRECIOS[#All],8)</f>
        <v>1</v>
      </c>
      <c r="G114" s="9">
        <f>VLOOKUP(TABLA_PRECIOS_LISTBOX[[#This Row],[Código]],TABLA_PRECIOS[#All],10)</f>
        <v>0</v>
      </c>
    </row>
    <row r="115" spans="1:7" ht="12" customHeight="1" x14ac:dyDescent="0.3">
      <c r="A115" s="4">
        <v>1130</v>
      </c>
      <c r="B115" s="6" t="str">
        <f>VLOOKUP(TABLA_PRECIOS_LISTBOX[Código],LISTADO_PRODUCTOS[#All],4)</f>
        <v>Minas Pizzini 2mm B - Art. S20300B - 7793198203034</v>
      </c>
      <c r="C115" s="6" t="str">
        <f>VLOOKUP(TABLA_PRECIOS_LISTBOX[Código],LISTADO_PRODUCTOS[#All],5)</f>
        <v>N/A</v>
      </c>
      <c r="D115" s="13">
        <f>VLOOKUP(TABLA_PRECIOS_LISTBOX[[#This Row],[Código]],TABLA_PRECIOS[#All],6)</f>
        <v>1</v>
      </c>
      <c r="E115" s="28">
        <f>VLOOKUP(TABLA_PRECIOS_LISTBOX[[#This Row],[Código]],TABLA_PRECIOS[#All],7)</f>
        <v>1</v>
      </c>
      <c r="F115" s="32">
        <f>VLOOKUP(TABLA_PRECIOS_LISTBOX[[#This Row],[Código]],TABLA_PRECIOS[#All],8)</f>
        <v>1</v>
      </c>
      <c r="G115" s="9">
        <f>VLOOKUP(TABLA_PRECIOS_LISTBOX[[#This Row],[Código]],TABLA_PRECIOS[#All],10)</f>
        <v>0</v>
      </c>
    </row>
    <row r="116" spans="1:7" ht="12" customHeight="1" x14ac:dyDescent="0.3">
      <c r="A116" s="4">
        <v>1131</v>
      </c>
      <c r="B116" s="6" t="str">
        <f>VLOOKUP(TABLA_PRECIOS_LISTBOX[Código],LISTADO_PRODUCTOS[#All],4)</f>
        <v>Sacapuntas Maped CROC CROC</v>
      </c>
      <c r="C116" s="6" t="str">
        <f>VLOOKUP(TABLA_PRECIOS_LISTBOX[Código],LISTADO_PRODUCTOS[#All],5)</f>
        <v>N/A</v>
      </c>
      <c r="D116" s="13">
        <f>VLOOKUP(TABLA_PRECIOS_LISTBOX[[#This Row],[Código]],TABLA_PRECIOS[#All],6)</f>
        <v>1</v>
      </c>
      <c r="E116" s="28">
        <f>VLOOKUP(TABLA_PRECIOS_LISTBOX[[#This Row],[Código]],TABLA_PRECIOS[#All],7)</f>
        <v>1</v>
      </c>
      <c r="F116" s="32">
        <f>VLOOKUP(TABLA_PRECIOS_LISTBOX[[#This Row],[Código]],TABLA_PRECIOS[#All],8)</f>
        <v>1</v>
      </c>
      <c r="G116" s="9">
        <f>VLOOKUP(TABLA_PRECIOS_LISTBOX[[#This Row],[Código]],TABLA_PRECIOS[#All],10)</f>
        <v>0</v>
      </c>
    </row>
    <row r="117" spans="1:7" ht="12" customHeight="1" x14ac:dyDescent="0.3">
      <c r="A117" s="4">
        <v>1132</v>
      </c>
      <c r="B117" s="6" t="str">
        <f>VLOOKUP(TABLA_PRECIOS_LISTBOX[Código],LISTADO_PRODUCTOS[#All],4)</f>
        <v>Notas Adhesivas WERO Fun WE 1144</v>
      </c>
      <c r="C117" s="6" t="str">
        <f>VLOOKUP(TABLA_PRECIOS_LISTBOX[Código],LISTADO_PRODUCTOS[#All],5)</f>
        <v>N/A</v>
      </c>
      <c r="D117" s="13">
        <f>VLOOKUP(TABLA_PRECIOS_LISTBOX[[#This Row],[Código]],TABLA_PRECIOS[#All],6)</f>
        <v>1</v>
      </c>
      <c r="E117" s="28">
        <f>VLOOKUP(TABLA_PRECIOS_LISTBOX[[#This Row],[Código]],TABLA_PRECIOS[#All],7)</f>
        <v>1</v>
      </c>
      <c r="F117" s="32">
        <f>VLOOKUP(TABLA_PRECIOS_LISTBOX[[#This Row],[Código]],TABLA_PRECIOS[#All],8)</f>
        <v>1</v>
      </c>
      <c r="G117" s="9">
        <f>VLOOKUP(TABLA_PRECIOS_LISTBOX[[#This Row],[Código]],TABLA_PRECIOS[#All],10)</f>
        <v>0</v>
      </c>
    </row>
    <row r="118" spans="1:7" ht="12" customHeight="1" x14ac:dyDescent="0.3">
      <c r="A118" s="4">
        <v>1133</v>
      </c>
      <c r="B118" s="6" t="str">
        <f>VLOOKUP(TABLA_PRECIOS_LISTBOX[Código],LISTADO_PRODUCTOS[#All],4)</f>
        <v>Gomas c/formas Wero Cool Pops c/u se vende x unidad</v>
      </c>
      <c r="C118" s="6" t="str">
        <f>VLOOKUP(TABLA_PRECIOS_LISTBOX[Código],LISTADO_PRODUCTOS[#All],5)</f>
        <v>N/A</v>
      </c>
      <c r="D118" s="13">
        <f>VLOOKUP(TABLA_PRECIOS_LISTBOX[[#This Row],[Código]],TABLA_PRECIOS[#All],6)</f>
        <v>1</v>
      </c>
      <c r="E118" s="28">
        <f>VLOOKUP(TABLA_PRECIOS_LISTBOX[[#This Row],[Código]],TABLA_PRECIOS[#All],7)</f>
        <v>1</v>
      </c>
      <c r="F118" s="32">
        <f>VLOOKUP(TABLA_PRECIOS_LISTBOX[[#This Row],[Código]],TABLA_PRECIOS[#All],8)</f>
        <v>1</v>
      </c>
      <c r="G118" s="9">
        <f>VLOOKUP(TABLA_PRECIOS_LISTBOX[[#This Row],[Código]],TABLA_PRECIOS[#All],10)</f>
        <v>0</v>
      </c>
    </row>
    <row r="119" spans="1:7" ht="12" customHeight="1" x14ac:dyDescent="0.3">
      <c r="A119" s="4">
        <v>1136</v>
      </c>
      <c r="B119" s="6" t="str">
        <f>VLOOKUP(TABLA_PRECIOS_LISTBOX[Código],LISTADO_PRODUCTOS[#All],4)</f>
        <v xml:space="preserve">Separador de materias cartulina con lengüeta A4/Of x5u color </v>
      </c>
      <c r="C119" s="6" t="str">
        <f>VLOOKUP(TABLA_PRECIOS_LISTBOX[Código],LISTADO_PRODUCTOS[#All],5)</f>
        <v>N/A</v>
      </c>
      <c r="D119" s="13">
        <f>VLOOKUP(TABLA_PRECIOS_LISTBOX[[#This Row],[Código]],TABLA_PRECIOS[#All],6)</f>
        <v>1</v>
      </c>
      <c r="E119" s="28">
        <f>VLOOKUP(TABLA_PRECIOS_LISTBOX[[#This Row],[Código]],TABLA_PRECIOS[#All],7)</f>
        <v>1</v>
      </c>
      <c r="F119" s="32">
        <f>VLOOKUP(TABLA_PRECIOS_LISTBOX[[#This Row],[Código]],TABLA_PRECIOS[#All],8)</f>
        <v>1</v>
      </c>
      <c r="G119" s="9">
        <f>VLOOKUP(TABLA_PRECIOS_LISTBOX[[#This Row],[Código]],TABLA_PRECIOS[#All],10)</f>
        <v>0</v>
      </c>
    </row>
    <row r="120" spans="1:7" ht="12" customHeight="1" x14ac:dyDescent="0.3">
      <c r="A120" s="4">
        <v>1137</v>
      </c>
      <c r="B120" s="6" t="str">
        <f>VLOOKUP(TABLA_PRECIOS_LISTBOX[Código],LISTADO_PRODUCTOS[#All],4)</f>
        <v>Compas pizzini Pk133 - Art. PK133 - 7793198133003</v>
      </c>
      <c r="C120" s="6" t="str">
        <f>VLOOKUP(TABLA_PRECIOS_LISTBOX[Código],LISTADO_PRODUCTOS[#All],5)</f>
        <v>N/A</v>
      </c>
      <c r="D120" s="13">
        <f>VLOOKUP(TABLA_PRECIOS_LISTBOX[[#This Row],[Código]],TABLA_PRECIOS[#All],6)</f>
        <v>1</v>
      </c>
      <c r="E120" s="28">
        <f>VLOOKUP(TABLA_PRECIOS_LISTBOX[[#This Row],[Código]],TABLA_PRECIOS[#All],7)</f>
        <v>1</v>
      </c>
      <c r="F120" s="32">
        <f>VLOOKUP(TABLA_PRECIOS_LISTBOX[[#This Row],[Código]],TABLA_PRECIOS[#All],8)</f>
        <v>1</v>
      </c>
      <c r="G120" s="9">
        <f>VLOOKUP(TABLA_PRECIOS_LISTBOX[[#This Row],[Código]],TABLA_PRECIOS[#All],10)</f>
        <v>0</v>
      </c>
    </row>
    <row r="121" spans="1:7" ht="12" customHeight="1" x14ac:dyDescent="0.3">
      <c r="A121" s="4">
        <v>1138</v>
      </c>
      <c r="B121" s="6" t="str">
        <f>VLOOKUP(TABLA_PRECIOS_LISTBOX[Código],LISTADO_PRODUCTOS[#All],4)</f>
        <v>Compas Pelikan en caja</v>
      </c>
      <c r="C121" s="6" t="str">
        <f>VLOOKUP(TABLA_PRECIOS_LISTBOX[Código],LISTADO_PRODUCTOS[#All],5)</f>
        <v>N/A</v>
      </c>
      <c r="D121" s="13">
        <f>VLOOKUP(TABLA_PRECIOS_LISTBOX[[#This Row],[Código]],TABLA_PRECIOS[#All],6)</f>
        <v>1</v>
      </c>
      <c r="E121" s="28">
        <f>VLOOKUP(TABLA_PRECIOS_LISTBOX[[#This Row],[Código]],TABLA_PRECIOS[#All],7)</f>
        <v>1</v>
      </c>
      <c r="F121" s="32">
        <f>VLOOKUP(TABLA_PRECIOS_LISTBOX[[#This Row],[Código]],TABLA_PRECIOS[#All],8)</f>
        <v>1</v>
      </c>
      <c r="G121" s="9">
        <f>VLOOKUP(TABLA_PRECIOS_LISTBOX[[#This Row],[Código]],TABLA_PRECIOS[#All],10)</f>
        <v>0</v>
      </c>
    </row>
    <row r="122" spans="1:7" ht="12" customHeight="1" x14ac:dyDescent="0.3">
      <c r="A122" s="4">
        <v>1139</v>
      </c>
      <c r="B122" s="6" t="str">
        <f>VLOOKUP(TABLA_PRECIOS_LISTBOX[Código],LISTADO_PRODUCTOS[#All],4)</f>
        <v>Resaltador Micro Margi 2000</v>
      </c>
      <c r="C122" s="6" t="str">
        <f>VLOOKUP(TABLA_PRECIOS_LISTBOX[Código],LISTADO_PRODUCTOS[#All],5)</f>
        <v>N/A</v>
      </c>
      <c r="D122" s="13">
        <f>VLOOKUP(TABLA_PRECIOS_LISTBOX[[#This Row],[Código]],TABLA_PRECIOS[#All],6)</f>
        <v>1</v>
      </c>
      <c r="E122" s="28">
        <f>VLOOKUP(TABLA_PRECIOS_LISTBOX[[#This Row],[Código]],TABLA_PRECIOS[#All],7)</f>
        <v>1</v>
      </c>
      <c r="F122" s="32">
        <f>VLOOKUP(TABLA_PRECIOS_LISTBOX[[#This Row],[Código]],TABLA_PRECIOS[#All],8)</f>
        <v>1</v>
      </c>
      <c r="G122" s="9">
        <f>VLOOKUP(TABLA_PRECIOS_LISTBOX[[#This Row],[Código]],TABLA_PRECIOS[#All],10)</f>
        <v>0</v>
      </c>
    </row>
    <row r="123" spans="1:7" ht="12" customHeight="1" x14ac:dyDescent="0.3">
      <c r="A123" s="4">
        <v>1141</v>
      </c>
      <c r="B123" s="6" t="str">
        <f>VLOOKUP(TABLA_PRECIOS_LISTBOX[Código],LISTADO_PRODUCTOS[#All],4)</f>
        <v>Resaltador Pizzini Duo - Art. 1282 - 7793198128887</v>
      </c>
      <c r="C123" s="6" t="str">
        <f>VLOOKUP(TABLA_PRECIOS_LISTBOX[Código],LISTADO_PRODUCTOS[#All],5)</f>
        <v>N/A</v>
      </c>
      <c r="D123" s="13">
        <f>VLOOKUP(TABLA_PRECIOS_LISTBOX[[#This Row],[Código]],TABLA_PRECIOS[#All],6)</f>
        <v>1</v>
      </c>
      <c r="E123" s="28">
        <f>VLOOKUP(TABLA_PRECIOS_LISTBOX[[#This Row],[Código]],TABLA_PRECIOS[#All],7)</f>
        <v>1</v>
      </c>
      <c r="F123" s="32">
        <f>VLOOKUP(TABLA_PRECIOS_LISTBOX[[#This Row],[Código]],TABLA_PRECIOS[#All],8)</f>
        <v>1</v>
      </c>
      <c r="G123" s="9">
        <f>VLOOKUP(TABLA_PRECIOS_LISTBOX[[#This Row],[Código]],TABLA_PRECIOS[#All],10)</f>
        <v>0</v>
      </c>
    </row>
    <row r="124" spans="1:7" ht="12" customHeight="1" x14ac:dyDescent="0.3">
      <c r="A124" s="4">
        <v>1142</v>
      </c>
      <c r="B124" s="6" t="str">
        <f>VLOOKUP(TABLA_PRECIOS_LISTBOX[Código],LISTADO_PRODUCTOS[#All],4)</f>
        <v>Resaltador edding 342</v>
      </c>
      <c r="C124" s="6" t="str">
        <f>VLOOKUP(TABLA_PRECIOS_LISTBOX[Código],LISTADO_PRODUCTOS[#All],5)</f>
        <v>N/A</v>
      </c>
      <c r="D124" s="13">
        <f>VLOOKUP(TABLA_PRECIOS_LISTBOX[[#This Row],[Código]],TABLA_PRECIOS[#All],6)</f>
        <v>1</v>
      </c>
      <c r="E124" s="28">
        <f>VLOOKUP(TABLA_PRECIOS_LISTBOX[[#This Row],[Código]],TABLA_PRECIOS[#All],7)</f>
        <v>1</v>
      </c>
      <c r="F124" s="32">
        <f>VLOOKUP(TABLA_PRECIOS_LISTBOX[[#This Row],[Código]],TABLA_PRECIOS[#All],8)</f>
        <v>1</v>
      </c>
      <c r="G124" s="9">
        <f>VLOOKUP(TABLA_PRECIOS_LISTBOX[[#This Row],[Código]],TABLA_PRECIOS[#All],10)</f>
        <v>0</v>
      </c>
    </row>
    <row r="125" spans="1:7" ht="12" customHeight="1" x14ac:dyDescent="0.3">
      <c r="A125" s="4">
        <v>1143</v>
      </c>
      <c r="B125" s="6" t="str">
        <f>VLOOKUP(TABLA_PRECIOS_LISTBOX[Código],LISTADO_PRODUCTOS[#All],4)</f>
        <v>Resaltador Bic</v>
      </c>
      <c r="C125" s="6" t="str">
        <f>VLOOKUP(TABLA_PRECIOS_LISTBOX[Código],LISTADO_PRODUCTOS[#All],5)</f>
        <v>N/A</v>
      </c>
      <c r="D125" s="13">
        <f>VLOOKUP(TABLA_PRECIOS_LISTBOX[[#This Row],[Código]],TABLA_PRECIOS[#All],6)</f>
        <v>1</v>
      </c>
      <c r="E125" s="28">
        <f>VLOOKUP(TABLA_PRECIOS_LISTBOX[[#This Row],[Código]],TABLA_PRECIOS[#All],7)</f>
        <v>1</v>
      </c>
      <c r="F125" s="32">
        <f>VLOOKUP(TABLA_PRECIOS_LISTBOX[[#This Row],[Código]],TABLA_PRECIOS[#All],8)</f>
        <v>1</v>
      </c>
      <c r="G125" s="9">
        <f>VLOOKUP(TABLA_PRECIOS_LISTBOX[[#This Row],[Código]],TABLA_PRECIOS[#All],10)</f>
        <v>0</v>
      </c>
    </row>
    <row r="126" spans="1:7" ht="12" customHeight="1" x14ac:dyDescent="0.3">
      <c r="A126" s="4">
        <v>1144</v>
      </c>
      <c r="B126" s="6" t="str">
        <f>VLOOKUP(TABLA_PRECIOS_LISTBOX[Código],LISTADO_PRODUCTOS[#All],4)</f>
        <v>Marcador escolar Maped DUO TIP x 10u</v>
      </c>
      <c r="C126" s="6" t="str">
        <f>VLOOKUP(TABLA_PRECIOS_LISTBOX[Código],LISTADO_PRODUCTOS[#All],5)</f>
        <v>N/A</v>
      </c>
      <c r="D126" s="13">
        <f>VLOOKUP(TABLA_PRECIOS_LISTBOX[[#This Row],[Código]],TABLA_PRECIOS[#All],6)</f>
        <v>1</v>
      </c>
      <c r="E126" s="28">
        <f>VLOOKUP(TABLA_PRECIOS_LISTBOX[[#This Row],[Código]],TABLA_PRECIOS[#All],7)</f>
        <v>1</v>
      </c>
      <c r="F126" s="32">
        <f>VLOOKUP(TABLA_PRECIOS_LISTBOX[[#This Row],[Código]],TABLA_PRECIOS[#All],8)</f>
        <v>1</v>
      </c>
      <c r="G126" s="9">
        <f>VLOOKUP(TABLA_PRECIOS_LISTBOX[[#This Row],[Código]],TABLA_PRECIOS[#All],10)</f>
        <v>0</v>
      </c>
    </row>
    <row r="127" spans="1:7" ht="12" customHeight="1" x14ac:dyDescent="0.3">
      <c r="A127" s="4">
        <v>1149</v>
      </c>
      <c r="B127" s="6" t="str">
        <f>VLOOKUP(TABLA_PRECIOS_LISTBOX[Código],LISTADO_PRODUCTOS[#All],4)</f>
        <v>Fibron Bic Marking Biselado extra grueso</v>
      </c>
      <c r="C127" s="6" t="str">
        <f>VLOOKUP(TABLA_PRECIOS_LISTBOX[Código],LISTADO_PRODUCTOS[#All],5)</f>
        <v>N/A</v>
      </c>
      <c r="D127" s="13">
        <f>VLOOKUP(TABLA_PRECIOS_LISTBOX[[#This Row],[Código]],TABLA_PRECIOS[#All],6)</f>
        <v>1</v>
      </c>
      <c r="E127" s="28">
        <f>VLOOKUP(TABLA_PRECIOS_LISTBOX[[#This Row],[Código]],TABLA_PRECIOS[#All],7)</f>
        <v>1</v>
      </c>
      <c r="F127" s="32">
        <f>VLOOKUP(TABLA_PRECIOS_LISTBOX[[#This Row],[Código]],TABLA_PRECIOS[#All],8)</f>
        <v>1</v>
      </c>
      <c r="G127" s="9">
        <f>VLOOKUP(TABLA_PRECIOS_LISTBOX[[#This Row],[Código]],TABLA_PRECIOS[#All],10)</f>
        <v>0</v>
      </c>
    </row>
    <row r="128" spans="1:7" ht="12" customHeight="1" x14ac:dyDescent="0.3">
      <c r="A128" s="4">
        <v>1150</v>
      </c>
      <c r="B128" s="6" t="str">
        <f>VLOOKUP(TABLA_PRECIOS_LISTBOX[Código],LISTADO_PRODUCTOS[#All],4)</f>
        <v>Fibron Bic Marking redondo</v>
      </c>
      <c r="C128" s="6" t="str">
        <f>VLOOKUP(TABLA_PRECIOS_LISTBOX[Código],LISTADO_PRODUCTOS[#All],5)</f>
        <v>N/A</v>
      </c>
      <c r="D128" s="13">
        <f>VLOOKUP(TABLA_PRECIOS_LISTBOX[[#This Row],[Código]],TABLA_PRECIOS[#All],6)</f>
        <v>1</v>
      </c>
      <c r="E128" s="28">
        <f>VLOOKUP(TABLA_PRECIOS_LISTBOX[[#This Row],[Código]],TABLA_PRECIOS[#All],7)</f>
        <v>1</v>
      </c>
      <c r="F128" s="32">
        <f>VLOOKUP(TABLA_PRECIOS_LISTBOX[[#This Row],[Código]],TABLA_PRECIOS[#All],8)</f>
        <v>1</v>
      </c>
      <c r="G128" s="9">
        <f>VLOOKUP(TABLA_PRECIOS_LISTBOX[[#This Row],[Código]],TABLA_PRECIOS[#All],10)</f>
        <v>0</v>
      </c>
    </row>
    <row r="129" spans="1:7" ht="12" customHeight="1" x14ac:dyDescent="0.3">
      <c r="A129" s="4">
        <v>1451</v>
      </c>
      <c r="B129" s="6" t="str">
        <f>VLOOKUP(TABLA_PRECIOS_LISTBOX[Código],LISTADO_PRODUCTOS[#All],4)</f>
        <v>Set de Resaltadores NUWA x5u en dispenser</v>
      </c>
      <c r="C129" s="6" t="str">
        <f>VLOOKUP(TABLA_PRECIOS_LISTBOX[Código],LISTADO_PRODUCTOS[#All],5)</f>
        <v>N/A</v>
      </c>
      <c r="D129" s="13">
        <f>VLOOKUP(TABLA_PRECIOS_LISTBOX[[#This Row],[Código]],TABLA_PRECIOS[#All],6)</f>
        <v>1</v>
      </c>
      <c r="E129" s="28">
        <f>VLOOKUP(TABLA_PRECIOS_LISTBOX[[#This Row],[Código]],TABLA_PRECIOS[#All],7)</f>
        <v>1</v>
      </c>
      <c r="F129" s="32">
        <f>VLOOKUP(TABLA_PRECIOS_LISTBOX[[#This Row],[Código]],TABLA_PRECIOS[#All],8)</f>
        <v>1</v>
      </c>
      <c r="G129" s="9">
        <f>VLOOKUP(TABLA_PRECIOS_LISTBOX[[#This Row],[Código]],TABLA_PRECIOS[#All],10)</f>
        <v>0</v>
      </c>
    </row>
    <row r="130" spans="1:7" ht="12" customHeight="1" x14ac:dyDescent="0.3">
      <c r="A130" s="4">
        <v>1151</v>
      </c>
      <c r="B130" s="6" t="str">
        <f>VLOOKUP(TABLA_PRECIOS_LISTBOX[Código],LISTADO_PRODUCTOS[#All],4)</f>
        <v>Fibron Bic Marking redondo</v>
      </c>
      <c r="C130" s="6" t="str">
        <f>VLOOKUP(TABLA_PRECIOS_LISTBOX[Código],LISTADO_PRODUCTOS[#All],5)</f>
        <v>N/A</v>
      </c>
      <c r="D130" s="13">
        <f>VLOOKUP(TABLA_PRECIOS_LISTBOX[[#This Row],[Código]],TABLA_PRECIOS[#All],6)</f>
        <v>1</v>
      </c>
      <c r="E130" s="28">
        <f>VLOOKUP(TABLA_PRECIOS_LISTBOX[[#This Row],[Código]],TABLA_PRECIOS[#All],7)</f>
        <v>1</v>
      </c>
      <c r="F130" s="32">
        <f>VLOOKUP(TABLA_PRECIOS_LISTBOX[[#This Row],[Código]],TABLA_PRECIOS[#All],8)</f>
        <v>1</v>
      </c>
      <c r="G130" s="9">
        <f>VLOOKUP(TABLA_PRECIOS_LISTBOX[[#This Row],[Código]],TABLA_PRECIOS[#All],10)</f>
        <v>0</v>
      </c>
    </row>
    <row r="131" spans="1:7" ht="12" customHeight="1" x14ac:dyDescent="0.3">
      <c r="A131" s="4">
        <v>1153</v>
      </c>
      <c r="B131" s="6" t="str">
        <f>VLOOKUP(TABLA_PRECIOS_LISTBOX[Código],LISTADO_PRODUCTOS[#All],4)</f>
        <v>Fibron Bic Marking redondo</v>
      </c>
      <c r="C131" s="6" t="str">
        <f>VLOOKUP(TABLA_PRECIOS_LISTBOX[Código],LISTADO_PRODUCTOS[#All],5)</f>
        <v>N/A</v>
      </c>
      <c r="D131" s="13">
        <f>VLOOKUP(TABLA_PRECIOS_LISTBOX[[#This Row],[Código]],TABLA_PRECIOS[#All],6)</f>
        <v>1</v>
      </c>
      <c r="E131" s="28">
        <f>VLOOKUP(TABLA_PRECIOS_LISTBOX[[#This Row],[Código]],TABLA_PRECIOS[#All],7)</f>
        <v>1</v>
      </c>
      <c r="F131" s="32">
        <f>VLOOKUP(TABLA_PRECIOS_LISTBOX[[#This Row],[Código]],TABLA_PRECIOS[#All],8)</f>
        <v>1</v>
      </c>
      <c r="G131" s="9">
        <f>VLOOKUP(TABLA_PRECIOS_LISTBOX[[#This Row],[Código]],TABLA_PRECIOS[#All],10)</f>
        <v>0</v>
      </c>
    </row>
    <row r="132" spans="1:7" ht="12" customHeight="1" x14ac:dyDescent="0.3">
      <c r="A132" s="4">
        <v>1154</v>
      </c>
      <c r="B132" s="6" t="str">
        <f>VLOOKUP(TABLA_PRECIOS_LISTBOX[Código],LISTADO_PRODUCTOS[#All],4)</f>
        <v>Tijera Maped advanced office 17cm</v>
      </c>
      <c r="C132" s="6" t="str">
        <f>VLOOKUP(TABLA_PRECIOS_LISTBOX[Código],LISTADO_PRODUCTOS[#All],5)</f>
        <v>N/A</v>
      </c>
      <c r="D132" s="13">
        <f>VLOOKUP(TABLA_PRECIOS_LISTBOX[[#This Row],[Código]],TABLA_PRECIOS[#All],6)</f>
        <v>1</v>
      </c>
      <c r="E132" s="28">
        <f>VLOOKUP(TABLA_PRECIOS_LISTBOX[[#This Row],[Código]],TABLA_PRECIOS[#All],7)</f>
        <v>1</v>
      </c>
      <c r="F132" s="32">
        <f>VLOOKUP(TABLA_PRECIOS_LISTBOX[[#This Row],[Código]],TABLA_PRECIOS[#All],8)</f>
        <v>1</v>
      </c>
      <c r="G132" s="9">
        <f>VLOOKUP(TABLA_PRECIOS_LISTBOX[[#This Row],[Código]],TABLA_PRECIOS[#All],10)</f>
        <v>0</v>
      </c>
    </row>
    <row r="133" spans="1:7" ht="12" customHeight="1" x14ac:dyDescent="0.3">
      <c r="A133" s="4">
        <v>1155</v>
      </c>
      <c r="B133" s="6" t="str">
        <f>VLOOKUP(TABLA_PRECIOS_LISTBOX[Código],LISTADO_PRODUCTOS[#All],4)</f>
        <v>Tijera Maped Universal 21cm</v>
      </c>
      <c r="C133" s="6" t="str">
        <f>VLOOKUP(TABLA_PRECIOS_LISTBOX[Código],LISTADO_PRODUCTOS[#All],5)</f>
        <v>N/A</v>
      </c>
      <c r="D133" s="13">
        <f>VLOOKUP(TABLA_PRECIOS_LISTBOX[[#This Row],[Código]],TABLA_PRECIOS[#All],6)</f>
        <v>1</v>
      </c>
      <c r="E133" s="28">
        <f>VLOOKUP(TABLA_PRECIOS_LISTBOX[[#This Row],[Código]],TABLA_PRECIOS[#All],7)</f>
        <v>1</v>
      </c>
      <c r="F133" s="32">
        <f>VLOOKUP(TABLA_PRECIOS_LISTBOX[[#This Row],[Código]],TABLA_PRECIOS[#All],8)</f>
        <v>1</v>
      </c>
      <c r="G133" s="9">
        <f>VLOOKUP(TABLA_PRECIOS_LISTBOX[[#This Row],[Código]],TABLA_PRECIOS[#All],10)</f>
        <v>0</v>
      </c>
    </row>
    <row r="134" spans="1:7" ht="12" customHeight="1" x14ac:dyDescent="0.3">
      <c r="A134" s="4">
        <v>1156</v>
      </c>
      <c r="B134" s="6" t="str">
        <f>VLOOKUP(TABLA_PRECIOS_LISTBOX[Código],LISTADO_PRODUCTOS[#All],4)</f>
        <v>Tijera Olami Standard 17.5cm</v>
      </c>
      <c r="C134" s="6" t="str">
        <f>VLOOKUP(TABLA_PRECIOS_LISTBOX[Código],LISTADO_PRODUCTOS[#All],5)</f>
        <v>N/A</v>
      </c>
      <c r="D134" s="13">
        <f>VLOOKUP(TABLA_PRECIOS_LISTBOX[[#This Row],[Código]],TABLA_PRECIOS[#All],6)</f>
        <v>1</v>
      </c>
      <c r="E134" s="28">
        <f>VLOOKUP(TABLA_PRECIOS_LISTBOX[[#This Row],[Código]],TABLA_PRECIOS[#All],7)</f>
        <v>1</v>
      </c>
      <c r="F134" s="32">
        <f>VLOOKUP(TABLA_PRECIOS_LISTBOX[[#This Row],[Código]],TABLA_PRECIOS[#All],8)</f>
        <v>1</v>
      </c>
      <c r="G134" s="9">
        <f>VLOOKUP(TABLA_PRECIOS_LISTBOX[[#This Row],[Código]],TABLA_PRECIOS[#All],10)</f>
        <v>0</v>
      </c>
    </row>
    <row r="135" spans="1:7" ht="12" customHeight="1" x14ac:dyDescent="0.3">
      <c r="A135" s="4">
        <v>1161</v>
      </c>
      <c r="B135" s="6" t="str">
        <f>VLOOKUP(TABLA_PRECIOS_LISTBOX[Código],LISTADO_PRODUCTOS[#All],4)</f>
        <v>Crayon Ezco Jumbo x 12u</v>
      </c>
      <c r="C135" s="6" t="str">
        <f>VLOOKUP(TABLA_PRECIOS_LISTBOX[Código],LISTADO_PRODUCTOS[#All],5)</f>
        <v>N/A</v>
      </c>
      <c r="D135" s="13">
        <f>VLOOKUP(TABLA_PRECIOS_LISTBOX[[#This Row],[Código]],TABLA_PRECIOS[#All],6)</f>
        <v>1</v>
      </c>
      <c r="E135" s="28">
        <f>VLOOKUP(TABLA_PRECIOS_LISTBOX[[#This Row],[Código]],TABLA_PRECIOS[#All],7)</f>
        <v>1</v>
      </c>
      <c r="F135" s="32">
        <f>VLOOKUP(TABLA_PRECIOS_LISTBOX[[#This Row],[Código]],TABLA_PRECIOS[#All],8)</f>
        <v>1</v>
      </c>
      <c r="G135" s="9">
        <f>VLOOKUP(TABLA_PRECIOS_LISTBOX[[#This Row],[Código]],TABLA_PRECIOS[#All],10)</f>
        <v>0</v>
      </c>
    </row>
    <row r="136" spans="1:7" ht="12" customHeight="1" x14ac:dyDescent="0.3">
      <c r="A136" s="4">
        <v>1162</v>
      </c>
      <c r="B136" s="6" t="str">
        <f>VLOOKUP(TABLA_PRECIOS_LISTBOX[Código],LISTADO_PRODUCTOS[#All],4)</f>
        <v>Lapices de colores Bic Evolution x 24</v>
      </c>
      <c r="C136" s="6" t="str">
        <f>VLOOKUP(TABLA_PRECIOS_LISTBOX[Código],LISTADO_PRODUCTOS[#All],5)</f>
        <v>N/A</v>
      </c>
      <c r="D136" s="13">
        <f>VLOOKUP(TABLA_PRECIOS_LISTBOX[[#This Row],[Código]],TABLA_PRECIOS[#All],6)</f>
        <v>1</v>
      </c>
      <c r="E136" s="28">
        <f>VLOOKUP(TABLA_PRECIOS_LISTBOX[[#This Row],[Código]],TABLA_PRECIOS[#All],7)</f>
        <v>1</v>
      </c>
      <c r="F136" s="32">
        <f>VLOOKUP(TABLA_PRECIOS_LISTBOX[[#This Row],[Código]],TABLA_PRECIOS[#All],8)</f>
        <v>1</v>
      </c>
      <c r="G136" s="9">
        <f>VLOOKUP(TABLA_PRECIOS_LISTBOX[[#This Row],[Código]],TABLA_PRECIOS[#All],10)</f>
        <v>0</v>
      </c>
    </row>
    <row r="137" spans="1:7" ht="12" customHeight="1" x14ac:dyDescent="0.3">
      <c r="A137" s="4">
        <v>1163</v>
      </c>
      <c r="B137" s="6" t="str">
        <f>VLOOKUP(TABLA_PRECIOS_LISTBOX[Código],LISTADO_PRODUCTOS[#All],4)</f>
        <v>Lapices de colores Skycolor pastel x 12</v>
      </c>
      <c r="C137" s="6" t="str">
        <f>VLOOKUP(TABLA_PRECIOS_LISTBOX[Código],LISTADO_PRODUCTOS[#All],5)</f>
        <v>N/A</v>
      </c>
      <c r="D137" s="13">
        <f>VLOOKUP(TABLA_PRECIOS_LISTBOX[[#This Row],[Código]],TABLA_PRECIOS[#All],6)</f>
        <v>1</v>
      </c>
      <c r="E137" s="28">
        <f>VLOOKUP(TABLA_PRECIOS_LISTBOX[[#This Row],[Código]],TABLA_PRECIOS[#All],7)</f>
        <v>1</v>
      </c>
      <c r="F137" s="32">
        <f>VLOOKUP(TABLA_PRECIOS_LISTBOX[[#This Row],[Código]],TABLA_PRECIOS[#All],8)</f>
        <v>1</v>
      </c>
      <c r="G137" s="9">
        <f>VLOOKUP(TABLA_PRECIOS_LISTBOX[[#This Row],[Código]],TABLA_PRECIOS[#All],10)</f>
        <v>0</v>
      </c>
    </row>
    <row r="138" spans="1:7" ht="12" customHeight="1" x14ac:dyDescent="0.3">
      <c r="A138" s="4">
        <v>1164</v>
      </c>
      <c r="B138" s="6" t="str">
        <f>VLOOKUP(TABLA_PRECIOS_LISTBOX[Código],LISTADO_PRODUCTOS[#All],4)</f>
        <v>Lapices de colores Maped Star pinturitas x 36 u</v>
      </c>
      <c r="C138" s="6" t="str">
        <f>VLOOKUP(TABLA_PRECIOS_LISTBOX[Código],LISTADO_PRODUCTOS[#All],5)</f>
        <v>N/A</v>
      </c>
      <c r="D138" s="13">
        <f>VLOOKUP(TABLA_PRECIOS_LISTBOX[[#This Row],[Código]],TABLA_PRECIOS[#All],6)</f>
        <v>1</v>
      </c>
      <c r="E138" s="28">
        <f>VLOOKUP(TABLA_PRECIOS_LISTBOX[[#This Row],[Código]],TABLA_PRECIOS[#All],7)</f>
        <v>1</v>
      </c>
      <c r="F138" s="32">
        <f>VLOOKUP(TABLA_PRECIOS_LISTBOX[[#This Row],[Código]],TABLA_PRECIOS[#All],8)</f>
        <v>1</v>
      </c>
      <c r="G138" s="9">
        <f>VLOOKUP(TABLA_PRECIOS_LISTBOX[[#This Row],[Código]],TABLA_PRECIOS[#All],10)</f>
        <v>0</v>
      </c>
    </row>
    <row r="139" spans="1:7" ht="12" customHeight="1" x14ac:dyDescent="0.3">
      <c r="A139" s="4">
        <v>1165</v>
      </c>
      <c r="B139" s="6" t="str">
        <f>VLOOKUP(TABLA_PRECIOS_LISTBOX[Código],LISTADO_PRODUCTOS[#All],4)</f>
        <v>Lapices de colores Maped Star pinturitas x 48 u</v>
      </c>
      <c r="C139" s="6" t="str">
        <f>VLOOKUP(TABLA_PRECIOS_LISTBOX[Código],LISTADO_PRODUCTOS[#All],5)</f>
        <v>N/A</v>
      </c>
      <c r="D139" s="13">
        <f>VLOOKUP(TABLA_PRECIOS_LISTBOX[[#This Row],[Código]],TABLA_PRECIOS[#All],6)</f>
        <v>1</v>
      </c>
      <c r="E139" s="28">
        <f>VLOOKUP(TABLA_PRECIOS_LISTBOX[[#This Row],[Código]],TABLA_PRECIOS[#All],7)</f>
        <v>1</v>
      </c>
      <c r="F139" s="32">
        <f>VLOOKUP(TABLA_PRECIOS_LISTBOX[[#This Row],[Código]],TABLA_PRECIOS[#All],8)</f>
        <v>1</v>
      </c>
      <c r="G139" s="9">
        <f>VLOOKUP(TABLA_PRECIOS_LISTBOX[[#This Row],[Código]],TABLA_PRECIOS[#All],10)</f>
        <v>0</v>
      </c>
    </row>
    <row r="140" spans="1:7" ht="12" customHeight="1" x14ac:dyDescent="0.3">
      <c r="A140" s="4">
        <v>1167</v>
      </c>
      <c r="B140" s="6" t="str">
        <f>VLOOKUP(TABLA_PRECIOS_LISTBOX[Código],LISTADO_PRODUCTOS[#All],4)</f>
        <v>Colores Sylvapen x6 Fluo</v>
      </c>
      <c r="C140" s="6" t="str">
        <f>VLOOKUP(TABLA_PRECIOS_LISTBOX[Código],LISTADO_PRODUCTOS[#All],5)</f>
        <v>N/A</v>
      </c>
      <c r="D140" s="13">
        <f>VLOOKUP(TABLA_PRECIOS_LISTBOX[[#This Row],[Código]],TABLA_PRECIOS[#All],6)</f>
        <v>1</v>
      </c>
      <c r="E140" s="28">
        <f>VLOOKUP(TABLA_PRECIOS_LISTBOX[[#This Row],[Código]],TABLA_PRECIOS[#All],7)</f>
        <v>1</v>
      </c>
      <c r="F140" s="32">
        <f>VLOOKUP(TABLA_PRECIOS_LISTBOX[[#This Row],[Código]],TABLA_PRECIOS[#All],8)</f>
        <v>1</v>
      </c>
      <c r="G140" s="9">
        <f>VLOOKUP(TABLA_PRECIOS_LISTBOX[[#This Row],[Código]],TABLA_PRECIOS[#All],10)</f>
        <v>0</v>
      </c>
    </row>
    <row r="141" spans="1:7" ht="12" customHeight="1" x14ac:dyDescent="0.3">
      <c r="A141" s="4">
        <v>1168</v>
      </c>
      <c r="B141" s="6" t="str">
        <f>VLOOKUP(TABLA_PRECIOS_LISTBOX[Código],LISTADO_PRODUCTOS[#All],4)</f>
        <v>Colores x 12 Simball Largos Acuarelables</v>
      </c>
      <c r="C141" s="6" t="str">
        <f>VLOOKUP(TABLA_PRECIOS_LISTBOX[Código],LISTADO_PRODUCTOS[#All],5)</f>
        <v>N/A</v>
      </c>
      <c r="D141" s="13">
        <f>VLOOKUP(TABLA_PRECIOS_LISTBOX[[#This Row],[Código]],TABLA_PRECIOS[#All],6)</f>
        <v>1</v>
      </c>
      <c r="E141" s="28">
        <f>VLOOKUP(TABLA_PRECIOS_LISTBOX[[#This Row],[Código]],TABLA_PRECIOS[#All],7)</f>
        <v>1</v>
      </c>
      <c r="F141" s="32">
        <f>VLOOKUP(TABLA_PRECIOS_LISTBOX[[#This Row],[Código]],TABLA_PRECIOS[#All],8)</f>
        <v>1</v>
      </c>
      <c r="G141" s="9">
        <f>VLOOKUP(TABLA_PRECIOS_LISTBOX[[#This Row],[Código]],TABLA_PRECIOS[#All],10)</f>
        <v>0</v>
      </c>
    </row>
    <row r="142" spans="1:7" ht="12" customHeight="1" x14ac:dyDescent="0.3">
      <c r="A142" s="4">
        <v>1169</v>
      </c>
      <c r="B142" s="6" t="str">
        <f>VLOOKUP(TABLA_PRECIOS_LISTBOX[Código],LISTADO_PRODUCTOS[#All],4)</f>
        <v>Colores Simball x 12 largos innovation</v>
      </c>
      <c r="C142" s="6" t="str">
        <f>VLOOKUP(TABLA_PRECIOS_LISTBOX[Código],LISTADO_PRODUCTOS[#All],5)</f>
        <v>N/A</v>
      </c>
      <c r="D142" s="13">
        <f>VLOOKUP(TABLA_PRECIOS_LISTBOX[[#This Row],[Código]],TABLA_PRECIOS[#All],6)</f>
        <v>1</v>
      </c>
      <c r="E142" s="28">
        <f>VLOOKUP(TABLA_PRECIOS_LISTBOX[[#This Row],[Código]],TABLA_PRECIOS[#All],7)</f>
        <v>1</v>
      </c>
      <c r="F142" s="32">
        <f>VLOOKUP(TABLA_PRECIOS_LISTBOX[[#This Row],[Código]],TABLA_PRECIOS[#All],8)</f>
        <v>1</v>
      </c>
      <c r="G142" s="9">
        <f>VLOOKUP(TABLA_PRECIOS_LISTBOX[[#This Row],[Código]],TABLA_PRECIOS[#All],10)</f>
        <v>0</v>
      </c>
    </row>
    <row r="143" spans="1:7" ht="12" customHeight="1" x14ac:dyDescent="0.3">
      <c r="A143" s="4">
        <v>1171</v>
      </c>
      <c r="B143" s="6" t="str">
        <f>VLOOKUP(TABLA_PRECIOS_LISTBOX[Código],LISTADO_PRODUCTOS[#All],4)</f>
        <v>Lapices de colores Pastel Mooving Dulce pastel x 10</v>
      </c>
      <c r="C143" s="6" t="str">
        <f>VLOOKUP(TABLA_PRECIOS_LISTBOX[Código],LISTADO_PRODUCTOS[#All],5)</f>
        <v>N/A</v>
      </c>
      <c r="D143" s="13">
        <f>VLOOKUP(TABLA_PRECIOS_LISTBOX[[#This Row],[Código]],TABLA_PRECIOS[#All],6)</f>
        <v>1</v>
      </c>
      <c r="E143" s="28">
        <f>VLOOKUP(TABLA_PRECIOS_LISTBOX[[#This Row],[Código]],TABLA_PRECIOS[#All],7)</f>
        <v>1</v>
      </c>
      <c r="F143" s="32">
        <f>VLOOKUP(TABLA_PRECIOS_LISTBOX[[#This Row],[Código]],TABLA_PRECIOS[#All],8)</f>
        <v>1</v>
      </c>
      <c r="G143" s="9">
        <f>VLOOKUP(TABLA_PRECIOS_LISTBOX[[#This Row],[Código]],TABLA_PRECIOS[#All],10)</f>
        <v>0</v>
      </c>
    </row>
    <row r="144" spans="1:7" ht="12" customHeight="1" x14ac:dyDescent="0.3">
      <c r="A144" s="4">
        <v>1173</v>
      </c>
      <c r="B144" s="6" t="str">
        <f>VLOOKUP(TABLA_PRECIOS_LISTBOX[Código],LISTADO_PRODUCTOS[#All],4)</f>
        <v>Lapices de colores Paper mate x 15u incluye 3 NEON</v>
      </c>
      <c r="C144" s="6" t="str">
        <f>VLOOKUP(TABLA_PRECIOS_LISTBOX[Código],LISTADO_PRODUCTOS[#All],5)</f>
        <v>N/A</v>
      </c>
      <c r="D144" s="13">
        <f>VLOOKUP(TABLA_PRECIOS_LISTBOX[[#This Row],[Código]],TABLA_PRECIOS[#All],6)</f>
        <v>1</v>
      </c>
      <c r="E144" s="28">
        <f>VLOOKUP(TABLA_PRECIOS_LISTBOX[[#This Row],[Código]],TABLA_PRECIOS[#All],7)</f>
        <v>1</v>
      </c>
      <c r="F144" s="32">
        <f>VLOOKUP(TABLA_PRECIOS_LISTBOX[[#This Row],[Código]],TABLA_PRECIOS[#All],8)</f>
        <v>1</v>
      </c>
      <c r="G144" s="9">
        <f>VLOOKUP(TABLA_PRECIOS_LISTBOX[[#This Row],[Código]],TABLA_PRECIOS[#All],10)</f>
        <v>0</v>
      </c>
    </row>
    <row r="145" spans="1:7" ht="12" customHeight="1" x14ac:dyDescent="0.3">
      <c r="A145" s="4">
        <v>1174</v>
      </c>
      <c r="B145" s="6" t="str">
        <f>VLOOKUP(TABLA_PRECIOS_LISTBOX[Código],LISTADO_PRODUCTOS[#All],4)</f>
        <v xml:space="preserve">Colores Faber castell x24 </v>
      </c>
      <c r="C145" s="6" t="str">
        <f>VLOOKUP(TABLA_PRECIOS_LISTBOX[Código],LISTADO_PRODUCTOS[#All],5)</f>
        <v>N/A</v>
      </c>
      <c r="D145" s="13">
        <f>VLOOKUP(TABLA_PRECIOS_LISTBOX[[#This Row],[Código]],TABLA_PRECIOS[#All],6)</f>
        <v>1</v>
      </c>
      <c r="E145" s="28">
        <f>VLOOKUP(TABLA_PRECIOS_LISTBOX[[#This Row],[Código]],TABLA_PRECIOS[#All],7)</f>
        <v>1</v>
      </c>
      <c r="F145" s="32">
        <f>VLOOKUP(TABLA_PRECIOS_LISTBOX[[#This Row],[Código]],TABLA_PRECIOS[#All],8)</f>
        <v>1</v>
      </c>
      <c r="G145" s="9">
        <f>VLOOKUP(TABLA_PRECIOS_LISTBOX[[#This Row],[Código]],TABLA_PRECIOS[#All],10)</f>
        <v>0</v>
      </c>
    </row>
    <row r="146" spans="1:7" ht="12" customHeight="1" x14ac:dyDescent="0.3">
      <c r="A146" s="4">
        <v>1175</v>
      </c>
      <c r="B146" s="6" t="str">
        <f>VLOOKUP(TABLA_PRECIOS_LISTBOX[Código],LISTADO_PRODUCTOS[#All],4)</f>
        <v xml:space="preserve">Colores Faber Castell x12 +2N </v>
      </c>
      <c r="C146" s="6" t="str">
        <f>VLOOKUP(TABLA_PRECIOS_LISTBOX[Código],LISTADO_PRODUCTOS[#All],5)</f>
        <v>N/A</v>
      </c>
      <c r="D146" s="13">
        <f>VLOOKUP(TABLA_PRECIOS_LISTBOX[[#This Row],[Código]],TABLA_PRECIOS[#All],6)</f>
        <v>1</v>
      </c>
      <c r="E146" s="28">
        <f>VLOOKUP(TABLA_PRECIOS_LISTBOX[[#This Row],[Código]],TABLA_PRECIOS[#All],7)</f>
        <v>1</v>
      </c>
      <c r="F146" s="32">
        <f>VLOOKUP(TABLA_PRECIOS_LISTBOX[[#This Row],[Código]],TABLA_PRECIOS[#All],8)</f>
        <v>1</v>
      </c>
      <c r="G146" s="9">
        <f>VLOOKUP(TABLA_PRECIOS_LISTBOX[[#This Row],[Código]],TABLA_PRECIOS[#All],10)</f>
        <v>0</v>
      </c>
    </row>
    <row r="147" spans="1:7" ht="12" customHeight="1" x14ac:dyDescent="0.3">
      <c r="A147" s="4">
        <v>1176</v>
      </c>
      <c r="B147" s="6" t="str">
        <f>VLOOKUP(TABLA_PRECIOS_LISTBOX[Código],LISTADO_PRODUCTOS[#All],4)</f>
        <v>Marcadores escolares Skycolor x 10</v>
      </c>
      <c r="C147" s="6" t="str">
        <f>VLOOKUP(TABLA_PRECIOS_LISTBOX[Código],LISTADO_PRODUCTOS[#All],5)</f>
        <v>N/A</v>
      </c>
      <c r="D147" s="44">
        <f>VLOOKUP(TABLA_PRECIOS_LISTBOX[[#This Row],[Código]],TABLA_PRECIOS[#All],6)</f>
        <v>1</v>
      </c>
      <c r="E147" s="45">
        <f>VLOOKUP(TABLA_PRECIOS_LISTBOX[[#This Row],[Código]],TABLA_PRECIOS[#All],7)</f>
        <v>1</v>
      </c>
      <c r="F147" s="32">
        <f>VLOOKUP(TABLA_PRECIOS_LISTBOX[[#This Row],[Código]],TABLA_PRECIOS[#All],8)</f>
        <v>1</v>
      </c>
      <c r="G147" s="9">
        <f>VLOOKUP(TABLA_PRECIOS_LISTBOX[[#This Row],[Código]],TABLA_PRECIOS[#All],10)</f>
        <v>0</v>
      </c>
    </row>
    <row r="148" spans="1:7" ht="12" customHeight="1" x14ac:dyDescent="0.3">
      <c r="A148" s="4">
        <v>1180</v>
      </c>
      <c r="B148" s="6" t="str">
        <f>VLOOKUP(TABLA_PRECIOS_LISTBOX[Código],LISTADO_PRODUCTOS[#All],4)</f>
        <v>Marcadores Maped Long Life punta conica</v>
      </c>
      <c r="C148" s="6" t="str">
        <f>VLOOKUP(TABLA_PRECIOS_LISTBOX[Código],LISTADO_PRODUCTOS[#All],5)</f>
        <v>N/A</v>
      </c>
      <c r="D148" s="13">
        <f>VLOOKUP(TABLA_PRECIOS_LISTBOX[[#This Row],[Código]],TABLA_PRECIOS[#All],6)</f>
        <v>1</v>
      </c>
      <c r="E148" s="28">
        <f>VLOOKUP(TABLA_PRECIOS_LISTBOX[[#This Row],[Código]],TABLA_PRECIOS[#All],7)</f>
        <v>1</v>
      </c>
      <c r="F148" s="32">
        <f>VLOOKUP(TABLA_PRECIOS_LISTBOX[[#This Row],[Código]],TABLA_PRECIOS[#All],8)</f>
        <v>1</v>
      </c>
      <c r="G148" s="9">
        <f>VLOOKUP(TABLA_PRECIOS_LISTBOX[[#This Row],[Código]],TABLA_PRECIOS[#All],10)</f>
        <v>0</v>
      </c>
    </row>
    <row r="149" spans="1:7" ht="12" customHeight="1" x14ac:dyDescent="0.3">
      <c r="A149" s="4">
        <v>1181</v>
      </c>
      <c r="B149" s="6" t="str">
        <f>VLOOKUP(TABLA_PRECIOS_LISTBOX[Código],LISTADO_PRODUCTOS[#All],4)</f>
        <v>Cuaderno America T/Flex 48h</v>
      </c>
      <c r="C149" s="6" t="str">
        <f>VLOOKUP(TABLA_PRECIOS_LISTBOX[Código],LISTADO_PRODUCTOS[#All],5)</f>
        <v>N/A</v>
      </c>
      <c r="D149" s="13">
        <f>VLOOKUP(TABLA_PRECIOS_LISTBOX[[#This Row],[Código]],TABLA_PRECIOS[#All],6)</f>
        <v>1</v>
      </c>
      <c r="E149" s="28">
        <f>VLOOKUP(TABLA_PRECIOS_LISTBOX[[#This Row],[Código]],TABLA_PRECIOS[#All],7)</f>
        <v>1</v>
      </c>
      <c r="F149" s="32">
        <f>VLOOKUP(TABLA_PRECIOS_LISTBOX[[#This Row],[Código]],TABLA_PRECIOS[#All],8)</f>
        <v>1</v>
      </c>
      <c r="G149" s="9">
        <f>VLOOKUP(TABLA_PRECIOS_LISTBOX[[#This Row],[Código]],TABLA_PRECIOS[#All],10)</f>
        <v>0</v>
      </c>
    </row>
    <row r="150" spans="1:7" ht="12" customHeight="1" x14ac:dyDescent="0.3">
      <c r="A150" s="4">
        <v>1183</v>
      </c>
      <c r="B150" s="6" t="str">
        <f>VLOOKUP(TABLA_PRECIOS_LISTBOX[Código],LISTADO_PRODUCTOS[#All],4)</f>
        <v>Marcadores Deli Sketch triangular Doble punta Box x 12u</v>
      </c>
      <c r="C150" s="6" t="str">
        <f>VLOOKUP(TABLA_PRECIOS_LISTBOX[Código],LISTADO_PRODUCTOS[#All],5)</f>
        <v>N/A</v>
      </c>
      <c r="D150" s="13">
        <f>VLOOKUP(TABLA_PRECIOS_LISTBOX[[#This Row],[Código]],TABLA_PRECIOS[#All],6)</f>
        <v>1</v>
      </c>
      <c r="E150" s="28">
        <f>VLOOKUP(TABLA_PRECIOS_LISTBOX[[#This Row],[Código]],TABLA_PRECIOS[#All],7)</f>
        <v>1</v>
      </c>
      <c r="F150" s="32">
        <f>VLOOKUP(TABLA_PRECIOS_LISTBOX[[#This Row],[Código]],TABLA_PRECIOS[#All],8)</f>
        <v>1</v>
      </c>
      <c r="G150" s="9">
        <f>VLOOKUP(TABLA_PRECIOS_LISTBOX[[#This Row],[Código]],TABLA_PRECIOS[#All],10)</f>
        <v>0</v>
      </c>
    </row>
    <row r="151" spans="1:7" ht="12" customHeight="1" x14ac:dyDescent="0.3">
      <c r="A151" s="4">
        <v>1186</v>
      </c>
      <c r="B151" s="6" t="str">
        <f>VLOOKUP(TABLA_PRECIOS_LISTBOX[Código],LISTADO_PRODUCTOS[#All],4)</f>
        <v>Marcador Trabí Art Brush Pastel x 6u</v>
      </c>
      <c r="C151" s="6" t="str">
        <f>VLOOKUP(TABLA_PRECIOS_LISTBOX[Código],LISTADO_PRODUCTOS[#All],5)</f>
        <v>N/A</v>
      </c>
      <c r="D151" s="13">
        <f>VLOOKUP(TABLA_PRECIOS_LISTBOX[[#This Row],[Código]],TABLA_PRECIOS[#All],6)</f>
        <v>1</v>
      </c>
      <c r="E151" s="28">
        <f>VLOOKUP(TABLA_PRECIOS_LISTBOX[[#This Row],[Código]],TABLA_PRECIOS[#All],7)</f>
        <v>1</v>
      </c>
      <c r="F151" s="32">
        <f>VLOOKUP(TABLA_PRECIOS_LISTBOX[[#This Row],[Código]],TABLA_PRECIOS[#All],8)</f>
        <v>1</v>
      </c>
      <c r="G151" s="9">
        <f>VLOOKUP(TABLA_PRECIOS_LISTBOX[[#This Row],[Código]],TABLA_PRECIOS[#All],10)</f>
        <v>0</v>
      </c>
    </row>
    <row r="152" spans="1:7" ht="12" customHeight="1" x14ac:dyDescent="0.3">
      <c r="A152" s="4">
        <v>1187</v>
      </c>
      <c r="B152" s="6" t="str">
        <f>VLOOKUP(TABLA_PRECIOS_LISTBOX[Código],LISTADO_PRODUCTOS[#All],4)</f>
        <v>Tijera Maped Advanced 21cm Asim Try Me</v>
      </c>
      <c r="C152" s="6" t="str">
        <f>VLOOKUP(TABLA_PRECIOS_LISTBOX[Código],LISTADO_PRODUCTOS[#All],5)</f>
        <v>N/A</v>
      </c>
      <c r="D152" s="13">
        <f>VLOOKUP(TABLA_PRECIOS_LISTBOX[[#This Row],[Código]],TABLA_PRECIOS[#All],6)</f>
        <v>1</v>
      </c>
      <c r="E152" s="28">
        <f>VLOOKUP(TABLA_PRECIOS_LISTBOX[[#This Row],[Código]],TABLA_PRECIOS[#All],7)</f>
        <v>1</v>
      </c>
      <c r="F152" s="32">
        <f>VLOOKUP(TABLA_PRECIOS_LISTBOX[[#This Row],[Código]],TABLA_PRECIOS[#All],8)</f>
        <v>1</v>
      </c>
      <c r="G152" s="9">
        <f>VLOOKUP(TABLA_PRECIOS_LISTBOX[[#This Row],[Código]],TABLA_PRECIOS[#All],10)</f>
        <v>0</v>
      </c>
    </row>
    <row r="153" spans="1:7" ht="12" customHeight="1" x14ac:dyDescent="0.3">
      <c r="A153" s="4">
        <v>1188</v>
      </c>
      <c r="B153" s="6" t="str">
        <f>VLOOKUP(TABLA_PRECIOS_LISTBOX[Código],LISTADO_PRODUCTOS[#All],4)</f>
        <v>Portaminas Micro Executive 0,7</v>
      </c>
      <c r="C153" s="6" t="str">
        <f>VLOOKUP(TABLA_PRECIOS_LISTBOX[Código],LISTADO_PRODUCTOS[#All],5)</f>
        <v>N/A</v>
      </c>
      <c r="D153" s="13">
        <f>VLOOKUP(TABLA_PRECIOS_LISTBOX[[#This Row],[Código]],TABLA_PRECIOS[#All],6)</f>
        <v>1</v>
      </c>
      <c r="E153" s="28">
        <f>VLOOKUP(TABLA_PRECIOS_LISTBOX[[#This Row],[Código]],TABLA_PRECIOS[#All],7)</f>
        <v>1</v>
      </c>
      <c r="F153" s="32">
        <f>VLOOKUP(TABLA_PRECIOS_LISTBOX[[#This Row],[Código]],TABLA_PRECIOS[#All],8)</f>
        <v>1</v>
      </c>
      <c r="G153" s="9">
        <f>VLOOKUP(TABLA_PRECIOS_LISTBOX[[#This Row],[Código]],TABLA_PRECIOS[#All],10)</f>
        <v>0</v>
      </c>
    </row>
    <row r="154" spans="1:7" ht="12" customHeight="1" x14ac:dyDescent="0.3">
      <c r="A154" s="4">
        <v>1189</v>
      </c>
      <c r="B154" s="6" t="str">
        <f>VLOOKUP(TABLA_PRECIOS_LISTBOX[Código],LISTADO_PRODUCTOS[#All],4)</f>
        <v>Adhesivo Sintetico Pizzini x 30ml</v>
      </c>
      <c r="C154" s="6" t="str">
        <f>VLOOKUP(TABLA_PRECIOS_LISTBOX[Código],LISTADO_PRODUCTOS[#All],5)</f>
        <v>N/A</v>
      </c>
      <c r="D154" s="13">
        <f>VLOOKUP(TABLA_PRECIOS_LISTBOX[[#This Row],[Código]],TABLA_PRECIOS[#All],6)</f>
        <v>1</v>
      </c>
      <c r="E154" s="28">
        <f>VLOOKUP(TABLA_PRECIOS_LISTBOX[[#This Row],[Código]],TABLA_PRECIOS[#All],7)</f>
        <v>1</v>
      </c>
      <c r="F154" s="32">
        <f>VLOOKUP(TABLA_PRECIOS_LISTBOX[[#This Row],[Código]],TABLA_PRECIOS[#All],8)</f>
        <v>1</v>
      </c>
      <c r="G154" s="9">
        <f>VLOOKUP(TABLA_PRECIOS_LISTBOX[[#This Row],[Código]],TABLA_PRECIOS[#All],10)</f>
        <v>0</v>
      </c>
    </row>
    <row r="155" spans="1:7" ht="12" customHeight="1" x14ac:dyDescent="0.3">
      <c r="A155" s="4">
        <v>1190</v>
      </c>
      <c r="B155" s="6" t="str">
        <f>VLOOKUP(TABLA_PRECIOS_LISTBOX[Código],LISTADO_PRODUCTOS[#All],4)</f>
        <v>Adhesivo Sintetico Voligoma x 30ml</v>
      </c>
      <c r="C155" s="6" t="str">
        <f>VLOOKUP(TABLA_PRECIOS_LISTBOX[Código],LISTADO_PRODUCTOS[#All],5)</f>
        <v>N/A</v>
      </c>
      <c r="D155" s="13">
        <f>VLOOKUP(TABLA_PRECIOS_LISTBOX[[#This Row],[Código]],TABLA_PRECIOS[#All],6)</f>
        <v>1</v>
      </c>
      <c r="E155" s="28">
        <f>VLOOKUP(TABLA_PRECIOS_LISTBOX[[#This Row],[Código]],TABLA_PRECIOS[#All],7)</f>
        <v>1</v>
      </c>
      <c r="F155" s="32">
        <f>VLOOKUP(TABLA_PRECIOS_LISTBOX[[#This Row],[Código]],TABLA_PRECIOS[#All],8)</f>
        <v>1</v>
      </c>
      <c r="G155" s="9">
        <f>VLOOKUP(TABLA_PRECIOS_LISTBOX[[#This Row],[Código]],TABLA_PRECIOS[#All],10)</f>
        <v>0</v>
      </c>
    </row>
    <row r="156" spans="1:7" ht="12" customHeight="1" x14ac:dyDescent="0.3">
      <c r="A156" s="4">
        <v>1191</v>
      </c>
      <c r="B156" s="6" t="str">
        <f>VLOOKUP(TABLA_PRECIOS_LISTBOX[Código],LISTADO_PRODUCTOS[#All],4)</f>
        <v>Adhesivo Sintetico Voligoma x 50ml</v>
      </c>
      <c r="C156" s="6" t="str">
        <f>VLOOKUP(TABLA_PRECIOS_LISTBOX[Código],LISTADO_PRODUCTOS[#All],5)</f>
        <v>N/A</v>
      </c>
      <c r="D156" s="13">
        <f>VLOOKUP(TABLA_PRECIOS_LISTBOX[[#This Row],[Código]],TABLA_PRECIOS[#All],6)</f>
        <v>1</v>
      </c>
      <c r="E156" s="28">
        <f>VLOOKUP(TABLA_PRECIOS_LISTBOX[[#This Row],[Código]],TABLA_PRECIOS[#All],7)</f>
        <v>1</v>
      </c>
      <c r="F156" s="32">
        <f>VLOOKUP(TABLA_PRECIOS_LISTBOX[[#This Row],[Código]],TABLA_PRECIOS[#All],8)</f>
        <v>1</v>
      </c>
      <c r="G156" s="9">
        <f>VLOOKUP(TABLA_PRECIOS_LISTBOX[[#This Row],[Código]],TABLA_PRECIOS[#All],10)</f>
        <v>0</v>
      </c>
    </row>
    <row r="157" spans="1:7" ht="12" customHeight="1" x14ac:dyDescent="0.3">
      <c r="A157" s="4">
        <v>1192</v>
      </c>
      <c r="B157" s="6" t="str">
        <f>VLOOKUP(TABLA_PRECIOS_LISTBOX[Código],LISTADO_PRODUCTOS[#All],4)</f>
        <v>Silicona liquida Pritt 105gr</v>
      </c>
      <c r="C157" s="6" t="str">
        <f>VLOOKUP(TABLA_PRECIOS_LISTBOX[Código],LISTADO_PRODUCTOS[#All],5)</f>
        <v>N/A</v>
      </c>
      <c r="D157" s="13">
        <f>VLOOKUP(TABLA_PRECIOS_LISTBOX[[#This Row],[Código]],TABLA_PRECIOS[#All],6)</f>
        <v>1</v>
      </c>
      <c r="E157" s="28">
        <f>VLOOKUP(TABLA_PRECIOS_LISTBOX[[#This Row],[Código]],TABLA_PRECIOS[#All],7)</f>
        <v>1</v>
      </c>
      <c r="F157" s="32">
        <f>VLOOKUP(TABLA_PRECIOS_LISTBOX[[#This Row],[Código]],TABLA_PRECIOS[#All],8)</f>
        <v>1</v>
      </c>
      <c r="G157" s="9">
        <f>VLOOKUP(TABLA_PRECIOS_LISTBOX[[#This Row],[Código]],TABLA_PRECIOS[#All],10)</f>
        <v>0</v>
      </c>
    </row>
    <row r="158" spans="1:7" ht="12" customHeight="1" x14ac:dyDescent="0.3">
      <c r="A158" s="4">
        <v>1194</v>
      </c>
      <c r="B158" s="6" t="str">
        <f>VLOOKUP(TABLA_PRECIOS_LISTBOX[Código],LISTADO_PRODUCTOS[#All],4)</f>
        <v>Adhesivo vinilico Señorita x 1Kg</v>
      </c>
      <c r="C158" s="6" t="str">
        <f>VLOOKUP(TABLA_PRECIOS_LISTBOX[Código],LISTADO_PRODUCTOS[#All],5)</f>
        <v>N/A</v>
      </c>
      <c r="D158" s="13">
        <f>VLOOKUP(TABLA_PRECIOS_LISTBOX[[#This Row],[Código]],TABLA_PRECIOS[#All],6)</f>
        <v>1</v>
      </c>
      <c r="E158" s="28">
        <f>VLOOKUP(TABLA_PRECIOS_LISTBOX[[#This Row],[Código]],TABLA_PRECIOS[#All],7)</f>
        <v>1</v>
      </c>
      <c r="F158" s="32">
        <f>VLOOKUP(TABLA_PRECIOS_LISTBOX[[#This Row],[Código]],TABLA_PRECIOS[#All],8)</f>
        <v>1</v>
      </c>
      <c r="G158" s="9">
        <f>VLOOKUP(TABLA_PRECIOS_LISTBOX[[#This Row],[Código]],TABLA_PRECIOS[#All],10)</f>
        <v>0</v>
      </c>
    </row>
    <row r="159" spans="1:7" ht="12" customHeight="1" x14ac:dyDescent="0.3">
      <c r="A159" s="4">
        <v>1195</v>
      </c>
      <c r="B159" s="6" t="str">
        <f>VLOOKUP(TABLA_PRECIOS_LISTBOX[Código],LISTADO_PRODUCTOS[#All],4)</f>
        <v>Adhesivo vinilico Señorita/Maped x 500gr</v>
      </c>
      <c r="C159" s="6" t="str">
        <f>VLOOKUP(TABLA_PRECIOS_LISTBOX[Código],LISTADO_PRODUCTOS[#All],5)</f>
        <v>N/A</v>
      </c>
      <c r="D159" s="13">
        <f>VLOOKUP(TABLA_PRECIOS_LISTBOX[[#This Row],[Código]],TABLA_PRECIOS[#All],6)</f>
        <v>1</v>
      </c>
      <c r="E159" s="28">
        <f>VLOOKUP(TABLA_PRECIOS_LISTBOX[[#This Row],[Código]],TABLA_PRECIOS[#All],7)</f>
        <v>1</v>
      </c>
      <c r="F159" s="32">
        <f>VLOOKUP(TABLA_PRECIOS_LISTBOX[[#This Row],[Código]],TABLA_PRECIOS[#All],8)</f>
        <v>1</v>
      </c>
      <c r="G159" s="9">
        <f>VLOOKUP(TABLA_PRECIOS_LISTBOX[[#This Row],[Código]],TABLA_PRECIOS[#All],10)</f>
        <v>0</v>
      </c>
    </row>
    <row r="160" spans="1:7" ht="12" customHeight="1" x14ac:dyDescent="0.3">
      <c r="A160" s="4">
        <v>1196</v>
      </c>
      <c r="B160" s="6" t="str">
        <f>VLOOKUP(TABLA_PRECIOS_LISTBOX[Código],LISTADO_PRODUCTOS[#All],4)</f>
        <v>Adhesivo vinilico Señorita/Maped x 250gr</v>
      </c>
      <c r="C160" s="6" t="str">
        <f>VLOOKUP(TABLA_PRECIOS_LISTBOX[Código],LISTADO_PRODUCTOS[#All],5)</f>
        <v>N/A</v>
      </c>
      <c r="D160" s="13">
        <f>VLOOKUP(TABLA_PRECIOS_LISTBOX[[#This Row],[Código]],TABLA_PRECIOS[#All],6)</f>
        <v>1</v>
      </c>
      <c r="E160" s="28">
        <f>VLOOKUP(TABLA_PRECIOS_LISTBOX[[#This Row],[Código]],TABLA_PRECIOS[#All],7)</f>
        <v>1</v>
      </c>
      <c r="F160" s="32">
        <f>VLOOKUP(TABLA_PRECIOS_LISTBOX[[#This Row],[Código]],TABLA_PRECIOS[#All],8)</f>
        <v>1</v>
      </c>
      <c r="G160" s="9">
        <f>VLOOKUP(TABLA_PRECIOS_LISTBOX[[#This Row],[Código]],TABLA_PRECIOS[#All],10)</f>
        <v>0</v>
      </c>
    </row>
    <row r="161" spans="1:7" ht="12" customHeight="1" x14ac:dyDescent="0.3">
      <c r="A161" s="4">
        <v>1197</v>
      </c>
      <c r="B161" s="6" t="str">
        <f>VLOOKUP(TABLA_PRECIOS_LISTBOX[Código],LISTADO_PRODUCTOS[#All],4)</f>
        <v>Adhesivo vinilico Señorita/Maped x 100gr/125gr</v>
      </c>
      <c r="C161" s="6" t="str">
        <f>VLOOKUP(TABLA_PRECIOS_LISTBOX[Código],LISTADO_PRODUCTOS[#All],5)</f>
        <v>N/A</v>
      </c>
      <c r="D161" s="13">
        <f>VLOOKUP(TABLA_PRECIOS_LISTBOX[[#This Row],[Código]],TABLA_PRECIOS[#All],6)</f>
        <v>1</v>
      </c>
      <c r="E161" s="28">
        <f>VLOOKUP(TABLA_PRECIOS_LISTBOX[[#This Row],[Código]],TABLA_PRECIOS[#All],7)</f>
        <v>1</v>
      </c>
      <c r="F161" s="32">
        <f>VLOOKUP(TABLA_PRECIOS_LISTBOX[[#This Row],[Código]],TABLA_PRECIOS[#All],8)</f>
        <v>1</v>
      </c>
      <c r="G161" s="9">
        <f>VLOOKUP(TABLA_PRECIOS_LISTBOX[[#This Row],[Código]],TABLA_PRECIOS[#All],10)</f>
        <v>0</v>
      </c>
    </row>
    <row r="162" spans="1:7" ht="12" customHeight="1" x14ac:dyDescent="0.3">
      <c r="A162" s="4">
        <v>1199</v>
      </c>
      <c r="B162" s="6" t="str">
        <f>VLOOKUP(TABLA_PRECIOS_LISTBOX[Código],LISTADO_PRODUCTOS[#All],4)</f>
        <v>Goma de borrar Maped Technic</v>
      </c>
      <c r="C162" s="6" t="str">
        <f>VLOOKUP(TABLA_PRECIOS_LISTBOX[Código],LISTADO_PRODUCTOS[#All],5)</f>
        <v>N/A</v>
      </c>
      <c r="D162" s="13">
        <f>VLOOKUP(TABLA_PRECIOS_LISTBOX[[#This Row],[Código]],TABLA_PRECIOS[#All],6)</f>
        <v>1</v>
      </c>
      <c r="E162" s="28">
        <f>VLOOKUP(TABLA_PRECIOS_LISTBOX[[#This Row],[Código]],TABLA_PRECIOS[#All],7)</f>
        <v>1</v>
      </c>
      <c r="F162" s="32">
        <f>VLOOKUP(TABLA_PRECIOS_LISTBOX[[#This Row],[Código]],TABLA_PRECIOS[#All],8)</f>
        <v>1</v>
      </c>
      <c r="G162" s="9">
        <f>VLOOKUP(TABLA_PRECIOS_LISTBOX[[#This Row],[Código]],TABLA_PRECIOS[#All],10)</f>
        <v>0</v>
      </c>
    </row>
    <row r="163" spans="1:7" ht="12" customHeight="1" x14ac:dyDescent="0.3">
      <c r="A163" s="4">
        <v>1205</v>
      </c>
      <c r="B163" s="6" t="str">
        <f>VLOOKUP(TABLA_PRECIOS_LISTBOX[Código],LISTADO_PRODUCTOS[#All],4)</f>
        <v xml:space="preserve">Papel Glace Lustre </v>
      </c>
      <c r="C163" s="6" t="str">
        <f>VLOOKUP(TABLA_PRECIOS_LISTBOX[Código],LISTADO_PRODUCTOS[#All],5)</f>
        <v>N/A</v>
      </c>
      <c r="D163" s="13">
        <f>VLOOKUP(TABLA_PRECIOS_LISTBOX[[#This Row],[Código]],TABLA_PRECIOS[#All],6)</f>
        <v>1</v>
      </c>
      <c r="E163" s="28">
        <f>VLOOKUP(TABLA_PRECIOS_LISTBOX[[#This Row],[Código]],TABLA_PRECIOS[#All],7)</f>
        <v>1</v>
      </c>
      <c r="F163" s="32">
        <f>VLOOKUP(TABLA_PRECIOS_LISTBOX[[#This Row],[Código]],TABLA_PRECIOS[#All],8)</f>
        <v>1</v>
      </c>
      <c r="G163" s="9">
        <f>VLOOKUP(TABLA_PRECIOS_LISTBOX[[#This Row],[Código]],TABLA_PRECIOS[#All],10)</f>
        <v>0</v>
      </c>
    </row>
    <row r="164" spans="1:7" ht="12" customHeight="1" x14ac:dyDescent="0.3">
      <c r="A164" s="4">
        <v>1206</v>
      </c>
      <c r="B164" s="6" t="str">
        <f>VLOOKUP(TABLA_PRECIOS_LISTBOX[Código],LISTADO_PRODUCTOS[#All],4)</f>
        <v xml:space="preserve">Papel Glace Fluo - </v>
      </c>
      <c r="C164" s="6" t="str">
        <f>VLOOKUP(TABLA_PRECIOS_LISTBOX[Código],LISTADO_PRODUCTOS[#All],5)</f>
        <v>N/A</v>
      </c>
      <c r="D164" s="13">
        <f>VLOOKUP(TABLA_PRECIOS_LISTBOX[[#This Row],[Código]],TABLA_PRECIOS[#All],6)</f>
        <v>1</v>
      </c>
      <c r="E164" s="28">
        <f>VLOOKUP(TABLA_PRECIOS_LISTBOX[[#This Row],[Código]],TABLA_PRECIOS[#All],7)</f>
        <v>1</v>
      </c>
      <c r="F164" s="32">
        <f>VLOOKUP(TABLA_PRECIOS_LISTBOX[[#This Row],[Código]],TABLA_PRECIOS[#All],8)</f>
        <v>1</v>
      </c>
      <c r="G164" s="9">
        <f>VLOOKUP(TABLA_PRECIOS_LISTBOX[[#This Row],[Código]],TABLA_PRECIOS[#All],10)</f>
        <v>0</v>
      </c>
    </row>
    <row r="165" spans="1:7" ht="12" customHeight="1" x14ac:dyDescent="0.3">
      <c r="A165" s="4">
        <v>1207</v>
      </c>
      <c r="B165" s="6" t="str">
        <f>VLOOKUP(TABLA_PRECIOS_LISTBOX[Código],LISTADO_PRODUCTOS[#All],4)</f>
        <v>Papel Glace metalizado -</v>
      </c>
      <c r="C165" s="6" t="str">
        <f>VLOOKUP(TABLA_PRECIOS_LISTBOX[Código],LISTADO_PRODUCTOS[#All],5)</f>
        <v>N/A</v>
      </c>
      <c r="D165" s="13">
        <f>VLOOKUP(TABLA_PRECIOS_LISTBOX[[#This Row],[Código]],TABLA_PRECIOS[#All],6)</f>
        <v>1</v>
      </c>
      <c r="E165" s="28">
        <f>VLOOKUP(TABLA_PRECIOS_LISTBOX[[#This Row],[Código]],TABLA_PRECIOS[#All],7)</f>
        <v>1</v>
      </c>
      <c r="F165" s="32">
        <f>VLOOKUP(TABLA_PRECIOS_LISTBOX[[#This Row],[Código]],TABLA_PRECIOS[#All],8)</f>
        <v>1</v>
      </c>
      <c r="G165" s="9">
        <f>VLOOKUP(TABLA_PRECIOS_LISTBOX[[#This Row],[Código]],TABLA_PRECIOS[#All],10)</f>
        <v>0</v>
      </c>
    </row>
    <row r="166" spans="1:7" ht="12" customHeight="1" x14ac:dyDescent="0.3">
      <c r="A166" s="4">
        <v>1208</v>
      </c>
      <c r="B166" s="6" t="str">
        <f>VLOOKUP(TABLA_PRECIOS_LISTBOX[Código],LISTADO_PRODUCTOS[#All],4)</f>
        <v>Sacapuntas Maped Vivo</v>
      </c>
      <c r="C166" s="6" t="str">
        <f>VLOOKUP(TABLA_PRECIOS_LISTBOX[Código],LISTADO_PRODUCTOS[#All],5)</f>
        <v>N/A</v>
      </c>
      <c r="D166" s="13">
        <f>VLOOKUP(TABLA_PRECIOS_LISTBOX[[#This Row],[Código]],TABLA_PRECIOS[#All],6)</f>
        <v>1</v>
      </c>
      <c r="E166" s="28">
        <f>VLOOKUP(TABLA_PRECIOS_LISTBOX[[#This Row],[Código]],TABLA_PRECIOS[#All],7)</f>
        <v>1</v>
      </c>
      <c r="F166" s="32">
        <f>VLOOKUP(TABLA_PRECIOS_LISTBOX[[#This Row],[Código]],TABLA_PRECIOS[#All],8)</f>
        <v>1</v>
      </c>
      <c r="G166" s="9">
        <f>VLOOKUP(TABLA_PRECIOS_LISTBOX[[#This Row],[Código]],TABLA_PRECIOS[#All],10)</f>
        <v>0</v>
      </c>
    </row>
    <row r="167" spans="1:7" ht="12" customHeight="1" x14ac:dyDescent="0.3">
      <c r="A167" s="4">
        <v>1209</v>
      </c>
      <c r="B167" s="6" t="str">
        <f>VLOOKUP(TABLA_PRECIOS_LISTBOX[Código],LISTADO_PRODUCTOS[#All],4)</f>
        <v>Sacapuntas Maped monstruito</v>
      </c>
      <c r="C167" s="6" t="str">
        <f>VLOOKUP(TABLA_PRECIOS_LISTBOX[Código],LISTADO_PRODUCTOS[#All],5)</f>
        <v>N/A</v>
      </c>
      <c r="D167" s="13">
        <f>VLOOKUP(TABLA_PRECIOS_LISTBOX[[#This Row],[Código]],TABLA_PRECIOS[#All],6)</f>
        <v>1</v>
      </c>
      <c r="E167" s="28">
        <f>VLOOKUP(TABLA_PRECIOS_LISTBOX[[#This Row],[Código]],TABLA_PRECIOS[#All],7)</f>
        <v>1</v>
      </c>
      <c r="F167" s="32">
        <f>VLOOKUP(TABLA_PRECIOS_LISTBOX[[#This Row],[Código]],TABLA_PRECIOS[#All],8)</f>
        <v>1</v>
      </c>
      <c r="G167" s="9">
        <f>VLOOKUP(TABLA_PRECIOS_LISTBOX[[#This Row],[Código]],TABLA_PRECIOS[#All],10)</f>
        <v>0</v>
      </c>
    </row>
    <row r="168" spans="1:7" ht="12" customHeight="1" x14ac:dyDescent="0.3">
      <c r="A168" s="4">
        <v>1210</v>
      </c>
      <c r="B168" s="6" t="str">
        <f>VLOOKUP(TABLA_PRECIOS_LISTBOX[Código],LISTADO_PRODUCTOS[#All],4)</f>
        <v>Sacapuntas Metal</v>
      </c>
      <c r="C168" s="6" t="str">
        <f>VLOOKUP(TABLA_PRECIOS_LISTBOX[Código],LISTADO_PRODUCTOS[#All],5)</f>
        <v>N/A</v>
      </c>
      <c r="D168" s="13">
        <f>VLOOKUP(TABLA_PRECIOS_LISTBOX[[#This Row],[Código]],TABLA_PRECIOS[#All],6)</f>
        <v>1</v>
      </c>
      <c r="E168" s="28">
        <f>VLOOKUP(TABLA_PRECIOS_LISTBOX[[#This Row],[Código]],TABLA_PRECIOS[#All],7)</f>
        <v>1</v>
      </c>
      <c r="F168" s="32">
        <f>VLOOKUP(TABLA_PRECIOS_LISTBOX[[#This Row],[Código]],TABLA_PRECIOS[#All],8)</f>
        <v>1</v>
      </c>
      <c r="G168" s="9">
        <f>VLOOKUP(TABLA_PRECIOS_LISTBOX[[#This Row],[Código]],TABLA_PRECIOS[#All],10)</f>
        <v>0</v>
      </c>
    </row>
    <row r="169" spans="1:7" ht="12" customHeight="1" x14ac:dyDescent="0.3">
      <c r="A169" s="4">
        <v>1211</v>
      </c>
      <c r="B169" s="6" t="str">
        <f>VLOOKUP(TABLA_PRECIOS_LISTBOX[Código],LISTADO_PRODUCTOS[#All],4)</f>
        <v>Lapiz Negro Filgo Pinto</v>
      </c>
      <c r="C169" s="6" t="str">
        <f>VLOOKUP(TABLA_PRECIOS_LISTBOX[Código],LISTADO_PRODUCTOS[#All],5)</f>
        <v>N/A</v>
      </c>
      <c r="D169" s="13">
        <f>VLOOKUP(TABLA_PRECIOS_LISTBOX[[#This Row],[Código]],TABLA_PRECIOS[#All],6)</f>
        <v>1</v>
      </c>
      <c r="E169" s="28">
        <f>VLOOKUP(TABLA_PRECIOS_LISTBOX[[#This Row],[Código]],TABLA_PRECIOS[#All],7)</f>
        <v>1</v>
      </c>
      <c r="F169" s="32">
        <f>VLOOKUP(TABLA_PRECIOS_LISTBOX[[#This Row],[Código]],TABLA_PRECIOS[#All],8)</f>
        <v>1</v>
      </c>
      <c r="G169" s="9">
        <f>VLOOKUP(TABLA_PRECIOS_LISTBOX[[#This Row],[Código]],TABLA_PRECIOS[#All],10)</f>
        <v>0</v>
      </c>
    </row>
    <row r="170" spans="1:7" ht="12" customHeight="1" x14ac:dyDescent="0.3">
      <c r="A170" s="4">
        <v>1212</v>
      </c>
      <c r="B170" s="6" t="str">
        <f>VLOOKUP(TABLA_PRECIOS_LISTBOX[Código],LISTADO_PRODUCTOS[#All],4)</f>
        <v>Lapiz Negro Bic Evolution</v>
      </c>
      <c r="C170" s="6" t="str">
        <f>VLOOKUP(TABLA_PRECIOS_LISTBOX[Código],LISTADO_PRODUCTOS[#All],5)</f>
        <v>N/A</v>
      </c>
      <c r="D170" s="13">
        <f>VLOOKUP(TABLA_PRECIOS_LISTBOX[[#This Row],[Código]],TABLA_PRECIOS[#All],6)</f>
        <v>1</v>
      </c>
      <c r="E170" s="28">
        <f>VLOOKUP(TABLA_PRECIOS_LISTBOX[[#This Row],[Código]],TABLA_PRECIOS[#All],7)</f>
        <v>1</v>
      </c>
      <c r="F170" s="32">
        <f>VLOOKUP(TABLA_PRECIOS_LISTBOX[[#This Row],[Código]],TABLA_PRECIOS[#All],8)</f>
        <v>1</v>
      </c>
      <c r="G170" s="9">
        <f>VLOOKUP(TABLA_PRECIOS_LISTBOX[[#This Row],[Código]],TABLA_PRECIOS[#All],10)</f>
        <v>0</v>
      </c>
    </row>
    <row r="171" spans="1:7" ht="12" customHeight="1" x14ac:dyDescent="0.3">
      <c r="A171" s="4">
        <v>1213</v>
      </c>
      <c r="B171" s="6" t="str">
        <f>VLOOKUP(TABLA_PRECIOS_LISTBOX[Código],LISTADO_PRODUCTOS[#All],4)</f>
        <v xml:space="preserve">Lapiz Negro Skycolor </v>
      </c>
      <c r="C171" s="6" t="str">
        <f>VLOOKUP(TABLA_PRECIOS_LISTBOX[Código],LISTADO_PRODUCTOS[#All],5)</f>
        <v>N/A</v>
      </c>
      <c r="D171" s="13">
        <f>VLOOKUP(TABLA_PRECIOS_LISTBOX[[#This Row],[Código]],TABLA_PRECIOS[#All],6)</f>
        <v>1</v>
      </c>
      <c r="E171" s="28">
        <f>VLOOKUP(TABLA_PRECIOS_LISTBOX[[#This Row],[Código]],TABLA_PRECIOS[#All],7)</f>
        <v>1</v>
      </c>
      <c r="F171" s="32">
        <f>VLOOKUP(TABLA_PRECIOS_LISTBOX[[#This Row],[Código]],TABLA_PRECIOS[#All],8)</f>
        <v>1</v>
      </c>
      <c r="G171" s="9">
        <f>VLOOKUP(TABLA_PRECIOS_LISTBOX[[#This Row],[Código]],TABLA_PRECIOS[#All],10)</f>
        <v>0</v>
      </c>
    </row>
    <row r="172" spans="1:7" ht="12" customHeight="1" x14ac:dyDescent="0.3">
      <c r="A172" s="4">
        <v>1215</v>
      </c>
      <c r="B172" s="6" t="str">
        <f>VLOOKUP(TABLA_PRECIOS_LISTBOX[Código],LISTADO_PRODUCTOS[#All],4)</f>
        <v>Regla Pizzini 20cm Art. 1702 - 170268</v>
      </c>
      <c r="C172" s="6" t="str">
        <f>VLOOKUP(TABLA_PRECIOS_LISTBOX[Código],LISTADO_PRODUCTOS[#All],5)</f>
        <v>N/A</v>
      </c>
      <c r="D172" s="13">
        <f>VLOOKUP(TABLA_PRECIOS_LISTBOX[[#This Row],[Código]],TABLA_PRECIOS[#All],6)</f>
        <v>1</v>
      </c>
      <c r="E172" s="28">
        <f>VLOOKUP(TABLA_PRECIOS_LISTBOX[[#This Row],[Código]],TABLA_PRECIOS[#All],7)</f>
        <v>1</v>
      </c>
      <c r="F172" s="32">
        <f>VLOOKUP(TABLA_PRECIOS_LISTBOX[[#This Row],[Código]],TABLA_PRECIOS[#All],8)</f>
        <v>1</v>
      </c>
      <c r="G172" s="9">
        <f>VLOOKUP(TABLA_PRECIOS_LISTBOX[[#This Row],[Código]],TABLA_PRECIOS[#All],10)</f>
        <v>0</v>
      </c>
    </row>
    <row r="173" spans="1:7" ht="12" customHeight="1" x14ac:dyDescent="0.3">
      <c r="A173" s="4">
        <v>1216</v>
      </c>
      <c r="B173" s="6" t="str">
        <f>VLOOKUP(TABLA_PRECIOS_LISTBOX[Código],LISTADO_PRODUCTOS[#All],4)</f>
        <v>Regla Pizzini 30cm Art. 170230 - 7793198170275</v>
      </c>
      <c r="C173" s="6" t="str">
        <f>VLOOKUP(TABLA_PRECIOS_LISTBOX[Código],LISTADO_PRODUCTOS[#All],5)</f>
        <v>N/A</v>
      </c>
      <c r="D173" s="13">
        <f>VLOOKUP(TABLA_PRECIOS_LISTBOX[[#This Row],[Código]],TABLA_PRECIOS[#All],6)</f>
        <v>1</v>
      </c>
      <c r="E173" s="28">
        <f>VLOOKUP(TABLA_PRECIOS_LISTBOX[[#This Row],[Código]],TABLA_PRECIOS[#All],7)</f>
        <v>1</v>
      </c>
      <c r="F173" s="32">
        <f>VLOOKUP(TABLA_PRECIOS_LISTBOX[[#This Row],[Código]],TABLA_PRECIOS[#All],8)</f>
        <v>1</v>
      </c>
      <c r="G173" s="9">
        <f>VLOOKUP(TABLA_PRECIOS_LISTBOX[[#This Row],[Código]],TABLA_PRECIOS[#All],10)</f>
        <v>0</v>
      </c>
    </row>
    <row r="174" spans="1:7" ht="12" customHeight="1" x14ac:dyDescent="0.3">
      <c r="A174" s="4">
        <v>1219</v>
      </c>
      <c r="B174" s="6" t="str">
        <f>VLOOKUP(TABLA_PRECIOS_LISTBOX[Código],LISTADO_PRODUCTOS[#All],4)</f>
        <v>Set de Geometria Pizzini Mi mundo Pastel</v>
      </c>
      <c r="C174" s="6" t="str">
        <f>VLOOKUP(TABLA_PRECIOS_LISTBOX[Código],LISTADO_PRODUCTOS[#All],5)</f>
        <v>N/A</v>
      </c>
      <c r="D174" s="13">
        <f>VLOOKUP(TABLA_PRECIOS_LISTBOX[[#This Row],[Código]],TABLA_PRECIOS[#All],6)</f>
        <v>1</v>
      </c>
      <c r="E174" s="28">
        <f>VLOOKUP(TABLA_PRECIOS_LISTBOX[[#This Row],[Código]],TABLA_PRECIOS[#All],7)</f>
        <v>1</v>
      </c>
      <c r="F174" s="32">
        <f>VLOOKUP(TABLA_PRECIOS_LISTBOX[[#This Row],[Código]],TABLA_PRECIOS[#All],8)</f>
        <v>1</v>
      </c>
      <c r="G174" s="9">
        <f>VLOOKUP(TABLA_PRECIOS_LISTBOX[[#This Row],[Código]],TABLA_PRECIOS[#All],10)</f>
        <v>0</v>
      </c>
    </row>
    <row r="175" spans="1:7" ht="12" customHeight="1" x14ac:dyDescent="0.3">
      <c r="A175" s="4">
        <v>1223</v>
      </c>
      <c r="B175" s="6" t="str">
        <f>VLOOKUP(TABLA_PRECIOS_LISTBOX[Código],LISTADO_PRODUCTOS[#All],4)</f>
        <v>Regla Flexible x20cm Keyroad/util uno</v>
      </c>
      <c r="C175" s="6" t="str">
        <f>VLOOKUP(TABLA_PRECIOS_LISTBOX[Código],LISTADO_PRODUCTOS[#All],5)</f>
        <v>N/A</v>
      </c>
      <c r="D175" s="13">
        <f>VLOOKUP(TABLA_PRECIOS_LISTBOX[[#This Row],[Código]],TABLA_PRECIOS[#All],6)</f>
        <v>1</v>
      </c>
      <c r="E175" s="28">
        <f>VLOOKUP(TABLA_PRECIOS_LISTBOX[[#This Row],[Código]],TABLA_PRECIOS[#All],7)</f>
        <v>1</v>
      </c>
      <c r="F175" s="32">
        <f>VLOOKUP(TABLA_PRECIOS_LISTBOX[[#This Row],[Código]],TABLA_PRECIOS[#All],8)</f>
        <v>1</v>
      </c>
      <c r="G175" s="9">
        <f>VLOOKUP(TABLA_PRECIOS_LISTBOX[[#This Row],[Código]],TABLA_PRECIOS[#All],10)</f>
        <v>0</v>
      </c>
    </row>
    <row r="176" spans="1:7" ht="12" customHeight="1" x14ac:dyDescent="0.3">
      <c r="A176" s="4">
        <v>1224</v>
      </c>
      <c r="B176" s="6" t="str">
        <f>VLOOKUP(TABLA_PRECIOS_LISTBOX[Código],LISTADO_PRODUCTOS[#All],4)</f>
        <v>Regla de aluminio con porta lapiz Keyroad 20cm</v>
      </c>
      <c r="C176" s="6" t="str">
        <f>VLOOKUP(TABLA_PRECIOS_LISTBOX[Código],LISTADO_PRODUCTOS[#All],5)</f>
        <v>N/A</v>
      </c>
      <c r="D176" s="13">
        <f>VLOOKUP(TABLA_PRECIOS_LISTBOX[[#This Row],[Código]],TABLA_PRECIOS[#All],6)</f>
        <v>1</v>
      </c>
      <c r="E176" s="28">
        <f>VLOOKUP(TABLA_PRECIOS_LISTBOX[[#This Row],[Código]],TABLA_PRECIOS[#All],7)</f>
        <v>1</v>
      </c>
      <c r="F176" s="32">
        <f>VLOOKUP(TABLA_PRECIOS_LISTBOX[[#This Row],[Código]],TABLA_PRECIOS[#All],8)</f>
        <v>1</v>
      </c>
      <c r="G176" s="9">
        <f>VLOOKUP(TABLA_PRECIOS_LISTBOX[[#This Row],[Código]],TABLA_PRECIOS[#All],10)</f>
        <v>0</v>
      </c>
    </row>
    <row r="177" spans="1:7" ht="12" customHeight="1" x14ac:dyDescent="0.3">
      <c r="A177" s="4">
        <v>1227</v>
      </c>
      <c r="B177" s="6" t="str">
        <f>VLOOKUP(TABLA_PRECIOS_LISTBOX[Código],LISTADO_PRODUCTOS[#All],4)</f>
        <v>Escuadra 45º Pizzini 20cm</v>
      </c>
      <c r="C177" s="6" t="str">
        <f>VLOOKUP(TABLA_PRECIOS_LISTBOX[Código],LISTADO_PRODUCTOS[#All],5)</f>
        <v>N/A</v>
      </c>
      <c r="D177" s="13">
        <f>VLOOKUP(TABLA_PRECIOS_LISTBOX[[#This Row],[Código]],TABLA_PRECIOS[#All],6)</f>
        <v>1</v>
      </c>
      <c r="E177" s="28">
        <f>VLOOKUP(TABLA_PRECIOS_LISTBOX[[#This Row],[Código]],TABLA_PRECIOS[#All],7)</f>
        <v>1</v>
      </c>
      <c r="F177" s="32">
        <f>VLOOKUP(TABLA_PRECIOS_LISTBOX[[#This Row],[Código]],TABLA_PRECIOS[#All],8)</f>
        <v>1</v>
      </c>
      <c r="G177" s="9">
        <f>VLOOKUP(TABLA_PRECIOS_LISTBOX[[#This Row],[Código]],TABLA_PRECIOS[#All],10)</f>
        <v>0</v>
      </c>
    </row>
    <row r="178" spans="1:7" ht="12" customHeight="1" x14ac:dyDescent="0.3">
      <c r="A178" s="4">
        <v>1228</v>
      </c>
      <c r="B178" s="6" t="str">
        <f>VLOOKUP(TABLA_PRECIOS_LISTBOX[Código],LISTADO_PRODUCTOS[#All],4)</f>
        <v>Escuadra 30º Pizzini 20cm</v>
      </c>
      <c r="C178" s="6" t="str">
        <f>VLOOKUP(TABLA_PRECIOS_LISTBOX[Código],LISTADO_PRODUCTOS[#All],5)</f>
        <v>N/A</v>
      </c>
      <c r="D178" s="13">
        <f>VLOOKUP(TABLA_PRECIOS_LISTBOX[[#This Row],[Código]],TABLA_PRECIOS[#All],6)</f>
        <v>1</v>
      </c>
      <c r="E178" s="28">
        <f>VLOOKUP(TABLA_PRECIOS_LISTBOX[[#This Row],[Código]],TABLA_PRECIOS[#All],7)</f>
        <v>1</v>
      </c>
      <c r="F178" s="32">
        <f>VLOOKUP(TABLA_PRECIOS_LISTBOX[[#This Row],[Código]],TABLA_PRECIOS[#All],8)</f>
        <v>1</v>
      </c>
      <c r="G178" s="9">
        <f>VLOOKUP(TABLA_PRECIOS_LISTBOX[[#This Row],[Código]],TABLA_PRECIOS[#All],10)</f>
        <v>0</v>
      </c>
    </row>
    <row r="179" spans="1:7" ht="12" customHeight="1" x14ac:dyDescent="0.3">
      <c r="A179" s="4">
        <v>1430</v>
      </c>
      <c r="B179" s="6" t="str">
        <f>VLOOKUP(TABLA_PRECIOS_LISTBOX[Código],LISTADO_PRODUCTOS[#All],4)</f>
        <v>Set de Resaltadores NUWA x5u en dispenser</v>
      </c>
      <c r="C179" s="6" t="str">
        <f>VLOOKUP(TABLA_PRECIOS_LISTBOX[Código],LISTADO_PRODUCTOS[#All],5)</f>
        <v>N/A</v>
      </c>
      <c r="D179" s="13">
        <f>VLOOKUP(TABLA_PRECIOS_LISTBOX[[#This Row],[Código]],TABLA_PRECIOS[#All],6)</f>
        <v>1</v>
      </c>
      <c r="E179" s="28">
        <f>VLOOKUP(TABLA_PRECIOS_LISTBOX[[#This Row],[Código]],TABLA_PRECIOS[#All],7)</f>
        <v>1</v>
      </c>
      <c r="F179" s="32">
        <f>VLOOKUP(TABLA_PRECIOS_LISTBOX[[#This Row],[Código]],TABLA_PRECIOS[#All],8)</f>
        <v>1</v>
      </c>
      <c r="G179" s="9">
        <f>VLOOKUP(TABLA_PRECIOS_LISTBOX[[#This Row],[Código]],TABLA_PRECIOS[#All],10)</f>
        <v>0</v>
      </c>
    </row>
    <row r="180" spans="1:7" ht="12" customHeight="1" x14ac:dyDescent="0.3">
      <c r="A180" s="4">
        <v>1432</v>
      </c>
      <c r="B180" s="6" t="str">
        <f>VLOOKUP(TABLA_PRECIOS_LISTBOX[Código],LISTADO_PRODUCTOS[#All],4)</f>
        <v>Set de Resaltadores NUWA x5u en dispenser</v>
      </c>
      <c r="C180" s="6" t="str">
        <f>VLOOKUP(TABLA_PRECIOS_LISTBOX[Código],LISTADO_PRODUCTOS[#All],5)</f>
        <v>N/A</v>
      </c>
      <c r="D180" s="13">
        <f>VLOOKUP(TABLA_PRECIOS_LISTBOX[[#This Row],[Código]],TABLA_PRECIOS[#All],6)</f>
        <v>1</v>
      </c>
      <c r="E180" s="28">
        <f>VLOOKUP(TABLA_PRECIOS_LISTBOX[[#This Row],[Código]],TABLA_PRECIOS[#All],7)</f>
        <v>1</v>
      </c>
      <c r="F180" s="32">
        <f>VLOOKUP(TABLA_PRECIOS_LISTBOX[[#This Row],[Código]],TABLA_PRECIOS[#All],8)</f>
        <v>1</v>
      </c>
      <c r="G180" s="9">
        <f>VLOOKUP(TABLA_PRECIOS_LISTBOX[[#This Row],[Código]],TABLA_PRECIOS[#All],10)</f>
        <v>0</v>
      </c>
    </row>
    <row r="181" spans="1:7" ht="12" customHeight="1" x14ac:dyDescent="0.3">
      <c r="A181" s="4">
        <v>1230</v>
      </c>
      <c r="B181" s="6" t="str">
        <f>VLOOKUP(TABLA_PRECIOS_LISTBOX[Código],LISTADO_PRODUCTOS[#All],4)</f>
        <v>Escuadra 30º Pizzini 20cm</v>
      </c>
      <c r="C181" s="6" t="str">
        <f>VLOOKUP(TABLA_PRECIOS_LISTBOX[Código],LISTADO_PRODUCTOS[#All],5)</f>
        <v>N/A</v>
      </c>
      <c r="D181" s="13">
        <f>VLOOKUP(TABLA_PRECIOS_LISTBOX[[#This Row],[Código]],TABLA_PRECIOS[#All],6)</f>
        <v>1</v>
      </c>
      <c r="E181" s="28">
        <f>VLOOKUP(TABLA_PRECIOS_LISTBOX[[#This Row],[Código]],TABLA_PRECIOS[#All],7)</f>
        <v>1</v>
      </c>
      <c r="F181" s="32">
        <f>VLOOKUP(TABLA_PRECIOS_LISTBOX[[#This Row],[Código]],TABLA_PRECIOS[#All],8)</f>
        <v>1</v>
      </c>
      <c r="G181" s="9">
        <f>VLOOKUP(TABLA_PRECIOS_LISTBOX[[#This Row],[Código]],TABLA_PRECIOS[#All],10)</f>
        <v>0</v>
      </c>
    </row>
    <row r="182" spans="1:7" ht="12" customHeight="1" x14ac:dyDescent="0.3">
      <c r="A182" s="4">
        <v>1231</v>
      </c>
      <c r="B182" s="6" t="str">
        <f>VLOOKUP(TABLA_PRECIOS_LISTBOX[Código],LISTADO_PRODUCTOS[#All],4)</f>
        <v>Escuadra 30º Pizzini 20cm</v>
      </c>
      <c r="C182" s="6" t="str">
        <f>VLOOKUP(TABLA_PRECIOS_LISTBOX[Código],LISTADO_PRODUCTOS[#All],5)</f>
        <v>N/A</v>
      </c>
      <c r="D182" s="13">
        <f>VLOOKUP(TABLA_PRECIOS_LISTBOX[[#This Row],[Código]],TABLA_PRECIOS[#All],6)</f>
        <v>1</v>
      </c>
      <c r="E182" s="28">
        <f>VLOOKUP(TABLA_PRECIOS_LISTBOX[[#This Row],[Código]],TABLA_PRECIOS[#All],7)</f>
        <v>1</v>
      </c>
      <c r="F182" s="32">
        <f>VLOOKUP(TABLA_PRECIOS_LISTBOX[[#This Row],[Código]],TABLA_PRECIOS[#All],8)</f>
        <v>1</v>
      </c>
      <c r="G182" s="9">
        <f>VLOOKUP(TABLA_PRECIOS_LISTBOX[[#This Row],[Código]],TABLA_PRECIOS[#All],10)</f>
        <v>0</v>
      </c>
    </row>
    <row r="183" spans="1:7" ht="12" customHeight="1" x14ac:dyDescent="0.3">
      <c r="A183" s="4">
        <v>1232</v>
      </c>
      <c r="B183" s="6" t="str">
        <f>VLOOKUP(TABLA_PRECIOS_LISTBOX[Código],LISTADO_PRODUCTOS[#All],4)</f>
        <v>Escuadra 30º Pizzini 20cm</v>
      </c>
      <c r="C183" s="6" t="str">
        <f>VLOOKUP(TABLA_PRECIOS_LISTBOX[Código],LISTADO_PRODUCTOS[#All],5)</f>
        <v>N/A</v>
      </c>
      <c r="D183" s="13">
        <f>VLOOKUP(TABLA_PRECIOS_LISTBOX[[#This Row],[Código]],TABLA_PRECIOS[#All],6)</f>
        <v>1</v>
      </c>
      <c r="E183" s="28">
        <f>VLOOKUP(TABLA_PRECIOS_LISTBOX[[#This Row],[Código]],TABLA_PRECIOS[#All],7)</f>
        <v>1</v>
      </c>
      <c r="F183" s="32">
        <f>VLOOKUP(TABLA_PRECIOS_LISTBOX[[#This Row],[Código]],TABLA_PRECIOS[#All],8)</f>
        <v>1</v>
      </c>
      <c r="G183" s="9">
        <f>VLOOKUP(TABLA_PRECIOS_LISTBOX[[#This Row],[Código]],TABLA_PRECIOS[#All],10)</f>
        <v>0</v>
      </c>
    </row>
    <row r="184" spans="1:7" ht="12" customHeight="1" x14ac:dyDescent="0.3">
      <c r="A184" s="4">
        <v>1233</v>
      </c>
      <c r="B184" s="6" t="str">
        <f>VLOOKUP(TABLA_PRECIOS_LISTBOX[Código],LISTADO_PRODUCTOS[#All],4)</f>
        <v>Escuadra 30º Pizzini 20cm</v>
      </c>
      <c r="C184" s="6" t="str">
        <f>VLOOKUP(TABLA_PRECIOS_LISTBOX[Código],LISTADO_PRODUCTOS[#All],5)</f>
        <v>N/A</v>
      </c>
      <c r="D184" s="13">
        <f>VLOOKUP(TABLA_PRECIOS_LISTBOX[[#This Row],[Código]],TABLA_PRECIOS[#All],6)</f>
        <v>1</v>
      </c>
      <c r="E184" s="28">
        <f>VLOOKUP(TABLA_PRECIOS_LISTBOX[[#This Row],[Código]],TABLA_PRECIOS[#All],7)</f>
        <v>1</v>
      </c>
      <c r="F184" s="32">
        <f>VLOOKUP(TABLA_PRECIOS_LISTBOX[[#This Row],[Código]],TABLA_PRECIOS[#All],8)</f>
        <v>1</v>
      </c>
      <c r="G184" s="9">
        <f>VLOOKUP(TABLA_PRECIOS_LISTBOX[[#This Row],[Código]],TABLA_PRECIOS[#All],10)</f>
        <v>0</v>
      </c>
    </row>
    <row r="185" spans="1:7" ht="12" customHeight="1" x14ac:dyDescent="0.3">
      <c r="A185" s="4">
        <v>1234</v>
      </c>
      <c r="B185" s="6" t="str">
        <f>VLOOKUP(TABLA_PRECIOS_LISTBOX[Código],LISTADO_PRODUCTOS[#All],4)</f>
        <v>Escuadra 30º Pizzini 20cm</v>
      </c>
      <c r="C185" s="6" t="str">
        <f>VLOOKUP(TABLA_PRECIOS_LISTBOX[Código],LISTADO_PRODUCTOS[#All],5)</f>
        <v>N/A</v>
      </c>
      <c r="D185" s="13">
        <f>VLOOKUP(TABLA_PRECIOS_LISTBOX[[#This Row],[Código]],TABLA_PRECIOS[#All],6)</f>
        <v>1</v>
      </c>
      <c r="E185" s="28">
        <f>VLOOKUP(TABLA_PRECIOS_LISTBOX[[#This Row],[Código]],TABLA_PRECIOS[#All],7)</f>
        <v>1</v>
      </c>
      <c r="F185" s="32">
        <f>VLOOKUP(TABLA_PRECIOS_LISTBOX[[#This Row],[Código]],TABLA_PRECIOS[#All],8)</f>
        <v>1</v>
      </c>
      <c r="G185" s="9">
        <f>VLOOKUP(TABLA_PRECIOS_LISTBOX[[#This Row],[Código]],TABLA_PRECIOS[#All],10)</f>
        <v>0</v>
      </c>
    </row>
    <row r="186" spans="1:7" ht="12" customHeight="1" x14ac:dyDescent="0.3">
      <c r="A186" s="4">
        <v>1236</v>
      </c>
      <c r="B186" s="6" t="str">
        <f>VLOOKUP(TABLA_PRECIOS_LISTBOX[Código],LISTADO_PRODUCTOS[#All],4)</f>
        <v>Escuadra 30º Pizzini 20cm</v>
      </c>
      <c r="C186" s="6" t="str">
        <f>VLOOKUP(TABLA_PRECIOS_LISTBOX[Código],LISTADO_PRODUCTOS[#All],5)</f>
        <v>N/A</v>
      </c>
      <c r="D186" s="13">
        <f>VLOOKUP(TABLA_PRECIOS_LISTBOX[[#This Row],[Código]],TABLA_PRECIOS[#All],6)</f>
        <v>1</v>
      </c>
      <c r="E186" s="28">
        <f>VLOOKUP(TABLA_PRECIOS_LISTBOX[[#This Row],[Código]],TABLA_PRECIOS[#All],7)</f>
        <v>1</v>
      </c>
      <c r="F186" s="32">
        <f>VLOOKUP(TABLA_PRECIOS_LISTBOX[[#This Row],[Código]],TABLA_PRECIOS[#All],8)</f>
        <v>1</v>
      </c>
      <c r="G186" s="9">
        <f>VLOOKUP(TABLA_PRECIOS_LISTBOX[[#This Row],[Código]],TABLA_PRECIOS[#All],10)</f>
        <v>0</v>
      </c>
    </row>
    <row r="187" spans="1:7" ht="12" customHeight="1" x14ac:dyDescent="0.3">
      <c r="A187" s="4">
        <v>1237</v>
      </c>
      <c r="B187" s="6" t="str">
        <f>VLOOKUP(TABLA_PRECIOS_LISTBOX[Código],LISTADO_PRODUCTOS[#All],4)</f>
        <v>Escuadra 30º Pizzini 20cm</v>
      </c>
      <c r="C187" s="6" t="str">
        <f>VLOOKUP(TABLA_PRECIOS_LISTBOX[Código],LISTADO_PRODUCTOS[#All],5)</f>
        <v>N/A</v>
      </c>
      <c r="D187" s="13">
        <f>VLOOKUP(TABLA_PRECIOS_LISTBOX[[#This Row],[Código]],TABLA_PRECIOS[#All],6)</f>
        <v>1</v>
      </c>
      <c r="E187" s="28">
        <f>VLOOKUP(TABLA_PRECIOS_LISTBOX[[#This Row],[Código]],TABLA_PRECIOS[#All],7)</f>
        <v>1</v>
      </c>
      <c r="F187" s="32">
        <f>VLOOKUP(TABLA_PRECIOS_LISTBOX[[#This Row],[Código]],TABLA_PRECIOS[#All],8)</f>
        <v>1</v>
      </c>
      <c r="G187" s="9">
        <f>VLOOKUP(TABLA_PRECIOS_LISTBOX[[#This Row],[Código]],TABLA_PRECIOS[#All],10)</f>
        <v>0</v>
      </c>
    </row>
    <row r="188" spans="1:7" ht="12" customHeight="1" x14ac:dyDescent="0.3">
      <c r="A188" s="4">
        <v>1238</v>
      </c>
      <c r="B188" s="6" t="str">
        <f>VLOOKUP(TABLA_PRECIOS_LISTBOX[Código],LISTADO_PRODUCTOS[#All],4)</f>
        <v>Escuadra 30º Pizzini 20cm</v>
      </c>
      <c r="C188" s="6" t="str">
        <f>VLOOKUP(TABLA_PRECIOS_LISTBOX[Código],LISTADO_PRODUCTOS[#All],5)</f>
        <v>N/A</v>
      </c>
      <c r="D188" s="13">
        <f>VLOOKUP(TABLA_PRECIOS_LISTBOX[[#This Row],[Código]],TABLA_PRECIOS[#All],6)</f>
        <v>1</v>
      </c>
      <c r="E188" s="28">
        <f>VLOOKUP(TABLA_PRECIOS_LISTBOX[[#This Row],[Código]],TABLA_PRECIOS[#All],7)</f>
        <v>1</v>
      </c>
      <c r="F188" s="32">
        <f>VLOOKUP(TABLA_PRECIOS_LISTBOX[[#This Row],[Código]],TABLA_PRECIOS[#All],8)</f>
        <v>1</v>
      </c>
      <c r="G188" s="9">
        <f>VLOOKUP(TABLA_PRECIOS_LISTBOX[[#This Row],[Código]],TABLA_PRECIOS[#All],10)</f>
        <v>0</v>
      </c>
    </row>
    <row r="189" spans="1:7" ht="12" customHeight="1" x14ac:dyDescent="0.3">
      <c r="A189" s="4">
        <v>1239</v>
      </c>
      <c r="B189" s="6" t="str">
        <f>VLOOKUP(TABLA_PRECIOS_LISTBOX[Código],LISTADO_PRODUCTOS[#All],4)</f>
        <v>Escuadra 30º Pizzini 20cm</v>
      </c>
      <c r="C189" s="6" t="str">
        <f>VLOOKUP(TABLA_PRECIOS_LISTBOX[Código],LISTADO_PRODUCTOS[#All],5)</f>
        <v>N/A</v>
      </c>
      <c r="D189" s="13">
        <f>VLOOKUP(TABLA_PRECIOS_LISTBOX[[#This Row],[Código]],TABLA_PRECIOS[#All],6)</f>
        <v>1</v>
      </c>
      <c r="E189" s="28">
        <f>VLOOKUP(TABLA_PRECIOS_LISTBOX[[#This Row],[Código]],TABLA_PRECIOS[#All],7)</f>
        <v>1</v>
      </c>
      <c r="F189" s="32">
        <f>VLOOKUP(TABLA_PRECIOS_LISTBOX[[#This Row],[Código]],TABLA_PRECIOS[#All],8)</f>
        <v>1</v>
      </c>
      <c r="G189" s="9">
        <f>VLOOKUP(TABLA_PRECIOS_LISTBOX[[#This Row],[Código]],TABLA_PRECIOS[#All],10)</f>
        <v>0</v>
      </c>
    </row>
    <row r="190" spans="1:7" ht="12" customHeight="1" x14ac:dyDescent="0.3">
      <c r="A190" s="4">
        <v>1241</v>
      </c>
      <c r="B190" s="6" t="str">
        <f>VLOOKUP(TABLA_PRECIOS_LISTBOX[Código],LISTADO_PRODUCTOS[#All],4)</f>
        <v>Escuadra 30º Pizzini 20cm</v>
      </c>
      <c r="C190" s="6" t="str">
        <f>VLOOKUP(TABLA_PRECIOS_LISTBOX[Código],LISTADO_PRODUCTOS[#All],5)</f>
        <v>N/A</v>
      </c>
      <c r="D190" s="13">
        <f>VLOOKUP(TABLA_PRECIOS_LISTBOX[[#This Row],[Código]],TABLA_PRECIOS[#All],6)</f>
        <v>1</v>
      </c>
      <c r="E190" s="28">
        <f>VLOOKUP(TABLA_PRECIOS_LISTBOX[[#This Row],[Código]],TABLA_PRECIOS[#All],7)</f>
        <v>1</v>
      </c>
      <c r="F190" s="32">
        <f>VLOOKUP(TABLA_PRECIOS_LISTBOX[[#This Row],[Código]],TABLA_PRECIOS[#All],8)</f>
        <v>1</v>
      </c>
      <c r="G190" s="9">
        <f>VLOOKUP(TABLA_PRECIOS_LISTBOX[[#This Row],[Código]],TABLA_PRECIOS[#All],10)</f>
        <v>0</v>
      </c>
    </row>
    <row r="191" spans="1:7" ht="12" customHeight="1" x14ac:dyDescent="0.3">
      <c r="A191" s="4">
        <v>1245</v>
      </c>
      <c r="B191" s="6" t="str">
        <f>VLOOKUP(TABLA_PRECIOS_LISTBOX[Código],LISTADO_PRODUCTOS[#All],4)</f>
        <v>Escuadra 30º Pizzini 20cm</v>
      </c>
      <c r="C191" s="6" t="str">
        <f>VLOOKUP(TABLA_PRECIOS_LISTBOX[Código],LISTADO_PRODUCTOS[#All],5)</f>
        <v>N/A</v>
      </c>
      <c r="D191" s="13">
        <f>VLOOKUP(TABLA_PRECIOS_LISTBOX[[#This Row],[Código]],TABLA_PRECIOS[#All],6)</f>
        <v>1</v>
      </c>
      <c r="E191" s="28">
        <f>VLOOKUP(TABLA_PRECIOS_LISTBOX[[#This Row],[Código]],TABLA_PRECIOS[#All],7)</f>
        <v>1</v>
      </c>
      <c r="F191" s="32">
        <f>VLOOKUP(TABLA_PRECIOS_LISTBOX[[#This Row],[Código]],TABLA_PRECIOS[#All],8)</f>
        <v>1</v>
      </c>
      <c r="G191" s="9">
        <f>VLOOKUP(TABLA_PRECIOS_LISTBOX[[#This Row],[Código]],TABLA_PRECIOS[#All],10)</f>
        <v>0</v>
      </c>
    </row>
    <row r="192" spans="1:7" ht="12" customHeight="1" x14ac:dyDescent="0.3">
      <c r="A192" s="4">
        <v>1246</v>
      </c>
      <c r="B192" s="6" t="str">
        <f>VLOOKUP(TABLA_PRECIOS_LISTBOX[Código],LISTADO_PRODUCTOS[#All],4)</f>
        <v>Escarapela Tela</v>
      </c>
      <c r="C192" s="6" t="str">
        <f>VLOOKUP(TABLA_PRECIOS_LISTBOX[Código],LISTADO_PRODUCTOS[#All],5)</f>
        <v>N/A</v>
      </c>
      <c r="D192" s="13">
        <f>VLOOKUP(TABLA_PRECIOS_LISTBOX[[#This Row],[Código]],TABLA_PRECIOS[#All],6)</f>
        <v>1</v>
      </c>
      <c r="E192" s="28">
        <f>VLOOKUP(TABLA_PRECIOS_LISTBOX[[#This Row],[Código]],TABLA_PRECIOS[#All],7)</f>
        <v>1</v>
      </c>
      <c r="F192" s="32">
        <f>VLOOKUP(TABLA_PRECIOS_LISTBOX[[#This Row],[Código]],TABLA_PRECIOS[#All],8)</f>
        <v>1</v>
      </c>
      <c r="G192" s="9">
        <f>VLOOKUP(TABLA_PRECIOS_LISTBOX[[#This Row],[Código]],TABLA_PRECIOS[#All],10)</f>
        <v>0</v>
      </c>
    </row>
    <row r="193" spans="1:7" ht="12" customHeight="1" x14ac:dyDescent="0.3">
      <c r="A193" s="4">
        <v>1300</v>
      </c>
      <c r="B193" s="6" t="str">
        <f>VLOOKUP(TABLA_PRECIOS_LISTBOX[Código],LISTADO_PRODUCTOS[#All],4)</f>
        <v>Goma Maped Technic Duo New Generation</v>
      </c>
      <c r="C193" s="6" t="str">
        <f>VLOOKUP(TABLA_PRECIOS_LISTBOX[Código],LISTADO_PRODUCTOS[#All],5)</f>
        <v>N/A</v>
      </c>
      <c r="D193" s="13">
        <f>VLOOKUP(TABLA_PRECIOS_LISTBOX[[#This Row],[Código]],TABLA_PRECIOS[#All],6)</f>
        <v>1</v>
      </c>
      <c r="E193" s="28">
        <f>VLOOKUP(TABLA_PRECIOS_LISTBOX[[#This Row],[Código]],TABLA_PRECIOS[#All],7)</f>
        <v>1</v>
      </c>
      <c r="F193" s="32">
        <f>VLOOKUP(TABLA_PRECIOS_LISTBOX[[#This Row],[Código]],TABLA_PRECIOS[#All],8)</f>
        <v>1</v>
      </c>
      <c r="G193" s="9">
        <f>VLOOKUP(TABLA_PRECIOS_LISTBOX[[#This Row],[Código]],TABLA_PRECIOS[#All],10)</f>
        <v>0</v>
      </c>
    </row>
    <row r="194" spans="1:7" ht="12" customHeight="1" x14ac:dyDescent="0.3">
      <c r="A194" s="4">
        <v>1301</v>
      </c>
      <c r="B194" s="6" t="str">
        <f>VLOOKUP(TABLA_PRECIOS_LISTBOX[Código],LISTADO_PRODUCTOS[#All],4)</f>
        <v>Boligrafo Filgo Fastrack retractil</v>
      </c>
      <c r="C194" s="6" t="str">
        <f>VLOOKUP(TABLA_PRECIOS_LISTBOX[Código],LISTADO_PRODUCTOS[#All],5)</f>
        <v>N/A</v>
      </c>
      <c r="D194" s="13">
        <f>VLOOKUP(TABLA_PRECIOS_LISTBOX[[#This Row],[Código]],TABLA_PRECIOS[#All],6)</f>
        <v>1</v>
      </c>
      <c r="E194" s="28">
        <f>VLOOKUP(TABLA_PRECIOS_LISTBOX[[#This Row],[Código]],TABLA_PRECIOS[#All],7)</f>
        <v>1</v>
      </c>
      <c r="F194" s="32">
        <f>VLOOKUP(TABLA_PRECIOS_LISTBOX[[#This Row],[Código]],TABLA_PRECIOS[#All],8)</f>
        <v>1</v>
      </c>
      <c r="G194" s="9">
        <f>VLOOKUP(TABLA_PRECIOS_LISTBOX[[#This Row],[Código]],TABLA_PRECIOS[#All],10)</f>
        <v>0</v>
      </c>
    </row>
    <row r="195" spans="1:7" ht="12" customHeight="1" x14ac:dyDescent="0.3">
      <c r="A195" s="4">
        <v>1302</v>
      </c>
      <c r="B195" s="6" t="str">
        <f>VLOOKUP(TABLA_PRECIOS_LISTBOX[Código],LISTADO_PRODUCTOS[#All],4)</f>
        <v>Tabla Periodica</v>
      </c>
      <c r="C195" s="6" t="str">
        <f>VLOOKUP(TABLA_PRECIOS_LISTBOX[Código],LISTADO_PRODUCTOS[#All],5)</f>
        <v>N/A</v>
      </c>
      <c r="D195" s="13">
        <f>VLOOKUP(TABLA_PRECIOS_LISTBOX[[#This Row],[Código]],TABLA_PRECIOS[#All],6)</f>
        <v>1</v>
      </c>
      <c r="E195" s="28">
        <f>VLOOKUP(TABLA_PRECIOS_LISTBOX[[#This Row],[Código]],TABLA_PRECIOS[#All],7)</f>
        <v>1</v>
      </c>
      <c r="F195" s="32">
        <f>VLOOKUP(TABLA_PRECIOS_LISTBOX[[#This Row],[Código]],TABLA_PRECIOS[#All],8)</f>
        <v>1</v>
      </c>
      <c r="G195" s="9">
        <f>VLOOKUP(TABLA_PRECIOS_LISTBOX[[#This Row],[Código]],TABLA_PRECIOS[#All],10)</f>
        <v>0</v>
      </c>
    </row>
    <row r="196" spans="1:7" ht="12" customHeight="1" x14ac:dyDescent="0.3">
      <c r="A196" s="4">
        <v>1304</v>
      </c>
      <c r="B196" s="6" t="str">
        <f>VLOOKUP(TABLA_PRECIOS_LISTBOX[Código],LISTADO_PRODUCTOS[#All],4)</f>
        <v>Escarapelas varias tela</v>
      </c>
      <c r="C196" s="6" t="str">
        <f>VLOOKUP(TABLA_PRECIOS_LISTBOX[Código],LISTADO_PRODUCTOS[#All],5)</f>
        <v>N/A</v>
      </c>
      <c r="D196" s="13">
        <f>VLOOKUP(TABLA_PRECIOS_LISTBOX[[#This Row],[Código]],TABLA_PRECIOS[#All],6)</f>
        <v>1</v>
      </c>
      <c r="E196" s="28">
        <f>VLOOKUP(TABLA_PRECIOS_LISTBOX[[#This Row],[Código]],TABLA_PRECIOS[#All],7)</f>
        <v>1</v>
      </c>
      <c r="F196" s="32">
        <f>VLOOKUP(TABLA_PRECIOS_LISTBOX[[#This Row],[Código]],TABLA_PRECIOS[#All],8)</f>
        <v>1</v>
      </c>
      <c r="G196" s="9">
        <f>VLOOKUP(TABLA_PRECIOS_LISTBOX[[#This Row],[Código]],TABLA_PRECIOS[#All],10)</f>
        <v>0</v>
      </c>
    </row>
    <row r="197" spans="1:7" ht="12" customHeight="1" x14ac:dyDescent="0.3">
      <c r="A197" s="4">
        <v>1305</v>
      </c>
      <c r="B197" s="6" t="str">
        <f>VLOOKUP(TABLA_PRECIOS_LISTBOX[Código],LISTADO_PRODUCTOS[#All],4)</f>
        <v>Lapiz Negro Trabí Neon por fuera y diseño C/Goma</v>
      </c>
      <c r="C197" s="6" t="str">
        <f>VLOOKUP(TABLA_PRECIOS_LISTBOX[Código],LISTADO_PRODUCTOS[#All],5)</f>
        <v>N/A</v>
      </c>
      <c r="D197" s="13">
        <f>VLOOKUP(TABLA_PRECIOS_LISTBOX[[#This Row],[Código]],TABLA_PRECIOS[#All],6)</f>
        <v>1</v>
      </c>
      <c r="E197" s="28">
        <f>VLOOKUP(TABLA_PRECIOS_LISTBOX[[#This Row],[Código]],TABLA_PRECIOS[#All],7)</f>
        <v>1</v>
      </c>
      <c r="F197" s="32">
        <f>VLOOKUP(TABLA_PRECIOS_LISTBOX[[#This Row],[Código]],TABLA_PRECIOS[#All],8)</f>
        <v>1</v>
      </c>
      <c r="G197" s="9">
        <f>VLOOKUP(TABLA_PRECIOS_LISTBOX[[#This Row],[Código]],TABLA_PRECIOS[#All],10)</f>
        <v>0</v>
      </c>
    </row>
    <row r="198" spans="1:7" ht="12" customHeight="1" x14ac:dyDescent="0.3">
      <c r="A198" s="4">
        <v>1306</v>
      </c>
      <c r="B198" s="6" t="str">
        <f>VLOOKUP(TABLA_PRECIOS_LISTBOX[Código],LISTADO_PRODUCTOS[#All],4)</f>
        <v>Blister Lapiz Negro Mooving Disney x 6u</v>
      </c>
      <c r="C198" s="6" t="str">
        <f>VLOOKUP(TABLA_PRECIOS_LISTBOX[Código],LISTADO_PRODUCTOS[#All],5)</f>
        <v>N/A</v>
      </c>
      <c r="D198" s="13">
        <f>VLOOKUP(TABLA_PRECIOS_LISTBOX[[#This Row],[Código]],TABLA_PRECIOS[#All],6)</f>
        <v>1</v>
      </c>
      <c r="E198" s="28">
        <f>VLOOKUP(TABLA_PRECIOS_LISTBOX[[#This Row],[Código]],TABLA_PRECIOS[#All],7)</f>
        <v>1</v>
      </c>
      <c r="F198" s="32">
        <f>VLOOKUP(TABLA_PRECIOS_LISTBOX[[#This Row],[Código]],TABLA_PRECIOS[#All],8)</f>
        <v>1</v>
      </c>
      <c r="G198" s="9">
        <f>VLOOKUP(TABLA_PRECIOS_LISTBOX[[#This Row],[Código]],TABLA_PRECIOS[#All],10)</f>
        <v>0</v>
      </c>
    </row>
    <row r="199" spans="1:7" ht="12" customHeight="1" x14ac:dyDescent="0.3">
      <c r="A199" s="4">
        <v>1307</v>
      </c>
      <c r="B199" s="6" t="str">
        <f>VLOOKUP(TABLA_PRECIOS_LISTBOX[Código],LISTADO_PRODUCTOS[#All],4)</f>
        <v>Roller Tinta Gel Mooving x10</v>
      </c>
      <c r="C199" s="6" t="str">
        <f>VLOOKUP(TABLA_PRECIOS_LISTBOX[Código],LISTADO_PRODUCTOS[#All],5)</f>
        <v>N/A</v>
      </c>
      <c r="D199" s="13">
        <f>VLOOKUP(TABLA_PRECIOS_LISTBOX[[#This Row],[Código]],TABLA_PRECIOS[#All],6)</f>
        <v>1</v>
      </c>
      <c r="E199" s="28">
        <f>VLOOKUP(TABLA_PRECIOS_LISTBOX[[#This Row],[Código]],TABLA_PRECIOS[#All],7)</f>
        <v>1</v>
      </c>
      <c r="F199" s="32">
        <f>VLOOKUP(TABLA_PRECIOS_LISTBOX[[#This Row],[Código]],TABLA_PRECIOS[#All],8)</f>
        <v>1</v>
      </c>
      <c r="G199" s="9">
        <f>VLOOKUP(TABLA_PRECIOS_LISTBOX[[#This Row],[Código]],TABLA_PRECIOS[#All],10)</f>
        <v>0</v>
      </c>
    </row>
    <row r="200" spans="1:7" ht="12" customHeight="1" x14ac:dyDescent="0.3">
      <c r="A200" s="4">
        <v>1308</v>
      </c>
      <c r="B200" s="6" t="str">
        <f>VLOOKUP(TABLA_PRECIOS_LISTBOX[Código],LISTADO_PRODUCTOS[#All],4)</f>
        <v>Roller Silky NEON/PASTEL Mooving x5</v>
      </c>
      <c r="C200" s="6" t="str">
        <f>VLOOKUP(TABLA_PRECIOS_LISTBOX[Código],LISTADO_PRODUCTOS[#All],5)</f>
        <v>N/A</v>
      </c>
      <c r="D200" s="13">
        <f>VLOOKUP(TABLA_PRECIOS_LISTBOX[[#This Row],[Código]],TABLA_PRECIOS[#All],6)</f>
        <v>1</v>
      </c>
      <c r="E200" s="28">
        <f>VLOOKUP(TABLA_PRECIOS_LISTBOX[[#This Row],[Código]],TABLA_PRECIOS[#All],7)</f>
        <v>1</v>
      </c>
      <c r="F200" s="32">
        <f>VLOOKUP(TABLA_PRECIOS_LISTBOX[[#This Row],[Código]],TABLA_PRECIOS[#All],8)</f>
        <v>1</v>
      </c>
      <c r="G200" s="9">
        <f>VLOOKUP(TABLA_PRECIOS_LISTBOX[[#This Row],[Código]],TABLA_PRECIOS[#All],10)</f>
        <v>0</v>
      </c>
    </row>
    <row r="201" spans="1:7" ht="12" customHeight="1" x14ac:dyDescent="0.3">
      <c r="A201" s="4">
        <v>1309</v>
      </c>
      <c r="B201" s="6" t="str">
        <f>VLOOKUP(TABLA_PRECIOS_LISTBOX[Código],LISTADO_PRODUCTOS[#All],4)</f>
        <v>Resaltadores NEON / PASTEL Dupla ideal Mooving x 4</v>
      </c>
      <c r="C201" s="6" t="str">
        <f>VLOOKUP(TABLA_PRECIOS_LISTBOX[Código],LISTADO_PRODUCTOS[#All],5)</f>
        <v>N/A</v>
      </c>
      <c r="D201" s="13">
        <f>VLOOKUP(TABLA_PRECIOS_LISTBOX[[#This Row],[Código]],TABLA_PRECIOS[#All],6)</f>
        <v>1</v>
      </c>
      <c r="E201" s="28">
        <f>VLOOKUP(TABLA_PRECIOS_LISTBOX[[#This Row],[Código]],TABLA_PRECIOS[#All],7)</f>
        <v>1</v>
      </c>
      <c r="F201" s="32">
        <f>VLOOKUP(TABLA_PRECIOS_LISTBOX[[#This Row],[Código]],TABLA_PRECIOS[#All],8)</f>
        <v>1</v>
      </c>
      <c r="G201" s="9">
        <f>VLOOKUP(TABLA_PRECIOS_LISTBOX[[#This Row],[Código]],TABLA_PRECIOS[#All],10)</f>
        <v>0</v>
      </c>
    </row>
    <row r="202" spans="1:7" ht="12" customHeight="1" x14ac:dyDescent="0.3">
      <c r="A202" s="4">
        <v>1310</v>
      </c>
      <c r="B202" s="6" t="str">
        <f>VLOOKUP(TABLA_PRECIOS_LISTBOX[Código],LISTADO_PRODUCTOS[#All],4)</f>
        <v>Resaltador NEON Colores Aroma Perfumados x 4u</v>
      </c>
      <c r="C202" s="6" t="str">
        <f>VLOOKUP(TABLA_PRECIOS_LISTBOX[Código],LISTADO_PRODUCTOS[#All],5)</f>
        <v>N/A</v>
      </c>
      <c r="D202" s="13">
        <f>VLOOKUP(TABLA_PRECIOS_LISTBOX[[#This Row],[Código]],TABLA_PRECIOS[#All],6)</f>
        <v>1</v>
      </c>
      <c r="E202" s="28">
        <f>VLOOKUP(TABLA_PRECIOS_LISTBOX[[#This Row],[Código]],TABLA_PRECIOS[#All],7)</f>
        <v>1</v>
      </c>
      <c r="F202" s="32">
        <f>VLOOKUP(TABLA_PRECIOS_LISTBOX[[#This Row],[Código]],TABLA_PRECIOS[#All],8)</f>
        <v>1</v>
      </c>
      <c r="G202" s="9">
        <f>VLOOKUP(TABLA_PRECIOS_LISTBOX[[#This Row],[Código]],TABLA_PRECIOS[#All],10)</f>
        <v>0</v>
      </c>
    </row>
    <row r="203" spans="1:7" ht="12" customHeight="1" x14ac:dyDescent="0.3">
      <c r="A203" s="4">
        <v>1311</v>
      </c>
      <c r="B203" s="6" t="str">
        <f>VLOOKUP(TABLA_PRECIOS_LISTBOX[Código],LISTADO_PRODUCTOS[#All],4)</f>
        <v>Resaltadores Glitter Mooving x4</v>
      </c>
      <c r="C203" s="6" t="str">
        <f>VLOOKUP(TABLA_PRECIOS_LISTBOX[Código],LISTADO_PRODUCTOS[#All],5)</f>
        <v>N/A</v>
      </c>
      <c r="D203" s="13">
        <f>VLOOKUP(TABLA_PRECIOS_LISTBOX[[#This Row],[Código]],TABLA_PRECIOS[#All],6)</f>
        <v>1</v>
      </c>
      <c r="E203" s="28">
        <f>VLOOKUP(TABLA_PRECIOS_LISTBOX[[#This Row],[Código]],TABLA_PRECIOS[#All],7)</f>
        <v>1</v>
      </c>
      <c r="F203" s="32">
        <f>VLOOKUP(TABLA_PRECIOS_LISTBOX[[#This Row],[Código]],TABLA_PRECIOS[#All],8)</f>
        <v>1</v>
      </c>
      <c r="G203" s="9">
        <f>VLOOKUP(TABLA_PRECIOS_LISTBOX[[#This Row],[Código]],TABLA_PRECIOS[#All],10)</f>
        <v>0</v>
      </c>
    </row>
    <row r="204" spans="1:7" ht="12" customHeight="1" x14ac:dyDescent="0.3">
      <c r="A204" s="4">
        <v>1400</v>
      </c>
      <c r="B204" s="6" t="str">
        <f>VLOOKUP(TABLA_PRECIOS_LISTBOX[Código],LISTADO_PRODUCTOS[#All],4)</f>
        <v>Libreta NAT Ledesma tapa flexible 16.21 42h</v>
      </c>
      <c r="C204" s="6" t="str">
        <f>VLOOKUP(TABLA_PRECIOS_LISTBOX[Código],LISTADO_PRODUCTOS[#All],5)</f>
        <v>N/A</v>
      </c>
      <c r="D204" s="13">
        <f>VLOOKUP(TABLA_PRECIOS_LISTBOX[[#This Row],[Código]],TABLA_PRECIOS[#All],6)</f>
        <v>1</v>
      </c>
      <c r="E204" s="28">
        <f>VLOOKUP(TABLA_PRECIOS_LISTBOX[[#This Row],[Código]],TABLA_PRECIOS[#All],7)</f>
        <v>1</v>
      </c>
      <c r="F204" s="32">
        <f>VLOOKUP(TABLA_PRECIOS_LISTBOX[[#This Row],[Código]],TABLA_PRECIOS[#All],8)</f>
        <v>1</v>
      </c>
      <c r="G204" s="9">
        <f>VLOOKUP(TABLA_PRECIOS_LISTBOX[[#This Row],[Código]],TABLA_PRECIOS[#All],10)</f>
        <v>0</v>
      </c>
    </row>
    <row r="205" spans="1:7" ht="12" customHeight="1" x14ac:dyDescent="0.3">
      <c r="A205" s="4">
        <v>1405</v>
      </c>
      <c r="B205" s="6" t="str">
        <f>VLOOKUP(TABLA_PRECIOS_LISTBOX[Código],LISTADO_PRODUCTOS[#All],4)</f>
        <v>Marcador doble punta Trabí Duplo Permanente</v>
      </c>
      <c r="C205" s="6" t="str">
        <f>VLOOKUP(TABLA_PRECIOS_LISTBOX[Código],LISTADO_PRODUCTOS[#All],5)</f>
        <v>N/A</v>
      </c>
      <c r="D205" s="13">
        <f>VLOOKUP(TABLA_PRECIOS_LISTBOX[[#This Row],[Código]],TABLA_PRECIOS[#All],6)</f>
        <v>1</v>
      </c>
      <c r="E205" s="28">
        <f>VLOOKUP(TABLA_PRECIOS_LISTBOX[[#This Row],[Código]],TABLA_PRECIOS[#All],7)</f>
        <v>1</v>
      </c>
      <c r="F205" s="32">
        <f>VLOOKUP(TABLA_PRECIOS_LISTBOX[[#This Row],[Código]],TABLA_PRECIOS[#All],8)</f>
        <v>1</v>
      </c>
      <c r="G205" s="9">
        <f>VLOOKUP(TABLA_PRECIOS_LISTBOX[[#This Row],[Código]],TABLA_PRECIOS[#All],10)</f>
        <v>0</v>
      </c>
    </row>
    <row r="206" spans="1:7" ht="12" customHeight="1" x14ac:dyDescent="0.3">
      <c r="A206" s="4">
        <v>1408</v>
      </c>
      <c r="B206" s="6" t="str">
        <f>VLOOKUP(TABLA_PRECIOS_LISTBOX[Código],LISTADO_PRODUCTOS[#All],4)</f>
        <v>Cuaderno Triunfante 16.21 T/Carton 120hs</v>
      </c>
      <c r="C206" s="6" t="str">
        <f>VLOOKUP(TABLA_PRECIOS_LISTBOX[Código],LISTADO_PRODUCTOS[#All],5)</f>
        <v>N/A</v>
      </c>
      <c r="D206" s="13">
        <f>VLOOKUP(TABLA_PRECIOS_LISTBOX[[#This Row],[Código]],TABLA_PRECIOS[#All],6)</f>
        <v>1</v>
      </c>
      <c r="E206" s="28">
        <f>VLOOKUP(TABLA_PRECIOS_LISTBOX[[#This Row],[Código]],TABLA_PRECIOS[#All],7)</f>
        <v>1</v>
      </c>
      <c r="F206" s="32">
        <f>VLOOKUP(TABLA_PRECIOS_LISTBOX[[#This Row],[Código]],TABLA_PRECIOS[#All],8)</f>
        <v>1</v>
      </c>
      <c r="G206" s="9">
        <f>VLOOKUP(TABLA_PRECIOS_LISTBOX[[#This Row],[Código]],TABLA_PRECIOS[#All],10)</f>
        <v>0</v>
      </c>
    </row>
    <row r="207" spans="1:7" ht="12" customHeight="1" x14ac:dyDescent="0.3">
      <c r="A207" s="4">
        <v>1409</v>
      </c>
      <c r="B207" s="6" t="str">
        <f>VLOOKUP(TABLA_PRECIOS_LISTBOX[Código],LISTADO_PRODUCTOS[#All],4)</f>
        <v>Repuesto Éxito NAT x288h C/Margen Reforzado N°3</v>
      </c>
      <c r="C207" s="6" t="str">
        <f>VLOOKUP(TABLA_PRECIOS_LISTBOX[Código],LISTADO_PRODUCTOS[#All],5)</f>
        <v>N/A</v>
      </c>
      <c r="D207" s="13">
        <f>VLOOKUP(TABLA_PRECIOS_LISTBOX[[#This Row],[Código]],TABLA_PRECIOS[#All],6)</f>
        <v>1</v>
      </c>
      <c r="E207" s="28">
        <f>VLOOKUP(TABLA_PRECIOS_LISTBOX[[#This Row],[Código]],TABLA_PRECIOS[#All],7)</f>
        <v>1</v>
      </c>
      <c r="F207" s="32">
        <f>VLOOKUP(TABLA_PRECIOS_LISTBOX[[#This Row],[Código]],TABLA_PRECIOS[#All],8)</f>
        <v>1</v>
      </c>
      <c r="G207" s="9">
        <f>VLOOKUP(TABLA_PRECIOS_LISTBOX[[#This Row],[Código]],TABLA_PRECIOS[#All],10)</f>
        <v>0</v>
      </c>
    </row>
    <row r="208" spans="1:7" ht="12" customHeight="1" x14ac:dyDescent="0.3">
      <c r="A208" s="4">
        <v>1411</v>
      </c>
      <c r="B208" s="6" t="str">
        <f>VLOOKUP(TABLA_PRECIOS_LISTBOX[Código],LISTADO_PRODUCTOS[#All],4)</f>
        <v>Repuesto Éxito N°3 NAT M/R x 96h</v>
      </c>
      <c r="C208" s="6" t="str">
        <f>VLOOKUP(TABLA_PRECIOS_LISTBOX[Código],LISTADO_PRODUCTOS[#All],5)</f>
        <v>N/A</v>
      </c>
      <c r="D208" s="13">
        <f>VLOOKUP(TABLA_PRECIOS_LISTBOX[[#This Row],[Código]],TABLA_PRECIOS[#All],6)</f>
        <v>1</v>
      </c>
      <c r="E208" s="28">
        <f>VLOOKUP(TABLA_PRECIOS_LISTBOX[[#This Row],[Código]],TABLA_PRECIOS[#All],7)</f>
        <v>1</v>
      </c>
      <c r="F208" s="32">
        <f>VLOOKUP(TABLA_PRECIOS_LISTBOX[[#This Row],[Código]],TABLA_PRECIOS[#All],8)</f>
        <v>1</v>
      </c>
      <c r="G208" s="9">
        <f>VLOOKUP(TABLA_PRECIOS_LISTBOX[[#This Row],[Código]],TABLA_PRECIOS[#All],10)</f>
        <v>0</v>
      </c>
    </row>
    <row r="209" spans="1:7" ht="12" customHeight="1" x14ac:dyDescent="0.3">
      <c r="A209" s="4">
        <v>1414</v>
      </c>
      <c r="B209" s="6" t="str">
        <f>VLOOKUP(TABLA_PRECIOS_LISTBOX[Código],LISTADO_PRODUCTOS[#All],4)</f>
        <v>Repuesto escolar N°3 Éxito NAT con Margen Reforzado x 96h</v>
      </c>
      <c r="C209" s="6" t="str">
        <f>VLOOKUP(TABLA_PRECIOS_LISTBOX[Código],LISTADO_PRODUCTOS[#All],5)</f>
        <v>N/A</v>
      </c>
      <c r="D209" s="13">
        <f>VLOOKUP(TABLA_PRECIOS_LISTBOX[[#This Row],[Código]],TABLA_PRECIOS[#All],6)</f>
        <v>1</v>
      </c>
      <c r="E209" s="28">
        <f>VLOOKUP(TABLA_PRECIOS_LISTBOX[[#This Row],[Código]],TABLA_PRECIOS[#All],7)</f>
        <v>1</v>
      </c>
      <c r="F209" s="32">
        <f>VLOOKUP(TABLA_PRECIOS_LISTBOX[[#This Row],[Código]],TABLA_PRECIOS[#All],8)</f>
        <v>1</v>
      </c>
      <c r="G209" s="9">
        <f>VLOOKUP(TABLA_PRECIOS_LISTBOX[[#This Row],[Código]],TABLA_PRECIOS[#All],10)</f>
        <v>0</v>
      </c>
    </row>
    <row r="210" spans="1:7" ht="12" customHeight="1" x14ac:dyDescent="0.3">
      <c r="A210" s="4">
        <v>1415</v>
      </c>
      <c r="B210" s="6" t="str">
        <f>VLOOKUP(TABLA_PRECIOS_LISTBOX[Código],LISTADO_PRODUCTOS[#All],4)</f>
        <v>Repuesto Calcar Nº5 Luma</v>
      </c>
      <c r="C210" s="6" t="str">
        <f>VLOOKUP(TABLA_PRECIOS_LISTBOX[Código],LISTADO_PRODUCTOS[#All],5)</f>
        <v>N/A</v>
      </c>
      <c r="D210" s="13">
        <f>VLOOKUP(TABLA_PRECIOS_LISTBOX[[#This Row],[Código]],TABLA_PRECIOS[#All],6)</f>
        <v>1</v>
      </c>
      <c r="E210" s="28">
        <f>VLOOKUP(TABLA_PRECIOS_LISTBOX[[#This Row],[Código]],TABLA_PRECIOS[#All],7)</f>
        <v>1</v>
      </c>
      <c r="F210" s="32">
        <f>VLOOKUP(TABLA_PRECIOS_LISTBOX[[#This Row],[Código]],TABLA_PRECIOS[#All],8)</f>
        <v>1</v>
      </c>
      <c r="G210" s="9">
        <f>VLOOKUP(TABLA_PRECIOS_LISTBOX[[#This Row],[Código]],TABLA_PRECIOS[#All],10)</f>
        <v>0</v>
      </c>
    </row>
    <row r="211" spans="1:7" ht="12" customHeight="1" x14ac:dyDescent="0.3">
      <c r="A211" s="4">
        <v>1416</v>
      </c>
      <c r="B211" s="6" t="str">
        <f>VLOOKUP(TABLA_PRECIOS_LISTBOX[Código],LISTADO_PRODUCTOS[#All],4)</f>
        <v>Repuesto Calcar Nº3 Luma</v>
      </c>
      <c r="C211" s="6" t="str">
        <f>VLOOKUP(TABLA_PRECIOS_LISTBOX[Código],LISTADO_PRODUCTOS[#All],5)</f>
        <v>N/A</v>
      </c>
      <c r="D211" s="13">
        <f>VLOOKUP(TABLA_PRECIOS_LISTBOX[[#This Row],[Código]],TABLA_PRECIOS[#All],6)</f>
        <v>1</v>
      </c>
      <c r="E211" s="28">
        <f>VLOOKUP(TABLA_PRECIOS_LISTBOX[[#This Row],[Código]],TABLA_PRECIOS[#All],7)</f>
        <v>1</v>
      </c>
      <c r="F211" s="32">
        <f>VLOOKUP(TABLA_PRECIOS_LISTBOX[[#This Row],[Código]],TABLA_PRECIOS[#All],8)</f>
        <v>1</v>
      </c>
      <c r="G211" s="9">
        <f>VLOOKUP(TABLA_PRECIOS_LISTBOX[[#This Row],[Código]],TABLA_PRECIOS[#All],10)</f>
        <v>0</v>
      </c>
    </row>
    <row r="212" spans="1:7" ht="12" customHeight="1" x14ac:dyDescent="0.3">
      <c r="A212" s="4">
        <v>1417</v>
      </c>
      <c r="B212" s="6" t="str">
        <f>VLOOKUP(TABLA_PRECIOS_LISTBOX[Código],LISTADO_PRODUCTOS[#All],4)</f>
        <v>Mapa Nº6</v>
      </c>
      <c r="C212" s="6" t="str">
        <f>VLOOKUP(TABLA_PRECIOS_LISTBOX[Código],LISTADO_PRODUCTOS[#All],5)</f>
        <v>N/A</v>
      </c>
      <c r="D212" s="13">
        <f>VLOOKUP(TABLA_PRECIOS_LISTBOX[[#This Row],[Código]],TABLA_PRECIOS[#All],6)</f>
        <v>1</v>
      </c>
      <c r="E212" s="28">
        <f>VLOOKUP(TABLA_PRECIOS_LISTBOX[[#This Row],[Código]],TABLA_PRECIOS[#All],7)</f>
        <v>1</v>
      </c>
      <c r="F212" s="32">
        <f>VLOOKUP(TABLA_PRECIOS_LISTBOX[[#This Row],[Código]],TABLA_PRECIOS[#All],8)</f>
        <v>1</v>
      </c>
      <c r="G212" s="9">
        <f>VLOOKUP(TABLA_PRECIOS_LISTBOX[[#This Row],[Código]],TABLA_PRECIOS[#All],10)</f>
        <v>0</v>
      </c>
    </row>
    <row r="213" spans="1:7" ht="12" customHeight="1" x14ac:dyDescent="0.3">
      <c r="A213" s="4">
        <v>1418</v>
      </c>
      <c r="B213" s="6" t="str">
        <f>VLOOKUP(TABLA_PRECIOS_LISTBOX[Código],LISTADO_PRODUCTOS[#All],4)</f>
        <v>Cuaderno Triunfante/Laprida Nº3 x 50h - 7792216049913</v>
      </c>
      <c r="C213" s="6" t="str">
        <f>VLOOKUP(TABLA_PRECIOS_LISTBOX[Código],LISTADO_PRODUCTOS[#All],5)</f>
        <v>N/A</v>
      </c>
      <c r="D213" s="13">
        <f>VLOOKUP(TABLA_PRECIOS_LISTBOX[[#This Row],[Código]],TABLA_PRECIOS[#All],6)</f>
        <v>1</v>
      </c>
      <c r="E213" s="28">
        <f>VLOOKUP(TABLA_PRECIOS_LISTBOX[[#This Row],[Código]],TABLA_PRECIOS[#All],7)</f>
        <v>1</v>
      </c>
      <c r="F213" s="32">
        <f>VLOOKUP(TABLA_PRECIOS_LISTBOX[[#This Row],[Código]],TABLA_PRECIOS[#All],8)</f>
        <v>1</v>
      </c>
      <c r="G213" s="9">
        <f>VLOOKUP(TABLA_PRECIOS_LISTBOX[[#This Row],[Código]],TABLA_PRECIOS[#All],10)</f>
        <v>0</v>
      </c>
    </row>
    <row r="214" spans="1:7" ht="12" customHeight="1" x14ac:dyDescent="0.3">
      <c r="A214" s="4">
        <v>1420</v>
      </c>
      <c r="B214" s="6" t="str">
        <f>VLOOKUP(TABLA_PRECIOS_LISTBOX[Código],LISTADO_PRODUCTOS[#All],4)</f>
        <v>Flauta Blester NC</v>
      </c>
      <c r="C214" s="6" t="str">
        <f>VLOOKUP(TABLA_PRECIOS_LISTBOX[Código],LISTADO_PRODUCTOS[#All],5)</f>
        <v>N/A</v>
      </c>
      <c r="D214" s="13">
        <f>VLOOKUP(TABLA_PRECIOS_LISTBOX[[#This Row],[Código]],TABLA_PRECIOS[#All],6)</f>
        <v>1</v>
      </c>
      <c r="E214" s="28">
        <f>VLOOKUP(TABLA_PRECIOS_LISTBOX[[#This Row],[Código]],TABLA_PRECIOS[#All],7)</f>
        <v>1</v>
      </c>
      <c r="F214" s="32">
        <f>VLOOKUP(TABLA_PRECIOS_LISTBOX[[#This Row],[Código]],TABLA_PRECIOS[#All],8)</f>
        <v>1</v>
      </c>
      <c r="G214" s="9">
        <f>VLOOKUP(TABLA_PRECIOS_LISTBOX[[#This Row],[Código]],TABLA_PRECIOS[#All],10)</f>
        <v>0</v>
      </c>
    </row>
    <row r="215" spans="1:7" ht="12" customHeight="1" x14ac:dyDescent="0.3">
      <c r="A215" s="4">
        <v>1421</v>
      </c>
      <c r="B215" s="6" t="str">
        <f>VLOOKUP(TABLA_PRECIOS_LISTBOX[Código],LISTADO_PRODUCTOS[#All],4)</f>
        <v>Escalimetro Maped en estuche</v>
      </c>
      <c r="C215" s="6" t="str">
        <f>VLOOKUP(TABLA_PRECIOS_LISTBOX[Código],LISTADO_PRODUCTOS[#All],5)</f>
        <v>N/A</v>
      </c>
      <c r="D215" s="13">
        <f>VLOOKUP(TABLA_PRECIOS_LISTBOX[[#This Row],[Código]],TABLA_PRECIOS[#All],6)</f>
        <v>1</v>
      </c>
      <c r="E215" s="28">
        <f>VLOOKUP(TABLA_PRECIOS_LISTBOX[[#This Row],[Código]],TABLA_PRECIOS[#All],7)</f>
        <v>1</v>
      </c>
      <c r="F215" s="32">
        <f>VLOOKUP(TABLA_PRECIOS_LISTBOX[[#This Row],[Código]],TABLA_PRECIOS[#All],8)</f>
        <v>1</v>
      </c>
      <c r="G215" s="9">
        <f>VLOOKUP(TABLA_PRECIOS_LISTBOX[[#This Row],[Código]],TABLA_PRECIOS[#All],10)</f>
        <v>0</v>
      </c>
    </row>
    <row r="216" spans="1:7" ht="12" customHeight="1" x14ac:dyDescent="0.3">
      <c r="A216" s="4">
        <v>1423</v>
      </c>
      <c r="B216" s="6" t="str">
        <f>VLOOKUP(TABLA_PRECIOS_LISTBOX[Código],LISTADO_PRODUCTOS[#All],4)</f>
        <v>Adhesivo vinilico Tintoretto/model/playcolor/Maxxum x 250gr</v>
      </c>
      <c r="C216" s="6" t="str">
        <f>VLOOKUP(TABLA_PRECIOS_LISTBOX[Código],LISTADO_PRODUCTOS[#All],5)</f>
        <v>N/A</v>
      </c>
      <c r="D216" s="13">
        <f>VLOOKUP(TABLA_PRECIOS_LISTBOX[[#This Row],[Código]],TABLA_PRECIOS[#All],6)</f>
        <v>1</v>
      </c>
      <c r="E216" s="28">
        <f>VLOOKUP(TABLA_PRECIOS_LISTBOX[[#This Row],[Código]],TABLA_PRECIOS[#All],7)</f>
        <v>1</v>
      </c>
      <c r="F216" s="32">
        <f>VLOOKUP(TABLA_PRECIOS_LISTBOX[[#This Row],[Código]],TABLA_PRECIOS[#All],8)</f>
        <v>1</v>
      </c>
      <c r="G216" s="9">
        <f>VLOOKUP(TABLA_PRECIOS_LISTBOX[[#This Row],[Código]],TABLA_PRECIOS[#All],10)</f>
        <v>0</v>
      </c>
    </row>
    <row r="217" spans="1:7" ht="12" customHeight="1" x14ac:dyDescent="0.3">
      <c r="A217" s="4">
        <v>1424</v>
      </c>
      <c r="B217" s="6" t="str">
        <f>VLOOKUP(TABLA_PRECIOS_LISTBOX[Código],LISTADO_PRODUCTOS[#All],4)</f>
        <v>Transportador Maped 10cm en bolsa</v>
      </c>
      <c r="C217" s="6" t="str">
        <f>VLOOKUP(TABLA_PRECIOS_LISTBOX[Código],LISTADO_PRODUCTOS[#All],5)</f>
        <v>N/A</v>
      </c>
      <c r="D217" s="13">
        <f>VLOOKUP(TABLA_PRECIOS_LISTBOX[[#This Row],[Código]],TABLA_PRECIOS[#All],6)</f>
        <v>1</v>
      </c>
      <c r="E217" s="28">
        <f>VLOOKUP(TABLA_PRECIOS_LISTBOX[[#This Row],[Código]],TABLA_PRECIOS[#All],7)</f>
        <v>1</v>
      </c>
      <c r="F217" s="32">
        <f>VLOOKUP(TABLA_PRECIOS_LISTBOX[[#This Row],[Código]],TABLA_PRECIOS[#All],8)</f>
        <v>1</v>
      </c>
      <c r="G217" s="9">
        <f>VLOOKUP(TABLA_PRECIOS_LISTBOX[[#This Row],[Código]],TABLA_PRECIOS[#All],10)</f>
        <v>0</v>
      </c>
    </row>
    <row r="218" spans="1:7" ht="12" customHeight="1" x14ac:dyDescent="0.3">
      <c r="A218" s="4">
        <v>1425</v>
      </c>
      <c r="B218" s="6" t="str">
        <f>VLOOKUP(TABLA_PRECIOS_LISTBOX[Código],LISTADO_PRODUCTOS[#All],4)</f>
        <v>Corrector Filgo 012 - 7795513049518</v>
      </c>
      <c r="C218" s="6" t="str">
        <f>VLOOKUP(TABLA_PRECIOS_LISTBOX[Código],LISTADO_PRODUCTOS[#All],5)</f>
        <v>N/A</v>
      </c>
      <c r="D218" s="13">
        <f>VLOOKUP(TABLA_PRECIOS_LISTBOX[[#This Row],[Código]],TABLA_PRECIOS[#All],6)</f>
        <v>1</v>
      </c>
      <c r="E218" s="28">
        <f>VLOOKUP(TABLA_PRECIOS_LISTBOX[[#This Row],[Código]],TABLA_PRECIOS[#All],7)</f>
        <v>1</v>
      </c>
      <c r="F218" s="32">
        <f>VLOOKUP(TABLA_PRECIOS_LISTBOX[[#This Row],[Código]],TABLA_PRECIOS[#All],8)</f>
        <v>1</v>
      </c>
      <c r="G218" s="9">
        <f>VLOOKUP(TABLA_PRECIOS_LISTBOX[[#This Row],[Código]],TABLA_PRECIOS[#All],10)</f>
        <v>0</v>
      </c>
    </row>
    <row r="219" spans="1:7" ht="12" customHeight="1" x14ac:dyDescent="0.3">
      <c r="A219" s="4">
        <v>1426</v>
      </c>
      <c r="B219" s="6" t="str">
        <f>VLOOKUP(TABLA_PRECIOS_LISTBOX[Código],LISTADO_PRODUCTOS[#All],4)</f>
        <v>Multibase de madera</v>
      </c>
      <c r="C219" s="6" t="str">
        <f>VLOOKUP(TABLA_PRECIOS_LISTBOX[Código],LISTADO_PRODUCTOS[#All],5)</f>
        <v>N/A</v>
      </c>
      <c r="D219" s="13">
        <f>VLOOKUP(TABLA_PRECIOS_LISTBOX[[#This Row],[Código]],TABLA_PRECIOS[#All],6)</f>
        <v>1</v>
      </c>
      <c r="E219" s="28">
        <f>VLOOKUP(TABLA_PRECIOS_LISTBOX[[#This Row],[Código]],TABLA_PRECIOS[#All],7)</f>
        <v>1</v>
      </c>
      <c r="F219" s="32">
        <f>VLOOKUP(TABLA_PRECIOS_LISTBOX[[#This Row],[Código]],TABLA_PRECIOS[#All],8)</f>
        <v>1</v>
      </c>
      <c r="G219" s="9">
        <f>VLOOKUP(TABLA_PRECIOS_LISTBOX[[#This Row],[Código]],TABLA_PRECIOS[#All],10)</f>
        <v>0</v>
      </c>
    </row>
    <row r="220" spans="1:7" ht="12" customHeight="1" x14ac:dyDescent="0.3">
      <c r="A220" s="4">
        <v>1427</v>
      </c>
      <c r="B220" s="6" t="str">
        <f>VLOOKUP(TABLA_PRECIOS_LISTBOX[Código],LISTADO_PRODUCTOS[#All],4)</f>
        <v>Resaltador en Blister Mini tubo x 6</v>
      </c>
      <c r="C220" s="6" t="str">
        <f>VLOOKUP(TABLA_PRECIOS_LISTBOX[Código],LISTADO_PRODUCTOS[#All],5)</f>
        <v>N/A</v>
      </c>
      <c r="D220" s="13">
        <f>VLOOKUP(TABLA_PRECIOS_LISTBOX[[#This Row],[Código]],TABLA_PRECIOS[#All],6)</f>
        <v>1</v>
      </c>
      <c r="E220" s="28">
        <f>VLOOKUP(TABLA_PRECIOS_LISTBOX[[#This Row],[Código]],TABLA_PRECIOS[#All],7)</f>
        <v>1</v>
      </c>
      <c r="F220" s="32">
        <f>VLOOKUP(TABLA_PRECIOS_LISTBOX[[#This Row],[Código]],TABLA_PRECIOS[#All],8)</f>
        <v>1</v>
      </c>
      <c r="G220" s="9">
        <f>VLOOKUP(TABLA_PRECIOS_LISTBOX[[#This Row],[Código]],TABLA_PRECIOS[#All],10)</f>
        <v>0</v>
      </c>
    </row>
    <row r="221" spans="1:7" ht="12" customHeight="1" x14ac:dyDescent="0.3">
      <c r="A221" s="4">
        <v>1428</v>
      </c>
      <c r="B221" s="6" t="str">
        <f>VLOOKUP(TABLA_PRECIOS_LISTBOX[Código],LISTADO_PRODUCTOS[#All],4)</f>
        <v>Set de Resaltadores NUWA x5u en dispenser</v>
      </c>
      <c r="C221" s="6" t="str">
        <f>VLOOKUP(TABLA_PRECIOS_LISTBOX[Código],LISTADO_PRODUCTOS[#All],5)</f>
        <v>N/A</v>
      </c>
      <c r="D221" s="13">
        <f>VLOOKUP(TABLA_PRECIOS_LISTBOX[[#This Row],[Código]],TABLA_PRECIOS[#All],6)</f>
        <v>1</v>
      </c>
      <c r="E221" s="28">
        <f>VLOOKUP(TABLA_PRECIOS_LISTBOX[[#This Row],[Código]],TABLA_PRECIOS[#All],7)</f>
        <v>1</v>
      </c>
      <c r="F221" s="32">
        <f>VLOOKUP(TABLA_PRECIOS_LISTBOX[[#This Row],[Código]],TABLA_PRECIOS[#All],8)</f>
        <v>1</v>
      </c>
      <c r="G221" s="9">
        <f>VLOOKUP(TABLA_PRECIOS_LISTBOX[[#This Row],[Código]],TABLA_PRECIOS[#All],10)</f>
        <v>0</v>
      </c>
    </row>
    <row r="222" spans="1:7" ht="12" customHeight="1" x14ac:dyDescent="0.3">
      <c r="A222" s="4">
        <v>1500</v>
      </c>
      <c r="B222" s="6" t="str">
        <f>VLOOKUP(TABLA_PRECIOS_LISTBOX[Código],LISTADO_PRODUCTOS[#All],4)</f>
        <v>Carpeta N°5 Kraft color</v>
      </c>
      <c r="C222" s="6" t="str">
        <f>VLOOKUP(TABLA_PRECIOS_LISTBOX[Código],LISTADO_PRODUCTOS[#All],5)</f>
        <v>N/A</v>
      </c>
      <c r="D222" s="13">
        <f>VLOOKUP(TABLA_PRECIOS_LISTBOX[[#This Row],[Código]],TABLA_PRECIOS[#All],6)</f>
        <v>1</v>
      </c>
      <c r="E222" s="28">
        <f>VLOOKUP(TABLA_PRECIOS_LISTBOX[[#This Row],[Código]],TABLA_PRECIOS[#All],7)</f>
        <v>1</v>
      </c>
      <c r="F222" s="32">
        <f>VLOOKUP(TABLA_PRECIOS_LISTBOX[[#This Row],[Código]],TABLA_PRECIOS[#All],8)</f>
        <v>1</v>
      </c>
      <c r="G222" s="9">
        <f>VLOOKUP(TABLA_PRECIOS_LISTBOX[[#This Row],[Código]],TABLA_PRECIOS[#All],10)</f>
        <v>0</v>
      </c>
    </row>
    <row r="223" spans="1:7" ht="12" customHeight="1" x14ac:dyDescent="0.3">
      <c r="A223" s="4">
        <v>1501</v>
      </c>
      <c r="B223" s="6" t="str">
        <f>VLOOKUP(TABLA_PRECIOS_LISTBOX[Código],LISTADO_PRODUCTOS[#All],4)</f>
        <v>Goma Keyroad Windmill</v>
      </c>
      <c r="C223" s="6" t="str">
        <f>VLOOKUP(TABLA_PRECIOS_LISTBOX[Código],LISTADO_PRODUCTOS[#All],5)</f>
        <v>N/A</v>
      </c>
      <c r="D223" s="13">
        <f>VLOOKUP(TABLA_PRECIOS_LISTBOX[[#This Row],[Código]],TABLA_PRECIOS[#All],6)</f>
        <v>1</v>
      </c>
      <c r="E223" s="28">
        <f>VLOOKUP(TABLA_PRECIOS_LISTBOX[[#This Row],[Código]],TABLA_PRECIOS[#All],7)</f>
        <v>1</v>
      </c>
      <c r="F223" s="32">
        <f>VLOOKUP(TABLA_PRECIOS_LISTBOX[[#This Row],[Código]],TABLA_PRECIOS[#All],8)</f>
        <v>1</v>
      </c>
      <c r="G223" s="9">
        <f>VLOOKUP(TABLA_PRECIOS_LISTBOX[[#This Row],[Código]],TABLA_PRECIOS[#All],10)</f>
        <v>0</v>
      </c>
    </row>
    <row r="224" spans="1:7" ht="12" customHeight="1" x14ac:dyDescent="0.3">
      <c r="A224" s="4">
        <v>1504</v>
      </c>
      <c r="B224" s="6" t="str">
        <f>VLOOKUP(TABLA_PRECIOS_LISTBOX[Código],LISTADO_PRODUCTOS[#All],4)</f>
        <v>Cuaderno ABC Inicial</v>
      </c>
      <c r="C224" s="6" t="str">
        <f>VLOOKUP(TABLA_PRECIOS_LISTBOX[Código],LISTADO_PRODUCTOS[#All],5)</f>
        <v>N/A</v>
      </c>
      <c r="D224" s="13">
        <f>VLOOKUP(TABLA_PRECIOS_LISTBOX[[#This Row],[Código]],TABLA_PRECIOS[#All],6)</f>
        <v>1</v>
      </c>
      <c r="E224" s="28">
        <f>VLOOKUP(TABLA_PRECIOS_LISTBOX[[#This Row],[Código]],TABLA_PRECIOS[#All],7)</f>
        <v>1</v>
      </c>
      <c r="F224" s="32">
        <f>VLOOKUP(TABLA_PRECIOS_LISTBOX[[#This Row],[Código]],TABLA_PRECIOS[#All],8)</f>
        <v>1</v>
      </c>
      <c r="G224" s="9">
        <f>VLOOKUP(TABLA_PRECIOS_LISTBOX[[#This Row],[Código]],TABLA_PRECIOS[#All],10)</f>
        <v>0</v>
      </c>
    </row>
    <row r="225" spans="1:7" ht="12" customHeight="1" x14ac:dyDescent="0.3">
      <c r="A225" s="4">
        <v>1505</v>
      </c>
      <c r="B225" s="6" t="str">
        <f>VLOOKUP(TABLA_PRECIOS_LISTBOX[Código],LISTADO_PRODUCTOS[#All],4)</f>
        <v>Bandera Argentina 1,3 x 2,5 S/sol</v>
      </c>
      <c r="C225" s="6" t="str">
        <f>VLOOKUP(TABLA_PRECIOS_LISTBOX[Código],LISTADO_PRODUCTOS[#All],5)</f>
        <v>N/A</v>
      </c>
      <c r="D225" s="13">
        <f>VLOOKUP(TABLA_PRECIOS_LISTBOX[[#This Row],[Código]],TABLA_PRECIOS[#All],6)</f>
        <v>1</v>
      </c>
      <c r="E225" s="28">
        <f>VLOOKUP(TABLA_PRECIOS_LISTBOX[[#This Row],[Código]],TABLA_PRECIOS[#All],7)</f>
        <v>1</v>
      </c>
      <c r="F225" s="32">
        <f>VLOOKUP(TABLA_PRECIOS_LISTBOX[[#This Row],[Código]],TABLA_PRECIOS[#All],8)</f>
        <v>1</v>
      </c>
      <c r="G225" s="9">
        <f>VLOOKUP(TABLA_PRECIOS_LISTBOX[[#This Row],[Código]],TABLA_PRECIOS[#All],10)</f>
        <v>0</v>
      </c>
    </row>
    <row r="226" spans="1:7" ht="12" customHeight="1" x14ac:dyDescent="0.3">
      <c r="A226" s="4">
        <v>1506</v>
      </c>
      <c r="B226" s="6" t="str">
        <f>VLOOKUP(TABLA_PRECIOS_LISTBOX[Código],LISTADO_PRODUCTOS[#All],4)</f>
        <v>Block de dibujo Muresco D/especiales x 20h Nº5</v>
      </c>
      <c r="C226" s="6" t="str">
        <f>VLOOKUP(TABLA_PRECIOS_LISTBOX[Código],LISTADO_PRODUCTOS[#All],5)</f>
        <v>N/A</v>
      </c>
      <c r="D226" s="13">
        <f>VLOOKUP(TABLA_PRECIOS_LISTBOX[[#This Row],[Código]],TABLA_PRECIOS[#All],6)</f>
        <v>1</v>
      </c>
      <c r="E226" s="28">
        <f>VLOOKUP(TABLA_PRECIOS_LISTBOX[[#This Row],[Código]],TABLA_PRECIOS[#All],7)</f>
        <v>1</v>
      </c>
      <c r="F226" s="32">
        <f>VLOOKUP(TABLA_PRECIOS_LISTBOX[[#This Row],[Código]],TABLA_PRECIOS[#All],8)</f>
        <v>1</v>
      </c>
      <c r="G226" s="9">
        <f>VLOOKUP(TABLA_PRECIOS_LISTBOX[[#This Row],[Código]],TABLA_PRECIOS[#All],10)</f>
        <v>0</v>
      </c>
    </row>
    <row r="227" spans="1:7" ht="12" customHeight="1" x14ac:dyDescent="0.3">
      <c r="A227" s="4">
        <v>1507</v>
      </c>
      <c r="B227" s="6" t="str">
        <f>VLOOKUP(TABLA_PRECIOS_LISTBOX[Código],LISTADO_PRODUCTOS[#All],4)</f>
        <v>Cartulina entretenida Muresco pre cortada formas varias presentacion A4</v>
      </c>
      <c r="C227" s="6" t="str">
        <f>VLOOKUP(TABLA_PRECIOS_LISTBOX[Código],LISTADO_PRODUCTOS[#All],5)</f>
        <v>N/A</v>
      </c>
      <c r="D227" s="13">
        <f>VLOOKUP(TABLA_PRECIOS_LISTBOX[[#This Row],[Código]],TABLA_PRECIOS[#All],6)</f>
        <v>1</v>
      </c>
      <c r="E227" s="28">
        <f>VLOOKUP(TABLA_PRECIOS_LISTBOX[[#This Row],[Código]],TABLA_PRECIOS[#All],7)</f>
        <v>1</v>
      </c>
      <c r="F227" s="32">
        <f>VLOOKUP(TABLA_PRECIOS_LISTBOX[[#This Row],[Código]],TABLA_PRECIOS[#All],8)</f>
        <v>1</v>
      </c>
      <c r="G227" s="9">
        <f>VLOOKUP(TABLA_PRECIOS_LISTBOX[[#This Row],[Código]],TABLA_PRECIOS[#All],10)</f>
        <v>0</v>
      </c>
    </row>
    <row r="228" spans="1:7" ht="12" customHeight="1" x14ac:dyDescent="0.3">
      <c r="A228" s="4">
        <v>1508</v>
      </c>
      <c r="B228" s="6" t="str">
        <f>VLOOKUP(TABLA_PRECIOS_LISTBOX[Código],LISTADO_PRODUCTOS[#All],4)</f>
        <v>Marcadores Color Peps Glitter x 10</v>
      </c>
      <c r="C228" s="6" t="str">
        <f>VLOOKUP(TABLA_PRECIOS_LISTBOX[Código],LISTADO_PRODUCTOS[#All],5)</f>
        <v>N/A</v>
      </c>
      <c r="D228" s="13">
        <f>VLOOKUP(TABLA_PRECIOS_LISTBOX[[#This Row],[Código]],TABLA_PRECIOS[#All],6)</f>
        <v>1</v>
      </c>
      <c r="E228" s="28">
        <f>VLOOKUP(TABLA_PRECIOS_LISTBOX[[#This Row],[Código]],TABLA_PRECIOS[#All],7)</f>
        <v>1</v>
      </c>
      <c r="F228" s="32">
        <f>VLOOKUP(TABLA_PRECIOS_LISTBOX[[#This Row],[Código]],TABLA_PRECIOS[#All],8)</f>
        <v>1</v>
      </c>
      <c r="G228" s="9">
        <f>VLOOKUP(TABLA_PRECIOS_LISTBOX[[#This Row],[Código]],TABLA_PRECIOS[#All],10)</f>
        <v>0</v>
      </c>
    </row>
    <row r="229" spans="1:7" ht="12" customHeight="1" x14ac:dyDescent="0.3">
      <c r="A229" s="4">
        <v>1511</v>
      </c>
      <c r="B229" s="6" t="str">
        <f>VLOOKUP(TABLA_PRECIOS_LISTBOX[Código],LISTADO_PRODUCTOS[#All],4)</f>
        <v>Adhesivo vinilico Tintoretto x 100gr</v>
      </c>
      <c r="C229" s="6" t="str">
        <f>VLOOKUP(TABLA_PRECIOS_LISTBOX[Código],LISTADO_PRODUCTOS[#All],5)</f>
        <v>N/A</v>
      </c>
      <c r="D229" s="13">
        <f>VLOOKUP(TABLA_PRECIOS_LISTBOX[[#This Row],[Código]],TABLA_PRECIOS[#All],6)</f>
        <v>1</v>
      </c>
      <c r="E229" s="28">
        <f>VLOOKUP(TABLA_PRECIOS_LISTBOX[[#This Row],[Código]],TABLA_PRECIOS[#All],7)</f>
        <v>1</v>
      </c>
      <c r="F229" s="32">
        <f>VLOOKUP(TABLA_PRECIOS_LISTBOX[[#This Row],[Código]],TABLA_PRECIOS[#All],8)</f>
        <v>1</v>
      </c>
      <c r="G229" s="9">
        <f>VLOOKUP(TABLA_PRECIOS_LISTBOX[[#This Row],[Código]],TABLA_PRECIOS[#All],10)</f>
        <v>0</v>
      </c>
    </row>
    <row r="230" spans="1:7" ht="12" customHeight="1" x14ac:dyDescent="0.3">
      <c r="A230" s="4">
        <v>1512</v>
      </c>
      <c r="B230" s="6" t="str">
        <f>VLOOKUP(TABLA_PRECIOS_LISTBOX[Código],LISTADO_PRODUCTOS[#All],4)</f>
        <v>Marcador Trabí para Pizarra blanca Recargable 450</v>
      </c>
      <c r="C230" s="6" t="str">
        <f>VLOOKUP(TABLA_PRECIOS_LISTBOX[Código],LISTADO_PRODUCTOS[#All],5)</f>
        <v>N/A</v>
      </c>
      <c r="D230" s="13">
        <f>VLOOKUP(TABLA_PRECIOS_LISTBOX[[#This Row],[Código]],TABLA_PRECIOS[#All],6)</f>
        <v>1</v>
      </c>
      <c r="E230" s="28">
        <f>VLOOKUP(TABLA_PRECIOS_LISTBOX[[#This Row],[Código]],TABLA_PRECIOS[#All],7)</f>
        <v>1</v>
      </c>
      <c r="F230" s="32">
        <f>VLOOKUP(TABLA_PRECIOS_LISTBOX[[#This Row],[Código]],TABLA_PRECIOS[#All],8)</f>
        <v>1</v>
      </c>
      <c r="G230" s="9">
        <f>VLOOKUP(TABLA_PRECIOS_LISTBOX[[#This Row],[Código]],TABLA_PRECIOS[#All],10)</f>
        <v>0</v>
      </c>
    </row>
    <row r="231" spans="1:7" ht="12" customHeight="1" x14ac:dyDescent="0.3">
      <c r="A231" s="4">
        <v>1514</v>
      </c>
      <c r="B231" s="6" t="str">
        <f>VLOOKUP(TABLA_PRECIOS_LISTBOX[Código],LISTADO_PRODUCTOS[#All],4)</f>
        <v>Block Dibujo Éxito/Luma Nº5 Blanco - 7791762319426</v>
      </c>
      <c r="C231" s="6" t="str">
        <f>VLOOKUP(TABLA_PRECIOS_LISTBOX[Código],LISTADO_PRODUCTOS[#All],5)</f>
        <v>N/A</v>
      </c>
      <c r="D231" s="13">
        <f>VLOOKUP(TABLA_PRECIOS_LISTBOX[[#This Row],[Código]],TABLA_PRECIOS[#All],6)</f>
        <v>1</v>
      </c>
      <c r="E231" s="28">
        <f>VLOOKUP(TABLA_PRECIOS_LISTBOX[[#This Row],[Código]],TABLA_PRECIOS[#All],7)</f>
        <v>1</v>
      </c>
      <c r="F231" s="32">
        <f>VLOOKUP(TABLA_PRECIOS_LISTBOX[[#This Row],[Código]],TABLA_PRECIOS[#All],8)</f>
        <v>1</v>
      </c>
      <c r="G231" s="9">
        <f>VLOOKUP(TABLA_PRECIOS_LISTBOX[[#This Row],[Código]],TABLA_PRECIOS[#All],10)</f>
        <v>0</v>
      </c>
    </row>
    <row r="232" spans="1:7" ht="12" customHeight="1" x14ac:dyDescent="0.3">
      <c r="A232" s="4">
        <v>1515</v>
      </c>
      <c r="B232" s="6" t="str">
        <f>VLOOKUP(TABLA_PRECIOS_LISTBOX[Código],LISTADO_PRODUCTOS[#All],4)</f>
        <v>Block Dibujo Éxito/Luma Nº6 Blanco</v>
      </c>
      <c r="C232" s="6" t="str">
        <f>VLOOKUP(TABLA_PRECIOS_LISTBOX[Código],LISTADO_PRODUCTOS[#All],5)</f>
        <v>N/A</v>
      </c>
      <c r="D232" s="13">
        <f>VLOOKUP(TABLA_PRECIOS_LISTBOX[[#This Row],[Código]],TABLA_PRECIOS[#All],6)</f>
        <v>1</v>
      </c>
      <c r="E232" s="28">
        <f>VLOOKUP(TABLA_PRECIOS_LISTBOX[[#This Row],[Código]],TABLA_PRECIOS[#All],7)</f>
        <v>1</v>
      </c>
      <c r="F232" s="32">
        <f>VLOOKUP(TABLA_PRECIOS_LISTBOX[[#This Row],[Código]],TABLA_PRECIOS[#All],8)</f>
        <v>1</v>
      </c>
      <c r="G232" s="9">
        <f>VLOOKUP(TABLA_PRECIOS_LISTBOX[[#This Row],[Código]],TABLA_PRECIOS[#All],10)</f>
        <v>0</v>
      </c>
    </row>
    <row r="233" spans="1:7" ht="12" customHeight="1" x14ac:dyDescent="0.3">
      <c r="A233" s="4">
        <v>1516</v>
      </c>
      <c r="B233" s="6" t="str">
        <f>VLOOKUP(TABLA_PRECIOS_LISTBOX[Código],LISTADO_PRODUCTOS[#All],4)</f>
        <v>Set de Geometria Maped x4 piezas 30cm</v>
      </c>
      <c r="C233" s="6" t="str">
        <f>VLOOKUP(TABLA_PRECIOS_LISTBOX[Código],LISTADO_PRODUCTOS[#All],5)</f>
        <v>N/A</v>
      </c>
      <c r="D233" s="13">
        <f>VLOOKUP(TABLA_PRECIOS_LISTBOX[[#This Row],[Código]],TABLA_PRECIOS[#All],6)</f>
        <v>1</v>
      </c>
      <c r="E233" s="28">
        <f>VLOOKUP(TABLA_PRECIOS_LISTBOX[[#This Row],[Código]],TABLA_PRECIOS[#All],7)</f>
        <v>1</v>
      </c>
      <c r="F233" s="32">
        <f>VLOOKUP(TABLA_PRECIOS_LISTBOX[[#This Row],[Código]],TABLA_PRECIOS[#All],8)</f>
        <v>1</v>
      </c>
      <c r="G233" s="9">
        <f>VLOOKUP(TABLA_PRECIOS_LISTBOX[[#This Row],[Código]],TABLA_PRECIOS[#All],10)</f>
        <v>0</v>
      </c>
    </row>
    <row r="234" spans="1:7" ht="12" customHeight="1" x14ac:dyDescent="0.3">
      <c r="A234" s="4">
        <v>1517</v>
      </c>
      <c r="B234" s="6" t="str">
        <f>VLOOKUP(TABLA_PRECIOS_LISTBOX[Código],LISTADO_PRODUCTOS[#All],4)</f>
        <v>Tijera para zurdos Maped</v>
      </c>
      <c r="C234" s="6" t="str">
        <f>VLOOKUP(TABLA_PRECIOS_LISTBOX[Código],LISTADO_PRODUCTOS[#All],5)</f>
        <v>N/A</v>
      </c>
      <c r="D234" s="13">
        <f>VLOOKUP(TABLA_PRECIOS_LISTBOX[[#This Row],[Código]],TABLA_PRECIOS[#All],6)</f>
        <v>1</v>
      </c>
      <c r="E234" s="28">
        <f>VLOOKUP(TABLA_PRECIOS_LISTBOX[[#This Row],[Código]],TABLA_PRECIOS[#All],7)</f>
        <v>1</v>
      </c>
      <c r="F234" s="32">
        <f>VLOOKUP(TABLA_PRECIOS_LISTBOX[[#This Row],[Código]],TABLA_PRECIOS[#All],8)</f>
        <v>1</v>
      </c>
      <c r="G234" s="9">
        <f>VLOOKUP(TABLA_PRECIOS_LISTBOX[[#This Row],[Código]],TABLA_PRECIOS[#All],10)</f>
        <v>0</v>
      </c>
    </row>
    <row r="235" spans="1:7" ht="12" customHeight="1" x14ac:dyDescent="0.3">
      <c r="A235" s="4">
        <v>1518</v>
      </c>
      <c r="B235" s="6" t="str">
        <f>VLOOKUP(TABLA_PRECIOS_LISTBOX[Código],LISTADO_PRODUCTOS[#All],4)</f>
        <v xml:space="preserve">Silicona Liquida CBX x 30ml </v>
      </c>
      <c r="C235" s="6" t="str">
        <f>VLOOKUP(TABLA_PRECIOS_LISTBOX[Código],LISTADO_PRODUCTOS[#All],5)</f>
        <v>N/A</v>
      </c>
      <c r="D235" s="13">
        <f>VLOOKUP(TABLA_PRECIOS_LISTBOX[[#This Row],[Código]],TABLA_PRECIOS[#All],6)</f>
        <v>1</v>
      </c>
      <c r="E235" s="28">
        <f>VLOOKUP(TABLA_PRECIOS_LISTBOX[[#This Row],[Código]],TABLA_PRECIOS[#All],7)</f>
        <v>1</v>
      </c>
      <c r="F235" s="32">
        <f>VLOOKUP(TABLA_PRECIOS_LISTBOX[[#This Row],[Código]],TABLA_PRECIOS[#All],8)</f>
        <v>1</v>
      </c>
      <c r="G235" s="9">
        <f>VLOOKUP(TABLA_PRECIOS_LISTBOX[[#This Row],[Código]],TABLA_PRECIOS[#All],10)</f>
        <v>0</v>
      </c>
    </row>
    <row r="236" spans="1:7" ht="12" customHeight="1" x14ac:dyDescent="0.3">
      <c r="A236" s="4">
        <v>1519</v>
      </c>
      <c r="B236" s="6" t="str">
        <f>VLOOKUP(TABLA_PRECIOS_LISTBOX[Código],LISTADO_PRODUCTOS[#All],4)</f>
        <v>Colores Simball Largo x 24 innovation</v>
      </c>
      <c r="C236" s="6" t="str">
        <f>VLOOKUP(TABLA_PRECIOS_LISTBOX[Código],LISTADO_PRODUCTOS[#All],5)</f>
        <v>N/A</v>
      </c>
      <c r="D236" s="13">
        <f>VLOOKUP(TABLA_PRECIOS_LISTBOX[[#This Row],[Código]],TABLA_PRECIOS[#All],6)</f>
        <v>1</v>
      </c>
      <c r="E236" s="28">
        <f>VLOOKUP(TABLA_PRECIOS_LISTBOX[[#This Row],[Código]],TABLA_PRECIOS[#All],7)</f>
        <v>1</v>
      </c>
      <c r="F236" s="32">
        <f>VLOOKUP(TABLA_PRECIOS_LISTBOX[[#This Row],[Código]],TABLA_PRECIOS[#All],8)</f>
        <v>1</v>
      </c>
      <c r="G236" s="9">
        <f>VLOOKUP(TABLA_PRECIOS_LISTBOX[[#This Row],[Código]],TABLA_PRECIOS[#All],10)</f>
        <v>0</v>
      </c>
    </row>
    <row r="237" spans="1:7" ht="12" customHeight="1" x14ac:dyDescent="0.3">
      <c r="A237" s="4">
        <v>1520</v>
      </c>
      <c r="B237" s="6" t="str">
        <f>VLOOKUP(TABLA_PRECIOS_LISTBOX[Código],LISTADO_PRODUCTOS[#All],4)</f>
        <v>Tijera Maped Office Advance Soft Gel 21cm</v>
      </c>
      <c r="C237" s="6" t="str">
        <f>VLOOKUP(TABLA_PRECIOS_LISTBOX[Código],LISTADO_PRODUCTOS[#All],5)</f>
        <v>N/A</v>
      </c>
      <c r="D237" s="13">
        <f>VLOOKUP(TABLA_PRECIOS_LISTBOX[[#This Row],[Código]],TABLA_PRECIOS[#All],6)</f>
        <v>1</v>
      </c>
      <c r="E237" s="28">
        <f>VLOOKUP(TABLA_PRECIOS_LISTBOX[[#This Row],[Código]],TABLA_PRECIOS[#All],7)</f>
        <v>1</v>
      </c>
      <c r="F237" s="32">
        <f>VLOOKUP(TABLA_PRECIOS_LISTBOX[[#This Row],[Código]],TABLA_PRECIOS[#All],8)</f>
        <v>1</v>
      </c>
      <c r="G237" s="9">
        <f>VLOOKUP(TABLA_PRECIOS_LISTBOX[[#This Row],[Código]],TABLA_PRECIOS[#All],10)</f>
        <v>0</v>
      </c>
    </row>
    <row r="238" spans="1:7" ht="12" customHeight="1" x14ac:dyDescent="0.3">
      <c r="A238" s="4">
        <v>1521</v>
      </c>
      <c r="B238" s="6" t="str">
        <f>VLOOKUP(TABLA_PRECIOS_LISTBOX[Código],LISTADO_PRODUCTOS[#All],4)</f>
        <v>Set de Geometria Maped x 3 piezas</v>
      </c>
      <c r="C238" s="6" t="str">
        <f>VLOOKUP(TABLA_PRECIOS_LISTBOX[Código],LISTADO_PRODUCTOS[#All],5)</f>
        <v>N/A</v>
      </c>
      <c r="D238" s="13">
        <f>VLOOKUP(TABLA_PRECIOS_LISTBOX[[#This Row],[Código]],TABLA_PRECIOS[#All],6)</f>
        <v>1</v>
      </c>
      <c r="E238" s="28">
        <f>VLOOKUP(TABLA_PRECIOS_LISTBOX[[#This Row],[Código]],TABLA_PRECIOS[#All],7)</f>
        <v>1</v>
      </c>
      <c r="F238" s="32">
        <f>VLOOKUP(TABLA_PRECIOS_LISTBOX[[#This Row],[Código]],TABLA_PRECIOS[#All],8)</f>
        <v>1</v>
      </c>
      <c r="G238" s="9">
        <f>VLOOKUP(TABLA_PRECIOS_LISTBOX[[#This Row],[Código]],TABLA_PRECIOS[#All],10)</f>
        <v>0</v>
      </c>
    </row>
    <row r="239" spans="1:7" ht="12" customHeight="1" x14ac:dyDescent="0.3">
      <c r="A239" s="4">
        <v>1522</v>
      </c>
      <c r="B239" s="6" t="str">
        <f>VLOOKUP(TABLA_PRECIOS_LISTBOX[Código],LISTADO_PRODUCTOS[#All],4)</f>
        <v>Set de Geometria Glee x 3 piezas</v>
      </c>
      <c r="C239" s="6" t="str">
        <f>VLOOKUP(TABLA_PRECIOS_LISTBOX[Código],LISTADO_PRODUCTOS[#All],5)</f>
        <v>N/A</v>
      </c>
      <c r="D239" s="13">
        <f>VLOOKUP(TABLA_PRECIOS_LISTBOX[[#This Row],[Código]],TABLA_PRECIOS[#All],6)</f>
        <v>1</v>
      </c>
      <c r="E239" s="28">
        <f>VLOOKUP(TABLA_PRECIOS_LISTBOX[[#This Row],[Código]],TABLA_PRECIOS[#All],7)</f>
        <v>1</v>
      </c>
      <c r="F239" s="32">
        <f>VLOOKUP(TABLA_PRECIOS_LISTBOX[[#This Row],[Código]],TABLA_PRECIOS[#All],8)</f>
        <v>1</v>
      </c>
      <c r="G239" s="9">
        <f>VLOOKUP(TABLA_PRECIOS_LISTBOX[[#This Row],[Código]],TABLA_PRECIOS[#All],10)</f>
        <v>0</v>
      </c>
    </row>
    <row r="240" spans="1:7" ht="12" customHeight="1" x14ac:dyDescent="0.3">
      <c r="A240" s="4">
        <v>1523</v>
      </c>
      <c r="B240" s="6" t="str">
        <f>VLOOKUP(TABLA_PRECIOS_LISTBOX[Código],LISTADO_PRODUCTOS[#All],4)</f>
        <v>Resaltador Maped Glitter Pastel</v>
      </c>
      <c r="C240" s="6" t="str">
        <f>VLOOKUP(TABLA_PRECIOS_LISTBOX[Código],LISTADO_PRODUCTOS[#All],5)</f>
        <v>N/A</v>
      </c>
      <c r="D240" s="13">
        <f>VLOOKUP(TABLA_PRECIOS_LISTBOX[[#This Row],[Código]],TABLA_PRECIOS[#All],6)</f>
        <v>1</v>
      </c>
      <c r="E240" s="28">
        <f>VLOOKUP(TABLA_PRECIOS_LISTBOX[[#This Row],[Código]],TABLA_PRECIOS[#All],7)</f>
        <v>1</v>
      </c>
      <c r="F240" s="32">
        <f>VLOOKUP(TABLA_PRECIOS_LISTBOX[[#This Row],[Código]],TABLA_PRECIOS[#All],8)</f>
        <v>1</v>
      </c>
      <c r="G240" s="9">
        <f>VLOOKUP(TABLA_PRECIOS_LISTBOX[[#This Row],[Código]],TABLA_PRECIOS[#All],10)</f>
        <v>0</v>
      </c>
    </row>
    <row r="241" spans="1:7" ht="12" customHeight="1" x14ac:dyDescent="0.3">
      <c r="A241" s="4">
        <v>1524</v>
      </c>
      <c r="B241" s="6" t="str">
        <f>VLOOKUP(TABLA_PRECIOS_LISTBOX[Código],LISTADO_PRODUCTOS[#All],4)</f>
        <v>Resaltador Maped  PASTEL</v>
      </c>
      <c r="C241" s="6" t="str">
        <f>VLOOKUP(TABLA_PRECIOS_LISTBOX[Código],LISTADO_PRODUCTOS[#All],5)</f>
        <v>N/A</v>
      </c>
      <c r="D241" s="13">
        <f>VLOOKUP(TABLA_PRECIOS_LISTBOX[[#This Row],[Código]],TABLA_PRECIOS[#All],6)</f>
        <v>1</v>
      </c>
      <c r="E241" s="28">
        <f>VLOOKUP(TABLA_PRECIOS_LISTBOX[[#This Row],[Código]],TABLA_PRECIOS[#All],7)</f>
        <v>1</v>
      </c>
      <c r="F241" s="32">
        <f>VLOOKUP(TABLA_PRECIOS_LISTBOX[[#This Row],[Código]],TABLA_PRECIOS[#All],8)</f>
        <v>1</v>
      </c>
      <c r="G241" s="9">
        <f>VLOOKUP(TABLA_PRECIOS_LISTBOX[[#This Row],[Código]],TABLA_PRECIOS[#All],10)</f>
        <v>0</v>
      </c>
    </row>
    <row r="242" spans="1:7" ht="12" customHeight="1" x14ac:dyDescent="0.3">
      <c r="A242" s="4">
        <v>1525</v>
      </c>
      <c r="B242" s="6" t="str">
        <f>VLOOKUP(TABLA_PRECIOS_LISTBOX[Código],LISTADO_PRODUCTOS[#All],4)</f>
        <v xml:space="preserve">Resaltador Maped FLUO </v>
      </c>
      <c r="C242" s="6" t="str">
        <f>VLOOKUP(TABLA_PRECIOS_LISTBOX[Código],LISTADO_PRODUCTOS[#All],5)</f>
        <v>N/A</v>
      </c>
      <c r="D242" s="13">
        <f>VLOOKUP(TABLA_PRECIOS_LISTBOX[[#This Row],[Código]],TABLA_PRECIOS[#All],6)</f>
        <v>1</v>
      </c>
      <c r="E242" s="28">
        <f>VLOOKUP(TABLA_PRECIOS_LISTBOX[[#This Row],[Código]],TABLA_PRECIOS[#All],7)</f>
        <v>1</v>
      </c>
      <c r="F242" s="32">
        <f>VLOOKUP(TABLA_PRECIOS_LISTBOX[[#This Row],[Código]],TABLA_PRECIOS[#All],8)</f>
        <v>1</v>
      </c>
      <c r="G242" s="9">
        <f>VLOOKUP(TABLA_PRECIOS_LISTBOX[[#This Row],[Código]],TABLA_PRECIOS[#All],10)</f>
        <v>0</v>
      </c>
    </row>
    <row r="243" spans="1:7" ht="12" customHeight="1" x14ac:dyDescent="0.3">
      <c r="A243" s="4">
        <v>1532</v>
      </c>
      <c r="B243" s="6" t="str">
        <f>VLOOKUP(TABLA_PRECIOS_LISTBOX[Código],LISTADO_PRODUCTOS[#All],4)</f>
        <v>Carpeta Rivadavia Nº3 con repuesto x96h ray y 48h cuad y separadores</v>
      </c>
      <c r="C243" s="6" t="str">
        <f>VLOOKUP(TABLA_PRECIOS_LISTBOX[Código],LISTADO_PRODUCTOS[#All],5)</f>
        <v>N/A</v>
      </c>
      <c r="D243" s="13">
        <f>VLOOKUP(TABLA_PRECIOS_LISTBOX[[#This Row],[Código]],TABLA_PRECIOS[#All],6)</f>
        <v>1</v>
      </c>
      <c r="E243" s="28">
        <f>VLOOKUP(TABLA_PRECIOS_LISTBOX[[#This Row],[Código]],TABLA_PRECIOS[#All],7)</f>
        <v>1</v>
      </c>
      <c r="F243" s="32">
        <f>VLOOKUP(TABLA_PRECIOS_LISTBOX[[#This Row],[Código]],TABLA_PRECIOS[#All],8)</f>
        <v>1</v>
      </c>
      <c r="G243" s="9">
        <f>VLOOKUP(TABLA_PRECIOS_LISTBOX[[#This Row],[Código]],TABLA_PRECIOS[#All],10)</f>
        <v>0</v>
      </c>
    </row>
    <row r="244" spans="1:7" ht="12" customHeight="1" x14ac:dyDescent="0.3">
      <c r="A244" s="4">
        <v>1533</v>
      </c>
      <c r="B244" s="6" t="str">
        <f>VLOOKUP(TABLA_PRECIOS_LISTBOX[Código],LISTADO_PRODUCTOS[#All],4)</f>
        <v>Marcador Trabí Mega Pinturon x 10</v>
      </c>
      <c r="C244" s="6" t="str">
        <f>VLOOKUP(TABLA_PRECIOS_LISTBOX[Código],LISTADO_PRODUCTOS[#All],5)</f>
        <v>N/A</v>
      </c>
      <c r="D244" s="13">
        <f>VLOOKUP(TABLA_PRECIOS_LISTBOX[[#This Row],[Código]],TABLA_PRECIOS[#All],6)</f>
        <v>1</v>
      </c>
      <c r="E244" s="28">
        <f>VLOOKUP(TABLA_PRECIOS_LISTBOX[[#This Row],[Código]],TABLA_PRECIOS[#All],7)</f>
        <v>1</v>
      </c>
      <c r="F244" s="32">
        <f>VLOOKUP(TABLA_PRECIOS_LISTBOX[[#This Row],[Código]],TABLA_PRECIOS[#All],8)</f>
        <v>1</v>
      </c>
      <c r="G244" s="9">
        <f>VLOOKUP(TABLA_PRECIOS_LISTBOX[[#This Row],[Código]],TABLA_PRECIOS[#All],10)</f>
        <v>0</v>
      </c>
    </row>
    <row r="245" spans="1:7" ht="12" customHeight="1" x14ac:dyDescent="0.3">
      <c r="A245" s="4">
        <v>1534</v>
      </c>
      <c r="B245" s="6" t="str">
        <f>VLOOKUP(TABLA_PRECIOS_LISTBOX[Código],LISTADO_PRODUCTOS[#All],4)</f>
        <v>MarcadorPelikan Colorella Star Jumbo x8u</v>
      </c>
      <c r="C245" s="6" t="str">
        <f>VLOOKUP(TABLA_PRECIOS_LISTBOX[Código],LISTADO_PRODUCTOS[#All],5)</f>
        <v>N/A</v>
      </c>
      <c r="D245" s="13">
        <f>VLOOKUP(TABLA_PRECIOS_LISTBOX[[#This Row],[Código]],TABLA_PRECIOS[#All],6)</f>
        <v>1</v>
      </c>
      <c r="E245" s="28">
        <f>VLOOKUP(TABLA_PRECIOS_LISTBOX[[#This Row],[Código]],TABLA_PRECIOS[#All],7)</f>
        <v>1</v>
      </c>
      <c r="F245" s="32">
        <f>VLOOKUP(TABLA_PRECIOS_LISTBOX[[#This Row],[Código]],TABLA_PRECIOS[#All],8)</f>
        <v>1</v>
      </c>
      <c r="G245" s="9">
        <f>VLOOKUP(TABLA_PRECIOS_LISTBOX[[#This Row],[Código]],TABLA_PRECIOS[#All],10)</f>
        <v>0</v>
      </c>
    </row>
    <row r="246" spans="1:7" ht="12" customHeight="1" x14ac:dyDescent="0.3">
      <c r="A246" s="4">
        <v>1535</v>
      </c>
      <c r="B246" s="6" t="str">
        <f>VLOOKUP(TABLA_PRECIOS_LISTBOX[Código],LISTADO_PRODUCTOS[#All],4)</f>
        <v>Marcador Pizzini Mio x 10 - 7793198801001</v>
      </c>
      <c r="C246" s="6" t="str">
        <f>VLOOKUP(TABLA_PRECIOS_LISTBOX[Código],LISTADO_PRODUCTOS[#All],5)</f>
        <v>N/A</v>
      </c>
      <c r="D246" s="13">
        <f>VLOOKUP(TABLA_PRECIOS_LISTBOX[[#This Row],[Código]],TABLA_PRECIOS[#All],6)</f>
        <v>1</v>
      </c>
      <c r="E246" s="28">
        <f>VLOOKUP(TABLA_PRECIOS_LISTBOX[[#This Row],[Código]],TABLA_PRECIOS[#All],7)</f>
        <v>1</v>
      </c>
      <c r="F246" s="32">
        <f>VLOOKUP(TABLA_PRECIOS_LISTBOX[[#This Row],[Código]],TABLA_PRECIOS[#All],8)</f>
        <v>1</v>
      </c>
      <c r="G246" s="9">
        <f>VLOOKUP(TABLA_PRECIOS_LISTBOX[[#This Row],[Código]],TABLA_PRECIOS[#All],10)</f>
        <v>0</v>
      </c>
    </row>
    <row r="247" spans="1:7" ht="12" customHeight="1" x14ac:dyDescent="0.3">
      <c r="A247" s="4">
        <v>1536</v>
      </c>
      <c r="B247" s="6" t="str">
        <f>VLOOKUP(TABLA_PRECIOS_LISTBOX[Código],LISTADO_PRODUCTOS[#All],4)</f>
        <v>Rompecabezas de madera</v>
      </c>
      <c r="C247" s="6" t="str">
        <f>VLOOKUP(TABLA_PRECIOS_LISTBOX[Código],LISTADO_PRODUCTOS[#All],5)</f>
        <v>N/A</v>
      </c>
      <c r="D247" s="13">
        <f>VLOOKUP(TABLA_PRECIOS_LISTBOX[[#This Row],[Código]],TABLA_PRECIOS[#All],6)</f>
        <v>1</v>
      </c>
      <c r="E247" s="28">
        <f>VLOOKUP(TABLA_PRECIOS_LISTBOX[[#This Row],[Código]],TABLA_PRECIOS[#All],7)</f>
        <v>1</v>
      </c>
      <c r="F247" s="32">
        <f>VLOOKUP(TABLA_PRECIOS_LISTBOX[[#This Row],[Código]],TABLA_PRECIOS[#All],8)</f>
        <v>1</v>
      </c>
      <c r="G247" s="9">
        <f>VLOOKUP(TABLA_PRECIOS_LISTBOX[[#This Row],[Código]],TABLA_PRECIOS[#All],10)</f>
        <v>0</v>
      </c>
    </row>
    <row r="248" spans="1:7" ht="12" customHeight="1" x14ac:dyDescent="0.3">
      <c r="A248" s="4">
        <v>1538</v>
      </c>
      <c r="B248" s="6" t="str">
        <f>VLOOKUP(TABLA_PRECIOS_LISTBOX[Código],LISTADO_PRODUCTOS[#All],4)</f>
        <v>Block Triunfante Blanco N°6</v>
      </c>
      <c r="C248" s="6" t="str">
        <f>VLOOKUP(TABLA_PRECIOS_LISTBOX[Código],LISTADO_PRODUCTOS[#All],5)</f>
        <v>N/A</v>
      </c>
      <c r="D248" s="13">
        <f>VLOOKUP(TABLA_PRECIOS_LISTBOX[[#This Row],[Código]],TABLA_PRECIOS[#All],6)</f>
        <v>1</v>
      </c>
      <c r="E248" s="28">
        <f>VLOOKUP(TABLA_PRECIOS_LISTBOX[[#This Row],[Código]],TABLA_PRECIOS[#All],7)</f>
        <v>1</v>
      </c>
      <c r="F248" s="32">
        <f>VLOOKUP(TABLA_PRECIOS_LISTBOX[[#This Row],[Código]],TABLA_PRECIOS[#All],8)</f>
        <v>1</v>
      </c>
      <c r="G248" s="9">
        <f>VLOOKUP(TABLA_PRECIOS_LISTBOX[[#This Row],[Código]],TABLA_PRECIOS[#All],10)</f>
        <v>0</v>
      </c>
    </row>
    <row r="249" spans="1:7" ht="12" customHeight="1" x14ac:dyDescent="0.3">
      <c r="A249" s="4">
        <v>1541</v>
      </c>
      <c r="B249" s="6" t="str">
        <f>VLOOKUP(TABLA_PRECIOS_LISTBOX[Código],LISTADO_PRODUCTOS[#All],4)</f>
        <v>Cuaderno de caligrafia Laprida T/Flex</v>
      </c>
      <c r="C249" s="6" t="str">
        <f>VLOOKUP(TABLA_PRECIOS_LISTBOX[Código],LISTADO_PRODUCTOS[#All],5)</f>
        <v>N/A</v>
      </c>
      <c r="D249" s="13">
        <f>VLOOKUP(TABLA_PRECIOS_LISTBOX[[#This Row],[Código]],TABLA_PRECIOS[#All],6)</f>
        <v>1</v>
      </c>
      <c r="E249" s="28">
        <f>VLOOKUP(TABLA_PRECIOS_LISTBOX[[#This Row],[Código]],TABLA_PRECIOS[#All],7)</f>
        <v>1</v>
      </c>
      <c r="F249" s="32">
        <f>VLOOKUP(TABLA_PRECIOS_LISTBOX[[#This Row],[Código]],TABLA_PRECIOS[#All],8)</f>
        <v>1</v>
      </c>
      <c r="G249" s="9">
        <f>VLOOKUP(TABLA_PRECIOS_LISTBOX[[#This Row],[Código]],TABLA_PRECIOS[#All],10)</f>
        <v>0</v>
      </c>
    </row>
    <row r="250" spans="1:7" ht="12" customHeight="1" x14ac:dyDescent="0.3">
      <c r="A250" s="4">
        <v>1544</v>
      </c>
      <c r="B250" s="6" t="str">
        <f>VLOOKUP(TABLA_PRECIOS_LISTBOX[Código],LISTADO_PRODUCTOS[#All],4)</f>
        <v>Cuaderno colegial fantasia x 60h</v>
      </c>
      <c r="C250" s="6" t="str">
        <f>VLOOKUP(TABLA_PRECIOS_LISTBOX[Código],LISTADO_PRODUCTOS[#All],5)</f>
        <v>N/A</v>
      </c>
      <c r="D250" s="13">
        <f>VLOOKUP(TABLA_PRECIOS_LISTBOX[[#This Row],[Código]],TABLA_PRECIOS[#All],6)</f>
        <v>1</v>
      </c>
      <c r="E250" s="28">
        <f>VLOOKUP(TABLA_PRECIOS_LISTBOX[[#This Row],[Código]],TABLA_PRECIOS[#All],7)</f>
        <v>1</v>
      </c>
      <c r="F250" s="32">
        <f>VLOOKUP(TABLA_PRECIOS_LISTBOX[[#This Row],[Código]],TABLA_PRECIOS[#All],8)</f>
        <v>1</v>
      </c>
      <c r="G250" s="9">
        <f>VLOOKUP(TABLA_PRECIOS_LISTBOX[[#This Row],[Código]],TABLA_PRECIOS[#All],10)</f>
        <v>0</v>
      </c>
    </row>
    <row r="251" spans="1:7" ht="12" customHeight="1" x14ac:dyDescent="0.3">
      <c r="A251" s="4">
        <v>1545</v>
      </c>
      <c r="B251" s="6" t="str">
        <f>VLOOKUP(TABLA_PRECIOS_LISTBOX[Código],LISTADO_PRODUCTOS[#All],4)</f>
        <v>Bandera Argentina 90x150 S/sol</v>
      </c>
      <c r="C251" s="6" t="str">
        <f>VLOOKUP(TABLA_PRECIOS_LISTBOX[Código],LISTADO_PRODUCTOS[#All],5)</f>
        <v>N/A</v>
      </c>
      <c r="D251" s="13">
        <f>VLOOKUP(TABLA_PRECIOS_LISTBOX[[#This Row],[Código]],TABLA_PRECIOS[#All],6)</f>
        <v>1</v>
      </c>
      <c r="E251" s="28">
        <f>VLOOKUP(TABLA_PRECIOS_LISTBOX[[#This Row],[Código]],TABLA_PRECIOS[#All],7)</f>
        <v>1</v>
      </c>
      <c r="F251" s="32">
        <f>VLOOKUP(TABLA_PRECIOS_LISTBOX[[#This Row],[Código]],TABLA_PRECIOS[#All],8)</f>
        <v>1</v>
      </c>
      <c r="G251" s="9">
        <f>VLOOKUP(TABLA_PRECIOS_LISTBOX[[#This Row],[Código]],TABLA_PRECIOS[#All],10)</f>
        <v>0</v>
      </c>
    </row>
    <row r="252" spans="1:7" ht="12" customHeight="1" x14ac:dyDescent="0.3">
      <c r="A252" s="4">
        <v>1546</v>
      </c>
      <c r="B252" s="6" t="str">
        <f>VLOOKUP(TABLA_PRECIOS_LISTBOX[Código],LISTADO_PRODUCTOS[#All],4)</f>
        <v>Bandera Argentina 50x100 S/sol</v>
      </c>
      <c r="C252" s="6" t="str">
        <f>VLOOKUP(TABLA_PRECIOS_LISTBOX[Código],LISTADO_PRODUCTOS[#All],5)</f>
        <v>N/A</v>
      </c>
      <c r="D252" s="13">
        <f>VLOOKUP(TABLA_PRECIOS_LISTBOX[[#This Row],[Código]],TABLA_PRECIOS[#All],6)</f>
        <v>1</v>
      </c>
      <c r="E252" s="28">
        <f>VLOOKUP(TABLA_PRECIOS_LISTBOX[[#This Row],[Código]],TABLA_PRECIOS[#All],7)</f>
        <v>1</v>
      </c>
      <c r="F252" s="32">
        <f>VLOOKUP(TABLA_PRECIOS_LISTBOX[[#This Row],[Código]],TABLA_PRECIOS[#All],8)</f>
        <v>1</v>
      </c>
      <c r="G252" s="9">
        <f>VLOOKUP(TABLA_PRECIOS_LISTBOX[[#This Row],[Código]],TABLA_PRECIOS[#All],10)</f>
        <v>0</v>
      </c>
    </row>
    <row r="253" spans="1:7" ht="12" customHeight="1" x14ac:dyDescent="0.3">
      <c r="A253" s="4">
        <v>1548</v>
      </c>
      <c r="B253" s="6" t="str">
        <f>VLOOKUP(TABLA_PRECIOS_LISTBOX[Código],LISTADO_PRODUCTOS[#All],4)</f>
        <v>Block Dibujo Nº6 Triunfante/Luma Color</v>
      </c>
      <c r="C253" s="6" t="str">
        <f>VLOOKUP(TABLA_PRECIOS_LISTBOX[Código],LISTADO_PRODUCTOS[#All],5)</f>
        <v>N/A</v>
      </c>
      <c r="D253" s="13">
        <f>VLOOKUP(TABLA_PRECIOS_LISTBOX[[#This Row],[Código]],TABLA_PRECIOS[#All],6)</f>
        <v>1</v>
      </c>
      <c r="E253" s="28">
        <f>VLOOKUP(TABLA_PRECIOS_LISTBOX[[#This Row],[Código]],TABLA_PRECIOS[#All],7)</f>
        <v>1</v>
      </c>
      <c r="F253" s="32">
        <f>VLOOKUP(TABLA_PRECIOS_LISTBOX[[#This Row],[Código]],TABLA_PRECIOS[#All],8)</f>
        <v>1</v>
      </c>
      <c r="G253" s="9">
        <f>VLOOKUP(TABLA_PRECIOS_LISTBOX[[#This Row],[Código]],TABLA_PRECIOS[#All],10)</f>
        <v>0</v>
      </c>
    </row>
    <row r="254" spans="1:7" ht="12" customHeight="1" x14ac:dyDescent="0.3">
      <c r="A254" s="4">
        <v>1553</v>
      </c>
      <c r="B254" s="6" t="str">
        <f>VLOOKUP(TABLA_PRECIOS_LISTBOX[Código],LISTADO_PRODUCTOS[#All],4)</f>
        <v>Fibron Trabi permanente 411</v>
      </c>
      <c r="C254" s="6" t="str">
        <f>VLOOKUP(TABLA_PRECIOS_LISTBOX[Código],LISTADO_PRODUCTOS[#All],5)</f>
        <v>N/A</v>
      </c>
      <c r="D254" s="13">
        <f>VLOOKUP(TABLA_PRECIOS_LISTBOX[[#This Row],[Código]],TABLA_PRECIOS[#All],6)</f>
        <v>1</v>
      </c>
      <c r="E254" s="28">
        <f>VLOOKUP(TABLA_PRECIOS_LISTBOX[[#This Row],[Código]],TABLA_PRECIOS[#All],7)</f>
        <v>1</v>
      </c>
      <c r="F254" s="32">
        <f>VLOOKUP(TABLA_PRECIOS_LISTBOX[[#This Row],[Código]],TABLA_PRECIOS[#All],8)</f>
        <v>1</v>
      </c>
      <c r="G254" s="9">
        <f>VLOOKUP(TABLA_PRECIOS_LISTBOX[[#This Row],[Código]],TABLA_PRECIOS[#All],10)</f>
        <v>0</v>
      </c>
    </row>
    <row r="255" spans="1:7" ht="12" customHeight="1" x14ac:dyDescent="0.3">
      <c r="A255" s="4">
        <v>1556</v>
      </c>
      <c r="B255" s="6" t="str">
        <f>VLOOKUP(TABLA_PRECIOS_LISTBOX[Código],LISTADO_PRODUCTOS[#All],4)</f>
        <v>Block art deco Alfa 20h Nº5</v>
      </c>
      <c r="C255" s="6" t="str">
        <f>VLOOKUP(TABLA_PRECIOS_LISTBOX[Código],LISTADO_PRODUCTOS[#All],5)</f>
        <v>N/A</v>
      </c>
      <c r="D255" s="13">
        <f>VLOOKUP(TABLA_PRECIOS_LISTBOX[[#This Row],[Código]],TABLA_PRECIOS[#All],6)</f>
        <v>1</v>
      </c>
      <c r="E255" s="28">
        <f>VLOOKUP(TABLA_PRECIOS_LISTBOX[[#This Row],[Código]],TABLA_PRECIOS[#All],7)</f>
        <v>1</v>
      </c>
      <c r="F255" s="32">
        <f>VLOOKUP(TABLA_PRECIOS_LISTBOX[[#This Row],[Código]],TABLA_PRECIOS[#All],8)</f>
        <v>1</v>
      </c>
      <c r="G255" s="9">
        <f>VLOOKUP(TABLA_PRECIOS_LISTBOX[[#This Row],[Código]],TABLA_PRECIOS[#All],10)</f>
        <v>0</v>
      </c>
    </row>
    <row r="256" spans="1:7" ht="12" customHeight="1" x14ac:dyDescent="0.3">
      <c r="A256" s="4">
        <v>1557</v>
      </c>
      <c r="B256" s="6" t="str">
        <f>VLOOKUP(TABLA_PRECIOS_LISTBOX[Código],LISTADO_PRODUCTOS[#All],4)</f>
        <v>Regla 50cm PIZZINI PROFESIONAL 173250 - 7793198173252</v>
      </c>
      <c r="C256" s="6" t="str">
        <f>VLOOKUP(TABLA_PRECIOS_LISTBOX[Código],LISTADO_PRODUCTOS[#All],5)</f>
        <v>N/A</v>
      </c>
      <c r="D256" s="13">
        <f>VLOOKUP(TABLA_PRECIOS_LISTBOX[[#This Row],[Código]],TABLA_PRECIOS[#All],6)</f>
        <v>1</v>
      </c>
      <c r="E256" s="28">
        <f>VLOOKUP(TABLA_PRECIOS_LISTBOX[[#This Row],[Código]],TABLA_PRECIOS[#All],7)</f>
        <v>1</v>
      </c>
      <c r="F256" s="32">
        <f>VLOOKUP(TABLA_PRECIOS_LISTBOX[[#This Row],[Código]],TABLA_PRECIOS[#All],8)</f>
        <v>1</v>
      </c>
      <c r="G256" s="9">
        <f>VLOOKUP(TABLA_PRECIOS_LISTBOX[[#This Row],[Código]],TABLA_PRECIOS[#All],10)</f>
        <v>0</v>
      </c>
    </row>
    <row r="257" spans="1:7" ht="12" customHeight="1" x14ac:dyDescent="0.3">
      <c r="A257" s="4">
        <v>1558</v>
      </c>
      <c r="B257" s="6" t="str">
        <f>VLOOKUP(TABLA_PRECIOS_LISTBOX[Código],LISTADO_PRODUCTOS[#All],4)</f>
        <v>Block Dibujo Blanco N°5 Gloria - 103602 - 7791762001154</v>
      </c>
      <c r="C257" s="6" t="str">
        <f>VLOOKUP(TABLA_PRECIOS_LISTBOX[Código],LISTADO_PRODUCTOS[#All],5)</f>
        <v>N/A</v>
      </c>
      <c r="D257" s="13">
        <f>VLOOKUP(TABLA_PRECIOS_LISTBOX[[#This Row],[Código]],TABLA_PRECIOS[#All],6)</f>
        <v>1</v>
      </c>
      <c r="E257" s="28">
        <f>VLOOKUP(TABLA_PRECIOS_LISTBOX[[#This Row],[Código]],TABLA_PRECIOS[#All],7)</f>
        <v>1</v>
      </c>
      <c r="F257" s="32">
        <f>VLOOKUP(TABLA_PRECIOS_LISTBOX[[#This Row],[Código]],TABLA_PRECIOS[#All],8)</f>
        <v>1</v>
      </c>
      <c r="G257" s="9">
        <f>VLOOKUP(TABLA_PRECIOS_LISTBOX[[#This Row],[Código]],TABLA_PRECIOS[#All],10)</f>
        <v>0</v>
      </c>
    </row>
    <row r="258" spans="1:7" ht="12" customHeight="1" x14ac:dyDescent="0.3">
      <c r="A258" s="4">
        <v>1559</v>
      </c>
      <c r="B258" s="6" t="str">
        <f>VLOOKUP(TABLA_PRECIOS_LISTBOX[Código],LISTADO_PRODUCTOS[#All],4)</f>
        <v>Lapiz de Graduacion Staedtler</v>
      </c>
      <c r="C258" s="6" t="str">
        <f>VLOOKUP(TABLA_PRECIOS_LISTBOX[Código],LISTADO_PRODUCTOS[#All],5)</f>
        <v>N/A</v>
      </c>
      <c r="D258" s="13">
        <f>VLOOKUP(TABLA_PRECIOS_LISTBOX[[#This Row],[Código]],TABLA_PRECIOS[#All],6)</f>
        <v>1</v>
      </c>
      <c r="E258" s="28">
        <f>VLOOKUP(TABLA_PRECIOS_LISTBOX[[#This Row],[Código]],TABLA_PRECIOS[#All],7)</f>
        <v>1</v>
      </c>
      <c r="F258" s="32">
        <f>VLOOKUP(TABLA_PRECIOS_LISTBOX[[#This Row],[Código]],TABLA_PRECIOS[#All],8)</f>
        <v>1</v>
      </c>
      <c r="G258" s="9">
        <f>VLOOKUP(TABLA_PRECIOS_LISTBOX[[#This Row],[Código]],TABLA_PRECIOS[#All],10)</f>
        <v>0</v>
      </c>
    </row>
    <row r="259" spans="1:7" ht="12" customHeight="1" x14ac:dyDescent="0.3">
      <c r="A259" s="4">
        <v>1560</v>
      </c>
      <c r="B259" s="6" t="str">
        <f>VLOOKUP(TABLA_PRECIOS_LISTBOX[Código],LISTADO_PRODUCTOS[#All],4)</f>
        <v>Lapiz de Graduacion Faber Castell</v>
      </c>
      <c r="C259" s="6" t="str">
        <f>VLOOKUP(TABLA_PRECIOS_LISTBOX[Código],LISTADO_PRODUCTOS[#All],5)</f>
        <v>N/A</v>
      </c>
      <c r="D259" s="13">
        <f>VLOOKUP(TABLA_PRECIOS_LISTBOX[[#This Row],[Código]],TABLA_PRECIOS[#All],6)</f>
        <v>1</v>
      </c>
      <c r="E259" s="28">
        <f>VLOOKUP(TABLA_PRECIOS_LISTBOX[[#This Row],[Código]],TABLA_PRECIOS[#All],7)</f>
        <v>1</v>
      </c>
      <c r="F259" s="32">
        <f>VLOOKUP(TABLA_PRECIOS_LISTBOX[[#This Row],[Código]],TABLA_PRECIOS[#All],8)</f>
        <v>1</v>
      </c>
      <c r="G259" s="9">
        <f>VLOOKUP(TABLA_PRECIOS_LISTBOX[[#This Row],[Código]],TABLA_PRECIOS[#All],10)</f>
        <v>0</v>
      </c>
    </row>
    <row r="260" spans="1:7" ht="12" customHeight="1" x14ac:dyDescent="0.3">
      <c r="A260" s="4">
        <v>1561</v>
      </c>
      <c r="B260" s="6" t="str">
        <f>VLOOKUP(TABLA_PRECIOS_LISTBOX[Código],LISTADO_PRODUCTOS[#All],4)</f>
        <v>Tabla periodica para carpeta</v>
      </c>
      <c r="C260" s="6" t="str">
        <f>VLOOKUP(TABLA_PRECIOS_LISTBOX[Código],LISTADO_PRODUCTOS[#All],5)</f>
        <v>N/A</v>
      </c>
      <c r="D260" s="13">
        <f>VLOOKUP(TABLA_PRECIOS_LISTBOX[[#This Row],[Código]],TABLA_PRECIOS[#All],6)</f>
        <v>1</v>
      </c>
      <c r="E260" s="28">
        <f>VLOOKUP(TABLA_PRECIOS_LISTBOX[[#This Row],[Código]],TABLA_PRECIOS[#All],7)</f>
        <v>1</v>
      </c>
      <c r="F260" s="32">
        <f>VLOOKUP(TABLA_PRECIOS_LISTBOX[[#This Row],[Código]],TABLA_PRECIOS[#All],8)</f>
        <v>1</v>
      </c>
      <c r="G260" s="9">
        <f>VLOOKUP(TABLA_PRECIOS_LISTBOX[[#This Row],[Código]],TABLA_PRECIOS[#All],10)</f>
        <v>0</v>
      </c>
    </row>
    <row r="261" spans="1:7" ht="12" customHeight="1" x14ac:dyDescent="0.3">
      <c r="A261" s="4">
        <v>1563</v>
      </c>
      <c r="B261" s="6" t="str">
        <f>VLOOKUP(TABLA_PRECIOS_LISTBOX[Código],LISTADO_PRODUCTOS[#All],4)</f>
        <v>Block Dibujo Color N°5 Gloria - 103603 - 7791762001161</v>
      </c>
      <c r="C261" s="6" t="str">
        <f>VLOOKUP(TABLA_PRECIOS_LISTBOX[Código],LISTADO_PRODUCTOS[#All],5)</f>
        <v>N/A</v>
      </c>
      <c r="D261" s="13">
        <f>VLOOKUP(TABLA_PRECIOS_LISTBOX[[#This Row],[Código]],TABLA_PRECIOS[#All],6)</f>
        <v>1</v>
      </c>
      <c r="E261" s="28">
        <f>VLOOKUP(TABLA_PRECIOS_LISTBOX[[#This Row],[Código]],TABLA_PRECIOS[#All],7)</f>
        <v>1</v>
      </c>
      <c r="F261" s="32">
        <f>VLOOKUP(TABLA_PRECIOS_LISTBOX[[#This Row],[Código]],TABLA_PRECIOS[#All],8)</f>
        <v>1</v>
      </c>
      <c r="G261" s="9">
        <f>VLOOKUP(TABLA_PRECIOS_LISTBOX[[#This Row],[Código]],TABLA_PRECIOS[#All],10)</f>
        <v>0</v>
      </c>
    </row>
    <row r="262" spans="1:7" ht="12" customHeight="1" x14ac:dyDescent="0.3">
      <c r="A262" s="4">
        <v>1565</v>
      </c>
      <c r="B262" s="6" t="str">
        <f>VLOOKUP(TABLA_PRECIOS_LISTBOX[Código],LISTADO_PRODUCTOS[#All],4)</f>
        <v>Sacapuntas Maped Ñoki</v>
      </c>
      <c r="C262" s="6" t="str">
        <f>VLOOKUP(TABLA_PRECIOS_LISTBOX[Código],LISTADO_PRODUCTOS[#All],5)</f>
        <v>N/A</v>
      </c>
      <c r="D262" s="13">
        <f>VLOOKUP(TABLA_PRECIOS_LISTBOX[[#This Row],[Código]],TABLA_PRECIOS[#All],6)</f>
        <v>1</v>
      </c>
      <c r="E262" s="28">
        <f>VLOOKUP(TABLA_PRECIOS_LISTBOX[[#This Row],[Código]],TABLA_PRECIOS[#All],7)</f>
        <v>1</v>
      </c>
      <c r="F262" s="32">
        <f>VLOOKUP(TABLA_PRECIOS_LISTBOX[[#This Row],[Código]],TABLA_PRECIOS[#All],8)</f>
        <v>1</v>
      </c>
      <c r="G262" s="9">
        <f>VLOOKUP(TABLA_PRECIOS_LISTBOX[[#This Row],[Código]],TABLA_PRECIOS[#All],10)</f>
        <v>0</v>
      </c>
    </row>
    <row r="263" spans="1:7" ht="12" customHeight="1" x14ac:dyDescent="0.3">
      <c r="A263" s="4">
        <v>1569</v>
      </c>
      <c r="B263" s="6" t="str">
        <f>VLOOKUP(TABLA_PRECIOS_LISTBOX[Código],LISTADO_PRODUCTOS[#All],4)</f>
        <v xml:space="preserve">Aro OTA Sifap 35mm c/u </v>
      </c>
      <c r="C263" s="6" t="str">
        <f>VLOOKUP(TABLA_PRECIOS_LISTBOX[Código],LISTADO_PRODUCTOS[#All],5)</f>
        <v>N/A</v>
      </c>
      <c r="D263" s="13">
        <f>VLOOKUP(TABLA_PRECIOS_LISTBOX[[#This Row],[Código]],TABLA_PRECIOS[#All],6)</f>
        <v>1</v>
      </c>
      <c r="E263" s="28">
        <f>VLOOKUP(TABLA_PRECIOS_LISTBOX[[#This Row],[Código]],TABLA_PRECIOS[#All],7)</f>
        <v>1</v>
      </c>
      <c r="F263" s="32">
        <f>VLOOKUP(TABLA_PRECIOS_LISTBOX[[#This Row],[Código]],TABLA_PRECIOS[#All],8)</f>
        <v>1</v>
      </c>
      <c r="G263" s="9">
        <f>VLOOKUP(TABLA_PRECIOS_LISTBOX[[#This Row],[Código]],TABLA_PRECIOS[#All],10)</f>
        <v>0</v>
      </c>
    </row>
    <row r="264" spans="1:7" ht="12" customHeight="1" x14ac:dyDescent="0.3">
      <c r="A264" s="4">
        <v>1570</v>
      </c>
      <c r="B264" s="6" t="str">
        <f>VLOOKUP(TABLA_PRECIOS_LISTBOX[Código],LISTADO_PRODUCTOS[#All],4)</f>
        <v>Aro OTA Sifap 40mm c/u</v>
      </c>
      <c r="C264" s="6" t="str">
        <f>VLOOKUP(TABLA_PRECIOS_LISTBOX[Código],LISTADO_PRODUCTOS[#All],5)</f>
        <v>N/A</v>
      </c>
      <c r="D264" s="13">
        <f>VLOOKUP(TABLA_PRECIOS_LISTBOX[[#This Row],[Código]],TABLA_PRECIOS[#All],6)</f>
        <v>1</v>
      </c>
      <c r="E264" s="28">
        <f>VLOOKUP(TABLA_PRECIOS_LISTBOX[[#This Row],[Código]],TABLA_PRECIOS[#All],7)</f>
        <v>1</v>
      </c>
      <c r="F264" s="32">
        <f>VLOOKUP(TABLA_PRECIOS_LISTBOX[[#This Row],[Código]],TABLA_PRECIOS[#All],8)</f>
        <v>1</v>
      </c>
      <c r="G264" s="9">
        <f>VLOOKUP(TABLA_PRECIOS_LISTBOX[[#This Row],[Código]],TABLA_PRECIOS[#All],10)</f>
        <v>0</v>
      </c>
    </row>
    <row r="265" spans="1:7" ht="12" customHeight="1" x14ac:dyDescent="0.3">
      <c r="A265" s="4">
        <v>1571</v>
      </c>
      <c r="B265" s="6" t="str">
        <f>VLOOKUP(TABLA_PRECIOS_LISTBOX[Código],LISTADO_PRODUCTOS[#All],4)</f>
        <v xml:space="preserve">Aro OTA Sifap 50mm c/u </v>
      </c>
      <c r="C265" s="6" t="str">
        <f>VLOOKUP(TABLA_PRECIOS_LISTBOX[Código],LISTADO_PRODUCTOS[#All],5)</f>
        <v>N/A</v>
      </c>
      <c r="D265" s="13">
        <f>VLOOKUP(TABLA_PRECIOS_LISTBOX[[#This Row],[Código]],TABLA_PRECIOS[#All],6)</f>
        <v>1</v>
      </c>
      <c r="E265" s="28">
        <f>VLOOKUP(TABLA_PRECIOS_LISTBOX[[#This Row],[Código]],TABLA_PRECIOS[#All],7)</f>
        <v>1</v>
      </c>
      <c r="F265" s="32">
        <f>VLOOKUP(TABLA_PRECIOS_LISTBOX[[#This Row],[Código]],TABLA_PRECIOS[#All],8)</f>
        <v>1</v>
      </c>
      <c r="G265" s="9">
        <f>VLOOKUP(TABLA_PRECIOS_LISTBOX[[#This Row],[Código]],TABLA_PRECIOS[#All],10)</f>
        <v>0</v>
      </c>
    </row>
    <row r="266" spans="1:7" ht="12" customHeight="1" x14ac:dyDescent="0.3">
      <c r="A266" s="4">
        <v>1578</v>
      </c>
      <c r="B266" s="6" t="str">
        <f>VLOOKUP(TABLA_PRECIOS_LISTBOX[Código],LISTADO_PRODUCTOS[#All],4)</f>
        <v>Tijera simball escolar Pop 12cm</v>
      </c>
      <c r="C266" s="6" t="str">
        <f>VLOOKUP(TABLA_PRECIOS_LISTBOX[Código],LISTADO_PRODUCTOS[#All],5)</f>
        <v>N/A</v>
      </c>
      <c r="D266" s="13">
        <f>VLOOKUP(TABLA_PRECIOS_LISTBOX[[#This Row],[Código]],TABLA_PRECIOS[#All],6)</f>
        <v>1</v>
      </c>
      <c r="E266" s="28">
        <f>VLOOKUP(TABLA_PRECIOS_LISTBOX[[#This Row],[Código]],TABLA_PRECIOS[#All],7)</f>
        <v>1</v>
      </c>
      <c r="F266" s="32">
        <f>VLOOKUP(TABLA_PRECIOS_LISTBOX[[#This Row],[Código]],TABLA_PRECIOS[#All],8)</f>
        <v>1</v>
      </c>
      <c r="G266" s="9">
        <f>VLOOKUP(TABLA_PRECIOS_LISTBOX[[#This Row],[Código]],TABLA_PRECIOS[#All],10)</f>
        <v>0</v>
      </c>
    </row>
    <row r="267" spans="1:7" ht="12" customHeight="1" x14ac:dyDescent="0.3">
      <c r="A267" s="4">
        <v>1579</v>
      </c>
      <c r="B267" s="6" t="str">
        <f>VLOOKUP(TABLA_PRECIOS_LISTBOX[Código],LISTADO_PRODUCTOS[#All],4)</f>
        <v>Compas Maped Portalapiz</v>
      </c>
      <c r="C267" s="6" t="str">
        <f>VLOOKUP(TABLA_PRECIOS_LISTBOX[Código],LISTADO_PRODUCTOS[#All],5)</f>
        <v>N/A</v>
      </c>
      <c r="D267" s="13">
        <f>VLOOKUP(TABLA_PRECIOS_LISTBOX[[#This Row],[Código]],TABLA_PRECIOS[#All],6)</f>
        <v>1</v>
      </c>
      <c r="E267" s="28">
        <f>VLOOKUP(TABLA_PRECIOS_LISTBOX[[#This Row],[Código]],TABLA_PRECIOS[#All],7)</f>
        <v>1</v>
      </c>
      <c r="F267" s="32">
        <f>VLOOKUP(TABLA_PRECIOS_LISTBOX[[#This Row],[Código]],TABLA_PRECIOS[#All],8)</f>
        <v>1</v>
      </c>
      <c r="G267" s="9">
        <f>VLOOKUP(TABLA_PRECIOS_LISTBOX[[#This Row],[Código]],TABLA_PRECIOS[#All],10)</f>
        <v>0</v>
      </c>
    </row>
    <row r="268" spans="1:7" ht="12" customHeight="1" x14ac:dyDescent="0.3">
      <c r="A268" s="4">
        <v>1580</v>
      </c>
      <c r="B268" s="6" t="str">
        <f>VLOOKUP(TABLA_PRECIOS_LISTBOX[Código],LISTADO_PRODUCTOS[#All],4)</f>
        <v>Colores Faber Castell x12 cortos</v>
      </c>
      <c r="C268" s="6" t="str">
        <f>VLOOKUP(TABLA_PRECIOS_LISTBOX[Código],LISTADO_PRODUCTOS[#All],5)</f>
        <v>N/A</v>
      </c>
      <c r="D268" s="13">
        <f>VLOOKUP(TABLA_PRECIOS_LISTBOX[[#This Row],[Código]],TABLA_PRECIOS[#All],6)</f>
        <v>1</v>
      </c>
      <c r="E268" s="28">
        <f>VLOOKUP(TABLA_PRECIOS_LISTBOX[[#This Row],[Código]],TABLA_PRECIOS[#All],7)</f>
        <v>1</v>
      </c>
      <c r="F268" s="32">
        <f>VLOOKUP(TABLA_PRECIOS_LISTBOX[[#This Row],[Código]],TABLA_PRECIOS[#All],8)</f>
        <v>1</v>
      </c>
      <c r="G268" s="9">
        <f>VLOOKUP(TABLA_PRECIOS_LISTBOX[[#This Row],[Código]],TABLA_PRECIOS[#All],10)</f>
        <v>0</v>
      </c>
    </row>
    <row r="269" spans="1:7" ht="12" customHeight="1" x14ac:dyDescent="0.3">
      <c r="A269" s="4">
        <v>1581</v>
      </c>
      <c r="B269" s="6" t="str">
        <f>VLOOKUP(TABLA_PRECIOS_LISTBOX[Código],LISTADO_PRODUCTOS[#All],4)</f>
        <v>Roller Simball Pöwer Gel Mix up x 10u 5 Gel + 5 Glitter</v>
      </c>
      <c r="C269" s="6" t="str">
        <f>VLOOKUP(TABLA_PRECIOS_LISTBOX[Código],LISTADO_PRODUCTOS[#All],5)</f>
        <v>N/A</v>
      </c>
      <c r="D269" s="13">
        <f>VLOOKUP(TABLA_PRECIOS_LISTBOX[[#This Row],[Código]],TABLA_PRECIOS[#All],6)</f>
        <v>1</v>
      </c>
      <c r="E269" s="28">
        <f>VLOOKUP(TABLA_PRECIOS_LISTBOX[[#This Row],[Código]],TABLA_PRECIOS[#All],7)</f>
        <v>1</v>
      </c>
      <c r="F269" s="32">
        <f>VLOOKUP(TABLA_PRECIOS_LISTBOX[[#This Row],[Código]],TABLA_PRECIOS[#All],8)</f>
        <v>1</v>
      </c>
      <c r="G269" s="9">
        <f>VLOOKUP(TABLA_PRECIOS_LISTBOX[[#This Row],[Código]],TABLA_PRECIOS[#All],10)</f>
        <v>0</v>
      </c>
    </row>
    <row r="270" spans="1:7" ht="12" customHeight="1" x14ac:dyDescent="0.3">
      <c r="A270" s="4">
        <v>1582</v>
      </c>
      <c r="B270" s="6" t="str">
        <f>VLOOKUP(TABLA_PRECIOS_LISTBOX[Código],LISTADO_PRODUCTOS[#All],4)</f>
        <v>Marcador de Pintura Trabí MarkAll</v>
      </c>
      <c r="C270" s="6" t="str">
        <f>VLOOKUP(TABLA_PRECIOS_LISTBOX[Código],LISTADO_PRODUCTOS[#All],5)</f>
        <v>N/A</v>
      </c>
      <c r="D270" s="13">
        <f>VLOOKUP(TABLA_PRECIOS_LISTBOX[[#This Row],[Código]],TABLA_PRECIOS[#All],6)</f>
        <v>1</v>
      </c>
      <c r="E270" s="28">
        <f>VLOOKUP(TABLA_PRECIOS_LISTBOX[[#This Row],[Código]],TABLA_PRECIOS[#All],7)</f>
        <v>1</v>
      </c>
      <c r="F270" s="32">
        <f>VLOOKUP(TABLA_PRECIOS_LISTBOX[[#This Row],[Código]],TABLA_PRECIOS[#All],8)</f>
        <v>1</v>
      </c>
      <c r="G270" s="9">
        <f>VLOOKUP(TABLA_PRECIOS_LISTBOX[[#This Row],[Código]],TABLA_PRECIOS[#All],10)</f>
        <v>0</v>
      </c>
    </row>
    <row r="271" spans="1:7" ht="12" customHeight="1" x14ac:dyDescent="0.3">
      <c r="A271" s="4">
        <v>1583</v>
      </c>
      <c r="B271" s="6" t="str">
        <f>VLOOKUP(TABLA_PRECIOS_LISTBOX[Código],LISTADO_PRODUCTOS[#All],4)</f>
        <v>Minas OTA para compas</v>
      </c>
      <c r="C271" s="6" t="str">
        <f>VLOOKUP(TABLA_PRECIOS_LISTBOX[Código],LISTADO_PRODUCTOS[#All],5)</f>
        <v>N/A</v>
      </c>
      <c r="D271" s="13">
        <f>VLOOKUP(TABLA_PRECIOS_LISTBOX[[#This Row],[Código]],TABLA_PRECIOS[#All],6)</f>
        <v>1</v>
      </c>
      <c r="E271" s="28">
        <f>VLOOKUP(TABLA_PRECIOS_LISTBOX[[#This Row],[Código]],TABLA_PRECIOS[#All],7)</f>
        <v>1</v>
      </c>
      <c r="F271" s="32">
        <f>VLOOKUP(TABLA_PRECIOS_LISTBOX[[#This Row],[Código]],TABLA_PRECIOS[#All],8)</f>
        <v>1</v>
      </c>
      <c r="G271" s="9">
        <f>VLOOKUP(TABLA_PRECIOS_LISTBOX[[#This Row],[Código]],TABLA_PRECIOS[#All],10)</f>
        <v>0</v>
      </c>
    </row>
    <row r="272" spans="1:7" ht="12" customHeight="1" x14ac:dyDescent="0.3">
      <c r="A272" s="4">
        <v>1584</v>
      </c>
      <c r="B272" s="6" t="str">
        <f>VLOOKUP(TABLA_PRECIOS_LISTBOX[Código],LISTADO_PRODUCTOS[#All],4)</f>
        <v>Tubo portaplano</v>
      </c>
      <c r="C272" s="6" t="str">
        <f>VLOOKUP(TABLA_PRECIOS_LISTBOX[Código],LISTADO_PRODUCTOS[#All],5)</f>
        <v>N/A</v>
      </c>
      <c r="D272" s="13">
        <f>VLOOKUP(TABLA_PRECIOS_LISTBOX[[#This Row],[Código]],TABLA_PRECIOS[#All],6)</f>
        <v>1</v>
      </c>
      <c r="E272" s="28">
        <f>VLOOKUP(TABLA_PRECIOS_LISTBOX[[#This Row],[Código]],TABLA_PRECIOS[#All],7)</f>
        <v>1</v>
      </c>
      <c r="F272" s="32">
        <f>VLOOKUP(TABLA_PRECIOS_LISTBOX[[#This Row],[Código]],TABLA_PRECIOS[#All],8)</f>
        <v>1</v>
      </c>
      <c r="G272" s="9">
        <f>VLOOKUP(TABLA_PRECIOS_LISTBOX[[#This Row],[Código]],TABLA_PRECIOS[#All],10)</f>
        <v>0</v>
      </c>
    </row>
    <row r="273" spans="1:7" ht="12" customHeight="1" x14ac:dyDescent="0.3">
      <c r="A273" s="4">
        <v>1585</v>
      </c>
      <c r="B273" s="6" t="str">
        <f>VLOOKUP(TABLA_PRECIOS_LISTBOX[Código],LISTADO_PRODUCTOS[#All],4)</f>
        <v>Boligrafo Paper mate lex Grip Ultra 1mm Retractil</v>
      </c>
      <c r="C273" s="6" t="str">
        <f>VLOOKUP(TABLA_PRECIOS_LISTBOX[Código],LISTADO_PRODUCTOS[#All],5)</f>
        <v>N/A</v>
      </c>
      <c r="D273" s="13">
        <f>VLOOKUP(TABLA_PRECIOS_LISTBOX[[#This Row],[Código]],TABLA_PRECIOS[#All],6)</f>
        <v>1</v>
      </c>
      <c r="E273" s="28">
        <f>VLOOKUP(TABLA_PRECIOS_LISTBOX[[#This Row],[Código]],TABLA_PRECIOS[#All],7)</f>
        <v>1</v>
      </c>
      <c r="F273" s="32">
        <f>VLOOKUP(TABLA_PRECIOS_LISTBOX[[#This Row],[Código]],TABLA_PRECIOS[#All],8)</f>
        <v>1</v>
      </c>
      <c r="G273" s="9">
        <f>VLOOKUP(TABLA_PRECIOS_LISTBOX[[#This Row],[Código]],TABLA_PRECIOS[#All],10)</f>
        <v>0</v>
      </c>
    </row>
    <row r="274" spans="1:7" ht="12" customHeight="1" x14ac:dyDescent="0.3">
      <c r="A274" s="4">
        <v>1587</v>
      </c>
      <c r="B274" s="6" t="str">
        <f>VLOOKUP(TABLA_PRECIOS_LISTBOX[Código],LISTADO_PRODUCTOS[#All],4)</f>
        <v>Cuaderno Laprida Tapa dura escolar 98h 90gr</v>
      </c>
      <c r="C274" s="6" t="str">
        <f>VLOOKUP(TABLA_PRECIOS_LISTBOX[Código],LISTADO_PRODUCTOS[#All],5)</f>
        <v>N/A</v>
      </c>
      <c r="D274" s="13">
        <f>VLOOKUP(TABLA_PRECIOS_LISTBOX[[#This Row],[Código]],TABLA_PRECIOS[#All],6)</f>
        <v>1</v>
      </c>
      <c r="E274" s="28">
        <f>VLOOKUP(TABLA_PRECIOS_LISTBOX[[#This Row],[Código]],TABLA_PRECIOS[#All],7)</f>
        <v>1</v>
      </c>
      <c r="F274" s="32">
        <f>VLOOKUP(TABLA_PRECIOS_LISTBOX[[#This Row],[Código]],TABLA_PRECIOS[#All],8)</f>
        <v>1</v>
      </c>
      <c r="G274" s="9">
        <f>VLOOKUP(TABLA_PRECIOS_LISTBOX[[#This Row],[Código]],TABLA_PRECIOS[#All],10)</f>
        <v>0</v>
      </c>
    </row>
    <row r="275" spans="1:7" ht="12" customHeight="1" x14ac:dyDescent="0.3">
      <c r="A275" s="4">
        <v>1588</v>
      </c>
      <c r="B275" s="6" t="str">
        <f>VLOOKUP(TABLA_PRECIOS_LISTBOX[Código],LISTADO_PRODUCTOS[#All],4)</f>
        <v>Repuesto Rescolar Rivadavia N°3 Clasico Con Rótulo Hojas Super Gruesas</v>
      </c>
      <c r="C275" s="6" t="str">
        <f>VLOOKUP(TABLA_PRECIOS_LISTBOX[Código],LISTADO_PRODUCTOS[#All],5)</f>
        <v>N/A</v>
      </c>
      <c r="D275" s="13">
        <f>VLOOKUP(TABLA_PRECIOS_LISTBOX[[#This Row],[Código]],TABLA_PRECIOS[#All],6)</f>
        <v>1</v>
      </c>
      <c r="E275" s="28">
        <f>VLOOKUP(TABLA_PRECIOS_LISTBOX[[#This Row],[Código]],TABLA_PRECIOS[#All],7)</f>
        <v>1</v>
      </c>
      <c r="F275" s="32">
        <f>VLOOKUP(TABLA_PRECIOS_LISTBOX[[#This Row],[Código]],TABLA_PRECIOS[#All],8)</f>
        <v>1</v>
      </c>
      <c r="G275" s="9">
        <f>VLOOKUP(TABLA_PRECIOS_LISTBOX[[#This Row],[Código]],TABLA_PRECIOS[#All],10)</f>
        <v>0</v>
      </c>
    </row>
    <row r="276" spans="1:7" ht="12" customHeight="1" x14ac:dyDescent="0.3">
      <c r="A276" s="4">
        <v>1589</v>
      </c>
      <c r="B276" s="6" t="str">
        <f>VLOOKUP(TABLA_PRECIOS_LISTBOX[Código],LISTADO_PRODUCTOS[#All],4)</f>
        <v>Tablero de Dibujo Tecnico 40x50 C/atril 6 POS (7753) Pizzini - 7793198775302</v>
      </c>
      <c r="C276" s="6" t="str">
        <f>VLOOKUP(TABLA_PRECIOS_LISTBOX[Código],LISTADO_PRODUCTOS[#All],5)</f>
        <v>N/A</v>
      </c>
      <c r="D276" s="13">
        <f>VLOOKUP(TABLA_PRECIOS_LISTBOX[[#This Row],[Código]],TABLA_PRECIOS[#All],6)</f>
        <v>1</v>
      </c>
      <c r="E276" s="28">
        <f>VLOOKUP(TABLA_PRECIOS_LISTBOX[[#This Row],[Código]],TABLA_PRECIOS[#All],7)</f>
        <v>1</v>
      </c>
      <c r="F276" s="32">
        <f>VLOOKUP(TABLA_PRECIOS_LISTBOX[[#This Row],[Código]],TABLA_PRECIOS[#All],8)</f>
        <v>1</v>
      </c>
      <c r="G276" s="9">
        <f>VLOOKUP(TABLA_PRECIOS_LISTBOX[[#This Row],[Código]],TABLA_PRECIOS[#All],10)</f>
        <v>0</v>
      </c>
    </row>
    <row r="277" spans="1:7" ht="12" customHeight="1" x14ac:dyDescent="0.3">
      <c r="A277" s="4">
        <v>1591</v>
      </c>
      <c r="B277" s="6" t="str">
        <f>VLOOKUP(TABLA_PRECIOS_LISTBOX[Código],LISTADO_PRODUCTOS[#All],4)</f>
        <v>Lapiz Negro de Graduacion Trabi</v>
      </c>
      <c r="C277" s="6" t="str">
        <f>VLOOKUP(TABLA_PRECIOS_LISTBOX[Código],LISTADO_PRODUCTOS[#All],5)</f>
        <v>N/A</v>
      </c>
      <c r="D277" s="13">
        <f>VLOOKUP(TABLA_PRECIOS_LISTBOX[[#This Row],[Código]],TABLA_PRECIOS[#All],6)</f>
        <v>1</v>
      </c>
      <c r="E277" s="28">
        <f>VLOOKUP(TABLA_PRECIOS_LISTBOX[[#This Row],[Código]],TABLA_PRECIOS[#All],7)</f>
        <v>1</v>
      </c>
      <c r="F277" s="32">
        <f>VLOOKUP(TABLA_PRECIOS_LISTBOX[[#This Row],[Código]],TABLA_PRECIOS[#All],8)</f>
        <v>1</v>
      </c>
      <c r="G277" s="9">
        <f>VLOOKUP(TABLA_PRECIOS_LISTBOX[[#This Row],[Código]],TABLA_PRECIOS[#All],10)</f>
        <v>0</v>
      </c>
    </row>
    <row r="278" spans="1:7" ht="12" customHeight="1" x14ac:dyDescent="0.3">
      <c r="A278" s="4">
        <v>1597</v>
      </c>
      <c r="B278" s="6" t="str">
        <f>VLOOKUP(TABLA_PRECIOS_LISTBOX[Código],LISTADO_PRODUCTOS[#All],4)</f>
        <v>Boligrafo Borrable Filgo Borrax</v>
      </c>
      <c r="C278" s="6" t="str">
        <f>VLOOKUP(TABLA_PRECIOS_LISTBOX[Código],LISTADO_PRODUCTOS[#All],5)</f>
        <v>N/A</v>
      </c>
      <c r="D278" s="13">
        <f>VLOOKUP(TABLA_PRECIOS_LISTBOX[[#This Row],[Código]],TABLA_PRECIOS[#All],6)</f>
        <v>1</v>
      </c>
      <c r="E278" s="28">
        <f>VLOOKUP(TABLA_PRECIOS_LISTBOX[[#This Row],[Código]],TABLA_PRECIOS[#All],7)</f>
        <v>1</v>
      </c>
      <c r="F278" s="32">
        <f>VLOOKUP(TABLA_PRECIOS_LISTBOX[[#This Row],[Código]],TABLA_PRECIOS[#All],8)</f>
        <v>1</v>
      </c>
      <c r="G278" s="9">
        <f>VLOOKUP(TABLA_PRECIOS_LISTBOX[[#This Row],[Código]],TABLA_PRECIOS[#All],10)</f>
        <v>0</v>
      </c>
    </row>
    <row r="279" spans="1:7" ht="12" customHeight="1" x14ac:dyDescent="0.3">
      <c r="A279" s="4">
        <v>1600</v>
      </c>
      <c r="B279" s="6" t="str">
        <f>VLOOKUP(TABLA_PRECIOS_LISTBOX[Código],LISTADO_PRODUCTOS[#All],4)</f>
        <v>Carpeta Nº6 para dibujo el nene c/repuestos</v>
      </c>
      <c r="C279" s="6" t="str">
        <f>VLOOKUP(TABLA_PRECIOS_LISTBOX[Código],LISTADO_PRODUCTOS[#All],5)</f>
        <v>N/A</v>
      </c>
      <c r="D279" s="13">
        <f>VLOOKUP(TABLA_PRECIOS_LISTBOX[[#This Row],[Código]],TABLA_PRECIOS[#All],6)</f>
        <v>1</v>
      </c>
      <c r="E279" s="28">
        <f>VLOOKUP(TABLA_PRECIOS_LISTBOX[[#This Row],[Código]],TABLA_PRECIOS[#All],7)</f>
        <v>1</v>
      </c>
      <c r="F279" s="32">
        <f>VLOOKUP(TABLA_PRECIOS_LISTBOX[[#This Row],[Código]],TABLA_PRECIOS[#All],8)</f>
        <v>1</v>
      </c>
      <c r="G279" s="9">
        <f>VLOOKUP(TABLA_PRECIOS_LISTBOX[[#This Row],[Código]],TABLA_PRECIOS[#All],10)</f>
        <v>0</v>
      </c>
    </row>
    <row r="280" spans="1:7" ht="12" customHeight="1" x14ac:dyDescent="0.3">
      <c r="A280" s="4">
        <v>1601</v>
      </c>
      <c r="B280" s="6" t="str">
        <f>VLOOKUP(TABLA_PRECIOS_LISTBOX[Código],LISTADO_PRODUCTOS[#All],4)</f>
        <v>Carpeta Nº6 para dibujo asamblea s/rep</v>
      </c>
      <c r="C280" s="6" t="str">
        <f>VLOOKUP(TABLA_PRECIOS_LISTBOX[Código],LISTADO_PRODUCTOS[#All],5)</f>
        <v>N/A</v>
      </c>
      <c r="D280" s="13">
        <f>VLOOKUP(TABLA_PRECIOS_LISTBOX[[#This Row],[Código]],TABLA_PRECIOS[#All],6)</f>
        <v>1</v>
      </c>
      <c r="E280" s="28">
        <f>VLOOKUP(TABLA_PRECIOS_LISTBOX[[#This Row],[Código]],TABLA_PRECIOS[#All],7)</f>
        <v>1</v>
      </c>
      <c r="F280" s="32">
        <f>VLOOKUP(TABLA_PRECIOS_LISTBOX[[#This Row],[Código]],TABLA_PRECIOS[#All],8)</f>
        <v>1</v>
      </c>
      <c r="G280" s="9">
        <f>VLOOKUP(TABLA_PRECIOS_LISTBOX[[#This Row],[Código]],TABLA_PRECIOS[#All],10)</f>
        <v>0</v>
      </c>
    </row>
    <row r="281" spans="1:7" ht="12" customHeight="1" x14ac:dyDescent="0.3">
      <c r="A281" s="4">
        <v>1602</v>
      </c>
      <c r="B281" s="6" t="str">
        <f>VLOOKUP(TABLA_PRECIOS_LISTBOX[Código],LISTADO_PRODUCTOS[#All],4)</f>
        <v>Sacapuntas Keyroad Rubber 2 tamaños</v>
      </c>
      <c r="C281" s="6" t="str">
        <f>VLOOKUP(TABLA_PRECIOS_LISTBOX[Código],LISTADO_PRODUCTOS[#All],5)</f>
        <v>N/A</v>
      </c>
      <c r="D281" s="13">
        <f>VLOOKUP(TABLA_PRECIOS_LISTBOX[[#This Row],[Código]],TABLA_PRECIOS[#All],6)</f>
        <v>1</v>
      </c>
      <c r="E281" s="28">
        <f>VLOOKUP(TABLA_PRECIOS_LISTBOX[[#This Row],[Código]],TABLA_PRECIOS[#All],7)</f>
        <v>1</v>
      </c>
      <c r="F281" s="32">
        <f>VLOOKUP(TABLA_PRECIOS_LISTBOX[[#This Row],[Código]],TABLA_PRECIOS[#All],8)</f>
        <v>1</v>
      </c>
      <c r="G281" s="9">
        <f>VLOOKUP(TABLA_PRECIOS_LISTBOX[[#This Row],[Código]],TABLA_PRECIOS[#All],10)</f>
        <v>0</v>
      </c>
    </row>
    <row r="282" spans="1:7" ht="12" customHeight="1" x14ac:dyDescent="0.3">
      <c r="A282" s="4">
        <v>1604</v>
      </c>
      <c r="B282" s="6" t="str">
        <f>VLOOKUP(TABLA_PRECIOS_LISTBOX[Código],LISTADO_PRODUCTOS[#All],4)</f>
        <v>Colores largos Simball FLUO x 6</v>
      </c>
      <c r="C282" s="6" t="str">
        <f>VLOOKUP(TABLA_PRECIOS_LISTBOX[Código],LISTADO_PRODUCTOS[#All],5)</f>
        <v>N/A</v>
      </c>
      <c r="D282" s="13">
        <f>VLOOKUP(TABLA_PRECIOS_LISTBOX[[#This Row],[Código]],TABLA_PRECIOS[#All],6)</f>
        <v>1</v>
      </c>
      <c r="E282" s="28">
        <f>VLOOKUP(TABLA_PRECIOS_LISTBOX[[#This Row],[Código]],TABLA_PRECIOS[#All],7)</f>
        <v>1</v>
      </c>
      <c r="F282" s="32">
        <f>VLOOKUP(TABLA_PRECIOS_LISTBOX[[#This Row],[Código]],TABLA_PRECIOS[#All],8)</f>
        <v>1</v>
      </c>
      <c r="G282" s="9">
        <f>VLOOKUP(TABLA_PRECIOS_LISTBOX[[#This Row],[Código]],TABLA_PRECIOS[#All],10)</f>
        <v>0</v>
      </c>
    </row>
    <row r="283" spans="1:7" ht="12" customHeight="1" x14ac:dyDescent="0.3">
      <c r="A283" s="4">
        <v>1607</v>
      </c>
      <c r="B283" s="6" t="str">
        <f>VLOOKUP(TABLA_PRECIOS_LISTBOX[Código],LISTADO_PRODUCTOS[#All],4)</f>
        <v>Repuesto azul borrable Borrax Filgo</v>
      </c>
      <c r="C283" s="6" t="str">
        <f>VLOOKUP(TABLA_PRECIOS_LISTBOX[Código],LISTADO_PRODUCTOS[#All],5)</f>
        <v>N/A</v>
      </c>
      <c r="D283" s="13">
        <f>VLOOKUP(TABLA_PRECIOS_LISTBOX[[#This Row],[Código]],TABLA_PRECIOS[#All],6)</f>
        <v>1</v>
      </c>
      <c r="E283" s="28">
        <f>VLOOKUP(TABLA_PRECIOS_LISTBOX[[#This Row],[Código]],TABLA_PRECIOS[#All],7)</f>
        <v>1</v>
      </c>
      <c r="F283" s="32">
        <f>VLOOKUP(TABLA_PRECIOS_LISTBOX[[#This Row],[Código]],TABLA_PRECIOS[#All],8)</f>
        <v>1</v>
      </c>
      <c r="G283" s="9">
        <f>VLOOKUP(TABLA_PRECIOS_LISTBOX[[#This Row],[Código]],TABLA_PRECIOS[#All],10)</f>
        <v>0</v>
      </c>
    </row>
    <row r="284" spans="1:7" ht="12" customHeight="1" x14ac:dyDescent="0.3">
      <c r="A284" s="4">
        <v>1608</v>
      </c>
      <c r="B284" s="6" t="str">
        <f>VLOOKUP(TABLA_PRECIOS_LISTBOX[Código],LISTADO_PRODUCTOS[#All],4)</f>
        <v>Crayon Playcolor Jumbo FLUO x 6</v>
      </c>
      <c r="C284" s="6" t="str">
        <f>VLOOKUP(TABLA_PRECIOS_LISTBOX[Código],LISTADO_PRODUCTOS[#All],5)</f>
        <v>N/A</v>
      </c>
      <c r="D284" s="13">
        <f>VLOOKUP(TABLA_PRECIOS_LISTBOX[[#This Row],[Código]],TABLA_PRECIOS[#All],6)</f>
        <v>1</v>
      </c>
      <c r="E284" s="28">
        <f>VLOOKUP(TABLA_PRECIOS_LISTBOX[[#This Row],[Código]],TABLA_PRECIOS[#All],7)</f>
        <v>1</v>
      </c>
      <c r="F284" s="32">
        <f>VLOOKUP(TABLA_PRECIOS_LISTBOX[[#This Row],[Código]],TABLA_PRECIOS[#All],8)</f>
        <v>1</v>
      </c>
      <c r="G284" s="9">
        <f>VLOOKUP(TABLA_PRECIOS_LISTBOX[[#This Row],[Código]],TABLA_PRECIOS[#All],10)</f>
        <v>0</v>
      </c>
    </row>
    <row r="285" spans="1:7" ht="12" customHeight="1" x14ac:dyDescent="0.3">
      <c r="A285" s="4">
        <v>1609</v>
      </c>
      <c r="B285" s="6" t="str">
        <f>VLOOKUP(TABLA_PRECIOS_LISTBOX[Código],LISTADO_PRODUCTOS[#All],4)</f>
        <v>Marcadores Mooving punta pincel pastel x 6u</v>
      </c>
      <c r="C285" s="6" t="str">
        <f>VLOOKUP(TABLA_PRECIOS_LISTBOX[Código],LISTADO_PRODUCTOS[#All],5)</f>
        <v>N/A</v>
      </c>
      <c r="D285" s="13">
        <f>VLOOKUP(TABLA_PRECIOS_LISTBOX[[#This Row],[Código]],TABLA_PRECIOS[#All],6)</f>
        <v>1</v>
      </c>
      <c r="E285" s="28">
        <f>VLOOKUP(TABLA_PRECIOS_LISTBOX[[#This Row],[Código]],TABLA_PRECIOS[#All],7)</f>
        <v>1</v>
      </c>
      <c r="F285" s="32">
        <f>VLOOKUP(TABLA_PRECIOS_LISTBOX[[#This Row],[Código]],TABLA_PRECIOS[#All],8)</f>
        <v>1</v>
      </c>
      <c r="G285" s="9">
        <f>VLOOKUP(TABLA_PRECIOS_LISTBOX[[#This Row],[Código]],TABLA_PRECIOS[#All],10)</f>
        <v>0</v>
      </c>
    </row>
    <row r="286" spans="1:7" ht="12" customHeight="1" x14ac:dyDescent="0.3">
      <c r="A286" s="4">
        <v>1610</v>
      </c>
      <c r="B286" s="6" t="str">
        <f>VLOOKUP(TABLA_PRECIOS_LISTBOX[Código],LISTADO_PRODUCTOS[#All],4)</f>
        <v>Pizarra DELI A4 Magnetica con imanes</v>
      </c>
      <c r="C286" s="6" t="str">
        <f>VLOOKUP(TABLA_PRECIOS_LISTBOX[Código],LISTADO_PRODUCTOS[#All],5)</f>
        <v>N/A</v>
      </c>
      <c r="D286" s="13">
        <f>VLOOKUP(TABLA_PRECIOS_LISTBOX[[#This Row],[Código]],TABLA_PRECIOS[#All],6)</f>
        <v>1</v>
      </c>
      <c r="E286" s="28">
        <f>VLOOKUP(TABLA_PRECIOS_LISTBOX[[#This Row],[Código]],TABLA_PRECIOS[#All],7)</f>
        <v>1</v>
      </c>
      <c r="F286" s="32">
        <f>VLOOKUP(TABLA_PRECIOS_LISTBOX[[#This Row],[Código]],TABLA_PRECIOS[#All],8)</f>
        <v>1</v>
      </c>
      <c r="G286" s="9">
        <f>VLOOKUP(TABLA_PRECIOS_LISTBOX[[#This Row],[Código]],TABLA_PRECIOS[#All],10)</f>
        <v>0</v>
      </c>
    </row>
    <row r="287" spans="1:7" ht="12" customHeight="1" x14ac:dyDescent="0.3">
      <c r="A287" s="4">
        <v>1611</v>
      </c>
      <c r="B287" s="6" t="str">
        <f>VLOOKUP(TABLA_PRECIOS_LISTBOX[Código],LISTADO_PRODUCTOS[#All],4)</f>
        <v>Folio Luma N°3 reforzado $25 C/u</v>
      </c>
      <c r="C287" s="6" t="str">
        <f>VLOOKUP(TABLA_PRECIOS_LISTBOX[Código],LISTADO_PRODUCTOS[#All],5)</f>
        <v>N/A</v>
      </c>
      <c r="D287" s="13">
        <f>VLOOKUP(TABLA_PRECIOS_LISTBOX[[#This Row],[Código]],TABLA_PRECIOS[#All],6)</f>
        <v>1</v>
      </c>
      <c r="E287" s="28">
        <f>VLOOKUP(TABLA_PRECIOS_LISTBOX[[#This Row],[Código]],TABLA_PRECIOS[#All],7)</f>
        <v>1</v>
      </c>
      <c r="F287" s="32">
        <f>VLOOKUP(TABLA_PRECIOS_LISTBOX[[#This Row],[Código]],TABLA_PRECIOS[#All],8)</f>
        <v>1</v>
      </c>
      <c r="G287" s="9">
        <f>VLOOKUP(TABLA_PRECIOS_LISTBOX[[#This Row],[Código]],TABLA_PRECIOS[#All],10)</f>
        <v>0</v>
      </c>
    </row>
    <row r="288" spans="1:7" ht="12" customHeight="1" x14ac:dyDescent="0.3">
      <c r="A288" s="4">
        <v>1612</v>
      </c>
      <c r="B288" s="6" t="str">
        <f>VLOOKUP(TABLA_PRECIOS_LISTBOX[Código],LISTADO_PRODUCTOS[#All],4)</f>
        <v>Cuaderno Mooving Magnifique 80h T/C</v>
      </c>
      <c r="C288" s="6" t="str">
        <f>VLOOKUP(TABLA_PRECIOS_LISTBOX[Código],LISTADO_PRODUCTOS[#All],5)</f>
        <v>N/A</v>
      </c>
      <c r="D288" s="13">
        <f>VLOOKUP(TABLA_PRECIOS_LISTBOX[[#This Row],[Código]],TABLA_PRECIOS[#All],6)</f>
        <v>1</v>
      </c>
      <c r="E288" s="28">
        <f>VLOOKUP(TABLA_PRECIOS_LISTBOX[[#This Row],[Código]],TABLA_PRECIOS[#All],7)</f>
        <v>1</v>
      </c>
      <c r="F288" s="32">
        <f>VLOOKUP(TABLA_PRECIOS_LISTBOX[[#This Row],[Código]],TABLA_PRECIOS[#All],8)</f>
        <v>1</v>
      </c>
      <c r="G288" s="9">
        <f>VLOOKUP(TABLA_PRECIOS_LISTBOX[[#This Row],[Código]],TABLA_PRECIOS[#All],10)</f>
        <v>0</v>
      </c>
    </row>
    <row r="289" spans="1:7" ht="12" customHeight="1" x14ac:dyDescent="0.3">
      <c r="A289" s="4">
        <v>1613</v>
      </c>
      <c r="B289" s="6" t="str">
        <f>VLOOKUP(TABLA_PRECIOS_LISTBOX[Código],LISTADO_PRODUCTOS[#All],4)</f>
        <v>Cuaderno Mooving Magnifique 120 Hojas Tapa Dura hojas con borde color</v>
      </c>
      <c r="C289" s="6" t="str">
        <f>VLOOKUP(TABLA_PRECIOS_LISTBOX[Código],LISTADO_PRODUCTOS[#All],5)</f>
        <v>N/A</v>
      </c>
      <c r="D289" s="13">
        <f>VLOOKUP(TABLA_PRECIOS_LISTBOX[[#This Row],[Código]],TABLA_PRECIOS[#All],6)</f>
        <v>1</v>
      </c>
      <c r="E289" s="28">
        <f>VLOOKUP(TABLA_PRECIOS_LISTBOX[[#This Row],[Código]],TABLA_PRECIOS[#All],7)</f>
        <v>1</v>
      </c>
      <c r="F289" s="32">
        <f>VLOOKUP(TABLA_PRECIOS_LISTBOX[[#This Row],[Código]],TABLA_PRECIOS[#All],8)</f>
        <v>1</v>
      </c>
      <c r="G289" s="9">
        <f>VLOOKUP(TABLA_PRECIOS_LISTBOX[[#This Row],[Código]],TABLA_PRECIOS[#All],10)</f>
        <v>0</v>
      </c>
    </row>
    <row r="290" spans="1:7" ht="12" customHeight="1" x14ac:dyDescent="0.3">
      <c r="A290" s="4">
        <v>1614</v>
      </c>
      <c r="B290" s="6" t="str">
        <f>VLOOKUP(TABLA_PRECIOS_LISTBOX[Código],LISTADO_PRODUCTOS[#All],4)</f>
        <v>Cuaderno Mooving Minnie Mouse Tapa Carton Semi Rigida 80h</v>
      </c>
      <c r="C290" s="6" t="str">
        <f>VLOOKUP(TABLA_PRECIOS_LISTBOX[Código],LISTADO_PRODUCTOS[#All],5)</f>
        <v>N/A</v>
      </c>
      <c r="D290" s="13">
        <f>VLOOKUP(TABLA_PRECIOS_LISTBOX[[#This Row],[Código]],TABLA_PRECIOS[#All],6)</f>
        <v>1</v>
      </c>
      <c r="E290" s="28">
        <f>VLOOKUP(TABLA_PRECIOS_LISTBOX[[#This Row],[Código]],TABLA_PRECIOS[#All],7)</f>
        <v>1</v>
      </c>
      <c r="F290" s="32">
        <f>VLOOKUP(TABLA_PRECIOS_LISTBOX[[#This Row],[Código]],TABLA_PRECIOS[#All],8)</f>
        <v>1</v>
      </c>
      <c r="G290" s="9">
        <f>VLOOKUP(TABLA_PRECIOS_LISTBOX[[#This Row],[Código]],TABLA_PRECIOS[#All],10)</f>
        <v>0</v>
      </c>
    </row>
    <row r="291" spans="1:7" ht="12" customHeight="1" x14ac:dyDescent="0.3">
      <c r="A291" s="4">
        <v>1615</v>
      </c>
      <c r="B291" s="6" t="str">
        <f>VLOOKUP(TABLA_PRECIOS_LISTBOX[Código],LISTADO_PRODUCTOS[#All],4)</f>
        <v xml:space="preserve">Boligrafo BIC Cristal UP 1.2mm x8col surtidos </v>
      </c>
      <c r="C291" s="6" t="str">
        <f>VLOOKUP(TABLA_PRECIOS_LISTBOX[Código],LISTADO_PRODUCTOS[#All],5)</f>
        <v>N/A</v>
      </c>
      <c r="D291" s="13">
        <f>VLOOKUP(TABLA_PRECIOS_LISTBOX[[#This Row],[Código]],TABLA_PRECIOS[#All],6)</f>
        <v>1</v>
      </c>
      <c r="E291" s="28">
        <f>VLOOKUP(TABLA_PRECIOS_LISTBOX[[#This Row],[Código]],TABLA_PRECIOS[#All],7)</f>
        <v>1</v>
      </c>
      <c r="F291" s="32">
        <f>VLOOKUP(TABLA_PRECIOS_LISTBOX[[#This Row],[Código]],TABLA_PRECIOS[#All],8)</f>
        <v>1</v>
      </c>
      <c r="G291" s="9">
        <f>VLOOKUP(TABLA_PRECIOS_LISTBOX[[#This Row],[Código]],TABLA_PRECIOS[#All],10)</f>
        <v>0</v>
      </c>
    </row>
    <row r="292" spans="1:7" ht="12" customHeight="1" x14ac:dyDescent="0.3">
      <c r="A292" s="4">
        <v>1616</v>
      </c>
      <c r="B292" s="6" t="str">
        <f>VLOOKUP(TABLA_PRECIOS_LISTBOX[Código],LISTADO_PRODUCTOS[#All],4)</f>
        <v>Blister Resaltador Filgo Text Marker FLUO</v>
      </c>
      <c r="C292" s="6" t="str">
        <f>VLOOKUP(TABLA_PRECIOS_LISTBOX[Código],LISTADO_PRODUCTOS[#All],5)</f>
        <v>N/A</v>
      </c>
      <c r="D292" s="13">
        <f>VLOOKUP(TABLA_PRECIOS_LISTBOX[[#This Row],[Código]],TABLA_PRECIOS[#All],6)</f>
        <v>1</v>
      </c>
      <c r="E292" s="28">
        <f>VLOOKUP(TABLA_PRECIOS_LISTBOX[[#This Row],[Código]],TABLA_PRECIOS[#All],7)</f>
        <v>1</v>
      </c>
      <c r="F292" s="32">
        <f>VLOOKUP(TABLA_PRECIOS_LISTBOX[[#This Row],[Código]],TABLA_PRECIOS[#All],8)</f>
        <v>1</v>
      </c>
      <c r="G292" s="9">
        <f>VLOOKUP(TABLA_PRECIOS_LISTBOX[[#This Row],[Código]],TABLA_PRECIOS[#All],10)</f>
        <v>0</v>
      </c>
    </row>
    <row r="293" spans="1:7" ht="12" customHeight="1" x14ac:dyDescent="0.3">
      <c r="A293" s="4">
        <v>1617</v>
      </c>
      <c r="B293" s="6" t="str">
        <f>VLOOKUP(TABLA_PRECIOS_LISTBOX[Código],LISTADO_PRODUCTOS[#All],4)</f>
        <v>Lapicera Punta Aguja Super Point Filgo</v>
      </c>
      <c r="C293" s="6" t="str">
        <f>VLOOKUP(TABLA_PRECIOS_LISTBOX[Código],LISTADO_PRODUCTOS[#All],5)</f>
        <v>N/A</v>
      </c>
      <c r="D293" s="13">
        <f>VLOOKUP(TABLA_PRECIOS_LISTBOX[[#This Row],[Código]],TABLA_PRECIOS[#All],6)</f>
        <v>1</v>
      </c>
      <c r="E293" s="28">
        <f>VLOOKUP(TABLA_PRECIOS_LISTBOX[[#This Row],[Código]],TABLA_PRECIOS[#All],7)</f>
        <v>1</v>
      </c>
      <c r="F293" s="32">
        <f>VLOOKUP(TABLA_PRECIOS_LISTBOX[[#This Row],[Código]],TABLA_PRECIOS[#All],8)</f>
        <v>1</v>
      </c>
      <c r="G293" s="9">
        <f>VLOOKUP(TABLA_PRECIOS_LISTBOX[[#This Row],[Código]],TABLA_PRECIOS[#All],10)</f>
        <v>0</v>
      </c>
    </row>
    <row r="294" spans="1:7" ht="12" customHeight="1" x14ac:dyDescent="0.3">
      <c r="A294" s="4">
        <v>1618</v>
      </c>
      <c r="B294" s="6" t="str">
        <f>VLOOKUP(TABLA_PRECIOS_LISTBOX[Código],LISTADO_PRODUCTOS[#All],4)</f>
        <v>Rgla de Aluminio Keyroad C/Porta Lapiz 20cm KR9</v>
      </c>
      <c r="C294" s="6" t="str">
        <f>VLOOKUP(TABLA_PRECIOS_LISTBOX[Código],LISTADO_PRODUCTOS[#All],5)</f>
        <v>N/A</v>
      </c>
      <c r="D294" s="13">
        <f>VLOOKUP(TABLA_PRECIOS_LISTBOX[[#This Row],[Código]],TABLA_PRECIOS[#All],6)</f>
        <v>1</v>
      </c>
      <c r="E294" s="28">
        <f>VLOOKUP(TABLA_PRECIOS_LISTBOX[[#This Row],[Código]],TABLA_PRECIOS[#All],7)</f>
        <v>1</v>
      </c>
      <c r="F294" s="32">
        <f>VLOOKUP(TABLA_PRECIOS_LISTBOX[[#This Row],[Código]],TABLA_PRECIOS[#All],8)</f>
        <v>1</v>
      </c>
      <c r="G294" s="9">
        <f>VLOOKUP(TABLA_PRECIOS_LISTBOX[[#This Row],[Código]],TABLA_PRECIOS[#All],10)</f>
        <v>0</v>
      </c>
    </row>
    <row r="295" spans="1:7" ht="12" customHeight="1" x14ac:dyDescent="0.3">
      <c r="A295" s="4">
        <v>1619</v>
      </c>
      <c r="B295" s="6" t="str">
        <f>VLOOKUP(TABLA_PRECIOS_LISTBOX[Código],LISTADO_PRODUCTOS[#All],4)</f>
        <v>Rgla de Aluminio Keyroad C/Porta Lapiz 30cm KR9</v>
      </c>
      <c r="C295" s="6" t="str">
        <f>VLOOKUP(TABLA_PRECIOS_LISTBOX[Código],LISTADO_PRODUCTOS[#All],5)</f>
        <v>N/A</v>
      </c>
      <c r="D295" s="13">
        <f>VLOOKUP(TABLA_PRECIOS_LISTBOX[[#This Row],[Código]],TABLA_PRECIOS[#All],6)</f>
        <v>1</v>
      </c>
      <c r="E295" s="28">
        <f>VLOOKUP(TABLA_PRECIOS_LISTBOX[[#This Row],[Código]],TABLA_PRECIOS[#All],7)</f>
        <v>1</v>
      </c>
      <c r="F295" s="32">
        <f>VLOOKUP(TABLA_PRECIOS_LISTBOX[[#This Row],[Código]],TABLA_PRECIOS[#All],8)</f>
        <v>1</v>
      </c>
      <c r="G295" s="9">
        <f>VLOOKUP(TABLA_PRECIOS_LISTBOX[[#This Row],[Código]],TABLA_PRECIOS[#All],10)</f>
        <v>0</v>
      </c>
    </row>
    <row r="296" spans="1:7" ht="12" customHeight="1" x14ac:dyDescent="0.3">
      <c r="A296" s="4">
        <v>1620</v>
      </c>
      <c r="B296" s="6" t="str">
        <f>VLOOKUP(TABLA_PRECIOS_LISTBOX[Código],LISTADO_PRODUCTOS[#All],4)</f>
        <v>Marcador permanente Edding 404 punta fina</v>
      </c>
      <c r="C296" s="6" t="str">
        <f>VLOOKUP(TABLA_PRECIOS_LISTBOX[Código],LISTADO_PRODUCTOS[#All],5)</f>
        <v>N/A</v>
      </c>
      <c r="D296" s="13">
        <f>VLOOKUP(TABLA_PRECIOS_LISTBOX[[#This Row],[Código]],TABLA_PRECIOS[#All],6)</f>
        <v>1</v>
      </c>
      <c r="E296" s="28">
        <f>VLOOKUP(TABLA_PRECIOS_LISTBOX[[#This Row],[Código]],TABLA_PRECIOS[#All],7)</f>
        <v>1</v>
      </c>
      <c r="F296" s="32">
        <f>VLOOKUP(TABLA_PRECIOS_LISTBOX[[#This Row],[Código]],TABLA_PRECIOS[#All],8)</f>
        <v>1</v>
      </c>
      <c r="G296" s="9">
        <f>VLOOKUP(TABLA_PRECIOS_LISTBOX[[#This Row],[Código]],TABLA_PRECIOS[#All],10)</f>
        <v>0</v>
      </c>
    </row>
    <row r="297" spans="1:7" ht="12" customHeight="1" x14ac:dyDescent="0.3">
      <c r="A297" s="4">
        <v>1621</v>
      </c>
      <c r="B297" s="6" t="str">
        <f>VLOOKUP(TABLA_PRECIOS_LISTBOX[Código],LISTADO_PRODUCTOS[#All],4)</f>
        <v>Roller Super Ball Filgo</v>
      </c>
      <c r="C297" s="6" t="str">
        <f>VLOOKUP(TABLA_PRECIOS_LISTBOX[Código],LISTADO_PRODUCTOS[#All],5)</f>
        <v>N/A</v>
      </c>
      <c r="D297" s="13">
        <f>VLOOKUP(TABLA_PRECIOS_LISTBOX[[#This Row],[Código]],TABLA_PRECIOS[#All],6)</f>
        <v>1</v>
      </c>
      <c r="E297" s="28">
        <f>VLOOKUP(TABLA_PRECIOS_LISTBOX[[#This Row],[Código]],TABLA_PRECIOS[#All],7)</f>
        <v>1</v>
      </c>
      <c r="F297" s="32">
        <f>VLOOKUP(TABLA_PRECIOS_LISTBOX[[#This Row],[Código]],TABLA_PRECIOS[#All],8)</f>
        <v>1</v>
      </c>
      <c r="G297" s="9">
        <f>VLOOKUP(TABLA_PRECIOS_LISTBOX[[#This Row],[Código]],TABLA_PRECIOS[#All],10)</f>
        <v>0</v>
      </c>
    </row>
    <row r="298" spans="1:7" ht="12" customHeight="1" x14ac:dyDescent="0.3">
      <c r="A298" s="4">
        <v>1624</v>
      </c>
      <c r="B298" s="6" t="str">
        <f>VLOOKUP(TABLA_PRECIOS_LISTBOX[Código],LISTADO_PRODUCTOS[#All],4)</f>
        <v>Adhesivo Glitter NEON/Pastel/Glue 21gr colores surtidos C/U</v>
      </c>
      <c r="C298" s="6" t="str">
        <f>VLOOKUP(TABLA_PRECIOS_LISTBOX[Código],LISTADO_PRODUCTOS[#All],5)</f>
        <v>N/A</v>
      </c>
      <c r="D298" s="13">
        <f>VLOOKUP(TABLA_PRECIOS_LISTBOX[[#This Row],[Código]],TABLA_PRECIOS[#All],6)</f>
        <v>1</v>
      </c>
      <c r="E298" s="28">
        <f>VLOOKUP(TABLA_PRECIOS_LISTBOX[[#This Row],[Código]],TABLA_PRECIOS[#All],7)</f>
        <v>1</v>
      </c>
      <c r="F298" s="32">
        <f>VLOOKUP(TABLA_PRECIOS_LISTBOX[[#This Row],[Código]],TABLA_PRECIOS[#All],8)</f>
        <v>1</v>
      </c>
      <c r="G298" s="9">
        <f>VLOOKUP(TABLA_PRECIOS_LISTBOX[[#This Row],[Código]],TABLA_PRECIOS[#All],10)</f>
        <v>0</v>
      </c>
    </row>
    <row r="299" spans="1:7" ht="12" customHeight="1" x14ac:dyDescent="0.3">
      <c r="A299" s="4">
        <v>1627</v>
      </c>
      <c r="B299" s="6" t="str">
        <f>VLOOKUP(TABLA_PRECIOS_LISTBOX[Código],LISTADO_PRODUCTOS[#All],4)</f>
        <v>Fibron Faber Castell al agua 56 P.Red.</v>
      </c>
      <c r="C299" s="6" t="str">
        <f>VLOOKUP(TABLA_PRECIOS_LISTBOX[Código],LISTADO_PRODUCTOS[#All],5)</f>
        <v>N/A</v>
      </c>
      <c r="D299" s="13">
        <f>VLOOKUP(TABLA_PRECIOS_LISTBOX[[#This Row],[Código]],TABLA_PRECIOS[#All],6)</f>
        <v>1</v>
      </c>
      <c r="E299" s="28">
        <f>VLOOKUP(TABLA_PRECIOS_LISTBOX[[#This Row],[Código]],TABLA_PRECIOS[#All],7)</f>
        <v>1</v>
      </c>
      <c r="F299" s="32">
        <f>VLOOKUP(TABLA_PRECIOS_LISTBOX[[#This Row],[Código]],TABLA_PRECIOS[#All],8)</f>
        <v>1</v>
      </c>
      <c r="G299" s="9">
        <f>VLOOKUP(TABLA_PRECIOS_LISTBOX[[#This Row],[Código]],TABLA_PRECIOS[#All],10)</f>
        <v>0</v>
      </c>
    </row>
    <row r="300" spans="1:7" ht="12" customHeight="1" x14ac:dyDescent="0.3">
      <c r="A300" s="4">
        <v>1628</v>
      </c>
      <c r="B300" s="6" t="str">
        <f>VLOOKUP(TABLA_PRECIOS_LISTBOX[Código],LISTADO_PRODUCTOS[#All],4)</f>
        <v>Block Cartulina entretenida Antiestress anti stress Muresco</v>
      </c>
      <c r="C300" s="6" t="str">
        <f>VLOOKUP(TABLA_PRECIOS_LISTBOX[Código],LISTADO_PRODUCTOS[#All],5)</f>
        <v>N/A</v>
      </c>
      <c r="D300" s="13">
        <f>VLOOKUP(TABLA_PRECIOS_LISTBOX[[#This Row],[Código]],TABLA_PRECIOS[#All],6)</f>
        <v>1</v>
      </c>
      <c r="E300" s="28">
        <f>VLOOKUP(TABLA_PRECIOS_LISTBOX[[#This Row],[Código]],TABLA_PRECIOS[#All],7)</f>
        <v>1</v>
      </c>
      <c r="F300" s="32">
        <f>VLOOKUP(TABLA_PRECIOS_LISTBOX[[#This Row],[Código]],TABLA_PRECIOS[#All],8)</f>
        <v>1</v>
      </c>
      <c r="G300" s="9">
        <f>VLOOKUP(TABLA_PRECIOS_LISTBOX[[#This Row],[Código]],TABLA_PRECIOS[#All],10)</f>
        <v>0</v>
      </c>
    </row>
    <row r="301" spans="1:7" ht="12" customHeight="1" x14ac:dyDescent="0.3">
      <c r="A301" s="4">
        <v>1629</v>
      </c>
      <c r="B301" s="6" t="str">
        <f>VLOOKUP(TABLA_PRECIOS_LISTBOX[Código],LISTADO_PRODUCTOS[#All],4)</f>
        <v>Block Cartulina entretenida Muresco Negra/celeste/amarillo/rosa surtida</v>
      </c>
      <c r="C301" s="6" t="str">
        <f>VLOOKUP(TABLA_PRECIOS_LISTBOX[Código],LISTADO_PRODUCTOS[#All],5)</f>
        <v>N/A</v>
      </c>
      <c r="D301" s="13">
        <f>VLOOKUP(TABLA_PRECIOS_LISTBOX[[#This Row],[Código]],TABLA_PRECIOS[#All],6)</f>
        <v>1</v>
      </c>
      <c r="E301" s="28">
        <f>VLOOKUP(TABLA_PRECIOS_LISTBOX[[#This Row],[Código]],TABLA_PRECIOS[#All],7)</f>
        <v>1</v>
      </c>
      <c r="F301" s="32">
        <f>VLOOKUP(TABLA_PRECIOS_LISTBOX[[#This Row],[Código]],TABLA_PRECIOS[#All],8)</f>
        <v>1</v>
      </c>
      <c r="G301" s="9">
        <f>VLOOKUP(TABLA_PRECIOS_LISTBOX[[#This Row],[Código]],TABLA_PRECIOS[#All],10)</f>
        <v>0</v>
      </c>
    </row>
    <row r="302" spans="1:7" ht="12" customHeight="1" x14ac:dyDescent="0.3">
      <c r="A302" s="4">
        <v>1634</v>
      </c>
      <c r="B302" s="6" t="str">
        <f>VLOOKUP(TABLA_PRECIOS_LISTBOX[Código],LISTADO_PRODUCTOS[#All],4)</f>
        <v>Fibron Pelikan Permanente Punta Redonda 441</v>
      </c>
      <c r="C302" s="6" t="str">
        <f>VLOOKUP(TABLA_PRECIOS_LISTBOX[Código],LISTADO_PRODUCTOS[#All],5)</f>
        <v>N/A</v>
      </c>
      <c r="D302" s="13">
        <f>VLOOKUP(TABLA_PRECIOS_LISTBOX[[#This Row],[Código]],TABLA_PRECIOS[#All],6)</f>
        <v>1</v>
      </c>
      <c r="E302" s="28">
        <f>VLOOKUP(TABLA_PRECIOS_LISTBOX[[#This Row],[Código]],TABLA_PRECIOS[#All],7)</f>
        <v>1</v>
      </c>
      <c r="F302" s="32">
        <f>VLOOKUP(TABLA_PRECIOS_LISTBOX[[#This Row],[Código]],TABLA_PRECIOS[#All],8)</f>
        <v>1</v>
      </c>
      <c r="G302" s="9">
        <f>VLOOKUP(TABLA_PRECIOS_LISTBOX[[#This Row],[Código]],TABLA_PRECIOS[#All],10)</f>
        <v>0</v>
      </c>
    </row>
    <row r="303" spans="1:7" ht="12" customHeight="1" x14ac:dyDescent="0.3">
      <c r="A303" s="4">
        <v>1638</v>
      </c>
      <c r="B303" s="6" t="str">
        <f>VLOOKUP(TABLA_PRECIOS_LISTBOX[Código],LISTADO_PRODUCTOS[#All],4)</f>
        <v>Block N°6 Capitolio Blanco</v>
      </c>
      <c r="C303" s="6" t="str">
        <f>VLOOKUP(TABLA_PRECIOS_LISTBOX[Código],LISTADO_PRODUCTOS[#All],5)</f>
        <v>N/A</v>
      </c>
      <c r="D303" s="13">
        <f>VLOOKUP(TABLA_PRECIOS_LISTBOX[[#This Row],[Código]],TABLA_PRECIOS[#All],6)</f>
        <v>1</v>
      </c>
      <c r="E303" s="28">
        <f>VLOOKUP(TABLA_PRECIOS_LISTBOX[[#This Row],[Código]],TABLA_PRECIOS[#All],7)</f>
        <v>1</v>
      </c>
      <c r="F303" s="32">
        <f>VLOOKUP(TABLA_PRECIOS_LISTBOX[[#This Row],[Código]],TABLA_PRECIOS[#All],8)</f>
        <v>1</v>
      </c>
      <c r="G303" s="9">
        <f>VLOOKUP(TABLA_PRECIOS_LISTBOX[[#This Row],[Código]],TABLA_PRECIOS[#All],10)</f>
        <v>0</v>
      </c>
    </row>
    <row r="304" spans="1:7" ht="12" customHeight="1" x14ac:dyDescent="0.3">
      <c r="A304" s="4">
        <v>1640</v>
      </c>
      <c r="B304" s="6" t="str">
        <f>VLOOKUP(TABLA_PRECIOS_LISTBOX[Código],LISTADO_PRODUCTOS[#All],4)</f>
        <v>Block N°5 Muresco 22 x 29.5 Afiche color x 50h colores</v>
      </c>
      <c r="C304" s="6" t="str">
        <f>VLOOKUP(TABLA_PRECIOS_LISTBOX[Código],LISTADO_PRODUCTOS[#All],5)</f>
        <v>N/A</v>
      </c>
      <c r="D304" s="13">
        <f>VLOOKUP(TABLA_PRECIOS_LISTBOX[[#This Row],[Código]],TABLA_PRECIOS[#All],6)</f>
        <v>1</v>
      </c>
      <c r="E304" s="28">
        <f>VLOOKUP(TABLA_PRECIOS_LISTBOX[[#This Row],[Código]],TABLA_PRECIOS[#All],7)</f>
        <v>1</v>
      </c>
      <c r="F304" s="32">
        <f>VLOOKUP(TABLA_PRECIOS_LISTBOX[[#This Row],[Código]],TABLA_PRECIOS[#All],8)</f>
        <v>1</v>
      </c>
      <c r="G304" s="9">
        <f>VLOOKUP(TABLA_PRECIOS_LISTBOX[[#This Row],[Código]],TABLA_PRECIOS[#All],10)</f>
        <v>0</v>
      </c>
    </row>
    <row r="305" spans="1:7" ht="12" customHeight="1" x14ac:dyDescent="0.3">
      <c r="A305" s="4">
        <v>1641</v>
      </c>
      <c r="B305" s="6" t="str">
        <f>VLOOKUP(TABLA_PRECIOS_LISTBOX[Código],LISTADO_PRODUCTOS[#All],4)</f>
        <v>Lapiz Borratinta Staedtler escobilla</v>
      </c>
      <c r="C305" s="6" t="str">
        <f>VLOOKUP(TABLA_PRECIOS_LISTBOX[Código],LISTADO_PRODUCTOS[#All],5)</f>
        <v>N/A</v>
      </c>
      <c r="D305" s="13">
        <f>VLOOKUP(TABLA_PRECIOS_LISTBOX[[#This Row],[Código]],TABLA_PRECIOS[#All],6)</f>
        <v>1</v>
      </c>
      <c r="E305" s="28">
        <f>VLOOKUP(TABLA_PRECIOS_LISTBOX[[#This Row],[Código]],TABLA_PRECIOS[#All],7)</f>
        <v>1</v>
      </c>
      <c r="F305" s="32">
        <f>VLOOKUP(TABLA_PRECIOS_LISTBOX[[#This Row],[Código]],TABLA_PRECIOS[#All],8)</f>
        <v>1</v>
      </c>
      <c r="G305" s="9">
        <f>VLOOKUP(TABLA_PRECIOS_LISTBOX[[#This Row],[Código]],TABLA_PRECIOS[#All],10)</f>
        <v>0</v>
      </c>
    </row>
    <row r="306" spans="1:7" ht="12" customHeight="1" x14ac:dyDescent="0.3">
      <c r="A306" s="4">
        <v>1643</v>
      </c>
      <c r="B306" s="6" t="str">
        <f>VLOOKUP(TABLA_PRECIOS_LISTBOX[Código],LISTADO_PRODUCTOS[#All],4)</f>
        <v>Block Capitolio Collage 20h</v>
      </c>
      <c r="C306" s="6" t="str">
        <f>VLOOKUP(TABLA_PRECIOS_LISTBOX[Código],LISTADO_PRODUCTOS[#All],5)</f>
        <v>N/A</v>
      </c>
      <c r="D306" s="13">
        <f>VLOOKUP(TABLA_PRECIOS_LISTBOX[[#This Row],[Código]],TABLA_PRECIOS[#All],6)</f>
        <v>1</v>
      </c>
      <c r="E306" s="28">
        <f>VLOOKUP(TABLA_PRECIOS_LISTBOX[[#This Row],[Código]],TABLA_PRECIOS[#All],7)</f>
        <v>1</v>
      </c>
      <c r="F306" s="32">
        <f>VLOOKUP(TABLA_PRECIOS_LISTBOX[[#This Row],[Código]],TABLA_PRECIOS[#All],8)</f>
        <v>1</v>
      </c>
      <c r="G306" s="9">
        <f>VLOOKUP(TABLA_PRECIOS_LISTBOX[[#This Row],[Código]],TABLA_PRECIOS[#All],10)</f>
        <v>0</v>
      </c>
    </row>
    <row r="307" spans="1:7" ht="12" customHeight="1" x14ac:dyDescent="0.3">
      <c r="A307" s="4">
        <v>1644</v>
      </c>
      <c r="B307" s="6" t="str">
        <f>VLOOKUP(TABLA_PRECIOS_LISTBOX[Código],LISTADO_PRODUCTOS[#All],4)</f>
        <v>Adhesivo en barra Giotto 36g</v>
      </c>
      <c r="C307" s="6" t="str">
        <f>VLOOKUP(TABLA_PRECIOS_LISTBOX[Código],LISTADO_PRODUCTOS[#All],5)</f>
        <v>N/A</v>
      </c>
      <c r="D307" s="13">
        <f>VLOOKUP(TABLA_PRECIOS_LISTBOX[[#This Row],[Código]],TABLA_PRECIOS[#All],6)</f>
        <v>1</v>
      </c>
      <c r="E307" s="28">
        <f>VLOOKUP(TABLA_PRECIOS_LISTBOX[[#This Row],[Código]],TABLA_PRECIOS[#All],7)</f>
        <v>1</v>
      </c>
      <c r="F307" s="32">
        <f>VLOOKUP(TABLA_PRECIOS_LISTBOX[[#This Row],[Código]],TABLA_PRECIOS[#All],8)</f>
        <v>1</v>
      </c>
      <c r="G307" s="9">
        <f>VLOOKUP(TABLA_PRECIOS_LISTBOX[[#This Row],[Código]],TABLA_PRECIOS[#All],10)</f>
        <v>0</v>
      </c>
    </row>
    <row r="308" spans="1:7" ht="12" customHeight="1" x14ac:dyDescent="0.3">
      <c r="A308" s="4">
        <v>1645</v>
      </c>
      <c r="B308" s="6" t="str">
        <f>VLOOKUP(TABLA_PRECIOS_LISTBOX[Código],LISTADO_PRODUCTOS[#All],4)</f>
        <v>Goma DELI Scribe Eraser H00110</v>
      </c>
      <c r="C308" s="6" t="str">
        <f>VLOOKUP(TABLA_PRECIOS_LISTBOX[Código],LISTADO_PRODUCTOS[#All],5)</f>
        <v>N/A</v>
      </c>
      <c r="D308" s="13">
        <f>VLOOKUP(TABLA_PRECIOS_LISTBOX[[#This Row],[Código]],TABLA_PRECIOS[#All],6)</f>
        <v>1</v>
      </c>
      <c r="E308" s="28">
        <f>VLOOKUP(TABLA_PRECIOS_LISTBOX[[#This Row],[Código]],TABLA_PRECIOS[#All],7)</f>
        <v>1</v>
      </c>
      <c r="F308" s="32">
        <f>VLOOKUP(TABLA_PRECIOS_LISTBOX[[#This Row],[Código]],TABLA_PRECIOS[#All],8)</f>
        <v>1</v>
      </c>
      <c r="G308" s="9">
        <f>VLOOKUP(TABLA_PRECIOS_LISTBOX[[#This Row],[Código]],TABLA_PRECIOS[#All],10)</f>
        <v>0</v>
      </c>
    </row>
    <row r="309" spans="1:7" ht="12" customHeight="1" x14ac:dyDescent="0.3">
      <c r="A309" s="4">
        <v>1648</v>
      </c>
      <c r="B309" s="6" t="str">
        <f>VLOOKUP(TABLA_PRECIOS_LISTBOX[Código],LISTADO_PRODUCTOS[#All],4)</f>
        <v>Carpeta Util-of</v>
      </c>
      <c r="C309" s="6" t="str">
        <f>VLOOKUP(TABLA_PRECIOS_LISTBOX[Código],LISTADO_PRODUCTOS[#All],5)</f>
        <v>N/A</v>
      </c>
      <c r="D309" s="13">
        <f>VLOOKUP(TABLA_PRECIOS_LISTBOX[[#This Row],[Código]],TABLA_PRECIOS[#All],6)</f>
        <v>1</v>
      </c>
      <c r="E309" s="28">
        <f>VLOOKUP(TABLA_PRECIOS_LISTBOX[[#This Row],[Código]],TABLA_PRECIOS[#All],7)</f>
        <v>1</v>
      </c>
      <c r="F309" s="32">
        <f>VLOOKUP(TABLA_PRECIOS_LISTBOX[[#This Row],[Código]],TABLA_PRECIOS[#All],8)</f>
        <v>1</v>
      </c>
      <c r="G309" s="9">
        <f>VLOOKUP(TABLA_PRECIOS_LISTBOX[[#This Row],[Código]],TABLA_PRECIOS[#All],10)</f>
        <v>0</v>
      </c>
    </row>
    <row r="310" spans="1:7" ht="12" customHeight="1" x14ac:dyDescent="0.3">
      <c r="A310" s="4">
        <v>1651</v>
      </c>
      <c r="B310" s="6" t="str">
        <f>VLOOKUP(TABLA_PRECIOS_LISTBOX[Código],LISTADO_PRODUCTOS[#All],4)</f>
        <v>Set Microfibras Filgo Liner 038 x 10</v>
      </c>
      <c r="C310" s="6" t="str">
        <f>VLOOKUP(TABLA_PRECIOS_LISTBOX[Código],LISTADO_PRODUCTOS[#All],5)</f>
        <v>N/A</v>
      </c>
      <c r="D310" s="13">
        <f>VLOOKUP(TABLA_PRECIOS_LISTBOX[[#This Row],[Código]],TABLA_PRECIOS[#All],6)</f>
        <v>1</v>
      </c>
      <c r="E310" s="28">
        <f>VLOOKUP(TABLA_PRECIOS_LISTBOX[[#This Row],[Código]],TABLA_PRECIOS[#All],7)</f>
        <v>1</v>
      </c>
      <c r="F310" s="32">
        <f>VLOOKUP(TABLA_PRECIOS_LISTBOX[[#This Row],[Código]],TABLA_PRECIOS[#All],8)</f>
        <v>1</v>
      </c>
      <c r="G310" s="9">
        <f>VLOOKUP(TABLA_PRECIOS_LISTBOX[[#This Row],[Código]],TABLA_PRECIOS[#All],10)</f>
        <v>0</v>
      </c>
    </row>
    <row r="311" spans="1:7" ht="12" customHeight="1" x14ac:dyDescent="0.3">
      <c r="A311" s="4">
        <v>1652</v>
      </c>
      <c r="B311" s="6" t="str">
        <f>VLOOKUP(TABLA_PRECIOS_LISTBOX[Código],LISTADO_PRODUCTOS[#All],4)</f>
        <v>Boligrafo Borrable Trabí Fantastic Tinta azul</v>
      </c>
      <c r="C311" s="6" t="str">
        <f>VLOOKUP(TABLA_PRECIOS_LISTBOX[Código],LISTADO_PRODUCTOS[#All],5)</f>
        <v>N/A</v>
      </c>
      <c r="D311" s="13">
        <f>VLOOKUP(TABLA_PRECIOS_LISTBOX[[#This Row],[Código]],TABLA_PRECIOS[#All],6)</f>
        <v>1</v>
      </c>
      <c r="E311" s="28">
        <f>VLOOKUP(TABLA_PRECIOS_LISTBOX[[#This Row],[Código]],TABLA_PRECIOS[#All],7)</f>
        <v>1</v>
      </c>
      <c r="F311" s="32">
        <f>VLOOKUP(TABLA_PRECIOS_LISTBOX[[#This Row],[Código]],TABLA_PRECIOS[#All],8)</f>
        <v>1</v>
      </c>
      <c r="G311" s="9">
        <f>VLOOKUP(TABLA_PRECIOS_LISTBOX[[#This Row],[Código]],TABLA_PRECIOS[#All],10)</f>
        <v>0</v>
      </c>
    </row>
    <row r="312" spans="1:7" ht="12" customHeight="1" x14ac:dyDescent="0.3">
      <c r="A312" s="4">
        <v>1661</v>
      </c>
      <c r="B312" s="6" t="str">
        <f>VLOOKUP(TABLA_PRECIOS_LISTBOX[Código],LISTADO_PRODUCTOS[#All],4)</f>
        <v xml:space="preserve">Repuesto Roller borrable Trabí </v>
      </c>
      <c r="C312" s="6" t="str">
        <f>VLOOKUP(TABLA_PRECIOS_LISTBOX[Código],LISTADO_PRODUCTOS[#All],5)</f>
        <v>N/A</v>
      </c>
      <c r="D312" s="13">
        <f>VLOOKUP(TABLA_PRECIOS_LISTBOX[[#This Row],[Código]],TABLA_PRECIOS[#All],6)</f>
        <v>1</v>
      </c>
      <c r="E312" s="28">
        <f>VLOOKUP(TABLA_PRECIOS_LISTBOX[[#This Row],[Código]],TABLA_PRECIOS[#All],7)</f>
        <v>1</v>
      </c>
      <c r="F312" s="32">
        <f>VLOOKUP(TABLA_PRECIOS_LISTBOX[[#This Row],[Código]],TABLA_PRECIOS[#All],8)</f>
        <v>1</v>
      </c>
      <c r="G312" s="9">
        <f>VLOOKUP(TABLA_PRECIOS_LISTBOX[[#This Row],[Código]],TABLA_PRECIOS[#All],10)</f>
        <v>0</v>
      </c>
    </row>
    <row r="313" spans="1:7" ht="12" customHeight="1" x14ac:dyDescent="0.3">
      <c r="A313" s="4">
        <v>1662</v>
      </c>
      <c r="B313" s="6" t="str">
        <f>VLOOKUP(TABLA_PRECIOS_LISTBOX[Código],LISTADO_PRODUCTOS[#All],4)</f>
        <v>Microfibra Filgo yo amo mis colores FLUO x 5 liner 038 - 7795513075296</v>
      </c>
      <c r="C313" s="6" t="str">
        <f>VLOOKUP(TABLA_PRECIOS_LISTBOX[Código],LISTADO_PRODUCTOS[#All],5)</f>
        <v>N/A</v>
      </c>
      <c r="D313" s="13">
        <f>VLOOKUP(TABLA_PRECIOS_LISTBOX[[#This Row],[Código]],TABLA_PRECIOS[#All],6)</f>
        <v>1</v>
      </c>
      <c r="E313" s="28">
        <f>VLOOKUP(TABLA_PRECIOS_LISTBOX[[#This Row],[Código]],TABLA_PRECIOS[#All],7)</f>
        <v>1</v>
      </c>
      <c r="F313" s="32">
        <f>VLOOKUP(TABLA_PRECIOS_LISTBOX[[#This Row],[Código]],TABLA_PRECIOS[#All],8)</f>
        <v>1</v>
      </c>
      <c r="G313" s="9">
        <f>VLOOKUP(TABLA_PRECIOS_LISTBOX[[#This Row],[Código]],TABLA_PRECIOS[#All],10)</f>
        <v>0</v>
      </c>
    </row>
    <row r="314" spans="1:7" ht="12" customHeight="1" x14ac:dyDescent="0.3">
      <c r="A314" s="4">
        <v>1666</v>
      </c>
      <c r="B314" s="6" t="str">
        <f>VLOOKUP(TABLA_PRECIOS_LISTBOX[Código],LISTADO_PRODUCTOS[#All],4)</f>
        <v xml:space="preserve">Portaminas BIC AI con grip 0.5 en presentacion </v>
      </c>
      <c r="C314" s="6" t="str">
        <f>VLOOKUP(TABLA_PRECIOS_LISTBOX[Código],LISTADO_PRODUCTOS[#All],5)</f>
        <v>N/A</v>
      </c>
      <c r="D314" s="13">
        <f>VLOOKUP(TABLA_PRECIOS_LISTBOX[[#This Row],[Código]],TABLA_PRECIOS[#All],6)</f>
        <v>1</v>
      </c>
      <c r="E314" s="28">
        <f>VLOOKUP(TABLA_PRECIOS_LISTBOX[[#This Row],[Código]],TABLA_PRECIOS[#All],7)</f>
        <v>1</v>
      </c>
      <c r="F314" s="32">
        <f>VLOOKUP(TABLA_PRECIOS_LISTBOX[[#This Row],[Código]],TABLA_PRECIOS[#All],8)</f>
        <v>1</v>
      </c>
      <c r="G314" s="9">
        <f>VLOOKUP(TABLA_PRECIOS_LISTBOX[[#This Row],[Código]],TABLA_PRECIOS[#All],10)</f>
        <v>0</v>
      </c>
    </row>
    <row r="315" spans="1:7" ht="12" customHeight="1" x14ac:dyDescent="0.3">
      <c r="A315" s="4">
        <v>1670</v>
      </c>
      <c r="B315" s="6" t="str">
        <f>VLOOKUP(TABLA_PRECIOS_LISTBOX[Código],LISTADO_PRODUCTOS[#All],4)</f>
        <v xml:space="preserve">Cuaderno LAPRIDA AB7 tradicional 21x27 100h Ray </v>
      </c>
      <c r="C315" s="6" t="str">
        <f>VLOOKUP(TABLA_PRECIOS_LISTBOX[Código],LISTADO_PRODUCTOS[#All],5)</f>
        <v>N/A</v>
      </c>
      <c r="D315" s="13">
        <f>VLOOKUP(TABLA_PRECIOS_LISTBOX[[#This Row],[Código]],TABLA_PRECIOS[#All],6)</f>
        <v>1</v>
      </c>
      <c r="E315" s="28">
        <f>VLOOKUP(TABLA_PRECIOS_LISTBOX[[#This Row],[Código]],TABLA_PRECIOS[#All],7)</f>
        <v>1</v>
      </c>
      <c r="F315" s="32">
        <f>VLOOKUP(TABLA_PRECIOS_LISTBOX[[#This Row],[Código]],TABLA_PRECIOS[#All],8)</f>
        <v>1</v>
      </c>
      <c r="G315" s="9">
        <f>VLOOKUP(TABLA_PRECIOS_LISTBOX[[#This Row],[Código]],TABLA_PRECIOS[#All],10)</f>
        <v>0</v>
      </c>
    </row>
    <row r="316" spans="1:7" ht="12" customHeight="1" x14ac:dyDescent="0.3">
      <c r="A316" s="4">
        <v>1671</v>
      </c>
      <c r="B316" s="6" t="str">
        <f>VLOOKUP(TABLA_PRECIOS_LISTBOX[Código],LISTADO_PRODUCTOS[#All],4)</f>
        <v>Block Muresco Kraft x 30h Muresco</v>
      </c>
      <c r="C316" s="6" t="str">
        <f>VLOOKUP(TABLA_PRECIOS_LISTBOX[Código],LISTADO_PRODUCTOS[#All],5)</f>
        <v>N/A</v>
      </c>
      <c r="D316" s="13">
        <f>VLOOKUP(TABLA_PRECIOS_LISTBOX[[#This Row],[Código]],TABLA_PRECIOS[#All],6)</f>
        <v>1</v>
      </c>
      <c r="E316" s="28">
        <f>VLOOKUP(TABLA_PRECIOS_LISTBOX[[#This Row],[Código]],TABLA_PRECIOS[#All],7)</f>
        <v>1</v>
      </c>
      <c r="F316" s="32">
        <f>VLOOKUP(TABLA_PRECIOS_LISTBOX[[#This Row],[Código]],TABLA_PRECIOS[#All],8)</f>
        <v>1</v>
      </c>
      <c r="G316" s="9">
        <f>VLOOKUP(TABLA_PRECIOS_LISTBOX[[#This Row],[Código]],TABLA_PRECIOS[#All],10)</f>
        <v>0</v>
      </c>
    </row>
    <row r="317" spans="1:7" ht="12" customHeight="1" x14ac:dyDescent="0.3">
      <c r="A317" s="4">
        <v>1672</v>
      </c>
      <c r="B317" s="6" t="str">
        <f>VLOOKUP(TABLA_PRECIOS_LISTBOX[Código],LISTADO_PRODUCTOS[#All],4)</f>
        <v>Marcadores Mooving Resaltador PWR Chic cuerpo triangular</v>
      </c>
      <c r="C317" s="6" t="str">
        <f>VLOOKUP(TABLA_PRECIOS_LISTBOX[Código],LISTADO_PRODUCTOS[#All],5)</f>
        <v>N/A</v>
      </c>
      <c r="D317" s="13">
        <f>VLOOKUP(TABLA_PRECIOS_LISTBOX[[#This Row],[Código]],TABLA_PRECIOS[#All],6)</f>
        <v>1</v>
      </c>
      <c r="E317" s="28">
        <f>VLOOKUP(TABLA_PRECIOS_LISTBOX[[#This Row],[Código]],TABLA_PRECIOS[#All],7)</f>
        <v>1</v>
      </c>
      <c r="F317" s="32">
        <f>VLOOKUP(TABLA_PRECIOS_LISTBOX[[#This Row],[Código]],TABLA_PRECIOS[#All],8)</f>
        <v>1</v>
      </c>
      <c r="G317" s="9">
        <f>VLOOKUP(TABLA_PRECIOS_LISTBOX[[#This Row],[Código]],TABLA_PRECIOS[#All],10)</f>
        <v>0</v>
      </c>
    </row>
    <row r="318" spans="1:7" ht="12" customHeight="1" x14ac:dyDescent="0.3">
      <c r="A318" s="4">
        <v>1674</v>
      </c>
      <c r="B318" s="6" t="str">
        <f>VLOOKUP(TABLA_PRECIOS_LISTBOX[Código],LISTADO_PRODUCTOS[#All],4)</f>
        <v>Microfibra Mooving punta metalica 0.4mm estuche x 10u</v>
      </c>
      <c r="C318" s="6" t="str">
        <f>VLOOKUP(TABLA_PRECIOS_LISTBOX[Código],LISTADO_PRODUCTOS[#All],5)</f>
        <v>N/A</v>
      </c>
      <c r="D318" s="13">
        <f>VLOOKUP(TABLA_PRECIOS_LISTBOX[[#This Row],[Código]],TABLA_PRECIOS[#All],6)</f>
        <v>1</v>
      </c>
      <c r="E318" s="28">
        <f>VLOOKUP(TABLA_PRECIOS_LISTBOX[[#This Row],[Código]],TABLA_PRECIOS[#All],7)</f>
        <v>1</v>
      </c>
      <c r="F318" s="32">
        <f>VLOOKUP(TABLA_PRECIOS_LISTBOX[[#This Row],[Código]],TABLA_PRECIOS[#All],8)</f>
        <v>1</v>
      </c>
      <c r="G318" s="9">
        <f>VLOOKUP(TABLA_PRECIOS_LISTBOX[[#This Row],[Código]],TABLA_PRECIOS[#All],10)</f>
        <v>0</v>
      </c>
    </row>
    <row r="319" spans="1:7" ht="12" customHeight="1" x14ac:dyDescent="0.3">
      <c r="A319" s="4">
        <v>1675</v>
      </c>
      <c r="B319" s="6" t="str">
        <f>VLOOKUP(TABLA_PRECIOS_LISTBOX[Código],LISTADO_PRODUCTOS[#All],4)</f>
        <v>Marcador Pizzini para vidrio x 9 colores</v>
      </c>
      <c r="C319" s="6" t="str">
        <f>VLOOKUP(TABLA_PRECIOS_LISTBOX[Código],LISTADO_PRODUCTOS[#All],5)</f>
        <v>N/A</v>
      </c>
      <c r="D319" s="13">
        <f>VLOOKUP(TABLA_PRECIOS_LISTBOX[[#This Row],[Código]],TABLA_PRECIOS[#All],6)</f>
        <v>1</v>
      </c>
      <c r="E319" s="28">
        <f>VLOOKUP(TABLA_PRECIOS_LISTBOX[[#This Row],[Código]],TABLA_PRECIOS[#All],7)</f>
        <v>1</v>
      </c>
      <c r="F319" s="32">
        <f>VLOOKUP(TABLA_PRECIOS_LISTBOX[[#This Row],[Código]],TABLA_PRECIOS[#All],8)</f>
        <v>1</v>
      </c>
      <c r="G319" s="9">
        <f>VLOOKUP(TABLA_PRECIOS_LISTBOX[[#This Row],[Código]],TABLA_PRECIOS[#All],10)</f>
        <v>0</v>
      </c>
    </row>
    <row r="320" spans="1:7" ht="12" customHeight="1" x14ac:dyDescent="0.3">
      <c r="A320" s="4">
        <v>1676</v>
      </c>
      <c r="B320" s="6" t="str">
        <f>VLOOKUP(TABLA_PRECIOS_LISTBOX[Código],LISTADO_PRODUCTOS[#All],4)</f>
        <v xml:space="preserve">Marcador Maped Window Color Peps para vidrio </v>
      </c>
      <c r="C320" s="6" t="str">
        <f>VLOOKUP(TABLA_PRECIOS_LISTBOX[Código],LISTADO_PRODUCTOS[#All],5)</f>
        <v>N/A</v>
      </c>
      <c r="D320" s="13">
        <f>VLOOKUP(TABLA_PRECIOS_LISTBOX[[#This Row],[Código]],TABLA_PRECIOS[#All],6)</f>
        <v>1</v>
      </c>
      <c r="E320" s="28">
        <f>VLOOKUP(TABLA_PRECIOS_LISTBOX[[#This Row],[Código]],TABLA_PRECIOS[#All],7)</f>
        <v>1</v>
      </c>
      <c r="F320" s="32">
        <f>VLOOKUP(TABLA_PRECIOS_LISTBOX[[#This Row],[Código]],TABLA_PRECIOS[#All],8)</f>
        <v>1</v>
      </c>
      <c r="G320" s="9">
        <f>VLOOKUP(TABLA_PRECIOS_LISTBOX[[#This Row],[Código]],TABLA_PRECIOS[#All],10)</f>
        <v>0</v>
      </c>
    </row>
    <row r="321" spans="1:7" ht="12" customHeight="1" x14ac:dyDescent="0.3">
      <c r="A321" s="4">
        <v>1678</v>
      </c>
      <c r="B321" s="6" t="str">
        <f>VLOOKUP(TABLA_PRECIOS_LISTBOX[Código],LISTADO_PRODUCTOS[#All],4)</f>
        <v>Goma de Borrar Dos Banderas 3036/ Minigoma Giotto Pastel</v>
      </c>
      <c r="C321" s="6" t="str">
        <f>VLOOKUP(TABLA_PRECIOS_LISTBOX[Código],LISTADO_PRODUCTOS[#All],5)</f>
        <v>N/A</v>
      </c>
      <c r="D321" s="13">
        <f>VLOOKUP(TABLA_PRECIOS_LISTBOX[[#This Row],[Código]],TABLA_PRECIOS[#All],6)</f>
        <v>1</v>
      </c>
      <c r="E321" s="28">
        <f>VLOOKUP(TABLA_PRECIOS_LISTBOX[[#This Row],[Código]],TABLA_PRECIOS[#All],7)</f>
        <v>1</v>
      </c>
      <c r="F321" s="32">
        <f>VLOOKUP(TABLA_PRECIOS_LISTBOX[[#This Row],[Código]],TABLA_PRECIOS[#All],8)</f>
        <v>1</v>
      </c>
      <c r="G321" s="9">
        <f>VLOOKUP(TABLA_PRECIOS_LISTBOX[[#This Row],[Código]],TABLA_PRECIOS[#All],10)</f>
        <v>0</v>
      </c>
    </row>
    <row r="322" spans="1:7" ht="12" customHeight="1" x14ac:dyDescent="0.3">
      <c r="A322" s="4">
        <v>1681</v>
      </c>
      <c r="B322" s="6" t="str">
        <f>VLOOKUP(TABLA_PRECIOS_LISTBOX[Código],LISTADO_PRODUCTOS[#All],4)</f>
        <v>Boligrafo Paper mate kilometrico economico</v>
      </c>
      <c r="C322" s="6" t="str">
        <f>VLOOKUP(TABLA_PRECIOS_LISTBOX[Código],LISTADO_PRODUCTOS[#All],5)</f>
        <v>N/A</v>
      </c>
      <c r="D322" s="13">
        <f>VLOOKUP(TABLA_PRECIOS_LISTBOX[[#This Row],[Código]],TABLA_PRECIOS[#All],6)</f>
        <v>1</v>
      </c>
      <c r="E322" s="28">
        <f>VLOOKUP(TABLA_PRECIOS_LISTBOX[[#This Row],[Código]],TABLA_PRECIOS[#All],7)</f>
        <v>1</v>
      </c>
      <c r="F322" s="32">
        <f>VLOOKUP(TABLA_PRECIOS_LISTBOX[[#This Row],[Código]],TABLA_PRECIOS[#All],8)</f>
        <v>1</v>
      </c>
      <c r="G322" s="9">
        <f>VLOOKUP(TABLA_PRECIOS_LISTBOX[[#This Row],[Código]],TABLA_PRECIOS[#All],10)</f>
        <v>0</v>
      </c>
    </row>
    <row r="323" spans="1:7" ht="12" customHeight="1" x14ac:dyDescent="0.3">
      <c r="A323" s="4">
        <v>1684</v>
      </c>
      <c r="B323" s="6" t="str">
        <f>VLOOKUP(TABLA_PRECIOS_LISTBOX[Código],LISTADO_PRODUCTOS[#All],4)</f>
        <v>Regla Flexible DELI 20cm</v>
      </c>
      <c r="C323" s="6" t="str">
        <f>VLOOKUP(TABLA_PRECIOS_LISTBOX[Código],LISTADO_PRODUCTOS[#All],5)</f>
        <v>N/A</v>
      </c>
      <c r="D323" s="13">
        <f>VLOOKUP(TABLA_PRECIOS_LISTBOX[[#This Row],[Código]],TABLA_PRECIOS[#All],6)</f>
        <v>1</v>
      </c>
      <c r="E323" s="28">
        <f>VLOOKUP(TABLA_PRECIOS_LISTBOX[[#This Row],[Código]],TABLA_PRECIOS[#All],7)</f>
        <v>1</v>
      </c>
      <c r="F323" s="32">
        <f>VLOOKUP(TABLA_PRECIOS_LISTBOX[[#This Row],[Código]],TABLA_PRECIOS[#All],8)</f>
        <v>1</v>
      </c>
      <c r="G323" s="9">
        <f>VLOOKUP(TABLA_PRECIOS_LISTBOX[[#This Row],[Código]],TABLA_PRECIOS[#All],10)</f>
        <v>0</v>
      </c>
    </row>
    <row r="324" spans="1:7" ht="12" customHeight="1" x14ac:dyDescent="0.3">
      <c r="A324" s="4">
        <v>1685</v>
      </c>
      <c r="B324" s="6" t="str">
        <f>VLOOKUP(TABLA_PRECIOS_LISTBOX[Código],LISTADO_PRODUCTOS[#All],4)</f>
        <v>Boligrafo Maped Visio Pen p/zurdos</v>
      </c>
      <c r="C324" s="6" t="str">
        <f>VLOOKUP(TABLA_PRECIOS_LISTBOX[Código],LISTADO_PRODUCTOS[#All],5)</f>
        <v>N/A</v>
      </c>
      <c r="D324" s="13">
        <f>VLOOKUP(TABLA_PRECIOS_LISTBOX[[#This Row],[Código]],TABLA_PRECIOS[#All],6)</f>
        <v>1</v>
      </c>
      <c r="E324" s="28">
        <f>VLOOKUP(TABLA_PRECIOS_LISTBOX[[#This Row],[Código]],TABLA_PRECIOS[#All],7)</f>
        <v>1</v>
      </c>
      <c r="F324" s="32">
        <f>VLOOKUP(TABLA_PRECIOS_LISTBOX[[#This Row],[Código]],TABLA_PRECIOS[#All],8)</f>
        <v>1</v>
      </c>
      <c r="G324" s="9">
        <f>VLOOKUP(TABLA_PRECIOS_LISTBOX[[#This Row],[Código]],TABLA_PRECIOS[#All],10)</f>
        <v>0</v>
      </c>
    </row>
    <row r="325" spans="1:7" ht="12" customHeight="1" x14ac:dyDescent="0.3">
      <c r="A325" s="4">
        <v>1686</v>
      </c>
      <c r="B325" s="6" t="str">
        <f>VLOOKUP(TABLA_PRECIOS_LISTBOX[Código],LISTADO_PRODUCTOS[#All],4)</f>
        <v>Lapices de colores Mooving Inseparables x 12 Doble punta (24 colore)</v>
      </c>
      <c r="C325" s="6" t="str">
        <f>VLOOKUP(TABLA_PRECIOS_LISTBOX[Código],LISTADO_PRODUCTOS[#All],5)</f>
        <v>N/A</v>
      </c>
      <c r="D325" s="13">
        <f>VLOOKUP(TABLA_PRECIOS_LISTBOX[[#This Row],[Código]],TABLA_PRECIOS[#All],6)</f>
        <v>1</v>
      </c>
      <c r="E325" s="28">
        <f>VLOOKUP(TABLA_PRECIOS_LISTBOX[[#This Row],[Código]],TABLA_PRECIOS[#All],7)</f>
        <v>1</v>
      </c>
      <c r="F325" s="32">
        <f>VLOOKUP(TABLA_PRECIOS_LISTBOX[[#This Row],[Código]],TABLA_PRECIOS[#All],8)</f>
        <v>1</v>
      </c>
      <c r="G325" s="9">
        <f>VLOOKUP(TABLA_PRECIOS_LISTBOX[[#This Row],[Código]],TABLA_PRECIOS[#All],10)</f>
        <v>0</v>
      </c>
    </row>
    <row r="326" spans="1:7" ht="12" customHeight="1" x14ac:dyDescent="0.3">
      <c r="A326" s="4">
        <v>1687</v>
      </c>
      <c r="B326" s="6" t="str">
        <f>VLOOKUP(TABLA_PRECIOS_LISTBOX[Código],LISTADO_PRODUCTOS[#All],4)</f>
        <v xml:space="preserve">Goma Maped Technic Duo  </v>
      </c>
      <c r="C326" s="6" t="str">
        <f>VLOOKUP(TABLA_PRECIOS_LISTBOX[Código],LISTADO_PRODUCTOS[#All],5)</f>
        <v>N/A</v>
      </c>
      <c r="D326" s="13">
        <f>VLOOKUP(TABLA_PRECIOS_LISTBOX[[#This Row],[Código]],TABLA_PRECIOS[#All],6)</f>
        <v>1</v>
      </c>
      <c r="E326" s="28">
        <f>VLOOKUP(TABLA_PRECIOS_LISTBOX[[#This Row],[Código]],TABLA_PRECIOS[#All],7)</f>
        <v>1</v>
      </c>
      <c r="F326" s="32">
        <f>VLOOKUP(TABLA_PRECIOS_LISTBOX[[#This Row],[Código]],TABLA_PRECIOS[#All],8)</f>
        <v>1</v>
      </c>
      <c r="G326" s="9">
        <f>VLOOKUP(TABLA_PRECIOS_LISTBOX[[#This Row],[Código]],TABLA_PRECIOS[#All],10)</f>
        <v>0</v>
      </c>
    </row>
    <row r="327" spans="1:7" ht="12" customHeight="1" x14ac:dyDescent="0.3">
      <c r="A327" s="4">
        <v>1688</v>
      </c>
      <c r="B327" s="6" t="str">
        <f>VLOOKUP(TABLA_PRECIOS_LISTBOX[Código],LISTADO_PRODUCTOS[#All],4)</f>
        <v>Cuaderno rivadavia  60h Tapa semi rigida metalizada ABC 21x27</v>
      </c>
      <c r="C327" s="6" t="str">
        <f>VLOOKUP(TABLA_PRECIOS_LISTBOX[Código],LISTADO_PRODUCTOS[#All],5)</f>
        <v>N/A</v>
      </c>
      <c r="D327" s="13">
        <f>VLOOKUP(TABLA_PRECIOS_LISTBOX[[#This Row],[Código]],TABLA_PRECIOS[#All],6)</f>
        <v>1</v>
      </c>
      <c r="E327" s="28">
        <f>VLOOKUP(TABLA_PRECIOS_LISTBOX[[#This Row],[Código]],TABLA_PRECIOS[#All],7)</f>
        <v>1</v>
      </c>
      <c r="F327" s="32">
        <f>VLOOKUP(TABLA_PRECIOS_LISTBOX[[#This Row],[Código]],TABLA_PRECIOS[#All],8)</f>
        <v>1</v>
      </c>
      <c r="G327" s="9">
        <f>VLOOKUP(TABLA_PRECIOS_LISTBOX[[#This Row],[Código]],TABLA_PRECIOS[#All],10)</f>
        <v>0</v>
      </c>
    </row>
    <row r="328" spans="1:7" ht="12" customHeight="1" x14ac:dyDescent="0.3">
      <c r="A328" s="4">
        <v>1689</v>
      </c>
      <c r="B328" s="6" t="str">
        <f>VLOOKUP(TABLA_PRECIOS_LISTBOX[Código],LISTADO_PRODUCTOS[#All],4)</f>
        <v>Set de Microfibras Maped Graph peps x 4u</v>
      </c>
      <c r="C328" s="6" t="str">
        <f>VLOOKUP(TABLA_PRECIOS_LISTBOX[Código],LISTADO_PRODUCTOS[#All],5)</f>
        <v>N/A</v>
      </c>
      <c r="D328" s="13">
        <f>VLOOKUP(TABLA_PRECIOS_LISTBOX[[#This Row],[Código]],TABLA_PRECIOS[#All],6)</f>
        <v>1</v>
      </c>
      <c r="E328" s="28">
        <f>VLOOKUP(TABLA_PRECIOS_LISTBOX[[#This Row],[Código]],TABLA_PRECIOS[#All],7)</f>
        <v>1</v>
      </c>
      <c r="F328" s="32">
        <f>VLOOKUP(TABLA_PRECIOS_LISTBOX[[#This Row],[Código]],TABLA_PRECIOS[#All],8)</f>
        <v>1</v>
      </c>
      <c r="G328" s="9">
        <f>VLOOKUP(TABLA_PRECIOS_LISTBOX[[#This Row],[Código]],TABLA_PRECIOS[#All],10)</f>
        <v>0</v>
      </c>
    </row>
    <row r="329" spans="1:7" ht="12" customHeight="1" x14ac:dyDescent="0.3">
      <c r="A329" s="4">
        <v>1691</v>
      </c>
      <c r="B329" s="6" t="str">
        <f>VLOOKUP(TABLA_PRECIOS_LISTBOX[Código],LISTADO_PRODUCTOS[#All],4)</f>
        <v>Boligrafo Paper Mate Kilometrico 100 3 x $300</v>
      </c>
      <c r="C329" s="6" t="str">
        <f>VLOOKUP(TABLA_PRECIOS_LISTBOX[Código],LISTADO_PRODUCTOS[#All],5)</f>
        <v>N/A</v>
      </c>
      <c r="D329" s="13">
        <f>VLOOKUP(TABLA_PRECIOS_LISTBOX[[#This Row],[Código]],TABLA_PRECIOS[#All],6)</f>
        <v>1</v>
      </c>
      <c r="E329" s="28">
        <f>VLOOKUP(TABLA_PRECIOS_LISTBOX[[#This Row],[Código]],TABLA_PRECIOS[#All],7)</f>
        <v>1</v>
      </c>
      <c r="F329" s="32">
        <f>VLOOKUP(TABLA_PRECIOS_LISTBOX[[#This Row],[Código]],TABLA_PRECIOS[#All],8)</f>
        <v>1</v>
      </c>
      <c r="G329" s="9">
        <f>VLOOKUP(TABLA_PRECIOS_LISTBOX[[#This Row],[Código]],TABLA_PRECIOS[#All],10)</f>
        <v>0</v>
      </c>
    </row>
    <row r="330" spans="1:7" ht="12" customHeight="1" x14ac:dyDescent="0.3">
      <c r="A330" s="4">
        <v>1692</v>
      </c>
      <c r="B330" s="6" t="str">
        <f>VLOOKUP(TABLA_PRECIOS_LISTBOX[Código],LISTADO_PRODUCTOS[#All],4)</f>
        <v>Microfibra Maped Graph Peps fine 0.4</v>
      </c>
      <c r="C330" s="6" t="str">
        <f>VLOOKUP(TABLA_PRECIOS_LISTBOX[Código],LISTADO_PRODUCTOS[#All],5)</f>
        <v>N/A</v>
      </c>
      <c r="D330" s="13">
        <f>VLOOKUP(TABLA_PRECIOS_LISTBOX[[#This Row],[Código]],TABLA_PRECIOS[#All],6)</f>
        <v>1</v>
      </c>
      <c r="E330" s="28">
        <f>VLOOKUP(TABLA_PRECIOS_LISTBOX[[#This Row],[Código]],TABLA_PRECIOS[#All],7)</f>
        <v>1</v>
      </c>
      <c r="F330" s="32">
        <f>VLOOKUP(TABLA_PRECIOS_LISTBOX[[#This Row],[Código]],TABLA_PRECIOS[#All],8)</f>
        <v>1</v>
      </c>
      <c r="G330" s="9">
        <f>VLOOKUP(TABLA_PRECIOS_LISTBOX[[#This Row],[Código]],TABLA_PRECIOS[#All],10)</f>
        <v>0</v>
      </c>
    </row>
    <row r="331" spans="1:7" ht="12" customHeight="1" x14ac:dyDescent="0.3">
      <c r="A331" s="4">
        <v>1693</v>
      </c>
      <c r="B331" s="6" t="str">
        <f>VLOOKUP(TABLA_PRECIOS_LISTBOX[Código],LISTADO_PRODUCTOS[#All],4)</f>
        <v>Block N°6 Luma Blanco</v>
      </c>
      <c r="C331" s="6" t="str">
        <f>VLOOKUP(TABLA_PRECIOS_LISTBOX[Código],LISTADO_PRODUCTOS[#All],5)</f>
        <v>N/A</v>
      </c>
      <c r="D331" s="13">
        <f>VLOOKUP(TABLA_PRECIOS_LISTBOX[[#This Row],[Código]],TABLA_PRECIOS[#All],6)</f>
        <v>1</v>
      </c>
      <c r="E331" s="28">
        <f>VLOOKUP(TABLA_PRECIOS_LISTBOX[[#This Row],[Código]],TABLA_PRECIOS[#All],7)</f>
        <v>1</v>
      </c>
      <c r="F331" s="32">
        <f>VLOOKUP(TABLA_PRECIOS_LISTBOX[[#This Row],[Código]],TABLA_PRECIOS[#All],8)</f>
        <v>1</v>
      </c>
      <c r="G331" s="9">
        <f>VLOOKUP(TABLA_PRECIOS_LISTBOX[[#This Row],[Código]],TABLA_PRECIOS[#All],10)</f>
        <v>0</v>
      </c>
    </row>
    <row r="332" spans="1:7" ht="12" customHeight="1" x14ac:dyDescent="0.3">
      <c r="A332" s="4">
        <v>1694</v>
      </c>
      <c r="B332" s="6" t="str">
        <f>VLOOKUP(TABLA_PRECIOS_LISTBOX[Código],LISTADO_PRODUCTOS[#All],4)</f>
        <v>Microfibra Maped Graph Peps Colores vivos x 4</v>
      </c>
      <c r="C332" s="6" t="str">
        <f>VLOOKUP(TABLA_PRECIOS_LISTBOX[Código],LISTADO_PRODUCTOS[#All],5)</f>
        <v>N/A</v>
      </c>
      <c r="D332" s="13">
        <f>VLOOKUP(TABLA_PRECIOS_LISTBOX[[#This Row],[Código]],TABLA_PRECIOS[#All],6)</f>
        <v>1</v>
      </c>
      <c r="E332" s="28">
        <f>VLOOKUP(TABLA_PRECIOS_LISTBOX[[#This Row],[Código]],TABLA_PRECIOS[#All],7)</f>
        <v>1</v>
      </c>
      <c r="F332" s="32">
        <f>VLOOKUP(TABLA_PRECIOS_LISTBOX[[#This Row],[Código]],TABLA_PRECIOS[#All],8)</f>
        <v>1</v>
      </c>
      <c r="G332" s="9">
        <f>VLOOKUP(TABLA_PRECIOS_LISTBOX[[#This Row],[Código]],TABLA_PRECIOS[#All],10)</f>
        <v>0</v>
      </c>
    </row>
    <row r="333" spans="1:7" ht="12" customHeight="1" x14ac:dyDescent="0.3">
      <c r="A333" s="4">
        <v>1698</v>
      </c>
      <c r="B333" s="6" t="str">
        <f>VLOOKUP(TABLA_PRECIOS_LISTBOX[Código],LISTADO_PRODUCTOS[#All],4)</f>
        <v>Lupa Maped ergo logic 75mm</v>
      </c>
      <c r="C333" s="6" t="str">
        <f>VLOOKUP(TABLA_PRECIOS_LISTBOX[Código],LISTADO_PRODUCTOS[#All],5)</f>
        <v>N/A</v>
      </c>
      <c r="D333" s="13">
        <f>VLOOKUP(TABLA_PRECIOS_LISTBOX[[#This Row],[Código]],TABLA_PRECIOS[#All],6)</f>
        <v>1</v>
      </c>
      <c r="E333" s="28">
        <f>VLOOKUP(TABLA_PRECIOS_LISTBOX[[#This Row],[Código]],TABLA_PRECIOS[#All],7)</f>
        <v>1</v>
      </c>
      <c r="F333" s="32">
        <f>VLOOKUP(TABLA_PRECIOS_LISTBOX[[#This Row],[Código]],TABLA_PRECIOS[#All],8)</f>
        <v>1</v>
      </c>
      <c r="G333" s="9">
        <f>VLOOKUP(TABLA_PRECIOS_LISTBOX[[#This Row],[Código]],TABLA_PRECIOS[#All],10)</f>
        <v>0</v>
      </c>
    </row>
    <row r="334" spans="1:7" ht="12" customHeight="1" x14ac:dyDescent="0.3">
      <c r="A334" s="4">
        <v>1701</v>
      </c>
      <c r="B334" s="6" t="str">
        <f>VLOOKUP(TABLA_PRECIOS_LISTBOX[Código],LISTADO_PRODUCTOS[#All],4)</f>
        <v>Canopla Mooving estilo Trend Pastel 1522210</v>
      </c>
      <c r="C334" s="6" t="str">
        <f>VLOOKUP(TABLA_PRECIOS_LISTBOX[Código],LISTADO_PRODUCTOS[#All],5)</f>
        <v>N/A</v>
      </c>
      <c r="D334" s="13">
        <f>VLOOKUP(TABLA_PRECIOS_LISTBOX[[#This Row],[Código]],TABLA_PRECIOS[#All],6)</f>
        <v>1</v>
      </c>
      <c r="E334" s="28">
        <f>VLOOKUP(TABLA_PRECIOS_LISTBOX[[#This Row],[Código]],TABLA_PRECIOS[#All],7)</f>
        <v>1</v>
      </c>
      <c r="F334" s="32">
        <f>VLOOKUP(TABLA_PRECIOS_LISTBOX[[#This Row],[Código]],TABLA_PRECIOS[#All],8)</f>
        <v>1</v>
      </c>
      <c r="G334" s="9">
        <f>VLOOKUP(TABLA_PRECIOS_LISTBOX[[#This Row],[Código]],TABLA_PRECIOS[#All],10)</f>
        <v>0</v>
      </c>
    </row>
    <row r="335" spans="1:7" ht="12" customHeight="1" x14ac:dyDescent="0.3">
      <c r="A335" s="4">
        <v>1709</v>
      </c>
      <c r="B335" s="6" t="str">
        <f>VLOOKUP(TABLA_PRECIOS_LISTBOX[Código],LISTADO_PRODUCTOS[#All],4)</f>
        <v>Folio Reforzado Borde color Luma N°3</v>
      </c>
      <c r="C335" s="6" t="str">
        <f>VLOOKUP(TABLA_PRECIOS_LISTBOX[Código],LISTADO_PRODUCTOS[#All],5)</f>
        <v>N/A</v>
      </c>
      <c r="D335" s="13">
        <f>VLOOKUP(TABLA_PRECIOS_LISTBOX[[#This Row],[Código]],TABLA_PRECIOS[#All],6)</f>
        <v>1</v>
      </c>
      <c r="E335" s="28">
        <f>VLOOKUP(TABLA_PRECIOS_LISTBOX[[#This Row],[Código]],TABLA_PRECIOS[#All],7)</f>
        <v>1</v>
      </c>
      <c r="F335" s="32">
        <f>VLOOKUP(TABLA_PRECIOS_LISTBOX[[#This Row],[Código]],TABLA_PRECIOS[#All],8)</f>
        <v>1</v>
      </c>
      <c r="G335" s="9">
        <f>VLOOKUP(TABLA_PRECIOS_LISTBOX[[#This Row],[Código]],TABLA_PRECIOS[#All],10)</f>
        <v>0</v>
      </c>
    </row>
    <row r="336" spans="1:7" ht="12" customHeight="1" x14ac:dyDescent="0.3">
      <c r="A336" s="4">
        <v>1713</v>
      </c>
      <c r="B336" s="6" t="str">
        <f>VLOOKUP(TABLA_PRECIOS_LISTBOX[Código],LISTADO_PRODUCTOS[#All],4)</f>
        <v>Carpeta para aros Ota Lama A4 Carpeta N°4</v>
      </c>
      <c r="C336" s="6" t="str">
        <f>VLOOKUP(TABLA_PRECIOS_LISTBOX[Código],LISTADO_PRODUCTOS[#All],5)</f>
        <v>N/A</v>
      </c>
      <c r="D336" s="13">
        <f>VLOOKUP(TABLA_PRECIOS_LISTBOX[[#This Row],[Código]],TABLA_PRECIOS[#All],6)</f>
        <v>1</v>
      </c>
      <c r="E336" s="28">
        <f>VLOOKUP(TABLA_PRECIOS_LISTBOX[[#This Row],[Código]],TABLA_PRECIOS[#All],7)</f>
        <v>1</v>
      </c>
      <c r="F336" s="32">
        <f>VLOOKUP(TABLA_PRECIOS_LISTBOX[[#This Row],[Código]],TABLA_PRECIOS[#All],8)</f>
        <v>1</v>
      </c>
      <c r="G336" s="9">
        <f>VLOOKUP(TABLA_PRECIOS_LISTBOX[[#This Row],[Código]],TABLA_PRECIOS[#All],10)</f>
        <v>0</v>
      </c>
    </row>
    <row r="337" spans="1:7" ht="12" customHeight="1" x14ac:dyDescent="0.3">
      <c r="A337" s="4">
        <v>1717</v>
      </c>
      <c r="B337" s="6" t="str">
        <f>VLOOKUP(TABLA_PRECIOS_LISTBOX[Código],LISTADO_PRODUCTOS[#All],4)</f>
        <v>Marcador doble punta Filgo Permanente 042</v>
      </c>
      <c r="C337" s="6" t="str">
        <f>VLOOKUP(TABLA_PRECIOS_LISTBOX[Código],LISTADO_PRODUCTOS[#All],5)</f>
        <v>N/A</v>
      </c>
      <c r="D337" s="13">
        <f>VLOOKUP(TABLA_PRECIOS_LISTBOX[[#This Row],[Código]],TABLA_PRECIOS[#All],6)</f>
        <v>1</v>
      </c>
      <c r="E337" s="28">
        <f>VLOOKUP(TABLA_PRECIOS_LISTBOX[[#This Row],[Código]],TABLA_PRECIOS[#All],7)</f>
        <v>1</v>
      </c>
      <c r="F337" s="32">
        <f>VLOOKUP(TABLA_PRECIOS_LISTBOX[[#This Row],[Código]],TABLA_PRECIOS[#All],8)</f>
        <v>1</v>
      </c>
      <c r="G337" s="9">
        <f>VLOOKUP(TABLA_PRECIOS_LISTBOX[[#This Row],[Código]],TABLA_PRECIOS[#All],10)</f>
        <v>0</v>
      </c>
    </row>
    <row r="338" spans="1:7" ht="12" customHeight="1" x14ac:dyDescent="0.3">
      <c r="A338" s="4">
        <v>1718</v>
      </c>
      <c r="B338" s="6" t="str">
        <f>VLOOKUP(TABLA_PRECIOS_LISTBOX[Código],LISTADO_PRODUCTOS[#All],4)</f>
        <v>Cuaderno Tapa dura A4 AB7 Laprida 21x27 60h</v>
      </c>
      <c r="C338" s="6" t="str">
        <f>VLOOKUP(TABLA_PRECIOS_LISTBOX[Código],LISTADO_PRODUCTOS[#All],5)</f>
        <v>N/A</v>
      </c>
      <c r="D338" s="13">
        <f>VLOOKUP(TABLA_PRECIOS_LISTBOX[[#This Row],[Código]],TABLA_PRECIOS[#All],6)</f>
        <v>1</v>
      </c>
      <c r="E338" s="28">
        <f>VLOOKUP(TABLA_PRECIOS_LISTBOX[[#This Row],[Código]],TABLA_PRECIOS[#All],7)</f>
        <v>1</v>
      </c>
      <c r="F338" s="32">
        <f>VLOOKUP(TABLA_PRECIOS_LISTBOX[[#This Row],[Código]],TABLA_PRECIOS[#All],8)</f>
        <v>1</v>
      </c>
      <c r="G338" s="9">
        <f>VLOOKUP(TABLA_PRECIOS_LISTBOX[[#This Row],[Código]],TABLA_PRECIOS[#All],10)</f>
        <v>0</v>
      </c>
    </row>
    <row r="339" spans="1:7" ht="12" customHeight="1" x14ac:dyDescent="0.3">
      <c r="A339" s="4">
        <v>1719</v>
      </c>
      <c r="B339" s="6" t="str">
        <f>VLOOKUP(TABLA_PRECIOS_LISTBOX[Código],LISTADO_PRODUCTOS[#All],4)</f>
        <v>Roller Mooving tinta Gel Silky Glitter x5</v>
      </c>
      <c r="C339" s="6" t="str">
        <f>VLOOKUP(TABLA_PRECIOS_LISTBOX[Código],LISTADO_PRODUCTOS[#All],5)</f>
        <v>N/A</v>
      </c>
      <c r="D339" s="13">
        <f>VLOOKUP(TABLA_PRECIOS_LISTBOX[[#This Row],[Código]],TABLA_PRECIOS[#All],6)</f>
        <v>1</v>
      </c>
      <c r="E339" s="28">
        <f>VLOOKUP(TABLA_PRECIOS_LISTBOX[[#This Row],[Código]],TABLA_PRECIOS[#All],7)</f>
        <v>1</v>
      </c>
      <c r="F339" s="32">
        <f>VLOOKUP(TABLA_PRECIOS_LISTBOX[[#This Row],[Código]],TABLA_PRECIOS[#All],8)</f>
        <v>1</v>
      </c>
      <c r="G339" s="9">
        <f>VLOOKUP(TABLA_PRECIOS_LISTBOX[[#This Row],[Código]],TABLA_PRECIOS[#All],10)</f>
        <v>0</v>
      </c>
    </row>
    <row r="340" spans="1:7" ht="12" customHeight="1" x14ac:dyDescent="0.3">
      <c r="A340" s="4">
        <v>1720</v>
      </c>
      <c r="B340" s="6" t="str">
        <f>VLOOKUP(TABLA_PRECIOS_LISTBOX[Código],LISTADO_PRODUCTOS[#All],4)</f>
        <v>Boligrafo Gel Glitter Simball x 5u</v>
      </c>
      <c r="C340" s="6" t="str">
        <f>VLOOKUP(TABLA_PRECIOS_LISTBOX[Código],LISTADO_PRODUCTOS[#All],5)</f>
        <v>N/A</v>
      </c>
      <c r="D340" s="13">
        <f>VLOOKUP(TABLA_PRECIOS_LISTBOX[[#This Row],[Código]],TABLA_PRECIOS[#All],6)</f>
        <v>1</v>
      </c>
      <c r="E340" s="28">
        <f>VLOOKUP(TABLA_PRECIOS_LISTBOX[[#This Row],[Código]],TABLA_PRECIOS[#All],7)</f>
        <v>1</v>
      </c>
      <c r="F340" s="32">
        <f>VLOOKUP(TABLA_PRECIOS_LISTBOX[[#This Row],[Código]],TABLA_PRECIOS[#All],8)</f>
        <v>1</v>
      </c>
      <c r="G340" s="9">
        <f>VLOOKUP(TABLA_PRECIOS_LISTBOX[[#This Row],[Código]],TABLA_PRECIOS[#All],10)</f>
        <v>0</v>
      </c>
    </row>
    <row r="341" spans="1:7" ht="12" customHeight="1" x14ac:dyDescent="0.3">
      <c r="A341" s="4">
        <v>1721</v>
      </c>
      <c r="B341" s="6" t="str">
        <f>VLOOKUP(TABLA_PRECIOS_LISTBOX[Código],LISTADO_PRODUCTOS[#All],4)</f>
        <v>Señaladore Deli Index Tab 100x4</v>
      </c>
      <c r="C341" s="6" t="str">
        <f>VLOOKUP(TABLA_PRECIOS_LISTBOX[Código],LISTADO_PRODUCTOS[#All],5)</f>
        <v>N/A</v>
      </c>
      <c r="D341" s="13">
        <f>VLOOKUP(TABLA_PRECIOS_LISTBOX[[#This Row],[Código]],TABLA_PRECIOS[#All],6)</f>
        <v>1</v>
      </c>
      <c r="E341" s="28">
        <f>VLOOKUP(TABLA_PRECIOS_LISTBOX[[#This Row],[Código]],TABLA_PRECIOS[#All],7)</f>
        <v>1</v>
      </c>
      <c r="F341" s="32">
        <f>VLOOKUP(TABLA_PRECIOS_LISTBOX[[#This Row],[Código]],TABLA_PRECIOS[#All],8)</f>
        <v>1</v>
      </c>
      <c r="G341" s="9">
        <f>VLOOKUP(TABLA_PRECIOS_LISTBOX[[#This Row],[Código]],TABLA_PRECIOS[#All],10)</f>
        <v>0</v>
      </c>
    </row>
    <row r="342" spans="1:7" ht="12" customHeight="1" x14ac:dyDescent="0.3">
      <c r="A342" s="4">
        <v>1722</v>
      </c>
      <c r="B342" s="6" t="str">
        <f>VLOOKUP(TABLA_PRECIOS_LISTBOX[Código],LISTADO_PRODUCTOS[#All],4)</f>
        <v>Blister boligrafo Paper mate Ink Joy x8u</v>
      </c>
      <c r="C342" s="6" t="str">
        <f>VLOOKUP(TABLA_PRECIOS_LISTBOX[Código],LISTADO_PRODUCTOS[#All],5)</f>
        <v>N/A</v>
      </c>
      <c r="D342" s="13">
        <f>VLOOKUP(TABLA_PRECIOS_LISTBOX[[#This Row],[Código]],TABLA_PRECIOS[#All],6)</f>
        <v>1</v>
      </c>
      <c r="E342" s="28">
        <f>VLOOKUP(TABLA_PRECIOS_LISTBOX[[#This Row],[Código]],TABLA_PRECIOS[#All],7)</f>
        <v>1</v>
      </c>
      <c r="F342" s="32">
        <f>VLOOKUP(TABLA_PRECIOS_LISTBOX[[#This Row],[Código]],TABLA_PRECIOS[#All],8)</f>
        <v>1</v>
      </c>
      <c r="G342" s="9">
        <f>VLOOKUP(TABLA_PRECIOS_LISTBOX[[#This Row],[Código]],TABLA_PRECIOS[#All],10)</f>
        <v>0</v>
      </c>
    </row>
    <row r="343" spans="1:7" ht="12" customHeight="1" x14ac:dyDescent="0.3">
      <c r="A343" s="4">
        <v>1723</v>
      </c>
      <c r="B343" s="6" t="str">
        <f>VLOOKUP(TABLA_PRECIOS_LISTBOX[Código],LISTADO_PRODUCTOS[#All],4)</f>
        <v>Pizarra blanca 30x40 Marco metal</v>
      </c>
      <c r="C343" s="6" t="str">
        <f>VLOOKUP(TABLA_PRECIOS_LISTBOX[Código],LISTADO_PRODUCTOS[#All],5)</f>
        <v>N/A</v>
      </c>
      <c r="D343" s="13">
        <f>VLOOKUP(TABLA_PRECIOS_LISTBOX[[#This Row],[Código]],TABLA_PRECIOS[#All],6)</f>
        <v>1</v>
      </c>
      <c r="E343" s="28">
        <f>VLOOKUP(TABLA_PRECIOS_LISTBOX[[#This Row],[Código]],TABLA_PRECIOS[#All],7)</f>
        <v>1</v>
      </c>
      <c r="F343" s="32">
        <f>VLOOKUP(TABLA_PRECIOS_LISTBOX[[#This Row],[Código]],TABLA_PRECIOS[#All],8)</f>
        <v>1</v>
      </c>
      <c r="G343" s="9">
        <f>VLOOKUP(TABLA_PRECIOS_LISTBOX[[#This Row],[Código]],TABLA_PRECIOS[#All],10)</f>
        <v>0</v>
      </c>
    </row>
    <row r="344" spans="1:7" ht="12" customHeight="1" x14ac:dyDescent="0.3">
      <c r="A344" s="4">
        <v>2000</v>
      </c>
      <c r="B344" s="6" t="str">
        <f>VLOOKUP(TABLA_PRECIOS_LISTBOX[Código],LISTADO_PRODUCTOS[#All],4)</f>
        <v xml:space="preserve">Resma A4 Autor 75g </v>
      </c>
      <c r="C344" s="6" t="str">
        <f>VLOOKUP(TABLA_PRECIOS_LISTBOX[Código],LISTADO_PRODUCTOS[#All],5)</f>
        <v>N/A</v>
      </c>
      <c r="D344" s="13">
        <f>VLOOKUP(TABLA_PRECIOS_LISTBOX[[#This Row],[Código]],TABLA_PRECIOS[#All],6)</f>
        <v>1</v>
      </c>
      <c r="E344" s="28">
        <f>VLOOKUP(TABLA_PRECIOS_LISTBOX[[#This Row],[Código]],TABLA_PRECIOS[#All],7)</f>
        <v>1</v>
      </c>
      <c r="F344" s="32">
        <f>VLOOKUP(TABLA_PRECIOS_LISTBOX[[#This Row],[Código]],TABLA_PRECIOS[#All],8)</f>
        <v>1</v>
      </c>
      <c r="G344" s="9">
        <f>VLOOKUP(TABLA_PRECIOS_LISTBOX[[#This Row],[Código]],TABLA_PRECIOS[#All],10)</f>
        <v>0</v>
      </c>
    </row>
    <row r="345" spans="1:7" ht="12" customHeight="1" x14ac:dyDescent="0.3">
      <c r="A345" s="4">
        <v>2001</v>
      </c>
      <c r="B345" s="6" t="str">
        <f>VLOOKUP(TABLA_PRECIOS_LISTBOX[Código],LISTADO_PRODUCTOS[#All],4)</f>
        <v>Resma A4 Autor 80g</v>
      </c>
      <c r="C345" s="6" t="str">
        <f>VLOOKUP(TABLA_PRECIOS_LISTBOX[Código],LISTADO_PRODUCTOS[#All],5)</f>
        <v>N/A</v>
      </c>
      <c r="D345" s="13">
        <f>VLOOKUP(TABLA_PRECIOS_LISTBOX[[#This Row],[Código]],TABLA_PRECIOS[#All],6)</f>
        <v>1</v>
      </c>
      <c r="E345" s="28">
        <f>VLOOKUP(TABLA_PRECIOS_LISTBOX[[#This Row],[Código]],TABLA_PRECIOS[#All],7)</f>
        <v>1</v>
      </c>
      <c r="F345" s="32">
        <f>VLOOKUP(TABLA_PRECIOS_LISTBOX[[#This Row],[Código]],TABLA_PRECIOS[#All],8)</f>
        <v>1</v>
      </c>
      <c r="G345" s="9">
        <f>VLOOKUP(TABLA_PRECIOS_LISTBOX[[#This Row],[Código]],TABLA_PRECIOS[#All],10)</f>
        <v>0</v>
      </c>
    </row>
    <row r="346" spans="1:7" ht="12" customHeight="1" x14ac:dyDescent="0.3">
      <c r="A346" s="4">
        <v>2002</v>
      </c>
      <c r="B346" s="6" t="str">
        <f>VLOOKUP(TABLA_PRECIOS_LISTBOX[Código],LISTADO_PRODUCTOS[#All],4)</f>
        <v>Resma A4 Autor 90g</v>
      </c>
      <c r="C346" s="6" t="str">
        <f>VLOOKUP(TABLA_PRECIOS_LISTBOX[Código],LISTADO_PRODUCTOS[#All],5)</f>
        <v>N/A</v>
      </c>
      <c r="D346" s="13">
        <f>VLOOKUP(TABLA_PRECIOS_LISTBOX[[#This Row],[Código]],TABLA_PRECIOS[#All],6)</f>
        <v>1</v>
      </c>
      <c r="E346" s="28">
        <f>VLOOKUP(TABLA_PRECIOS_LISTBOX[[#This Row],[Código]],TABLA_PRECIOS[#All],7)</f>
        <v>1</v>
      </c>
      <c r="F346" s="32">
        <f>VLOOKUP(TABLA_PRECIOS_LISTBOX[[#This Row],[Código]],TABLA_PRECIOS[#All],8)</f>
        <v>1</v>
      </c>
      <c r="G346" s="9">
        <f>VLOOKUP(TABLA_PRECIOS_LISTBOX[[#This Row],[Código]],TABLA_PRECIOS[#All],10)</f>
        <v>0</v>
      </c>
    </row>
    <row r="347" spans="1:7" ht="12" customHeight="1" x14ac:dyDescent="0.3">
      <c r="A347" s="4">
        <v>2003</v>
      </c>
      <c r="B347" s="6" t="str">
        <f>VLOOKUP(TABLA_PRECIOS_LISTBOX[Código],LISTADO_PRODUCTOS[#All],4)</f>
        <v>Resma Oficio Autor 75g</v>
      </c>
      <c r="C347" s="6" t="str">
        <f>VLOOKUP(TABLA_PRECIOS_LISTBOX[Código],LISTADO_PRODUCTOS[#All],5)</f>
        <v>N/A</v>
      </c>
      <c r="D347" s="13">
        <f>VLOOKUP(TABLA_PRECIOS_LISTBOX[[#This Row],[Código]],TABLA_PRECIOS[#All],6)</f>
        <v>1</v>
      </c>
      <c r="E347" s="28">
        <f>VLOOKUP(TABLA_PRECIOS_LISTBOX[[#This Row],[Código]],TABLA_PRECIOS[#All],7)</f>
        <v>1</v>
      </c>
      <c r="F347" s="32">
        <f>VLOOKUP(TABLA_PRECIOS_LISTBOX[[#This Row],[Código]],TABLA_PRECIOS[#All],8)</f>
        <v>1</v>
      </c>
      <c r="G347" s="9">
        <f>VLOOKUP(TABLA_PRECIOS_LISTBOX[[#This Row],[Código]],TABLA_PRECIOS[#All],10)</f>
        <v>0</v>
      </c>
    </row>
    <row r="348" spans="1:7" ht="12" customHeight="1" x14ac:dyDescent="0.3">
      <c r="A348" s="4">
        <v>2004</v>
      </c>
      <c r="B348" s="6" t="str">
        <f>VLOOKUP(TABLA_PRECIOS_LISTBOX[Código],LISTADO_PRODUCTOS[#All],4)</f>
        <v>Resma Oficio Autor 80g</v>
      </c>
      <c r="C348" s="6" t="str">
        <f>VLOOKUP(TABLA_PRECIOS_LISTBOX[Código],LISTADO_PRODUCTOS[#All],5)</f>
        <v>N/A</v>
      </c>
      <c r="D348" s="13">
        <f>VLOOKUP(TABLA_PRECIOS_LISTBOX[[#This Row],[Código]],TABLA_PRECIOS[#All],6)</f>
        <v>1</v>
      </c>
      <c r="E348" s="28">
        <f>VLOOKUP(TABLA_PRECIOS_LISTBOX[[#This Row],[Código]],TABLA_PRECIOS[#All],7)</f>
        <v>1</v>
      </c>
      <c r="F348" s="32">
        <f>VLOOKUP(TABLA_PRECIOS_LISTBOX[[#This Row],[Código]],TABLA_PRECIOS[#All],8)</f>
        <v>1</v>
      </c>
      <c r="G348" s="9">
        <f>VLOOKUP(TABLA_PRECIOS_LISTBOX[[#This Row],[Código]],TABLA_PRECIOS[#All],10)</f>
        <v>0</v>
      </c>
    </row>
    <row r="349" spans="1:7" ht="12" customHeight="1" x14ac:dyDescent="0.3">
      <c r="A349" s="4">
        <v>2005</v>
      </c>
      <c r="B349" s="6" t="str">
        <f>VLOOKUP(TABLA_PRECIOS_LISTBOX[Código],LISTADO_PRODUCTOS[#All],4)</f>
        <v>Resma A4 Chamex 75gr</v>
      </c>
      <c r="C349" s="6" t="str">
        <f>VLOOKUP(TABLA_PRECIOS_LISTBOX[Código],LISTADO_PRODUCTOS[#All],5)</f>
        <v>N/A</v>
      </c>
      <c r="D349" s="13">
        <f>VLOOKUP(TABLA_PRECIOS_LISTBOX[[#This Row],[Código]],TABLA_PRECIOS[#All],6)</f>
        <v>1</v>
      </c>
      <c r="E349" s="28">
        <f>VLOOKUP(TABLA_PRECIOS_LISTBOX[[#This Row],[Código]],TABLA_PRECIOS[#All],7)</f>
        <v>1</v>
      </c>
      <c r="F349" s="32">
        <f>VLOOKUP(TABLA_PRECIOS_LISTBOX[[#This Row],[Código]],TABLA_PRECIOS[#All],8)</f>
        <v>1</v>
      </c>
      <c r="G349" s="9">
        <f>VLOOKUP(TABLA_PRECIOS_LISTBOX[[#This Row],[Código]],TABLA_PRECIOS[#All],10)</f>
        <v>0</v>
      </c>
    </row>
    <row r="350" spans="1:7" ht="12" customHeight="1" x14ac:dyDescent="0.3">
      <c r="A350" s="4">
        <v>2006</v>
      </c>
      <c r="B350" s="6" t="str">
        <f>VLOOKUP(TABLA_PRECIOS_LISTBOX[Código],LISTADO_PRODUCTOS[#All],4)</f>
        <v>Resma Ledesma NAT A4</v>
      </c>
      <c r="C350" s="6" t="str">
        <f>VLOOKUP(TABLA_PRECIOS_LISTBOX[Código],LISTADO_PRODUCTOS[#All],5)</f>
        <v>N/A</v>
      </c>
      <c r="D350" s="13">
        <f>VLOOKUP(TABLA_PRECIOS_LISTBOX[[#This Row],[Código]],TABLA_PRECIOS[#All],6)</f>
        <v>1</v>
      </c>
      <c r="E350" s="28">
        <f>VLOOKUP(TABLA_PRECIOS_LISTBOX[[#This Row],[Código]],TABLA_PRECIOS[#All],7)</f>
        <v>1</v>
      </c>
      <c r="F350" s="32">
        <f>VLOOKUP(TABLA_PRECIOS_LISTBOX[[#This Row],[Código]],TABLA_PRECIOS[#All],8)</f>
        <v>1</v>
      </c>
      <c r="G350" s="9">
        <f>VLOOKUP(TABLA_PRECIOS_LISTBOX[[#This Row],[Código]],TABLA_PRECIOS[#All],10)</f>
        <v>0</v>
      </c>
    </row>
    <row r="351" spans="1:7" ht="12" customHeight="1" x14ac:dyDescent="0.3">
      <c r="A351" s="4">
        <v>2007</v>
      </c>
      <c r="B351" s="6" t="str">
        <f>VLOOKUP(TABLA_PRECIOS_LISTBOX[Código],LISTADO_PRODUCTOS[#All],4)</f>
        <v>Resma A4 color autor  x 250h</v>
      </c>
      <c r="C351" s="6" t="str">
        <f>VLOOKUP(TABLA_PRECIOS_LISTBOX[Código],LISTADO_PRODUCTOS[#All],5)</f>
        <v>N/A</v>
      </c>
      <c r="D351" s="13">
        <f>VLOOKUP(TABLA_PRECIOS_LISTBOX[[#This Row],[Código]],TABLA_PRECIOS[#All],6)</f>
        <v>1</v>
      </c>
      <c r="E351" s="28">
        <f>VLOOKUP(TABLA_PRECIOS_LISTBOX[[#This Row],[Código]],TABLA_PRECIOS[#All],7)</f>
        <v>1</v>
      </c>
      <c r="F351" s="32">
        <f>VLOOKUP(TABLA_PRECIOS_LISTBOX[[#This Row],[Código]],TABLA_PRECIOS[#All],8)</f>
        <v>1</v>
      </c>
      <c r="G351" s="9">
        <f>VLOOKUP(TABLA_PRECIOS_LISTBOX[[#This Row],[Código]],TABLA_PRECIOS[#All],10)</f>
        <v>0</v>
      </c>
    </row>
    <row r="352" spans="1:7" ht="12" customHeight="1" x14ac:dyDescent="0.3">
      <c r="A352" s="4">
        <v>2008</v>
      </c>
      <c r="B352" s="6" t="str">
        <f>VLOOKUP(TABLA_PRECIOS_LISTBOX[Código],LISTADO_PRODUCTOS[#All],4)</f>
        <v>Resma Oficio Autor Color</v>
      </c>
      <c r="C352" s="6" t="str">
        <f>VLOOKUP(TABLA_PRECIOS_LISTBOX[Código],LISTADO_PRODUCTOS[#All],5)</f>
        <v>N/A</v>
      </c>
      <c r="D352" s="13">
        <f>VLOOKUP(TABLA_PRECIOS_LISTBOX[[#This Row],[Código]],TABLA_PRECIOS[#All],6)</f>
        <v>1</v>
      </c>
      <c r="E352" s="28">
        <f>VLOOKUP(TABLA_PRECIOS_LISTBOX[[#This Row],[Código]],TABLA_PRECIOS[#All],7)</f>
        <v>1</v>
      </c>
      <c r="F352" s="32">
        <f>VLOOKUP(TABLA_PRECIOS_LISTBOX[[#This Row],[Código]],TABLA_PRECIOS[#All],8)</f>
        <v>1</v>
      </c>
      <c r="G352" s="9">
        <f>VLOOKUP(TABLA_PRECIOS_LISTBOX[[#This Row],[Código]],TABLA_PRECIOS[#All],10)</f>
        <v>0</v>
      </c>
    </row>
    <row r="353" spans="1:7" ht="12" customHeight="1" x14ac:dyDescent="0.3">
      <c r="A353" s="4">
        <v>2010</v>
      </c>
      <c r="B353" s="6" t="str">
        <f>VLOOKUP(TABLA_PRECIOS_LISTBOX[Código],LISTADO_PRODUCTOS[#All],4)</f>
        <v>Resma A4 Husares Fluo colores surtido x 20h</v>
      </c>
      <c r="C353" s="6" t="str">
        <f>VLOOKUP(TABLA_PRECIOS_LISTBOX[Código],LISTADO_PRODUCTOS[#All],5)</f>
        <v>N/A</v>
      </c>
      <c r="D353" s="13">
        <f>VLOOKUP(TABLA_PRECIOS_LISTBOX[[#This Row],[Código]],TABLA_PRECIOS[#All],6)</f>
        <v>1</v>
      </c>
      <c r="E353" s="28">
        <f>VLOOKUP(TABLA_PRECIOS_LISTBOX[[#This Row],[Código]],TABLA_PRECIOS[#All],7)</f>
        <v>1</v>
      </c>
      <c r="F353" s="32">
        <f>VLOOKUP(TABLA_PRECIOS_LISTBOX[[#This Row],[Código]],TABLA_PRECIOS[#All],8)</f>
        <v>1</v>
      </c>
      <c r="G353" s="9">
        <f>VLOOKUP(TABLA_PRECIOS_LISTBOX[[#This Row],[Código]],TABLA_PRECIOS[#All],10)</f>
        <v>0</v>
      </c>
    </row>
    <row r="354" spans="1:7" ht="12" customHeight="1" x14ac:dyDescent="0.3">
      <c r="A354" s="4">
        <v>2011</v>
      </c>
      <c r="B354" s="6" t="str">
        <f>VLOOKUP(TABLA_PRECIOS_LISTBOX[Código],LISTADO_PRODUCTOS[#All],4)</f>
        <v>Palitos Brochet cortos 15cm</v>
      </c>
      <c r="C354" s="6" t="str">
        <f>VLOOKUP(TABLA_PRECIOS_LISTBOX[Código],LISTADO_PRODUCTOS[#All],5)</f>
        <v>N/A</v>
      </c>
      <c r="D354" s="13">
        <f>VLOOKUP(TABLA_PRECIOS_LISTBOX[[#This Row],[Código]],TABLA_PRECIOS[#All],6)</f>
        <v>1</v>
      </c>
      <c r="E354" s="28">
        <f>VLOOKUP(TABLA_PRECIOS_LISTBOX[[#This Row],[Código]],TABLA_PRECIOS[#All],7)</f>
        <v>1</v>
      </c>
      <c r="F354" s="32">
        <f>VLOOKUP(TABLA_PRECIOS_LISTBOX[[#This Row],[Código]],TABLA_PRECIOS[#All],8)</f>
        <v>1</v>
      </c>
      <c r="G354" s="9">
        <f>VLOOKUP(TABLA_PRECIOS_LISTBOX[[#This Row],[Código]],TABLA_PRECIOS[#All],10)</f>
        <v>0</v>
      </c>
    </row>
    <row r="355" spans="1:7" ht="12" customHeight="1" x14ac:dyDescent="0.3">
      <c r="A355" s="4">
        <v>2012</v>
      </c>
      <c r="B355" s="6" t="str">
        <f>VLOOKUP(TABLA_PRECIOS_LISTBOX[Código],LISTADO_PRODUCTOS[#All],4)</f>
        <v>Palito de brochet largo 25cm</v>
      </c>
      <c r="C355" s="6" t="str">
        <f>VLOOKUP(TABLA_PRECIOS_LISTBOX[Código],LISTADO_PRODUCTOS[#All],5)</f>
        <v>N/A</v>
      </c>
      <c r="D355" s="13">
        <f>VLOOKUP(TABLA_PRECIOS_LISTBOX[[#This Row],[Código]],TABLA_PRECIOS[#All],6)</f>
        <v>1</v>
      </c>
      <c r="E355" s="28">
        <f>VLOOKUP(TABLA_PRECIOS_LISTBOX[[#This Row],[Código]],TABLA_PRECIOS[#All],7)</f>
        <v>1</v>
      </c>
      <c r="F355" s="32">
        <f>VLOOKUP(TABLA_PRECIOS_LISTBOX[[#This Row],[Código]],TABLA_PRECIOS[#All],8)</f>
        <v>1</v>
      </c>
      <c r="G355" s="9">
        <f>VLOOKUP(TABLA_PRECIOS_LISTBOX[[#This Row],[Código]],TABLA_PRECIOS[#All],10)</f>
        <v>0</v>
      </c>
    </row>
    <row r="356" spans="1:7" ht="12" customHeight="1" x14ac:dyDescent="0.3">
      <c r="A356" s="4">
        <v>2013</v>
      </c>
      <c r="B356" s="6" t="str">
        <f>VLOOKUP(TABLA_PRECIOS_LISTBOX[Código],LISTADO_PRODUCTOS[#All],4)</f>
        <v>Plastificado en Frio BinderPlus 200gr</v>
      </c>
      <c r="C356" s="6" t="str">
        <f>VLOOKUP(TABLA_PRECIOS_LISTBOX[Código],LISTADO_PRODUCTOS[#All],5)</f>
        <v>N/A</v>
      </c>
      <c r="D356" s="13">
        <f>VLOOKUP(TABLA_PRECIOS_LISTBOX[[#This Row],[Código]],TABLA_PRECIOS[#All],6)</f>
        <v>1</v>
      </c>
      <c r="E356" s="28">
        <f>VLOOKUP(TABLA_PRECIOS_LISTBOX[[#This Row],[Código]],TABLA_PRECIOS[#All],7)</f>
        <v>1</v>
      </c>
      <c r="F356" s="32">
        <f>VLOOKUP(TABLA_PRECIOS_LISTBOX[[#This Row],[Código]],TABLA_PRECIOS[#All],8)</f>
        <v>1</v>
      </c>
      <c r="G356" s="9">
        <f>VLOOKUP(TABLA_PRECIOS_LISTBOX[[#This Row],[Código]],TABLA_PRECIOS[#All],10)</f>
        <v>0</v>
      </c>
    </row>
    <row r="357" spans="1:7" ht="12" customHeight="1" x14ac:dyDescent="0.3">
      <c r="A357" s="4">
        <v>2014</v>
      </c>
      <c r="B357" s="6" t="str">
        <f>VLOOKUP(TABLA_PRECIOS_LISTBOX[Código],LISTADO_PRODUCTOS[#All],4)</f>
        <v xml:space="preserve">Plastificado en Frio LAMA </v>
      </c>
      <c r="C357" s="6" t="str">
        <f>VLOOKUP(TABLA_PRECIOS_LISTBOX[Código],LISTADO_PRODUCTOS[#All],5)</f>
        <v>N/A</v>
      </c>
      <c r="D357" s="13">
        <f>VLOOKUP(TABLA_PRECIOS_LISTBOX[[#This Row],[Código]],TABLA_PRECIOS[#All],6)</f>
        <v>1</v>
      </c>
      <c r="E357" s="28">
        <f>VLOOKUP(TABLA_PRECIOS_LISTBOX[[#This Row],[Código]],TABLA_PRECIOS[#All],7)</f>
        <v>1</v>
      </c>
      <c r="F357" s="32">
        <f>VLOOKUP(TABLA_PRECIOS_LISTBOX[[#This Row],[Código]],TABLA_PRECIOS[#All],8)</f>
        <v>1</v>
      </c>
      <c r="G357" s="9">
        <f>VLOOKUP(TABLA_PRECIOS_LISTBOX[[#This Row],[Código]],TABLA_PRECIOS[#All],10)</f>
        <v>0</v>
      </c>
    </row>
    <row r="358" spans="1:7" ht="12" customHeight="1" x14ac:dyDescent="0.3">
      <c r="A358" s="4">
        <v>2018</v>
      </c>
      <c r="B358" s="6" t="str">
        <f>VLOOKUP(TABLA_PRECIOS_LISTBOX[Código],LISTADO_PRODUCTOS[#All],4)</f>
        <v>Resma Chamex A4 x 500h color</v>
      </c>
      <c r="C358" s="6" t="str">
        <f>VLOOKUP(TABLA_PRECIOS_LISTBOX[Código],LISTADO_PRODUCTOS[#All],5)</f>
        <v>N/A</v>
      </c>
      <c r="D358" s="13">
        <f>VLOOKUP(TABLA_PRECIOS_LISTBOX[[#This Row],[Código]],TABLA_PRECIOS[#All],6)</f>
        <v>1</v>
      </c>
      <c r="E358" s="28">
        <f>VLOOKUP(TABLA_PRECIOS_LISTBOX[[#This Row],[Código]],TABLA_PRECIOS[#All],7)</f>
        <v>1</v>
      </c>
      <c r="F358" s="32">
        <f>VLOOKUP(TABLA_PRECIOS_LISTBOX[[#This Row],[Código]],TABLA_PRECIOS[#All],8)</f>
        <v>1</v>
      </c>
      <c r="G358" s="9">
        <f>VLOOKUP(TABLA_PRECIOS_LISTBOX[[#This Row],[Código]],TABLA_PRECIOS[#All],10)</f>
        <v>0</v>
      </c>
    </row>
    <row r="359" spans="1:7" ht="12" customHeight="1" x14ac:dyDescent="0.3">
      <c r="A359" s="4">
        <v>2019</v>
      </c>
      <c r="B359" s="6" t="str">
        <f>VLOOKUP(TABLA_PRECIOS_LISTBOX[Código],LISTADO_PRODUCTOS[#All],4)</f>
        <v>Papel celofan</v>
      </c>
      <c r="C359" s="6" t="str">
        <f>VLOOKUP(TABLA_PRECIOS_LISTBOX[Código],LISTADO_PRODUCTOS[#All],5)</f>
        <v>N/A</v>
      </c>
      <c r="D359" s="13">
        <f>VLOOKUP(TABLA_PRECIOS_LISTBOX[[#This Row],[Código]],TABLA_PRECIOS[#All],6)</f>
        <v>1</v>
      </c>
      <c r="E359" s="28">
        <f>VLOOKUP(TABLA_PRECIOS_LISTBOX[[#This Row],[Código]],TABLA_PRECIOS[#All],7)</f>
        <v>1</v>
      </c>
      <c r="F359" s="32">
        <f>VLOOKUP(TABLA_PRECIOS_LISTBOX[[#This Row],[Código]],TABLA_PRECIOS[#All],8)</f>
        <v>1</v>
      </c>
      <c r="G359" s="9">
        <f>VLOOKUP(TABLA_PRECIOS_LISTBOX[[#This Row],[Código]],TABLA_PRECIOS[#All],10)</f>
        <v>0</v>
      </c>
    </row>
    <row r="360" spans="1:7" ht="12" customHeight="1" x14ac:dyDescent="0.3">
      <c r="A360" s="4">
        <v>2020</v>
      </c>
      <c r="B360" s="6" t="str">
        <f>VLOOKUP(TABLA_PRECIOS_LISTBOX[Código],LISTADO_PRODUCTOS[#All],4)</f>
        <v>Resma A3 150gr x240h Husares $60 c/u o 4 x $200</v>
      </c>
      <c r="C360" s="6" t="str">
        <f>VLOOKUP(TABLA_PRECIOS_LISTBOX[Código],LISTADO_PRODUCTOS[#All],5)</f>
        <v>N/A</v>
      </c>
      <c r="D360" s="13">
        <f>VLOOKUP(TABLA_PRECIOS_LISTBOX[[#This Row],[Código]],TABLA_PRECIOS[#All],6)</f>
        <v>1</v>
      </c>
      <c r="E360" s="28">
        <f>VLOOKUP(TABLA_PRECIOS_LISTBOX[[#This Row],[Código]],TABLA_PRECIOS[#All],7)</f>
        <v>1</v>
      </c>
      <c r="F360" s="32">
        <f>VLOOKUP(TABLA_PRECIOS_LISTBOX[[#This Row],[Código]],TABLA_PRECIOS[#All],8)</f>
        <v>1</v>
      </c>
      <c r="G360" s="9">
        <f>VLOOKUP(TABLA_PRECIOS_LISTBOX[[#This Row],[Código]],TABLA_PRECIOS[#All],10)</f>
        <v>0</v>
      </c>
    </row>
    <row r="361" spans="1:7" ht="12" customHeight="1" x14ac:dyDescent="0.3">
      <c r="A361" s="4">
        <v>2024</v>
      </c>
      <c r="B361" s="6" t="str">
        <f>VLOOKUP(TABLA_PRECIOS_LISTBOX[Código],LISTADO_PRODUCTOS[#All],4)</f>
        <v xml:space="preserve">Brillantina x5u Fluo </v>
      </c>
      <c r="C361" s="6" t="str">
        <f>VLOOKUP(TABLA_PRECIOS_LISTBOX[Código],LISTADO_PRODUCTOS[#All],5)</f>
        <v>N/A</v>
      </c>
      <c r="D361" s="13">
        <f>VLOOKUP(TABLA_PRECIOS_LISTBOX[[#This Row],[Código]],TABLA_PRECIOS[#All],6)</f>
        <v>1</v>
      </c>
      <c r="E361" s="28">
        <f>VLOOKUP(TABLA_PRECIOS_LISTBOX[[#This Row],[Código]],TABLA_PRECIOS[#All],7)</f>
        <v>1</v>
      </c>
      <c r="F361" s="32">
        <f>VLOOKUP(TABLA_PRECIOS_LISTBOX[[#This Row],[Código]],TABLA_PRECIOS[#All],8)</f>
        <v>1</v>
      </c>
      <c r="G361" s="9">
        <f>VLOOKUP(TABLA_PRECIOS_LISTBOX[[#This Row],[Código]],TABLA_PRECIOS[#All],10)</f>
        <v>0</v>
      </c>
    </row>
    <row r="362" spans="1:7" ht="12" customHeight="1" x14ac:dyDescent="0.3">
      <c r="A362" s="4">
        <v>2025</v>
      </c>
      <c r="B362" s="6" t="str">
        <f>VLOOKUP(TABLA_PRECIOS_LISTBOX[Código],LISTADO_PRODUCTOS[#All],4)</f>
        <v>Brillantina x 5u</v>
      </c>
      <c r="C362" s="6" t="str">
        <f>VLOOKUP(TABLA_PRECIOS_LISTBOX[Código],LISTADO_PRODUCTOS[#All],5)</f>
        <v>N/A</v>
      </c>
      <c r="D362" s="13">
        <f>VLOOKUP(TABLA_PRECIOS_LISTBOX[[#This Row],[Código]],TABLA_PRECIOS[#All],6)</f>
        <v>1</v>
      </c>
      <c r="E362" s="28">
        <f>VLOOKUP(TABLA_PRECIOS_LISTBOX[[#This Row],[Código]],TABLA_PRECIOS[#All],7)</f>
        <v>1</v>
      </c>
      <c r="F362" s="32">
        <f>VLOOKUP(TABLA_PRECIOS_LISTBOX[[#This Row],[Código]],TABLA_PRECIOS[#All],8)</f>
        <v>1</v>
      </c>
      <c r="G362" s="9">
        <f>VLOOKUP(TABLA_PRECIOS_LISTBOX[[#This Row],[Código]],TABLA_PRECIOS[#All],10)</f>
        <v>0</v>
      </c>
    </row>
    <row r="363" spans="1:7" ht="12" customHeight="1" x14ac:dyDescent="0.3">
      <c r="A363" s="4">
        <v>2026</v>
      </c>
      <c r="B363" s="6" t="str">
        <f>VLOOKUP(TABLA_PRECIOS_LISTBOX[Código],LISTADO_PRODUCTOS[#All],4)</f>
        <v xml:space="preserve">Papel madera </v>
      </c>
      <c r="C363" s="6" t="str">
        <f>VLOOKUP(TABLA_PRECIOS_LISTBOX[Código],LISTADO_PRODUCTOS[#All],5)</f>
        <v>N/A</v>
      </c>
      <c r="D363" s="13">
        <f>VLOOKUP(TABLA_PRECIOS_LISTBOX[[#This Row],[Código]],TABLA_PRECIOS[#All],6)</f>
        <v>1</v>
      </c>
      <c r="E363" s="28">
        <f>VLOOKUP(TABLA_PRECIOS_LISTBOX[[#This Row],[Código]],TABLA_PRECIOS[#All],7)</f>
        <v>1</v>
      </c>
      <c r="F363" s="32">
        <f>VLOOKUP(TABLA_PRECIOS_LISTBOX[[#This Row],[Código]],TABLA_PRECIOS[#All],8)</f>
        <v>1</v>
      </c>
      <c r="G363" s="9">
        <f>VLOOKUP(TABLA_PRECIOS_LISTBOX[[#This Row],[Código]],TABLA_PRECIOS[#All],10)</f>
        <v>0</v>
      </c>
    </row>
    <row r="364" spans="1:7" ht="12" customHeight="1" x14ac:dyDescent="0.3">
      <c r="A364" s="4">
        <v>2027</v>
      </c>
      <c r="B364" s="6" t="str">
        <f>VLOOKUP(TABLA_PRECIOS_LISTBOX[Código],LISTADO_PRODUCTOS[#All],4)</f>
        <v xml:space="preserve">Cartulina Comun </v>
      </c>
      <c r="C364" s="6" t="str">
        <f>VLOOKUP(TABLA_PRECIOS_LISTBOX[Código],LISTADO_PRODUCTOS[#All],5)</f>
        <v>N/A</v>
      </c>
      <c r="D364" s="13">
        <f>VLOOKUP(TABLA_PRECIOS_LISTBOX[[#This Row],[Código]],TABLA_PRECIOS[#All],6)</f>
        <v>1</v>
      </c>
      <c r="E364" s="28">
        <f>VLOOKUP(TABLA_PRECIOS_LISTBOX[[#This Row],[Código]],TABLA_PRECIOS[#All],7)</f>
        <v>1</v>
      </c>
      <c r="F364" s="32">
        <f>VLOOKUP(TABLA_PRECIOS_LISTBOX[[#This Row],[Código]],TABLA_PRECIOS[#All],8)</f>
        <v>1</v>
      </c>
      <c r="G364" s="9">
        <f>VLOOKUP(TABLA_PRECIOS_LISTBOX[[#This Row],[Código]],TABLA_PRECIOS[#All],10)</f>
        <v>0</v>
      </c>
    </row>
    <row r="365" spans="1:7" ht="12" customHeight="1" x14ac:dyDescent="0.3">
      <c r="A365" s="4">
        <v>2028</v>
      </c>
      <c r="B365" s="6" t="str">
        <f>VLOOKUP(TABLA_PRECIOS_LISTBOX[Código],LISTADO_PRODUCTOS[#All],4)</f>
        <v xml:space="preserve">Cartulina Fluo </v>
      </c>
      <c r="C365" s="6" t="str">
        <f>VLOOKUP(TABLA_PRECIOS_LISTBOX[Código],LISTADO_PRODUCTOS[#All],5)</f>
        <v>N/A</v>
      </c>
      <c r="D365" s="13">
        <f>VLOOKUP(TABLA_PRECIOS_LISTBOX[[#This Row],[Código]],TABLA_PRECIOS[#All],6)</f>
        <v>1</v>
      </c>
      <c r="E365" s="28">
        <f>VLOOKUP(TABLA_PRECIOS_LISTBOX[[#This Row],[Código]],TABLA_PRECIOS[#All],7)</f>
        <v>1</v>
      </c>
      <c r="F365" s="32">
        <f>VLOOKUP(TABLA_PRECIOS_LISTBOX[[#This Row],[Código]],TABLA_PRECIOS[#All],8)</f>
        <v>1</v>
      </c>
      <c r="G365" s="9">
        <f>VLOOKUP(TABLA_PRECIOS_LISTBOX[[#This Row],[Código]],TABLA_PRECIOS[#All],10)</f>
        <v>0</v>
      </c>
    </row>
    <row r="366" spans="1:7" ht="12" customHeight="1" x14ac:dyDescent="0.3">
      <c r="A366" s="4">
        <v>2029</v>
      </c>
      <c r="B366" s="6" t="str">
        <f>VLOOKUP(TABLA_PRECIOS_LISTBOX[Código],LISTADO_PRODUCTOS[#All],4)</f>
        <v>Cartulina Metalizada</v>
      </c>
      <c r="C366" s="6" t="str">
        <f>VLOOKUP(TABLA_PRECIOS_LISTBOX[Código],LISTADO_PRODUCTOS[#All],5)</f>
        <v>N/A</v>
      </c>
      <c r="D366" s="13">
        <f>VLOOKUP(TABLA_PRECIOS_LISTBOX[[#This Row],[Código]],TABLA_PRECIOS[#All],6)</f>
        <v>1</v>
      </c>
      <c r="E366" s="28">
        <f>VLOOKUP(TABLA_PRECIOS_LISTBOX[[#This Row],[Código]],TABLA_PRECIOS[#All],7)</f>
        <v>1</v>
      </c>
      <c r="F366" s="32">
        <f>VLOOKUP(TABLA_PRECIOS_LISTBOX[[#This Row],[Código]],TABLA_PRECIOS[#All],8)</f>
        <v>1</v>
      </c>
      <c r="G366" s="9">
        <f>VLOOKUP(TABLA_PRECIOS_LISTBOX[[#This Row],[Código]],TABLA_PRECIOS[#All],10)</f>
        <v>0</v>
      </c>
    </row>
    <row r="367" spans="1:7" ht="12" customHeight="1" x14ac:dyDescent="0.3">
      <c r="A367" s="4">
        <v>2030</v>
      </c>
      <c r="B367" s="6" t="str">
        <f>VLOOKUP(TABLA_PRECIOS_LISTBOX[Código],LISTADO_PRODUCTOS[#All],4)</f>
        <v xml:space="preserve">Cartulina con Motivos </v>
      </c>
      <c r="C367" s="6" t="str">
        <f>VLOOKUP(TABLA_PRECIOS_LISTBOX[Código],LISTADO_PRODUCTOS[#All],5)</f>
        <v>N/A</v>
      </c>
      <c r="D367" s="13">
        <f>VLOOKUP(TABLA_PRECIOS_LISTBOX[[#This Row],[Código]],TABLA_PRECIOS[#All],6)</f>
        <v>1</v>
      </c>
      <c r="E367" s="28">
        <f>VLOOKUP(TABLA_PRECIOS_LISTBOX[[#This Row],[Código]],TABLA_PRECIOS[#All],7)</f>
        <v>1</v>
      </c>
      <c r="F367" s="32">
        <f>VLOOKUP(TABLA_PRECIOS_LISTBOX[[#This Row],[Código]],TABLA_PRECIOS[#All],8)</f>
        <v>1</v>
      </c>
      <c r="G367" s="9">
        <f>VLOOKUP(TABLA_PRECIOS_LISTBOX[[#This Row],[Código]],TABLA_PRECIOS[#All],10)</f>
        <v>0</v>
      </c>
    </row>
    <row r="368" spans="1:7" ht="12" customHeight="1" x14ac:dyDescent="0.3">
      <c r="A368" s="4">
        <v>2031</v>
      </c>
      <c r="B368" s="6" t="str">
        <f>VLOOKUP(TABLA_PRECIOS_LISTBOX[Código],LISTADO_PRODUCTOS[#All],4)</f>
        <v>Cartulina Entretenida</v>
      </c>
      <c r="C368" s="6" t="str">
        <f>VLOOKUP(TABLA_PRECIOS_LISTBOX[Código],LISTADO_PRODUCTOS[#All],5)</f>
        <v>N/A</v>
      </c>
      <c r="D368" s="13">
        <f>VLOOKUP(TABLA_PRECIOS_LISTBOX[[#This Row],[Código]],TABLA_PRECIOS[#All],6)</f>
        <v>1</v>
      </c>
      <c r="E368" s="28">
        <f>VLOOKUP(TABLA_PRECIOS_LISTBOX[[#This Row],[Código]],TABLA_PRECIOS[#All],7)</f>
        <v>1</v>
      </c>
      <c r="F368" s="32">
        <f>VLOOKUP(TABLA_PRECIOS_LISTBOX[[#This Row],[Código]],TABLA_PRECIOS[#All],8)</f>
        <v>1</v>
      </c>
      <c r="G368" s="9">
        <f>VLOOKUP(TABLA_PRECIOS_LISTBOX[[#This Row],[Código]],TABLA_PRECIOS[#All],10)</f>
        <v>0</v>
      </c>
    </row>
    <row r="369" spans="1:7" ht="12" customHeight="1" x14ac:dyDescent="0.3">
      <c r="A369" s="4">
        <v>2032</v>
      </c>
      <c r="B369" s="6" t="str">
        <f>VLOOKUP(TABLA_PRECIOS_LISTBOX[Código],LISTADO_PRODUCTOS[#All],4)</f>
        <v>Afiche</v>
      </c>
      <c r="C369" s="6" t="str">
        <f>VLOOKUP(TABLA_PRECIOS_LISTBOX[Código],LISTADO_PRODUCTOS[#All],5)</f>
        <v>N/A</v>
      </c>
      <c r="D369" s="13">
        <f>VLOOKUP(TABLA_PRECIOS_LISTBOX[[#This Row],[Código]],TABLA_PRECIOS[#All],6)</f>
        <v>1</v>
      </c>
      <c r="E369" s="28">
        <f>VLOOKUP(TABLA_PRECIOS_LISTBOX[[#This Row],[Código]],TABLA_PRECIOS[#All],7)</f>
        <v>1</v>
      </c>
      <c r="F369" s="32">
        <f>VLOOKUP(TABLA_PRECIOS_LISTBOX[[#This Row],[Código]],TABLA_PRECIOS[#All],8)</f>
        <v>1</v>
      </c>
      <c r="G369" s="9">
        <f>VLOOKUP(TABLA_PRECIOS_LISTBOX[[#This Row],[Código]],TABLA_PRECIOS[#All],10)</f>
        <v>0</v>
      </c>
    </row>
    <row r="370" spans="1:7" ht="12" customHeight="1" x14ac:dyDescent="0.3">
      <c r="A370" s="4">
        <v>2033</v>
      </c>
      <c r="B370" s="6" t="str">
        <f>VLOOKUP(TABLA_PRECIOS_LISTBOX[Código],LISTADO_PRODUCTOS[#All],4)</f>
        <v>Papel Crepe Comun</v>
      </c>
      <c r="C370" s="6" t="str">
        <f>VLOOKUP(TABLA_PRECIOS_LISTBOX[Código],LISTADO_PRODUCTOS[#All],5)</f>
        <v>N/A</v>
      </c>
      <c r="D370" s="13">
        <f>VLOOKUP(TABLA_PRECIOS_LISTBOX[[#This Row],[Código]],TABLA_PRECIOS[#All],6)</f>
        <v>1</v>
      </c>
      <c r="E370" s="28">
        <f>VLOOKUP(TABLA_PRECIOS_LISTBOX[[#This Row],[Código]],TABLA_PRECIOS[#All],7)</f>
        <v>1</v>
      </c>
      <c r="F370" s="32">
        <f>VLOOKUP(TABLA_PRECIOS_LISTBOX[[#This Row],[Código]],TABLA_PRECIOS[#All],8)</f>
        <v>1</v>
      </c>
      <c r="G370" s="9">
        <f>VLOOKUP(TABLA_PRECIOS_LISTBOX[[#This Row],[Código]],TABLA_PRECIOS[#All],10)</f>
        <v>0</v>
      </c>
    </row>
    <row r="371" spans="1:7" ht="12" customHeight="1" x14ac:dyDescent="0.3">
      <c r="A371" s="4">
        <v>2034</v>
      </c>
      <c r="B371" s="6" t="str">
        <f>VLOOKUP(TABLA_PRECIOS_LISTBOX[Código],LISTADO_PRODUCTOS[#All],4)</f>
        <v>Papel Crepe Perlado</v>
      </c>
      <c r="C371" s="6" t="str">
        <f>VLOOKUP(TABLA_PRECIOS_LISTBOX[Código],LISTADO_PRODUCTOS[#All],5)</f>
        <v>N/A</v>
      </c>
      <c r="D371" s="13">
        <f>VLOOKUP(TABLA_PRECIOS_LISTBOX[[#This Row],[Código]],TABLA_PRECIOS[#All],6)</f>
        <v>1</v>
      </c>
      <c r="E371" s="28">
        <f>VLOOKUP(TABLA_PRECIOS_LISTBOX[[#This Row],[Código]],TABLA_PRECIOS[#All],7)</f>
        <v>1</v>
      </c>
      <c r="F371" s="32">
        <f>VLOOKUP(TABLA_PRECIOS_LISTBOX[[#This Row],[Código]],TABLA_PRECIOS[#All],8)</f>
        <v>1</v>
      </c>
      <c r="G371" s="9">
        <f>VLOOKUP(TABLA_PRECIOS_LISTBOX[[#This Row],[Código]],TABLA_PRECIOS[#All],10)</f>
        <v>0</v>
      </c>
    </row>
    <row r="372" spans="1:7" ht="12" customHeight="1" x14ac:dyDescent="0.3">
      <c r="A372" s="4">
        <v>2035</v>
      </c>
      <c r="B372" s="6" t="str">
        <f>VLOOKUP(TABLA_PRECIOS_LISTBOX[Código],LISTADO_PRODUCTOS[#All],4)</f>
        <v>Papel Crepe Fluo</v>
      </c>
      <c r="C372" s="6" t="str">
        <f>VLOOKUP(TABLA_PRECIOS_LISTBOX[Código],LISTADO_PRODUCTOS[#All],5)</f>
        <v>N/A</v>
      </c>
      <c r="D372" s="13">
        <f>VLOOKUP(TABLA_PRECIOS_LISTBOX[[#This Row],[Código]],TABLA_PRECIOS[#All],6)</f>
        <v>1</v>
      </c>
      <c r="E372" s="28">
        <f>VLOOKUP(TABLA_PRECIOS_LISTBOX[[#This Row],[Código]],TABLA_PRECIOS[#All],7)</f>
        <v>1</v>
      </c>
      <c r="F372" s="32">
        <f>VLOOKUP(TABLA_PRECIOS_LISTBOX[[#This Row],[Código]],TABLA_PRECIOS[#All],8)</f>
        <v>1</v>
      </c>
      <c r="G372" s="9">
        <f>VLOOKUP(TABLA_PRECIOS_LISTBOX[[#This Row],[Código]],TABLA_PRECIOS[#All],10)</f>
        <v>0</v>
      </c>
    </row>
    <row r="373" spans="1:7" ht="12" customHeight="1" x14ac:dyDescent="0.3">
      <c r="A373" s="4">
        <v>2036</v>
      </c>
      <c r="B373" s="6" t="str">
        <f>VLOOKUP(TABLA_PRECIOS_LISTBOX[Código],LISTADO_PRODUCTOS[#All],4)</f>
        <v>Papel Crepe c/Motivos</v>
      </c>
      <c r="C373" s="6" t="str">
        <f>VLOOKUP(TABLA_PRECIOS_LISTBOX[Código],LISTADO_PRODUCTOS[#All],5)</f>
        <v>N/A</v>
      </c>
      <c r="D373" s="13">
        <f>VLOOKUP(TABLA_PRECIOS_LISTBOX[[#This Row],[Código]],TABLA_PRECIOS[#All],6)</f>
        <v>1</v>
      </c>
      <c r="E373" s="28">
        <f>VLOOKUP(TABLA_PRECIOS_LISTBOX[[#This Row],[Código]],TABLA_PRECIOS[#All],7)</f>
        <v>1</v>
      </c>
      <c r="F373" s="32">
        <f>VLOOKUP(TABLA_PRECIOS_LISTBOX[[#This Row],[Código]],TABLA_PRECIOS[#All],8)</f>
        <v>1</v>
      </c>
      <c r="G373" s="9">
        <f>VLOOKUP(TABLA_PRECIOS_LISTBOX[[#This Row],[Código]],TABLA_PRECIOS[#All],10)</f>
        <v>0</v>
      </c>
    </row>
    <row r="374" spans="1:7" ht="12" customHeight="1" x14ac:dyDescent="0.3">
      <c r="A374" s="4">
        <v>2037</v>
      </c>
      <c r="B374" s="6" t="str">
        <f>VLOOKUP(TABLA_PRECIOS_LISTBOX[Código],LISTADO_PRODUCTOS[#All],4)</f>
        <v>Papel Crepe Bandera Argentina</v>
      </c>
      <c r="C374" s="6" t="str">
        <f>VLOOKUP(TABLA_PRECIOS_LISTBOX[Código],LISTADO_PRODUCTOS[#All],5)</f>
        <v>N/A</v>
      </c>
      <c r="D374" s="13">
        <f>VLOOKUP(TABLA_PRECIOS_LISTBOX[[#This Row],[Código]],TABLA_PRECIOS[#All],6)</f>
        <v>1</v>
      </c>
      <c r="E374" s="28">
        <f>VLOOKUP(TABLA_PRECIOS_LISTBOX[[#This Row],[Código]],TABLA_PRECIOS[#All],7)</f>
        <v>1</v>
      </c>
      <c r="F374" s="32">
        <f>VLOOKUP(TABLA_PRECIOS_LISTBOX[[#This Row],[Código]],TABLA_PRECIOS[#All],8)</f>
        <v>1</v>
      </c>
      <c r="G374" s="9">
        <f>VLOOKUP(TABLA_PRECIOS_LISTBOX[[#This Row],[Código]],TABLA_PRECIOS[#All],10)</f>
        <v>0</v>
      </c>
    </row>
    <row r="375" spans="1:7" ht="12" customHeight="1" x14ac:dyDescent="0.3">
      <c r="A375" s="4">
        <v>2038</v>
      </c>
      <c r="B375" s="6" t="str">
        <f>VLOOKUP(TABLA_PRECIOS_LISTBOX[Código],LISTADO_PRODUCTOS[#All],4)</f>
        <v>Papel de Forrar Muresco</v>
      </c>
      <c r="C375" s="6" t="str">
        <f>VLOOKUP(TABLA_PRECIOS_LISTBOX[Código],LISTADO_PRODUCTOS[#All],5)</f>
        <v>N/A</v>
      </c>
      <c r="D375" s="13">
        <f>VLOOKUP(TABLA_PRECIOS_LISTBOX[[#This Row],[Código]],TABLA_PRECIOS[#All],6)</f>
        <v>1</v>
      </c>
      <c r="E375" s="28">
        <f>VLOOKUP(TABLA_PRECIOS_LISTBOX[[#This Row],[Código]],TABLA_PRECIOS[#All],7)</f>
        <v>1</v>
      </c>
      <c r="F375" s="32">
        <f>VLOOKUP(TABLA_PRECIOS_LISTBOX[[#This Row],[Código]],TABLA_PRECIOS[#All],8)</f>
        <v>1</v>
      </c>
      <c r="G375" s="9">
        <f>VLOOKUP(TABLA_PRECIOS_LISTBOX[[#This Row],[Código]],TABLA_PRECIOS[#All],10)</f>
        <v>0</v>
      </c>
    </row>
    <row r="376" spans="1:7" ht="12" customHeight="1" x14ac:dyDescent="0.3">
      <c r="A376" s="4">
        <v>2039</v>
      </c>
      <c r="B376" s="6" t="str">
        <f>VLOOKUP(TABLA_PRECIOS_LISTBOX[Código],LISTADO_PRODUCTOS[#All],4)</f>
        <v>Papel de Forrar Comun</v>
      </c>
      <c r="C376" s="6" t="str">
        <f>VLOOKUP(TABLA_PRECIOS_LISTBOX[Código],LISTADO_PRODUCTOS[#All],5)</f>
        <v>N/A</v>
      </c>
      <c r="D376" s="13">
        <f>VLOOKUP(TABLA_PRECIOS_LISTBOX[[#This Row],[Código]],TABLA_PRECIOS[#All],6)</f>
        <v>1</v>
      </c>
      <c r="E376" s="28">
        <f>VLOOKUP(TABLA_PRECIOS_LISTBOX[[#This Row],[Código]],TABLA_PRECIOS[#All],7)</f>
        <v>1</v>
      </c>
      <c r="F376" s="32">
        <f>VLOOKUP(TABLA_PRECIOS_LISTBOX[[#This Row],[Código]],TABLA_PRECIOS[#All],8)</f>
        <v>1</v>
      </c>
      <c r="G376" s="9">
        <f>VLOOKUP(TABLA_PRECIOS_LISTBOX[[#This Row],[Código]],TABLA_PRECIOS[#All],10)</f>
        <v>0</v>
      </c>
    </row>
    <row r="377" spans="1:7" ht="12" customHeight="1" x14ac:dyDescent="0.3">
      <c r="A377" s="4">
        <v>2040</v>
      </c>
      <c r="B377" s="6" t="str">
        <f>VLOOKUP(TABLA_PRECIOS_LISTBOX[Código],LISTADO_PRODUCTOS[#All],4)</f>
        <v>Marcador UNI ORO P. MEDIANA</v>
      </c>
      <c r="C377" s="6" t="str">
        <f>VLOOKUP(TABLA_PRECIOS_LISTBOX[Código],LISTADO_PRODUCTOS[#All],5)</f>
        <v>N/A</v>
      </c>
      <c r="D377" s="13">
        <f>VLOOKUP(TABLA_PRECIOS_LISTBOX[[#This Row],[Código]],TABLA_PRECIOS[#All],6)</f>
        <v>1</v>
      </c>
      <c r="E377" s="28">
        <f>VLOOKUP(TABLA_PRECIOS_LISTBOX[[#This Row],[Código]],TABLA_PRECIOS[#All],7)</f>
        <v>1</v>
      </c>
      <c r="F377" s="32">
        <f>VLOOKUP(TABLA_PRECIOS_LISTBOX[[#This Row],[Código]],TABLA_PRECIOS[#All],8)</f>
        <v>1</v>
      </c>
      <c r="G377" s="9">
        <f>VLOOKUP(TABLA_PRECIOS_LISTBOX[[#This Row],[Código]],TABLA_PRECIOS[#All],10)</f>
        <v>0</v>
      </c>
    </row>
    <row r="378" spans="1:7" ht="12" customHeight="1" x14ac:dyDescent="0.3">
      <c r="A378" s="4">
        <v>2041</v>
      </c>
      <c r="B378" s="6" t="str">
        <f>VLOOKUP(TABLA_PRECIOS_LISTBOX[Código],LISTADO_PRODUCTOS[#All],4)</f>
        <v>Pinceleta Nª1</v>
      </c>
      <c r="C378" s="6" t="str">
        <f>VLOOKUP(TABLA_PRECIOS_LISTBOX[Código],LISTADO_PRODUCTOS[#All],5)</f>
        <v>N/A</v>
      </c>
      <c r="D378" s="13">
        <f>VLOOKUP(TABLA_PRECIOS_LISTBOX[[#This Row],[Código]],TABLA_PRECIOS[#All],6)</f>
        <v>1</v>
      </c>
      <c r="E378" s="28">
        <f>VLOOKUP(TABLA_PRECIOS_LISTBOX[[#This Row],[Código]],TABLA_PRECIOS[#All],7)</f>
        <v>1</v>
      </c>
      <c r="F378" s="32">
        <f>VLOOKUP(TABLA_PRECIOS_LISTBOX[[#This Row],[Código]],TABLA_PRECIOS[#All],8)</f>
        <v>1</v>
      </c>
      <c r="G378" s="9">
        <f>VLOOKUP(TABLA_PRECIOS_LISTBOX[[#This Row],[Código]],TABLA_PRECIOS[#All],10)</f>
        <v>0</v>
      </c>
    </row>
    <row r="379" spans="1:7" ht="12" customHeight="1" x14ac:dyDescent="0.3">
      <c r="A379" s="4">
        <v>2042</v>
      </c>
      <c r="B379" s="6" t="str">
        <f>VLOOKUP(TABLA_PRECIOS_LISTBOX[Código],LISTADO_PRODUCTOS[#All],4)</f>
        <v>Pinceleta Nª2</v>
      </c>
      <c r="C379" s="6" t="str">
        <f>VLOOKUP(TABLA_PRECIOS_LISTBOX[Código],LISTADO_PRODUCTOS[#All],5)</f>
        <v>N/A</v>
      </c>
      <c r="D379" s="13">
        <f>VLOOKUP(TABLA_PRECIOS_LISTBOX[[#This Row],[Código]],TABLA_PRECIOS[#All],6)</f>
        <v>1</v>
      </c>
      <c r="E379" s="28">
        <f>VLOOKUP(TABLA_PRECIOS_LISTBOX[[#This Row],[Código]],TABLA_PRECIOS[#All],7)</f>
        <v>1</v>
      </c>
      <c r="F379" s="32">
        <f>VLOOKUP(TABLA_PRECIOS_LISTBOX[[#This Row],[Código]],TABLA_PRECIOS[#All],8)</f>
        <v>1</v>
      </c>
      <c r="G379" s="9">
        <f>VLOOKUP(TABLA_PRECIOS_LISTBOX[[#This Row],[Código]],TABLA_PRECIOS[#All],10)</f>
        <v>0</v>
      </c>
    </row>
    <row r="380" spans="1:7" ht="12" customHeight="1" x14ac:dyDescent="0.3">
      <c r="A380" s="4">
        <v>2043</v>
      </c>
      <c r="B380" s="6" t="str">
        <f>VLOOKUP(TABLA_PRECIOS_LISTBOX[Código],LISTADO_PRODUCTOS[#All],4)</f>
        <v>Pinceleta Nª3</v>
      </c>
      <c r="C380" s="6" t="str">
        <f>VLOOKUP(TABLA_PRECIOS_LISTBOX[Código],LISTADO_PRODUCTOS[#All],5)</f>
        <v>N/A</v>
      </c>
      <c r="D380" s="13">
        <f>VLOOKUP(TABLA_PRECIOS_LISTBOX[[#This Row],[Código]],TABLA_PRECIOS[#All],6)</f>
        <v>1</v>
      </c>
      <c r="E380" s="28">
        <f>VLOOKUP(TABLA_PRECIOS_LISTBOX[[#This Row],[Código]],TABLA_PRECIOS[#All],7)</f>
        <v>1</v>
      </c>
      <c r="F380" s="32">
        <f>VLOOKUP(TABLA_PRECIOS_LISTBOX[[#This Row],[Código]],TABLA_PRECIOS[#All],8)</f>
        <v>1</v>
      </c>
      <c r="G380" s="9">
        <f>VLOOKUP(TABLA_PRECIOS_LISTBOX[[#This Row],[Código]],TABLA_PRECIOS[#All],10)</f>
        <v>0</v>
      </c>
    </row>
    <row r="381" spans="1:7" ht="12" customHeight="1" x14ac:dyDescent="0.3">
      <c r="A381" s="4">
        <v>2044</v>
      </c>
      <c r="B381" s="6" t="str">
        <f>VLOOKUP(TABLA_PRECIOS_LISTBOX[Código],LISTADO_PRODUCTOS[#All],4)</f>
        <v>Pinceleta Nª4</v>
      </c>
      <c r="C381" s="6" t="str">
        <f>VLOOKUP(TABLA_PRECIOS_LISTBOX[Código],LISTADO_PRODUCTOS[#All],5)</f>
        <v>N/A</v>
      </c>
      <c r="D381" s="13">
        <f>VLOOKUP(TABLA_PRECIOS_LISTBOX[[#This Row],[Código]],TABLA_PRECIOS[#All],6)</f>
        <v>1</v>
      </c>
      <c r="E381" s="28">
        <f>VLOOKUP(TABLA_PRECIOS_LISTBOX[[#This Row],[Código]],TABLA_PRECIOS[#All],7)</f>
        <v>1</v>
      </c>
      <c r="F381" s="32">
        <f>VLOOKUP(TABLA_PRECIOS_LISTBOX[[#This Row],[Código]],TABLA_PRECIOS[#All],8)</f>
        <v>1</v>
      </c>
      <c r="G381" s="9">
        <f>VLOOKUP(TABLA_PRECIOS_LISTBOX[[#This Row],[Código]],TABLA_PRECIOS[#All],10)</f>
        <v>0</v>
      </c>
    </row>
    <row r="382" spans="1:7" ht="12" customHeight="1" x14ac:dyDescent="0.3">
      <c r="A382" s="4">
        <v>2045</v>
      </c>
      <c r="B382" s="6" t="str">
        <f>VLOOKUP(TABLA_PRECIOS_LISTBOX[Código],LISTADO_PRODUCTOS[#All],4)</f>
        <v>Pinceleta Nº5</v>
      </c>
      <c r="C382" s="6" t="str">
        <f>VLOOKUP(TABLA_PRECIOS_LISTBOX[Código],LISTADO_PRODUCTOS[#All],5)</f>
        <v>N/A</v>
      </c>
      <c r="D382" s="13">
        <f>VLOOKUP(TABLA_PRECIOS_LISTBOX[[#This Row],[Código]],TABLA_PRECIOS[#All],6)</f>
        <v>1</v>
      </c>
      <c r="E382" s="28">
        <f>VLOOKUP(TABLA_PRECIOS_LISTBOX[[#This Row],[Código]],TABLA_PRECIOS[#All],7)</f>
        <v>1</v>
      </c>
      <c r="F382" s="32">
        <f>VLOOKUP(TABLA_PRECIOS_LISTBOX[[#This Row],[Código]],TABLA_PRECIOS[#All],8)</f>
        <v>1</v>
      </c>
      <c r="G382" s="9">
        <f>VLOOKUP(TABLA_PRECIOS_LISTBOX[[#This Row],[Código]],TABLA_PRECIOS[#All],10)</f>
        <v>0</v>
      </c>
    </row>
    <row r="383" spans="1:7" ht="12" customHeight="1" x14ac:dyDescent="0.3">
      <c r="A383" s="4">
        <v>2046</v>
      </c>
      <c r="B383" s="6" t="str">
        <f>VLOOKUP(TABLA_PRECIOS_LISTBOX[Código],LISTADO_PRODUCTOS[#All],4)</f>
        <v>Pinceleta Nº6</v>
      </c>
      <c r="C383" s="6" t="str">
        <f>VLOOKUP(TABLA_PRECIOS_LISTBOX[Código],LISTADO_PRODUCTOS[#All],5)</f>
        <v>N/A</v>
      </c>
      <c r="D383" s="13">
        <f>VLOOKUP(TABLA_PRECIOS_LISTBOX[[#This Row],[Código]],TABLA_PRECIOS[#All],6)</f>
        <v>1</v>
      </c>
      <c r="E383" s="28">
        <f>VLOOKUP(TABLA_PRECIOS_LISTBOX[[#This Row],[Código]],TABLA_PRECIOS[#All],7)</f>
        <v>1</v>
      </c>
      <c r="F383" s="32">
        <f>VLOOKUP(TABLA_PRECIOS_LISTBOX[[#This Row],[Código]],TABLA_PRECIOS[#All],8)</f>
        <v>1</v>
      </c>
      <c r="G383" s="9">
        <f>VLOOKUP(TABLA_PRECIOS_LISTBOX[[#This Row],[Código]],TABLA_PRECIOS[#All],10)</f>
        <v>0</v>
      </c>
    </row>
    <row r="384" spans="1:7" ht="12" customHeight="1" x14ac:dyDescent="0.3">
      <c r="A384" s="4">
        <v>2047</v>
      </c>
      <c r="B384" s="6" t="str">
        <f>VLOOKUP(TABLA_PRECIOS_LISTBOX[Código],LISTADO_PRODUCTOS[#All],4)</f>
        <v>Pinceleta Nº7</v>
      </c>
      <c r="C384" s="6" t="str">
        <f>VLOOKUP(TABLA_PRECIOS_LISTBOX[Código],LISTADO_PRODUCTOS[#All],5)</f>
        <v>N/A</v>
      </c>
      <c r="D384" s="13">
        <f>VLOOKUP(TABLA_PRECIOS_LISTBOX[[#This Row],[Código]],TABLA_PRECIOS[#All],6)</f>
        <v>1</v>
      </c>
      <c r="E384" s="28">
        <f>VLOOKUP(TABLA_PRECIOS_LISTBOX[[#This Row],[Código]],TABLA_PRECIOS[#All],7)</f>
        <v>1</v>
      </c>
      <c r="F384" s="32">
        <f>VLOOKUP(TABLA_PRECIOS_LISTBOX[[#This Row],[Código]],TABLA_PRECIOS[#All],8)</f>
        <v>1</v>
      </c>
      <c r="G384" s="9">
        <f>VLOOKUP(TABLA_PRECIOS_LISTBOX[[#This Row],[Código]],TABLA_PRECIOS[#All],10)</f>
        <v>0</v>
      </c>
    </row>
    <row r="385" spans="1:7" ht="12" customHeight="1" x14ac:dyDescent="0.3">
      <c r="A385" s="4">
        <v>2048</v>
      </c>
      <c r="B385" s="6" t="str">
        <f>VLOOKUP(TABLA_PRECIOS_LISTBOX[Código],LISTADO_PRODUCTOS[#All],4)</f>
        <v>Broches CBX madera natural 45mm x 35u</v>
      </c>
      <c r="C385" s="6" t="str">
        <f>VLOOKUP(TABLA_PRECIOS_LISTBOX[Código],LISTADO_PRODUCTOS[#All],5)</f>
        <v>N/A</v>
      </c>
      <c r="D385" s="13">
        <f>VLOOKUP(TABLA_PRECIOS_LISTBOX[[#This Row],[Código]],TABLA_PRECIOS[#All],6)</f>
        <v>1</v>
      </c>
      <c r="E385" s="28">
        <f>VLOOKUP(TABLA_PRECIOS_LISTBOX[[#This Row],[Código]],TABLA_PRECIOS[#All],7)</f>
        <v>1</v>
      </c>
      <c r="F385" s="32">
        <f>VLOOKUP(TABLA_PRECIOS_LISTBOX[[#This Row],[Código]],TABLA_PRECIOS[#All],8)</f>
        <v>1</v>
      </c>
      <c r="G385" s="9">
        <f>VLOOKUP(TABLA_PRECIOS_LISTBOX[[#This Row],[Código]],TABLA_PRECIOS[#All],10)</f>
        <v>0</v>
      </c>
    </row>
    <row r="386" spans="1:7" ht="12" customHeight="1" x14ac:dyDescent="0.3">
      <c r="A386" s="4">
        <v>2049</v>
      </c>
      <c r="B386" s="6" t="str">
        <f>VLOOKUP(TABLA_PRECIOS_LISTBOX[Código],LISTADO_PRODUCTOS[#All],4)</f>
        <v>Goma eva color comun</v>
      </c>
      <c r="C386" s="6" t="str">
        <f>VLOOKUP(TABLA_PRECIOS_LISTBOX[Código],LISTADO_PRODUCTOS[#All],5)</f>
        <v>N/A</v>
      </c>
      <c r="D386" s="13">
        <f>VLOOKUP(TABLA_PRECIOS_LISTBOX[[#This Row],[Código]],TABLA_PRECIOS[#All],6)</f>
        <v>1</v>
      </c>
      <c r="E386" s="28">
        <f>VLOOKUP(TABLA_PRECIOS_LISTBOX[[#This Row],[Código]],TABLA_PRECIOS[#All],7)</f>
        <v>1</v>
      </c>
      <c r="F386" s="32">
        <f>VLOOKUP(TABLA_PRECIOS_LISTBOX[[#This Row],[Código]],TABLA_PRECIOS[#All],8)</f>
        <v>1</v>
      </c>
      <c r="G386" s="9">
        <f>VLOOKUP(TABLA_PRECIOS_LISTBOX[[#This Row],[Código]],TABLA_PRECIOS[#All],10)</f>
        <v>0</v>
      </c>
    </row>
    <row r="387" spans="1:7" ht="12" customHeight="1" x14ac:dyDescent="0.3">
      <c r="A387" s="4">
        <v>2050</v>
      </c>
      <c r="B387" s="6" t="str">
        <f>VLOOKUP(TABLA_PRECIOS_LISTBOX[Código],LISTADO_PRODUCTOS[#All],4)</f>
        <v>Goma eva corrugada</v>
      </c>
      <c r="C387" s="6" t="str">
        <f>VLOOKUP(TABLA_PRECIOS_LISTBOX[Código],LISTADO_PRODUCTOS[#All],5)</f>
        <v>N/A</v>
      </c>
      <c r="D387" s="13">
        <f>VLOOKUP(TABLA_PRECIOS_LISTBOX[[#This Row],[Código]],TABLA_PRECIOS[#All],6)</f>
        <v>1</v>
      </c>
      <c r="E387" s="28">
        <f>VLOOKUP(TABLA_PRECIOS_LISTBOX[[#This Row],[Código]],TABLA_PRECIOS[#All],7)</f>
        <v>1</v>
      </c>
      <c r="F387" s="32">
        <f>VLOOKUP(TABLA_PRECIOS_LISTBOX[[#This Row],[Código]],TABLA_PRECIOS[#All],8)</f>
        <v>1</v>
      </c>
      <c r="G387" s="9">
        <f>VLOOKUP(TABLA_PRECIOS_LISTBOX[[#This Row],[Código]],TABLA_PRECIOS[#All],10)</f>
        <v>0</v>
      </c>
    </row>
    <row r="388" spans="1:7" ht="12" customHeight="1" x14ac:dyDescent="0.3">
      <c r="A388" s="4">
        <v>2051</v>
      </c>
      <c r="B388" s="6" t="str">
        <f>VLOOKUP(TABLA_PRECIOS_LISTBOX[Código],LISTADO_PRODUCTOS[#All],4)</f>
        <v>Goma Eva Super Glitter</v>
      </c>
      <c r="C388" s="6" t="str">
        <f>VLOOKUP(TABLA_PRECIOS_LISTBOX[Código],LISTADO_PRODUCTOS[#All],5)</f>
        <v>N/A</v>
      </c>
      <c r="D388" s="13">
        <f>VLOOKUP(TABLA_PRECIOS_LISTBOX[[#This Row],[Código]],TABLA_PRECIOS[#All],6)</f>
        <v>1</v>
      </c>
      <c r="E388" s="28">
        <f>VLOOKUP(TABLA_PRECIOS_LISTBOX[[#This Row],[Código]],TABLA_PRECIOS[#All],7)</f>
        <v>1</v>
      </c>
      <c r="F388" s="32">
        <f>VLOOKUP(TABLA_PRECIOS_LISTBOX[[#This Row],[Código]],TABLA_PRECIOS[#All],8)</f>
        <v>1</v>
      </c>
      <c r="G388" s="9">
        <f>VLOOKUP(TABLA_PRECIOS_LISTBOX[[#This Row],[Código]],TABLA_PRECIOS[#All],10)</f>
        <v>0</v>
      </c>
    </row>
    <row r="389" spans="1:7" ht="12" customHeight="1" x14ac:dyDescent="0.3">
      <c r="A389" s="4">
        <v>2052</v>
      </c>
      <c r="B389" s="6" t="str">
        <f>VLOOKUP(TABLA_PRECIOS_LISTBOX[Código],LISTADO_PRODUCTOS[#All],4)</f>
        <v>Resma A3 Autor 80gr</v>
      </c>
      <c r="C389" s="6" t="str">
        <f>VLOOKUP(TABLA_PRECIOS_LISTBOX[Código],LISTADO_PRODUCTOS[#All],5)</f>
        <v>N/A</v>
      </c>
      <c r="D389" s="13">
        <f>VLOOKUP(TABLA_PRECIOS_LISTBOX[[#This Row],[Código]],TABLA_PRECIOS[#All],6)</f>
        <v>1</v>
      </c>
      <c r="E389" s="28">
        <f>VLOOKUP(TABLA_PRECIOS_LISTBOX[[#This Row],[Código]],TABLA_PRECIOS[#All],7)</f>
        <v>1</v>
      </c>
      <c r="F389" s="32">
        <f>VLOOKUP(TABLA_PRECIOS_LISTBOX[[#This Row],[Código]],TABLA_PRECIOS[#All],8)</f>
        <v>1</v>
      </c>
      <c r="G389" s="9">
        <f>VLOOKUP(TABLA_PRECIOS_LISTBOX[[#This Row],[Código]],TABLA_PRECIOS[#All],10)</f>
        <v>0</v>
      </c>
    </row>
    <row r="390" spans="1:7" ht="12" customHeight="1" x14ac:dyDescent="0.3">
      <c r="A390" s="4">
        <v>2054</v>
      </c>
      <c r="B390" s="6" t="str">
        <f>VLOOKUP(TABLA_PRECIOS_LISTBOX[Código],LISTADO_PRODUCTOS[#All],4)</f>
        <v xml:space="preserve">Carton Corrugado Colores </v>
      </c>
      <c r="C390" s="6" t="str">
        <f>VLOOKUP(TABLA_PRECIOS_LISTBOX[Código],LISTADO_PRODUCTOS[#All],5)</f>
        <v>N/A</v>
      </c>
      <c r="D390" s="13">
        <f>VLOOKUP(TABLA_PRECIOS_LISTBOX[[#This Row],[Código]],TABLA_PRECIOS[#All],6)</f>
        <v>1</v>
      </c>
      <c r="E390" s="28">
        <f>VLOOKUP(TABLA_PRECIOS_LISTBOX[[#This Row],[Código]],TABLA_PRECIOS[#All],7)</f>
        <v>1</v>
      </c>
      <c r="F390" s="32">
        <f>VLOOKUP(TABLA_PRECIOS_LISTBOX[[#This Row],[Código]],TABLA_PRECIOS[#All],8)</f>
        <v>1</v>
      </c>
      <c r="G390" s="9">
        <f>VLOOKUP(TABLA_PRECIOS_LISTBOX[[#This Row],[Código]],TABLA_PRECIOS[#All],10)</f>
        <v>0</v>
      </c>
    </row>
    <row r="391" spans="1:7" ht="12" customHeight="1" x14ac:dyDescent="0.3">
      <c r="A391" s="4">
        <v>2055</v>
      </c>
      <c r="B391" s="6" t="str">
        <f>VLOOKUP(TABLA_PRECIOS_LISTBOX[Código],LISTADO_PRODUCTOS[#All],4)</f>
        <v>Carton Corrugado Kraft</v>
      </c>
      <c r="C391" s="6" t="str">
        <f>VLOOKUP(TABLA_PRECIOS_LISTBOX[Código],LISTADO_PRODUCTOS[#All],5)</f>
        <v>N/A</v>
      </c>
      <c r="D391" s="13">
        <f>VLOOKUP(TABLA_PRECIOS_LISTBOX[[#This Row],[Código]],TABLA_PRECIOS[#All],6)</f>
        <v>1</v>
      </c>
      <c r="E391" s="28">
        <f>VLOOKUP(TABLA_PRECIOS_LISTBOX[[#This Row],[Código]],TABLA_PRECIOS[#All],7)</f>
        <v>1</v>
      </c>
      <c r="F391" s="32">
        <f>VLOOKUP(TABLA_PRECIOS_LISTBOX[[#This Row],[Código]],TABLA_PRECIOS[#All],8)</f>
        <v>1</v>
      </c>
      <c r="G391" s="9">
        <f>VLOOKUP(TABLA_PRECIOS_LISTBOX[[#This Row],[Código]],TABLA_PRECIOS[#All],10)</f>
        <v>0</v>
      </c>
    </row>
    <row r="392" spans="1:7" ht="12" customHeight="1" x14ac:dyDescent="0.3">
      <c r="A392" s="4">
        <v>2058</v>
      </c>
      <c r="B392" s="6" t="str">
        <f>VLOOKUP(TABLA_PRECIOS_LISTBOX[Código],LISTADO_PRODUCTOS[#All],4)</f>
        <v>Cartulina Hologlitter x plancha</v>
      </c>
      <c r="C392" s="6" t="str">
        <f>VLOOKUP(TABLA_PRECIOS_LISTBOX[Código],LISTADO_PRODUCTOS[#All],5)</f>
        <v>N/A</v>
      </c>
      <c r="D392" s="13">
        <f>VLOOKUP(TABLA_PRECIOS_LISTBOX[[#This Row],[Código]],TABLA_PRECIOS[#All],6)</f>
        <v>1</v>
      </c>
      <c r="E392" s="28">
        <f>VLOOKUP(TABLA_PRECIOS_LISTBOX[[#This Row],[Código]],TABLA_PRECIOS[#All],7)</f>
        <v>1</v>
      </c>
      <c r="F392" s="32">
        <f>VLOOKUP(TABLA_PRECIOS_LISTBOX[[#This Row],[Código]],TABLA_PRECIOS[#All],8)</f>
        <v>1</v>
      </c>
      <c r="G392" s="9">
        <f>VLOOKUP(TABLA_PRECIOS_LISTBOX[[#This Row],[Código]],TABLA_PRECIOS[#All],10)</f>
        <v>0</v>
      </c>
    </row>
    <row r="393" spans="1:7" ht="12" customHeight="1" x14ac:dyDescent="0.3">
      <c r="A393" s="4">
        <v>2059</v>
      </c>
      <c r="B393" s="6" t="str">
        <f>VLOOKUP(TABLA_PRECIOS_LISTBOX[Código],LISTADO_PRODUCTOS[#All],4)</f>
        <v>Papel Barrilete</v>
      </c>
      <c r="C393" s="6" t="str">
        <f>VLOOKUP(TABLA_PRECIOS_LISTBOX[Código],LISTADO_PRODUCTOS[#All],5)</f>
        <v>N/A</v>
      </c>
      <c r="D393" s="13">
        <f>VLOOKUP(TABLA_PRECIOS_LISTBOX[[#This Row],[Código]],TABLA_PRECIOS[#All],6)</f>
        <v>1</v>
      </c>
      <c r="E393" s="28">
        <f>VLOOKUP(TABLA_PRECIOS_LISTBOX[[#This Row],[Código]],TABLA_PRECIOS[#All],7)</f>
        <v>1</v>
      </c>
      <c r="F393" s="32">
        <f>VLOOKUP(TABLA_PRECIOS_LISTBOX[[#This Row],[Código]],TABLA_PRECIOS[#All],8)</f>
        <v>1</v>
      </c>
      <c r="G393" s="9">
        <f>VLOOKUP(TABLA_PRECIOS_LISTBOX[[#This Row],[Código]],TABLA_PRECIOS[#All],10)</f>
        <v>0</v>
      </c>
    </row>
    <row r="394" spans="1:7" ht="12" customHeight="1" x14ac:dyDescent="0.3">
      <c r="A394" s="4">
        <v>2060</v>
      </c>
      <c r="B394" s="6" t="str">
        <f>VLOOKUP(TABLA_PRECIOS_LISTBOX[Código],LISTADO_PRODUCTOS[#All],4)</f>
        <v>Papel Barrilete</v>
      </c>
      <c r="C394" s="6" t="str">
        <f>VLOOKUP(TABLA_PRECIOS_LISTBOX[Código],LISTADO_PRODUCTOS[#All],5)</f>
        <v>N/A</v>
      </c>
      <c r="D394" s="13">
        <f>VLOOKUP(TABLA_PRECIOS_LISTBOX[[#This Row],[Código]],TABLA_PRECIOS[#All],6)</f>
        <v>1</v>
      </c>
      <c r="E394" s="28">
        <f>VLOOKUP(TABLA_PRECIOS_LISTBOX[[#This Row],[Código]],TABLA_PRECIOS[#All],7)</f>
        <v>1</v>
      </c>
      <c r="F394" s="32">
        <f>VLOOKUP(TABLA_PRECIOS_LISTBOX[[#This Row],[Código]],TABLA_PRECIOS[#All],8)</f>
        <v>1</v>
      </c>
      <c r="G394" s="9">
        <f>VLOOKUP(TABLA_PRECIOS_LISTBOX[[#This Row],[Código]],TABLA_PRECIOS[#All],10)</f>
        <v>0</v>
      </c>
    </row>
    <row r="395" spans="1:7" ht="12" customHeight="1" x14ac:dyDescent="0.3">
      <c r="A395" s="4">
        <v>2062</v>
      </c>
      <c r="B395" s="6" t="str">
        <f>VLOOKUP(TABLA_PRECIOS_LISTBOX[Código],LISTADO_PRODUCTOS[#All],4)</f>
        <v>Papel de regalo Muresco</v>
      </c>
      <c r="C395" s="6" t="str">
        <f>VLOOKUP(TABLA_PRECIOS_LISTBOX[Código],LISTADO_PRODUCTOS[#All],5)</f>
        <v>N/A</v>
      </c>
      <c r="D395" s="13">
        <f>VLOOKUP(TABLA_PRECIOS_LISTBOX[[#This Row],[Código]],TABLA_PRECIOS[#All],6)</f>
        <v>1</v>
      </c>
      <c r="E395" s="28">
        <f>VLOOKUP(TABLA_PRECIOS_LISTBOX[[#This Row],[Código]],TABLA_PRECIOS[#All],7)</f>
        <v>1</v>
      </c>
      <c r="F395" s="32">
        <f>VLOOKUP(TABLA_PRECIOS_LISTBOX[[#This Row],[Código]],TABLA_PRECIOS[#All],8)</f>
        <v>1</v>
      </c>
      <c r="G395" s="9">
        <f>VLOOKUP(TABLA_PRECIOS_LISTBOX[[#This Row],[Código]],TABLA_PRECIOS[#All],10)</f>
        <v>0</v>
      </c>
    </row>
    <row r="396" spans="1:7" ht="12" customHeight="1" x14ac:dyDescent="0.3">
      <c r="A396" s="4">
        <v>2064</v>
      </c>
      <c r="B396" s="6" t="str">
        <f>VLOOKUP(TABLA_PRECIOS_LISTBOX[Código],LISTADO_PRODUCTOS[#All],4)</f>
        <v>Cinta Scotch 12 mm x 30mt Cablefix</v>
      </c>
      <c r="C396" s="6" t="str">
        <f>VLOOKUP(TABLA_PRECIOS_LISTBOX[Código],LISTADO_PRODUCTOS[#All],5)</f>
        <v>N/A</v>
      </c>
      <c r="D396" s="13">
        <f>VLOOKUP(TABLA_PRECIOS_LISTBOX[[#This Row],[Código]],TABLA_PRECIOS[#All],6)</f>
        <v>1</v>
      </c>
      <c r="E396" s="28">
        <f>VLOOKUP(TABLA_PRECIOS_LISTBOX[[#This Row],[Código]],TABLA_PRECIOS[#All],7)</f>
        <v>1</v>
      </c>
      <c r="F396" s="32">
        <f>VLOOKUP(TABLA_PRECIOS_LISTBOX[[#This Row],[Código]],TABLA_PRECIOS[#All],8)</f>
        <v>1</v>
      </c>
      <c r="G396" s="9">
        <f>VLOOKUP(TABLA_PRECIOS_LISTBOX[[#This Row],[Código]],TABLA_PRECIOS[#All],10)</f>
        <v>0</v>
      </c>
    </row>
    <row r="397" spans="1:7" ht="12" customHeight="1" x14ac:dyDescent="0.3">
      <c r="A397" s="4">
        <v>2065</v>
      </c>
      <c r="B397" s="6" t="str">
        <f>VLOOKUP(TABLA_PRECIOS_LISTBOX[Código],LISTADO_PRODUCTOS[#All],4)</f>
        <v>Banditas elasticas  caja x 250gr</v>
      </c>
      <c r="C397" s="6" t="str">
        <f>VLOOKUP(TABLA_PRECIOS_LISTBOX[Código],LISTADO_PRODUCTOS[#All],5)</f>
        <v>N/A</v>
      </c>
      <c r="D397" s="13">
        <f>VLOOKUP(TABLA_PRECIOS_LISTBOX[[#This Row],[Código]],TABLA_PRECIOS[#All],6)</f>
        <v>1</v>
      </c>
      <c r="E397" s="28">
        <f>VLOOKUP(TABLA_PRECIOS_LISTBOX[[#This Row],[Código]],TABLA_PRECIOS[#All],7)</f>
        <v>1</v>
      </c>
      <c r="F397" s="32">
        <f>VLOOKUP(TABLA_PRECIOS_LISTBOX[[#This Row],[Código]],TABLA_PRECIOS[#All],8)</f>
        <v>1</v>
      </c>
      <c r="G397" s="9">
        <f>VLOOKUP(TABLA_PRECIOS_LISTBOX[[#This Row],[Código]],TABLA_PRECIOS[#All],10)</f>
        <v>0</v>
      </c>
    </row>
    <row r="398" spans="1:7" ht="12" customHeight="1" x14ac:dyDescent="0.3">
      <c r="A398" s="4">
        <v>2066</v>
      </c>
      <c r="B398" s="6" t="str">
        <f>VLOOKUP(TABLA_PRECIOS_LISTBOX[Código],LISTADO_PRODUCTOS[#All],4)</f>
        <v>Banditas elasticas caja x 50gr</v>
      </c>
      <c r="C398" s="6" t="str">
        <f>VLOOKUP(TABLA_PRECIOS_LISTBOX[Código],LISTADO_PRODUCTOS[#All],5)</f>
        <v>N/A</v>
      </c>
      <c r="D398" s="13">
        <f>VLOOKUP(TABLA_PRECIOS_LISTBOX[[#This Row],[Código]],TABLA_PRECIOS[#All],6)</f>
        <v>1</v>
      </c>
      <c r="E398" s="28">
        <f>VLOOKUP(TABLA_PRECIOS_LISTBOX[[#This Row],[Código]],TABLA_PRECIOS[#All],7)</f>
        <v>1</v>
      </c>
      <c r="F398" s="32">
        <f>VLOOKUP(TABLA_PRECIOS_LISTBOX[[#This Row],[Código]],TABLA_PRECIOS[#All],8)</f>
        <v>1</v>
      </c>
      <c r="G398" s="9">
        <f>VLOOKUP(TABLA_PRECIOS_LISTBOX[[#This Row],[Código]],TABLA_PRECIOS[#All],10)</f>
        <v>0</v>
      </c>
    </row>
    <row r="399" spans="1:7" ht="12" customHeight="1" x14ac:dyDescent="0.3">
      <c r="A399" s="4">
        <v>2067</v>
      </c>
      <c r="B399" s="6" t="str">
        <f>VLOOKUP(TABLA_PRECIOS_LISTBOX[Código],LISTADO_PRODUCTOS[#All],4)</f>
        <v>Broche metalizado madera CBX m35mm x 25u</v>
      </c>
      <c r="C399" s="6" t="str">
        <f>VLOOKUP(TABLA_PRECIOS_LISTBOX[Código],LISTADO_PRODUCTOS[#All],5)</f>
        <v>N/A</v>
      </c>
      <c r="D399" s="13">
        <f>VLOOKUP(TABLA_PRECIOS_LISTBOX[[#This Row],[Código]],TABLA_PRECIOS[#All],6)</f>
        <v>1</v>
      </c>
      <c r="E399" s="28">
        <f>VLOOKUP(TABLA_PRECIOS_LISTBOX[[#This Row],[Código]],TABLA_PRECIOS[#All],7)</f>
        <v>1</v>
      </c>
      <c r="F399" s="32">
        <f>VLOOKUP(TABLA_PRECIOS_LISTBOX[[#This Row],[Código]],TABLA_PRECIOS[#All],8)</f>
        <v>1</v>
      </c>
      <c r="G399" s="9">
        <f>VLOOKUP(TABLA_PRECIOS_LISTBOX[[#This Row],[Código]],TABLA_PRECIOS[#All],10)</f>
        <v>0</v>
      </c>
    </row>
    <row r="400" spans="1:7" ht="12" customHeight="1" x14ac:dyDescent="0.3">
      <c r="A400" s="4">
        <v>2072</v>
      </c>
      <c r="B400" s="6" t="str">
        <f>VLOOKUP(TABLA_PRECIOS_LISTBOX[Código],LISTADO_PRODUCTOS[#All],4)</f>
        <v>Plastilina Tintoretto x 10u</v>
      </c>
      <c r="C400" s="6" t="str">
        <f>VLOOKUP(TABLA_PRECIOS_LISTBOX[Código],LISTADO_PRODUCTOS[#All],5)</f>
        <v>N/A</v>
      </c>
      <c r="D400" s="13">
        <f>VLOOKUP(TABLA_PRECIOS_LISTBOX[[#This Row],[Código]],TABLA_PRECIOS[#All],6)</f>
        <v>1</v>
      </c>
      <c r="E400" s="28">
        <f>VLOOKUP(TABLA_PRECIOS_LISTBOX[[#This Row],[Código]],TABLA_PRECIOS[#All],7)</f>
        <v>1</v>
      </c>
      <c r="F400" s="32">
        <f>VLOOKUP(TABLA_PRECIOS_LISTBOX[[#This Row],[Código]],TABLA_PRECIOS[#All],8)</f>
        <v>1</v>
      </c>
      <c r="G400" s="9">
        <f>VLOOKUP(TABLA_PRECIOS_LISTBOX[[#This Row],[Código]],TABLA_PRECIOS[#All],10)</f>
        <v>0</v>
      </c>
    </row>
    <row r="401" spans="1:7" ht="12" customHeight="1" x14ac:dyDescent="0.3">
      <c r="A401" s="4">
        <v>2075</v>
      </c>
      <c r="B401" s="6" t="str">
        <f>VLOOKUP(TABLA_PRECIOS_LISTBOX[Código],LISTADO_PRODUCTOS[#All],4)</f>
        <v>Plastilina Maped x 6u</v>
      </c>
      <c r="C401" s="6" t="str">
        <f>VLOOKUP(TABLA_PRECIOS_LISTBOX[Código],LISTADO_PRODUCTOS[#All],5)</f>
        <v>N/A</v>
      </c>
      <c r="D401" s="13">
        <f>VLOOKUP(TABLA_PRECIOS_LISTBOX[[#This Row],[Código]],TABLA_PRECIOS[#All],6)</f>
        <v>1</v>
      </c>
      <c r="E401" s="28">
        <f>VLOOKUP(TABLA_PRECIOS_LISTBOX[[#This Row],[Código]],TABLA_PRECIOS[#All],7)</f>
        <v>1</v>
      </c>
      <c r="F401" s="32">
        <f>VLOOKUP(TABLA_PRECIOS_LISTBOX[[#This Row],[Código]],TABLA_PRECIOS[#All],8)</f>
        <v>1</v>
      </c>
      <c r="G401" s="9">
        <f>VLOOKUP(TABLA_PRECIOS_LISTBOX[[#This Row],[Código]],TABLA_PRECIOS[#All],10)</f>
        <v>0</v>
      </c>
    </row>
    <row r="402" spans="1:7" ht="12" customHeight="1" x14ac:dyDescent="0.3">
      <c r="A402" s="4">
        <v>2076</v>
      </c>
      <c r="B402" s="6" t="str">
        <f>VLOOKUP(TABLA_PRECIOS_LISTBOX[Código],LISTADO_PRODUCTOS[#All],4)</f>
        <v>Tempera Alba magic/Playcolor x10u</v>
      </c>
      <c r="C402" s="6" t="str">
        <f>VLOOKUP(TABLA_PRECIOS_LISTBOX[Código],LISTADO_PRODUCTOS[#All],5)</f>
        <v>N/A</v>
      </c>
      <c r="D402" s="13">
        <f>VLOOKUP(TABLA_PRECIOS_LISTBOX[[#This Row],[Código]],TABLA_PRECIOS[#All],6)</f>
        <v>1</v>
      </c>
      <c r="E402" s="28">
        <f>VLOOKUP(TABLA_PRECIOS_LISTBOX[[#This Row],[Código]],TABLA_PRECIOS[#All],7)</f>
        <v>1</v>
      </c>
      <c r="F402" s="32">
        <f>VLOOKUP(TABLA_PRECIOS_LISTBOX[[#This Row],[Código]],TABLA_PRECIOS[#All],8)</f>
        <v>1</v>
      </c>
      <c r="G402" s="9">
        <f>VLOOKUP(TABLA_PRECIOS_LISTBOX[[#This Row],[Código]],TABLA_PRECIOS[#All],10)</f>
        <v>0</v>
      </c>
    </row>
    <row r="403" spans="1:7" ht="12" customHeight="1" x14ac:dyDescent="0.3">
      <c r="A403" s="4">
        <v>2079</v>
      </c>
      <c r="B403" s="6" t="str">
        <f>VLOOKUP(TABLA_PRECIOS_LISTBOX[Código],LISTADO_PRODUCTOS[#All],4)</f>
        <v>Tempera Alba x170gr</v>
      </c>
      <c r="C403" s="6" t="str">
        <f>VLOOKUP(TABLA_PRECIOS_LISTBOX[Código],LISTADO_PRODUCTOS[#All],5)</f>
        <v>N/A</v>
      </c>
      <c r="D403" s="13">
        <f>VLOOKUP(TABLA_PRECIOS_LISTBOX[[#This Row],[Código]],TABLA_PRECIOS[#All],6)</f>
        <v>1</v>
      </c>
      <c r="E403" s="28">
        <f>VLOOKUP(TABLA_PRECIOS_LISTBOX[[#This Row],[Código]],TABLA_PRECIOS[#All],7)</f>
        <v>1</v>
      </c>
      <c r="F403" s="32">
        <f>VLOOKUP(TABLA_PRECIOS_LISTBOX[[#This Row],[Código]],TABLA_PRECIOS[#All],8)</f>
        <v>1</v>
      </c>
      <c r="G403" s="9">
        <f>VLOOKUP(TABLA_PRECIOS_LISTBOX[[#This Row],[Código]],TABLA_PRECIOS[#All],10)</f>
        <v>0</v>
      </c>
    </row>
    <row r="404" spans="1:7" ht="12" customHeight="1" x14ac:dyDescent="0.3">
      <c r="A404" s="4">
        <v>2089</v>
      </c>
      <c r="B404" s="6" t="str">
        <f>VLOOKUP(TABLA_PRECIOS_LISTBOX[Código],LISTADO_PRODUCTOS[#All],4)</f>
        <v>Pistolita de silicona Liggo garnde barra gruesa 40w</v>
      </c>
      <c r="C404" s="6" t="str">
        <f>VLOOKUP(TABLA_PRECIOS_LISTBOX[Código],LISTADO_PRODUCTOS[#All],5)</f>
        <v>N/A</v>
      </c>
      <c r="D404" s="13">
        <f>VLOOKUP(TABLA_PRECIOS_LISTBOX[[#This Row],[Código]],TABLA_PRECIOS[#All],6)</f>
        <v>1</v>
      </c>
      <c r="E404" s="28">
        <f>VLOOKUP(TABLA_PRECIOS_LISTBOX[[#This Row],[Código]],TABLA_PRECIOS[#All],7)</f>
        <v>1</v>
      </c>
      <c r="F404" s="32">
        <f>VLOOKUP(TABLA_PRECIOS_LISTBOX[[#This Row],[Código]],TABLA_PRECIOS[#All],8)</f>
        <v>1</v>
      </c>
      <c r="G404" s="9">
        <f>VLOOKUP(TABLA_PRECIOS_LISTBOX[[#This Row],[Código]],TABLA_PRECIOS[#All],10)</f>
        <v>0</v>
      </c>
    </row>
    <row r="405" spans="1:7" ht="12" customHeight="1" x14ac:dyDescent="0.3">
      <c r="A405" s="4">
        <v>2091</v>
      </c>
      <c r="B405" s="6" t="str">
        <f>VLOOKUP(TABLA_PRECIOS_LISTBOX[Código],LISTADO_PRODUCTOS[#All],4)</f>
        <v>Pistolita encoladora chica 7mm LIGGO 10W</v>
      </c>
      <c r="C405" s="6" t="str">
        <f>VLOOKUP(TABLA_PRECIOS_LISTBOX[Código],LISTADO_PRODUCTOS[#All],5)</f>
        <v>N/A</v>
      </c>
      <c r="D405" s="13">
        <f>VLOOKUP(TABLA_PRECIOS_LISTBOX[[#This Row],[Código]],TABLA_PRECIOS[#All],6)</f>
        <v>1</v>
      </c>
      <c r="E405" s="28">
        <f>VLOOKUP(TABLA_PRECIOS_LISTBOX[[#This Row],[Código]],TABLA_PRECIOS[#All],7)</f>
        <v>1</v>
      </c>
      <c r="F405" s="32">
        <f>VLOOKUP(TABLA_PRECIOS_LISTBOX[[#This Row],[Código]],TABLA_PRECIOS[#All],8)</f>
        <v>1</v>
      </c>
      <c r="G405" s="9">
        <f>VLOOKUP(TABLA_PRECIOS_LISTBOX[[#This Row],[Código]],TABLA_PRECIOS[#All],10)</f>
        <v>0</v>
      </c>
    </row>
    <row r="406" spans="1:7" ht="12" customHeight="1" x14ac:dyDescent="0.3">
      <c r="A406" s="4">
        <v>2093</v>
      </c>
      <c r="B406" s="6" t="str">
        <f>VLOOKUP(TABLA_PRECIOS_LISTBOX[Código],LISTADO_PRODUCTOS[#All],4)</f>
        <v>Pintura p/Tela</v>
      </c>
      <c r="C406" s="6" t="str">
        <f>VLOOKUP(TABLA_PRECIOS_LISTBOX[Código],LISTADO_PRODUCTOS[#All],5)</f>
        <v>N/A</v>
      </c>
      <c r="D406" s="13">
        <f>VLOOKUP(TABLA_PRECIOS_LISTBOX[[#This Row],[Código]],TABLA_PRECIOS[#All],6)</f>
        <v>1</v>
      </c>
      <c r="E406" s="28">
        <f>VLOOKUP(TABLA_PRECIOS_LISTBOX[[#This Row],[Código]],TABLA_PRECIOS[#All],7)</f>
        <v>1</v>
      </c>
      <c r="F406" s="32">
        <f>VLOOKUP(TABLA_PRECIOS_LISTBOX[[#This Row],[Código]],TABLA_PRECIOS[#All],8)</f>
        <v>1</v>
      </c>
      <c r="G406" s="9">
        <f>VLOOKUP(TABLA_PRECIOS_LISTBOX[[#This Row],[Código]],TABLA_PRECIOS[#All],10)</f>
        <v>0</v>
      </c>
    </row>
    <row r="407" spans="1:7" ht="12" customHeight="1" x14ac:dyDescent="0.3">
      <c r="A407" s="4">
        <v>2094</v>
      </c>
      <c r="B407" s="6" t="str">
        <f>VLOOKUP(TABLA_PRECIOS_LISTBOX[Código],LISTADO_PRODUCTOS[#All],4)</f>
        <v>Acrilico EQ Arte 50cc</v>
      </c>
      <c r="C407" s="6" t="str">
        <f>VLOOKUP(TABLA_PRECIOS_LISTBOX[Código],LISTADO_PRODUCTOS[#All],5)</f>
        <v>N/A</v>
      </c>
      <c r="D407" s="13">
        <f>VLOOKUP(TABLA_PRECIOS_LISTBOX[[#This Row],[Código]],TABLA_PRECIOS[#All],6)</f>
        <v>1</v>
      </c>
      <c r="E407" s="28">
        <f>VLOOKUP(TABLA_PRECIOS_LISTBOX[[#This Row],[Código]],TABLA_PRECIOS[#All],7)</f>
        <v>1</v>
      </c>
      <c r="F407" s="32">
        <f>VLOOKUP(TABLA_PRECIOS_LISTBOX[[#This Row],[Código]],TABLA_PRECIOS[#All],8)</f>
        <v>1</v>
      </c>
      <c r="G407" s="9">
        <f>VLOOKUP(TABLA_PRECIOS_LISTBOX[[#This Row],[Código]],TABLA_PRECIOS[#All],10)</f>
        <v>0</v>
      </c>
    </row>
    <row r="408" spans="1:7" ht="12" customHeight="1" x14ac:dyDescent="0.3">
      <c r="A408" s="4">
        <v>2096</v>
      </c>
      <c r="B408" s="6" t="str">
        <f>VLOOKUP(TABLA_PRECIOS_LISTBOX[Código],LISTADO_PRODUCTOS[#All],4)</f>
        <v>Brillo en tarro Sifap 25gr</v>
      </c>
      <c r="C408" s="6" t="str">
        <f>VLOOKUP(TABLA_PRECIOS_LISTBOX[Código],LISTADO_PRODUCTOS[#All],5)</f>
        <v>N/A</v>
      </c>
      <c r="D408" s="13">
        <f>VLOOKUP(TABLA_PRECIOS_LISTBOX[[#This Row],[Código]],TABLA_PRECIOS[#All],6)</f>
        <v>1</v>
      </c>
      <c r="E408" s="28">
        <f>VLOOKUP(TABLA_PRECIOS_LISTBOX[[#This Row],[Código]],TABLA_PRECIOS[#All],7)</f>
        <v>1</v>
      </c>
      <c r="F408" s="32">
        <f>VLOOKUP(TABLA_PRECIOS_LISTBOX[[#This Row],[Código]],TABLA_PRECIOS[#All],8)</f>
        <v>1</v>
      </c>
      <c r="G408" s="9">
        <f>VLOOKUP(TABLA_PRECIOS_LISTBOX[[#This Row],[Código]],TABLA_PRECIOS[#All],10)</f>
        <v>0</v>
      </c>
    </row>
    <row r="409" spans="1:7" ht="12" customHeight="1" x14ac:dyDescent="0.3">
      <c r="A409" s="4">
        <v>2097</v>
      </c>
      <c r="B409" s="6" t="str">
        <f>VLOOKUP(TABLA_PRECIOS_LISTBOX[Código],LISTADO_PRODUCTOS[#All],4)</f>
        <v>Arcilla natural (color gris) Sifap x 300gr</v>
      </c>
      <c r="C409" s="6" t="str">
        <f>VLOOKUP(TABLA_PRECIOS_LISTBOX[Código],LISTADO_PRODUCTOS[#All],5)</f>
        <v>N/A</v>
      </c>
      <c r="D409" s="13">
        <f>VLOOKUP(TABLA_PRECIOS_LISTBOX[[#This Row],[Código]],TABLA_PRECIOS[#All],6)</f>
        <v>1</v>
      </c>
      <c r="E409" s="28">
        <f>VLOOKUP(TABLA_PRECIOS_LISTBOX[[#This Row],[Código]],TABLA_PRECIOS[#All],7)</f>
        <v>1</v>
      </c>
      <c r="F409" s="32">
        <f>VLOOKUP(TABLA_PRECIOS_LISTBOX[[#This Row],[Código]],TABLA_PRECIOS[#All],8)</f>
        <v>1</v>
      </c>
      <c r="G409" s="9">
        <f>VLOOKUP(TABLA_PRECIOS_LISTBOX[[#This Row],[Código]],TABLA_PRECIOS[#All],10)</f>
        <v>0</v>
      </c>
    </row>
    <row r="410" spans="1:7" ht="12" customHeight="1" x14ac:dyDescent="0.3">
      <c r="A410" s="4">
        <v>2262</v>
      </c>
      <c r="B410" s="6" t="str">
        <f>VLOOKUP(TABLA_PRECIOS_LISTBOX[Código],LISTADO_PRODUCTOS[#All],4)</f>
        <v>Acuarela Filgo x 12u</v>
      </c>
      <c r="C410" s="6" t="str">
        <f>VLOOKUP(TABLA_PRECIOS_LISTBOX[Código],LISTADO_PRODUCTOS[#All],5)</f>
        <v>N/A</v>
      </c>
      <c r="D410" s="13">
        <f>VLOOKUP(TABLA_PRECIOS_LISTBOX[[#This Row],[Código]],TABLA_PRECIOS[#All],6)</f>
        <v>1</v>
      </c>
      <c r="E410" s="28">
        <f>VLOOKUP(TABLA_PRECIOS_LISTBOX[[#This Row],[Código]],TABLA_PRECIOS[#All],7)</f>
        <v>1</v>
      </c>
      <c r="F410" s="32">
        <f>VLOOKUP(TABLA_PRECIOS_LISTBOX[[#This Row],[Código]],TABLA_PRECIOS[#All],8)</f>
        <v>1</v>
      </c>
      <c r="G410" s="9">
        <f>VLOOKUP(TABLA_PRECIOS_LISTBOX[[#This Row],[Código]],TABLA_PRECIOS[#All],10)</f>
        <v>0</v>
      </c>
    </row>
    <row r="411" spans="1:7" ht="12" customHeight="1" x14ac:dyDescent="0.3">
      <c r="A411" s="4">
        <v>2102</v>
      </c>
      <c r="B411" s="6" t="str">
        <f>VLOOKUP(TABLA_PRECIOS_LISTBOX[Código],LISTADO_PRODUCTOS[#All],4)</f>
        <v>Arcilla natural (color gris) Sifap x 300gr</v>
      </c>
      <c r="C411" s="6" t="str">
        <f>VLOOKUP(TABLA_PRECIOS_LISTBOX[Código],LISTADO_PRODUCTOS[#All],5)</f>
        <v>N/A</v>
      </c>
      <c r="D411" s="13">
        <f>VLOOKUP(TABLA_PRECIOS_LISTBOX[[#This Row],[Código]],TABLA_PRECIOS[#All],6)</f>
        <v>1</v>
      </c>
      <c r="E411" s="28">
        <f>VLOOKUP(TABLA_PRECIOS_LISTBOX[[#This Row],[Código]],TABLA_PRECIOS[#All],7)</f>
        <v>1</v>
      </c>
      <c r="F411" s="32">
        <f>VLOOKUP(TABLA_PRECIOS_LISTBOX[[#This Row],[Código]],TABLA_PRECIOS[#All],8)</f>
        <v>1</v>
      </c>
      <c r="G411" s="9">
        <f>VLOOKUP(TABLA_PRECIOS_LISTBOX[[#This Row],[Código]],TABLA_PRECIOS[#All],10)</f>
        <v>0</v>
      </c>
    </row>
    <row r="412" spans="1:7" ht="12" customHeight="1" x14ac:dyDescent="0.3">
      <c r="A412" s="4">
        <v>2103</v>
      </c>
      <c r="B412" s="6" t="str">
        <f>VLOOKUP(TABLA_PRECIOS_LISTBOX[Código],LISTADO_PRODUCTOS[#All],4)</f>
        <v>Pistola para silicona fina Suprabond Hx-100 diseños especiales</v>
      </c>
      <c r="C412" s="6" t="str">
        <f>VLOOKUP(TABLA_PRECIOS_LISTBOX[Código],LISTADO_PRODUCTOS[#All],5)</f>
        <v>N/A</v>
      </c>
      <c r="D412" s="13">
        <f>VLOOKUP(TABLA_PRECIOS_LISTBOX[[#This Row],[Código]],TABLA_PRECIOS[#All],6)</f>
        <v>1</v>
      </c>
      <c r="E412" s="28">
        <f>VLOOKUP(TABLA_PRECIOS_LISTBOX[[#This Row],[Código]],TABLA_PRECIOS[#All],7)</f>
        <v>1</v>
      </c>
      <c r="F412" s="32">
        <f>VLOOKUP(TABLA_PRECIOS_LISTBOX[[#This Row],[Código]],TABLA_PRECIOS[#All],8)</f>
        <v>1</v>
      </c>
      <c r="G412" s="9">
        <f>VLOOKUP(TABLA_PRECIOS_LISTBOX[[#This Row],[Código]],TABLA_PRECIOS[#All],10)</f>
        <v>0</v>
      </c>
    </row>
    <row r="413" spans="1:7" ht="12" customHeight="1" x14ac:dyDescent="0.3">
      <c r="A413" s="4">
        <v>2104</v>
      </c>
      <c r="B413" s="6" t="str">
        <f>VLOOKUP(TABLA_PRECIOS_LISTBOX[Código],LISTADO_PRODUCTOS[#All],4)</f>
        <v>Pistola para silicona gruesa Suprabond</v>
      </c>
      <c r="C413" s="6" t="str">
        <f>VLOOKUP(TABLA_PRECIOS_LISTBOX[Código],LISTADO_PRODUCTOS[#All],5)</f>
        <v>N/A</v>
      </c>
      <c r="D413" s="13">
        <f>VLOOKUP(TABLA_PRECIOS_LISTBOX[[#This Row],[Código]],TABLA_PRECIOS[#All],6)</f>
        <v>1</v>
      </c>
      <c r="E413" s="28">
        <f>VLOOKUP(TABLA_PRECIOS_LISTBOX[[#This Row],[Código]],TABLA_PRECIOS[#All],7)</f>
        <v>1</v>
      </c>
      <c r="F413" s="32">
        <f>VLOOKUP(TABLA_PRECIOS_LISTBOX[[#This Row],[Código]],TABLA_PRECIOS[#All],8)</f>
        <v>1</v>
      </c>
      <c r="G413" s="9">
        <f>VLOOKUP(TABLA_PRECIOS_LISTBOX[[#This Row],[Código]],TABLA_PRECIOS[#All],10)</f>
        <v>0</v>
      </c>
    </row>
    <row r="414" spans="1:7" ht="12" customHeight="1" x14ac:dyDescent="0.3">
      <c r="A414" s="4">
        <v>2105</v>
      </c>
      <c r="B414" s="6" t="str">
        <f>VLOOKUP(TABLA_PRECIOS_LISTBOX[Código],LISTADO_PRODUCTOS[#All],4)</f>
        <v>Yeso Paris</v>
      </c>
      <c r="C414" s="6" t="str">
        <f>VLOOKUP(TABLA_PRECIOS_LISTBOX[Código],LISTADO_PRODUCTOS[#All],5)</f>
        <v>N/A</v>
      </c>
      <c r="D414" s="13">
        <f>VLOOKUP(TABLA_PRECIOS_LISTBOX[[#This Row],[Código]],TABLA_PRECIOS[#All],6)</f>
        <v>1</v>
      </c>
      <c r="E414" s="28">
        <f>VLOOKUP(TABLA_PRECIOS_LISTBOX[[#This Row],[Código]],TABLA_PRECIOS[#All],7)</f>
        <v>1</v>
      </c>
      <c r="F414" s="32">
        <f>VLOOKUP(TABLA_PRECIOS_LISTBOX[[#This Row],[Código]],TABLA_PRECIOS[#All],8)</f>
        <v>1</v>
      </c>
      <c r="G414" s="9">
        <f>VLOOKUP(TABLA_PRECIOS_LISTBOX[[#This Row],[Código]],TABLA_PRECIOS[#All],10)</f>
        <v>0</v>
      </c>
    </row>
    <row r="415" spans="1:7" ht="12" customHeight="1" x14ac:dyDescent="0.3">
      <c r="A415" s="4">
        <v>2106</v>
      </c>
      <c r="B415" s="6" t="str">
        <f>VLOOKUP(TABLA_PRECIOS_LISTBOX[Código],LISTADO_PRODUCTOS[#All],4)</f>
        <v>Silicona Liquida Unipox ge 24ml</v>
      </c>
      <c r="C415" s="6" t="str">
        <f>VLOOKUP(TABLA_PRECIOS_LISTBOX[Código],LISTADO_PRODUCTOS[#All],5)</f>
        <v>N/A</v>
      </c>
      <c r="D415" s="13">
        <f>VLOOKUP(TABLA_PRECIOS_LISTBOX[[#This Row],[Código]],TABLA_PRECIOS[#All],6)</f>
        <v>1</v>
      </c>
      <c r="E415" s="28">
        <f>VLOOKUP(TABLA_PRECIOS_LISTBOX[[#This Row],[Código]],TABLA_PRECIOS[#All],7)</f>
        <v>1</v>
      </c>
      <c r="F415" s="32">
        <f>VLOOKUP(TABLA_PRECIOS_LISTBOX[[#This Row],[Código]],TABLA_PRECIOS[#All],8)</f>
        <v>1</v>
      </c>
      <c r="G415" s="9">
        <f>VLOOKUP(TABLA_PRECIOS_LISTBOX[[#This Row],[Código]],TABLA_PRECIOS[#All],10)</f>
        <v>0</v>
      </c>
    </row>
    <row r="416" spans="1:7" ht="12" customHeight="1" x14ac:dyDescent="0.3">
      <c r="A416" s="4">
        <v>2108</v>
      </c>
      <c r="B416" s="6" t="str">
        <f>VLOOKUP(TABLA_PRECIOS_LISTBOX[Código],LISTADO_PRODUCTOS[#All],4)</f>
        <v>Brillantina Gibre Sifap blister x 5u</v>
      </c>
      <c r="C416" s="6" t="str">
        <f>VLOOKUP(TABLA_PRECIOS_LISTBOX[Código],LISTADO_PRODUCTOS[#All],5)</f>
        <v>N/A</v>
      </c>
      <c r="D416" s="13">
        <f>VLOOKUP(TABLA_PRECIOS_LISTBOX[[#This Row],[Código]],TABLA_PRECIOS[#All],6)</f>
        <v>1</v>
      </c>
      <c r="E416" s="28">
        <f>VLOOKUP(TABLA_PRECIOS_LISTBOX[[#This Row],[Código]],TABLA_PRECIOS[#All],7)</f>
        <v>1</v>
      </c>
      <c r="F416" s="32">
        <f>VLOOKUP(TABLA_PRECIOS_LISTBOX[[#This Row],[Código]],TABLA_PRECIOS[#All],8)</f>
        <v>1</v>
      </c>
      <c r="G416" s="9">
        <f>VLOOKUP(TABLA_PRECIOS_LISTBOX[[#This Row],[Código]],TABLA_PRECIOS[#All],10)</f>
        <v>0</v>
      </c>
    </row>
    <row r="417" spans="1:7" ht="12" customHeight="1" x14ac:dyDescent="0.3">
      <c r="A417" s="4">
        <v>2109</v>
      </c>
      <c r="B417" s="6" t="str">
        <f>VLOOKUP(TABLA_PRECIOS_LISTBOX[Código],LISTADO_PRODUCTOS[#All],4)</f>
        <v>Chinche Forrada Sifap x 80u</v>
      </c>
      <c r="C417" s="6" t="str">
        <f>VLOOKUP(TABLA_PRECIOS_LISTBOX[Código],LISTADO_PRODUCTOS[#All],5)</f>
        <v>N/A</v>
      </c>
      <c r="D417" s="13">
        <f>VLOOKUP(TABLA_PRECIOS_LISTBOX[[#This Row],[Código]],TABLA_PRECIOS[#All],6)</f>
        <v>1</v>
      </c>
      <c r="E417" s="28">
        <f>VLOOKUP(TABLA_PRECIOS_LISTBOX[[#This Row],[Código]],TABLA_PRECIOS[#All],7)</f>
        <v>1</v>
      </c>
      <c r="F417" s="32">
        <f>VLOOKUP(TABLA_PRECIOS_LISTBOX[[#This Row],[Código]],TABLA_PRECIOS[#All],8)</f>
        <v>1</v>
      </c>
      <c r="G417" s="9">
        <f>VLOOKUP(TABLA_PRECIOS_LISTBOX[[#This Row],[Código]],TABLA_PRECIOS[#All],10)</f>
        <v>0</v>
      </c>
    </row>
    <row r="418" spans="1:7" ht="12" customHeight="1" x14ac:dyDescent="0.3">
      <c r="A418" s="4">
        <v>2111</v>
      </c>
      <c r="B418" s="6" t="str">
        <f>VLOOKUP(TABLA_PRECIOS_LISTBOX[Código],LISTADO_PRODUCTOS[#All],4)</f>
        <v>Sobre carta chico blanco</v>
      </c>
      <c r="C418" s="6" t="str">
        <f>VLOOKUP(TABLA_PRECIOS_LISTBOX[Código],LISTADO_PRODUCTOS[#All],5)</f>
        <v>N/A</v>
      </c>
      <c r="D418" s="13">
        <f>VLOOKUP(TABLA_PRECIOS_LISTBOX[[#This Row],[Código]],TABLA_PRECIOS[#All],6)</f>
        <v>1</v>
      </c>
      <c r="E418" s="28">
        <f>VLOOKUP(TABLA_PRECIOS_LISTBOX[[#This Row],[Código]],TABLA_PRECIOS[#All],7)</f>
        <v>1</v>
      </c>
      <c r="F418" s="32">
        <f>VLOOKUP(TABLA_PRECIOS_LISTBOX[[#This Row],[Código]],TABLA_PRECIOS[#All],8)</f>
        <v>1</v>
      </c>
      <c r="G418" s="9">
        <f>VLOOKUP(TABLA_PRECIOS_LISTBOX[[#This Row],[Código]],TABLA_PRECIOS[#All],10)</f>
        <v>0</v>
      </c>
    </row>
    <row r="419" spans="1:7" ht="12" customHeight="1" x14ac:dyDescent="0.3">
      <c r="A419" s="4">
        <v>2113</v>
      </c>
      <c r="B419" s="6" t="str">
        <f>VLOOKUP(TABLA_PRECIOS_LISTBOX[Código],LISTADO_PRODUCTOS[#All],4)</f>
        <v>Sobre Oficio ingles Blanco</v>
      </c>
      <c r="C419" s="6" t="str">
        <f>VLOOKUP(TABLA_PRECIOS_LISTBOX[Código],LISTADO_PRODUCTOS[#All],5)</f>
        <v>N/A</v>
      </c>
      <c r="D419" s="13">
        <f>VLOOKUP(TABLA_PRECIOS_LISTBOX[[#This Row],[Código]],TABLA_PRECIOS[#All],6)</f>
        <v>1</v>
      </c>
      <c r="E419" s="28">
        <f>VLOOKUP(TABLA_PRECIOS_LISTBOX[[#This Row],[Código]],TABLA_PRECIOS[#All],7)</f>
        <v>1</v>
      </c>
      <c r="F419" s="32">
        <f>VLOOKUP(TABLA_PRECIOS_LISTBOX[[#This Row],[Código]],TABLA_PRECIOS[#All],8)</f>
        <v>1</v>
      </c>
      <c r="G419" s="9">
        <f>VLOOKUP(TABLA_PRECIOS_LISTBOX[[#This Row],[Código]],TABLA_PRECIOS[#All],10)</f>
        <v>0</v>
      </c>
    </row>
    <row r="420" spans="1:7" ht="12" customHeight="1" x14ac:dyDescent="0.3">
      <c r="A420" s="4">
        <v>2114</v>
      </c>
      <c r="B420" s="6" t="str">
        <f>VLOOKUP(TABLA_PRECIOS_LISTBOX[Código],LISTADO_PRODUCTOS[#All],4)</f>
        <v>Cinta de embalar 48mm x 100mts</v>
      </c>
      <c r="C420" s="6" t="str">
        <f>VLOOKUP(TABLA_PRECIOS_LISTBOX[Código],LISTADO_PRODUCTOS[#All],5)</f>
        <v>N/A</v>
      </c>
      <c r="D420" s="13">
        <f>VLOOKUP(TABLA_PRECIOS_LISTBOX[[#This Row],[Código]],TABLA_PRECIOS[#All],6)</f>
        <v>1</v>
      </c>
      <c r="E420" s="28">
        <f>VLOOKUP(TABLA_PRECIOS_LISTBOX[[#This Row],[Código]],TABLA_PRECIOS[#All],7)</f>
        <v>1</v>
      </c>
      <c r="F420" s="32">
        <f>VLOOKUP(TABLA_PRECIOS_LISTBOX[[#This Row],[Código]],TABLA_PRECIOS[#All],8)</f>
        <v>1</v>
      </c>
      <c r="G420" s="9">
        <f>VLOOKUP(TABLA_PRECIOS_LISTBOX[[#This Row],[Código]],TABLA_PRECIOS[#All],10)</f>
        <v>0</v>
      </c>
    </row>
    <row r="421" spans="1:7" ht="12" customHeight="1" x14ac:dyDescent="0.3">
      <c r="A421" s="4">
        <v>2115</v>
      </c>
      <c r="B421" s="6" t="str">
        <f>VLOOKUP(TABLA_PRECIOS_LISTBOX[Código],LISTADO_PRODUCTOS[#All],4)</f>
        <v>Imanes Flexibles autoadhesivos A4 Sifap x plancha</v>
      </c>
      <c r="C421" s="6" t="str">
        <f>VLOOKUP(TABLA_PRECIOS_LISTBOX[Código],LISTADO_PRODUCTOS[#All],5)</f>
        <v>N/A</v>
      </c>
      <c r="D421" s="13">
        <f>VLOOKUP(TABLA_PRECIOS_LISTBOX[[#This Row],[Código]],TABLA_PRECIOS[#All],6)</f>
        <v>1</v>
      </c>
      <c r="E421" s="28">
        <f>VLOOKUP(TABLA_PRECIOS_LISTBOX[[#This Row],[Código]],TABLA_PRECIOS[#All],7)</f>
        <v>1</v>
      </c>
      <c r="F421" s="32">
        <f>VLOOKUP(TABLA_PRECIOS_LISTBOX[[#This Row],[Código]],TABLA_PRECIOS[#All],8)</f>
        <v>1</v>
      </c>
      <c r="G421" s="9">
        <f>VLOOKUP(TABLA_PRECIOS_LISTBOX[[#This Row],[Código]],TABLA_PRECIOS[#All],10)</f>
        <v>0</v>
      </c>
    </row>
    <row r="422" spans="1:7" ht="12" customHeight="1" x14ac:dyDescent="0.3">
      <c r="A422" s="4">
        <v>2119</v>
      </c>
      <c r="B422" s="6" t="str">
        <f>VLOOKUP(TABLA_PRECIOS_LISTBOX[Código],LISTADO_PRODUCTOS[#All],4)</f>
        <v>Adhesivo en barra Ezco 21grs</v>
      </c>
      <c r="C422" s="6" t="str">
        <f>VLOOKUP(TABLA_PRECIOS_LISTBOX[Código],LISTADO_PRODUCTOS[#All],5)</f>
        <v>N/A</v>
      </c>
      <c r="D422" s="13">
        <f>VLOOKUP(TABLA_PRECIOS_LISTBOX[[#This Row],[Código]],TABLA_PRECIOS[#All],6)</f>
        <v>1</v>
      </c>
      <c r="E422" s="28">
        <f>VLOOKUP(TABLA_PRECIOS_LISTBOX[[#This Row],[Código]],TABLA_PRECIOS[#All],7)</f>
        <v>1</v>
      </c>
      <c r="F422" s="32">
        <f>VLOOKUP(TABLA_PRECIOS_LISTBOX[[#This Row],[Código]],TABLA_PRECIOS[#All],8)</f>
        <v>1</v>
      </c>
      <c r="G422" s="9">
        <f>VLOOKUP(TABLA_PRECIOS_LISTBOX[[#This Row],[Código]],TABLA_PRECIOS[#All],10)</f>
        <v>0</v>
      </c>
    </row>
    <row r="423" spans="1:7" ht="12" customHeight="1" x14ac:dyDescent="0.3">
      <c r="A423" s="4">
        <v>2120</v>
      </c>
      <c r="B423" s="6" t="str">
        <f>VLOOKUP(TABLA_PRECIOS_LISTBOX[Código],LISTADO_PRODUCTOS[#All],4)</f>
        <v>Adhesivo en barra Giotto 36g</v>
      </c>
      <c r="C423" s="6" t="str">
        <f>VLOOKUP(TABLA_PRECIOS_LISTBOX[Código],LISTADO_PRODUCTOS[#All],5)</f>
        <v>N/A</v>
      </c>
      <c r="D423" s="13">
        <f>VLOOKUP(TABLA_PRECIOS_LISTBOX[[#This Row],[Código]],TABLA_PRECIOS[#All],6)</f>
        <v>1</v>
      </c>
      <c r="E423" s="28">
        <f>VLOOKUP(TABLA_PRECIOS_LISTBOX[[#This Row],[Código]],TABLA_PRECIOS[#All],7)</f>
        <v>1</v>
      </c>
      <c r="F423" s="32">
        <f>VLOOKUP(TABLA_PRECIOS_LISTBOX[[#This Row],[Código]],TABLA_PRECIOS[#All],8)</f>
        <v>1</v>
      </c>
      <c r="G423" s="9">
        <f>VLOOKUP(TABLA_PRECIOS_LISTBOX[[#This Row],[Código]],TABLA_PRECIOS[#All],10)</f>
        <v>0</v>
      </c>
    </row>
    <row r="424" spans="1:7" ht="12" customHeight="1" x14ac:dyDescent="0.3">
      <c r="A424" s="4">
        <v>2200</v>
      </c>
      <c r="B424" s="6" t="str">
        <f>VLOOKUP(TABLA_PRECIOS_LISTBOX[Código],LISTADO_PRODUCTOS[#All],4)</f>
        <v>Cinta scotch transparente 18mm x 25mt</v>
      </c>
      <c r="C424" s="6" t="str">
        <f>VLOOKUP(TABLA_PRECIOS_LISTBOX[Código],LISTADO_PRODUCTOS[#All],5)</f>
        <v>N/A</v>
      </c>
      <c r="D424" s="13">
        <f>VLOOKUP(TABLA_PRECIOS_LISTBOX[[#This Row],[Código]],TABLA_PRECIOS[#All],6)</f>
        <v>1</v>
      </c>
      <c r="E424" s="28">
        <f>VLOOKUP(TABLA_PRECIOS_LISTBOX[[#This Row],[Código]],TABLA_PRECIOS[#All],7)</f>
        <v>1</v>
      </c>
      <c r="F424" s="32">
        <f>VLOOKUP(TABLA_PRECIOS_LISTBOX[[#This Row],[Código]],TABLA_PRECIOS[#All],8)</f>
        <v>1</v>
      </c>
      <c r="G424" s="9">
        <f>VLOOKUP(TABLA_PRECIOS_LISTBOX[[#This Row],[Código]],TABLA_PRECIOS[#All],10)</f>
        <v>0</v>
      </c>
    </row>
    <row r="425" spans="1:7" ht="12" customHeight="1" x14ac:dyDescent="0.3">
      <c r="A425" s="4">
        <v>2220</v>
      </c>
      <c r="B425" s="6" t="str">
        <f>VLOOKUP(TABLA_PRECIOS_LISTBOX[Código],LISTADO_PRODUCTOS[#All],4)</f>
        <v>Cinta Scotch 18mm x 30m</v>
      </c>
      <c r="C425" s="6" t="str">
        <f>VLOOKUP(TABLA_PRECIOS_LISTBOX[Código],LISTADO_PRODUCTOS[#All],5)</f>
        <v>N/A</v>
      </c>
      <c r="D425" s="13">
        <f>VLOOKUP(TABLA_PRECIOS_LISTBOX[[#This Row],[Código]],TABLA_PRECIOS[#All],6)</f>
        <v>1</v>
      </c>
      <c r="E425" s="28">
        <f>VLOOKUP(TABLA_PRECIOS_LISTBOX[[#This Row],[Código]],TABLA_PRECIOS[#All],7)</f>
        <v>1</v>
      </c>
      <c r="F425" s="32">
        <f>VLOOKUP(TABLA_PRECIOS_LISTBOX[[#This Row],[Código]],TABLA_PRECIOS[#All],8)</f>
        <v>1</v>
      </c>
      <c r="G425" s="9">
        <f>VLOOKUP(TABLA_PRECIOS_LISTBOX[[#This Row],[Código]],TABLA_PRECIOS[#All],10)</f>
        <v>0</v>
      </c>
    </row>
    <row r="426" spans="1:7" ht="12" customHeight="1" x14ac:dyDescent="0.3">
      <c r="A426" s="4">
        <v>2221</v>
      </c>
      <c r="B426" s="6" t="str">
        <f>VLOOKUP(TABLA_PRECIOS_LISTBOX[Código],LISTADO_PRODUCTOS[#All],4)</f>
        <v>Cinta confitera</v>
      </c>
      <c r="C426" s="6" t="str">
        <f>VLOOKUP(TABLA_PRECIOS_LISTBOX[Código],LISTADO_PRODUCTOS[#All],5)</f>
        <v>N/A</v>
      </c>
      <c r="D426" s="13">
        <f>VLOOKUP(TABLA_PRECIOS_LISTBOX[[#This Row],[Código]],TABLA_PRECIOS[#All],6)</f>
        <v>1</v>
      </c>
      <c r="E426" s="28">
        <f>VLOOKUP(TABLA_PRECIOS_LISTBOX[[#This Row],[Código]],TABLA_PRECIOS[#All],7)</f>
        <v>1</v>
      </c>
      <c r="F426" s="32">
        <f>VLOOKUP(TABLA_PRECIOS_LISTBOX[[#This Row],[Código]],TABLA_PRECIOS[#All],8)</f>
        <v>1</v>
      </c>
      <c r="G426" s="9">
        <f>VLOOKUP(TABLA_PRECIOS_LISTBOX[[#This Row],[Código]],TABLA_PRECIOS[#All],10)</f>
        <v>0</v>
      </c>
    </row>
    <row r="427" spans="1:7" ht="12" customHeight="1" x14ac:dyDescent="0.3">
      <c r="A427" s="4">
        <v>2222</v>
      </c>
      <c r="B427" s="6" t="str">
        <f>VLOOKUP(TABLA_PRECIOS_LISTBOX[Código],LISTADO_PRODUCTOS[#All],4)</f>
        <v>Cinta embalar 48mm x 50m Stiko</v>
      </c>
      <c r="C427" s="6" t="str">
        <f>VLOOKUP(TABLA_PRECIOS_LISTBOX[Código],LISTADO_PRODUCTOS[#All],5)</f>
        <v>N/A</v>
      </c>
      <c r="D427" s="13">
        <f>VLOOKUP(TABLA_PRECIOS_LISTBOX[[#This Row],[Código]],TABLA_PRECIOS[#All],6)</f>
        <v>1</v>
      </c>
      <c r="E427" s="28">
        <f>VLOOKUP(TABLA_PRECIOS_LISTBOX[[#This Row],[Código]],TABLA_PRECIOS[#All],7)</f>
        <v>1</v>
      </c>
      <c r="F427" s="32">
        <f>VLOOKUP(TABLA_PRECIOS_LISTBOX[[#This Row],[Código]],TABLA_PRECIOS[#All],8)</f>
        <v>1</v>
      </c>
      <c r="G427" s="9">
        <f>VLOOKUP(TABLA_PRECIOS_LISTBOX[[#This Row],[Código]],TABLA_PRECIOS[#All],10)</f>
        <v>0</v>
      </c>
    </row>
    <row r="428" spans="1:7" ht="12" customHeight="1" x14ac:dyDescent="0.3">
      <c r="A428" s="4">
        <v>2113</v>
      </c>
      <c r="B428" s="6" t="str">
        <f>VLOOKUP(TABLA_PRECIOS_LISTBOX[Código],LISTADO_PRODUCTOS[#All],4)</f>
        <v>Sobre Oficio ingles Blanco</v>
      </c>
      <c r="C428" s="6" t="str">
        <f>VLOOKUP(TABLA_PRECIOS_LISTBOX[Código],LISTADO_PRODUCTOS[#All],5)</f>
        <v>N/A</v>
      </c>
      <c r="D428" s="13">
        <f>VLOOKUP(TABLA_PRECIOS_LISTBOX[[#This Row],[Código]],TABLA_PRECIOS[#All],6)</f>
        <v>1</v>
      </c>
      <c r="E428" s="28">
        <f>VLOOKUP(TABLA_PRECIOS_LISTBOX[[#This Row],[Código]],TABLA_PRECIOS[#All],7)</f>
        <v>1</v>
      </c>
      <c r="F428" s="32">
        <f>VLOOKUP(TABLA_PRECIOS_LISTBOX[[#This Row],[Código]],TABLA_PRECIOS[#All],8)</f>
        <v>1</v>
      </c>
      <c r="G428" s="9">
        <f>VLOOKUP(TABLA_PRECIOS_LISTBOX[[#This Row],[Código]],TABLA_PRECIOS[#All],10)</f>
        <v>0</v>
      </c>
    </row>
    <row r="429" spans="1:7" ht="12" customHeight="1" x14ac:dyDescent="0.3">
      <c r="A429" s="4">
        <v>2119</v>
      </c>
      <c r="B429" s="6" t="str">
        <f>VLOOKUP(TABLA_PRECIOS_LISTBOX[Código],LISTADO_PRODUCTOS[#All],4)</f>
        <v>Adhesivo en barra Ezco 21grs</v>
      </c>
      <c r="C429" s="6" t="str">
        <f>VLOOKUP(TABLA_PRECIOS_LISTBOX[Código],LISTADO_PRODUCTOS[#All],5)</f>
        <v>N/A</v>
      </c>
      <c r="D429" s="13">
        <f>VLOOKUP(TABLA_PRECIOS_LISTBOX[[#This Row],[Código]],TABLA_PRECIOS[#All],6)</f>
        <v>1</v>
      </c>
      <c r="E429" s="28">
        <f>VLOOKUP(TABLA_PRECIOS_LISTBOX[[#This Row],[Código]],TABLA_PRECIOS[#All],7)</f>
        <v>1</v>
      </c>
      <c r="F429" s="32">
        <f>VLOOKUP(TABLA_PRECIOS_LISTBOX[[#This Row],[Código]],TABLA_PRECIOS[#All],8)</f>
        <v>1</v>
      </c>
      <c r="G429" s="9">
        <f>VLOOKUP(TABLA_PRECIOS_LISTBOX[[#This Row],[Código]],TABLA_PRECIOS[#All],10)</f>
        <v>0</v>
      </c>
    </row>
    <row r="430" spans="1:7" ht="12" customHeight="1" x14ac:dyDescent="0.3">
      <c r="A430" s="4">
        <v>2120</v>
      </c>
      <c r="B430" s="6" t="str">
        <f>VLOOKUP(TABLA_PRECIOS_LISTBOX[Código],LISTADO_PRODUCTOS[#All],4)</f>
        <v>Adhesivo en barra Giotto 36g</v>
      </c>
      <c r="C430" s="6" t="str">
        <f>VLOOKUP(TABLA_PRECIOS_LISTBOX[Código],LISTADO_PRODUCTOS[#All],5)</f>
        <v>N/A</v>
      </c>
      <c r="D430" s="13">
        <f>VLOOKUP(TABLA_PRECIOS_LISTBOX[[#This Row],[Código]],TABLA_PRECIOS[#All],6)</f>
        <v>1</v>
      </c>
      <c r="E430" s="28">
        <f>VLOOKUP(TABLA_PRECIOS_LISTBOX[[#This Row],[Código]],TABLA_PRECIOS[#All],7)</f>
        <v>1</v>
      </c>
      <c r="F430" s="32">
        <f>VLOOKUP(TABLA_PRECIOS_LISTBOX[[#This Row],[Código]],TABLA_PRECIOS[#All],8)</f>
        <v>1</v>
      </c>
      <c r="G430" s="9">
        <f>VLOOKUP(TABLA_PRECIOS_LISTBOX[[#This Row],[Código]],TABLA_PRECIOS[#All],10)</f>
        <v>0</v>
      </c>
    </row>
    <row r="431" spans="1:7" ht="12" customHeight="1" x14ac:dyDescent="0.3">
      <c r="A431" s="4">
        <v>2127</v>
      </c>
      <c r="B431" s="6" t="str">
        <f>VLOOKUP(TABLA_PRECIOS_LISTBOX[Código],LISTADO_PRODUCTOS[#All],4)</f>
        <v>Adhesivo en barra Giotto 36g</v>
      </c>
      <c r="C431" s="6" t="str">
        <f>VLOOKUP(TABLA_PRECIOS_LISTBOX[Código],LISTADO_PRODUCTOS[#All],5)</f>
        <v>N/A</v>
      </c>
      <c r="D431" s="13">
        <f>VLOOKUP(TABLA_PRECIOS_LISTBOX[[#This Row],[Código]],TABLA_PRECIOS[#All],6)</f>
        <v>1</v>
      </c>
      <c r="E431" s="28">
        <f>VLOOKUP(TABLA_PRECIOS_LISTBOX[[#This Row],[Código]],TABLA_PRECIOS[#All],7)</f>
        <v>1</v>
      </c>
      <c r="F431" s="32">
        <f>VLOOKUP(TABLA_PRECIOS_LISTBOX[[#This Row],[Código]],TABLA_PRECIOS[#All],8)</f>
        <v>1</v>
      </c>
      <c r="G431" s="9">
        <f>VLOOKUP(TABLA_PRECIOS_LISTBOX[[#This Row],[Código]],TABLA_PRECIOS[#All],10)</f>
        <v>0</v>
      </c>
    </row>
    <row r="432" spans="1:7" ht="12" customHeight="1" x14ac:dyDescent="0.3">
      <c r="A432" s="4">
        <v>2125</v>
      </c>
      <c r="B432" s="6" t="str">
        <f>VLOOKUP(TABLA_PRECIOS_LISTBOX[Código],LISTADO_PRODUCTOS[#All],4)</f>
        <v>Adhesivo en barra Giotto 36g</v>
      </c>
      <c r="C432" s="6" t="str">
        <f>VLOOKUP(TABLA_PRECIOS_LISTBOX[Código],LISTADO_PRODUCTOS[#All],5)</f>
        <v>N/A</v>
      </c>
      <c r="D432" s="13">
        <f>VLOOKUP(TABLA_PRECIOS_LISTBOX[[#This Row],[Código]],TABLA_PRECIOS[#All],6)</f>
        <v>1</v>
      </c>
      <c r="E432" s="28">
        <f>VLOOKUP(TABLA_PRECIOS_LISTBOX[[#This Row],[Código]],TABLA_PRECIOS[#All],7)</f>
        <v>1</v>
      </c>
      <c r="F432" s="32">
        <f>VLOOKUP(TABLA_PRECIOS_LISTBOX[[#This Row],[Código]],TABLA_PRECIOS[#All],8)</f>
        <v>1</v>
      </c>
      <c r="G432" s="9">
        <f>VLOOKUP(TABLA_PRECIOS_LISTBOX[[#This Row],[Código]],TABLA_PRECIOS[#All],10)</f>
        <v>0</v>
      </c>
    </row>
    <row r="433" spans="1:7" ht="12" customHeight="1" x14ac:dyDescent="0.3">
      <c r="A433" s="4">
        <v>2226</v>
      </c>
      <c r="B433" s="6" t="str">
        <f>VLOOKUP(TABLA_PRECIOS_LISTBOX[Código],LISTADO_PRODUCTOS[#All],4)</f>
        <v>Tiza Giotto Color x 10</v>
      </c>
      <c r="C433" s="6" t="str">
        <f>VLOOKUP(TABLA_PRECIOS_LISTBOX[Código],LISTADO_PRODUCTOS[#All],5)</f>
        <v>N/A</v>
      </c>
      <c r="D433" s="13">
        <f>VLOOKUP(TABLA_PRECIOS_LISTBOX[[#This Row],[Código]],TABLA_PRECIOS[#All],6)</f>
        <v>1</v>
      </c>
      <c r="E433" s="28">
        <f>VLOOKUP(TABLA_PRECIOS_LISTBOX[[#This Row],[Código]],TABLA_PRECIOS[#All],7)</f>
        <v>1</v>
      </c>
      <c r="F433" s="32">
        <f>VLOOKUP(TABLA_PRECIOS_LISTBOX[[#This Row],[Código]],TABLA_PRECIOS[#All],8)</f>
        <v>1</v>
      </c>
      <c r="G433" s="9">
        <f>VLOOKUP(TABLA_PRECIOS_LISTBOX[[#This Row],[Código]],TABLA_PRECIOS[#All],10)</f>
        <v>0</v>
      </c>
    </row>
    <row r="434" spans="1:7" ht="12" customHeight="1" x14ac:dyDescent="0.3">
      <c r="A434" s="4">
        <v>2227</v>
      </c>
      <c r="B434" s="6" t="str">
        <f>VLOOKUP(TABLA_PRECIOS_LISTBOX[Código],LISTADO_PRODUCTOS[#All],4)</f>
        <v>Tiza Playcolor/Giotto Blanca x 12</v>
      </c>
      <c r="C434" s="6" t="str">
        <f>VLOOKUP(TABLA_PRECIOS_LISTBOX[Código],LISTADO_PRODUCTOS[#All],5)</f>
        <v>N/A</v>
      </c>
      <c r="D434" s="13">
        <f>VLOOKUP(TABLA_PRECIOS_LISTBOX[[#This Row],[Código]],TABLA_PRECIOS[#All],6)</f>
        <v>1</v>
      </c>
      <c r="E434" s="28">
        <f>VLOOKUP(TABLA_PRECIOS_LISTBOX[[#This Row],[Código]],TABLA_PRECIOS[#All],7)</f>
        <v>1</v>
      </c>
      <c r="F434" s="32">
        <f>VLOOKUP(TABLA_PRECIOS_LISTBOX[[#This Row],[Código]],TABLA_PRECIOS[#All],8)</f>
        <v>1</v>
      </c>
      <c r="G434" s="9">
        <f>VLOOKUP(TABLA_PRECIOS_LISTBOX[[#This Row],[Código]],TABLA_PRECIOS[#All],10)</f>
        <v>0</v>
      </c>
    </row>
    <row r="435" spans="1:7" ht="12" customHeight="1" x14ac:dyDescent="0.3">
      <c r="A435" s="4">
        <v>2228</v>
      </c>
      <c r="B435" s="6" t="str">
        <f>VLOOKUP(TABLA_PRECIOS_LISTBOX[Código],LISTADO_PRODUCTOS[#All],4)</f>
        <v>Palitos de helado natural x 50</v>
      </c>
      <c r="C435" s="6" t="str">
        <f>VLOOKUP(TABLA_PRECIOS_LISTBOX[Código],LISTADO_PRODUCTOS[#All],5)</f>
        <v>N/A</v>
      </c>
      <c r="D435" s="13">
        <f>VLOOKUP(TABLA_PRECIOS_LISTBOX[[#This Row],[Código]],TABLA_PRECIOS[#All],6)</f>
        <v>1</v>
      </c>
      <c r="E435" s="28">
        <f>VLOOKUP(TABLA_PRECIOS_LISTBOX[[#This Row],[Código]],TABLA_PRECIOS[#All],7)</f>
        <v>1</v>
      </c>
      <c r="F435" s="32">
        <f>VLOOKUP(TABLA_PRECIOS_LISTBOX[[#This Row],[Código]],TABLA_PRECIOS[#All],8)</f>
        <v>1</v>
      </c>
      <c r="G435" s="9">
        <f>VLOOKUP(TABLA_PRECIOS_LISTBOX[[#This Row],[Código]],TABLA_PRECIOS[#All],10)</f>
        <v>0</v>
      </c>
    </row>
    <row r="436" spans="1:7" ht="12" customHeight="1" x14ac:dyDescent="0.3">
      <c r="A436" s="4">
        <v>2233</v>
      </c>
      <c r="B436" s="6" t="str">
        <f>VLOOKUP(TABLA_PRECIOS_LISTBOX[Código],LISTADO_PRODUCTOS[#All],4)</f>
        <v>Tiza Blanca Giotto x 100</v>
      </c>
      <c r="C436" s="6" t="str">
        <f>VLOOKUP(TABLA_PRECIOS_LISTBOX[Código],LISTADO_PRODUCTOS[#All],5)</f>
        <v>N/A</v>
      </c>
      <c r="D436" s="13">
        <f>VLOOKUP(TABLA_PRECIOS_LISTBOX[[#This Row],[Código]],TABLA_PRECIOS[#All],6)</f>
        <v>1</v>
      </c>
      <c r="E436" s="28">
        <f>VLOOKUP(TABLA_PRECIOS_LISTBOX[[#This Row],[Código]],TABLA_PRECIOS[#All],7)</f>
        <v>1</v>
      </c>
      <c r="F436" s="32">
        <f>VLOOKUP(TABLA_PRECIOS_LISTBOX[[#This Row],[Código]],TABLA_PRECIOS[#All],8)</f>
        <v>1</v>
      </c>
      <c r="G436" s="9">
        <f>VLOOKUP(TABLA_PRECIOS_LISTBOX[[#This Row],[Código]],TABLA_PRECIOS[#All],10)</f>
        <v>0</v>
      </c>
    </row>
    <row r="437" spans="1:7" ht="12" customHeight="1" x14ac:dyDescent="0.3">
      <c r="A437" s="4">
        <v>2237</v>
      </c>
      <c r="B437" s="6" t="str">
        <f>VLOOKUP(TABLA_PRECIOS_LISTBOX[Código],LISTADO_PRODUCTOS[#All],4)</f>
        <v>Diamantina Maped</v>
      </c>
      <c r="C437" s="6" t="str">
        <f>VLOOKUP(TABLA_PRECIOS_LISTBOX[Código],LISTADO_PRODUCTOS[#All],5)</f>
        <v>N/A</v>
      </c>
      <c r="D437" s="13">
        <f>VLOOKUP(TABLA_PRECIOS_LISTBOX[[#This Row],[Código]],TABLA_PRECIOS[#All],6)</f>
        <v>1</v>
      </c>
      <c r="E437" s="28">
        <f>VLOOKUP(TABLA_PRECIOS_LISTBOX[[#This Row],[Código]],TABLA_PRECIOS[#All],7)</f>
        <v>1</v>
      </c>
      <c r="F437" s="32">
        <f>VLOOKUP(TABLA_PRECIOS_LISTBOX[[#This Row],[Código]],TABLA_PRECIOS[#All],8)</f>
        <v>1</v>
      </c>
      <c r="G437" s="9">
        <f>VLOOKUP(TABLA_PRECIOS_LISTBOX[[#This Row],[Código]],TABLA_PRECIOS[#All],10)</f>
        <v>0</v>
      </c>
    </row>
    <row r="438" spans="1:7" ht="12" customHeight="1" x14ac:dyDescent="0.3">
      <c r="A438" s="4">
        <v>2238</v>
      </c>
      <c r="B438" s="6" t="str">
        <f>VLOOKUP(TABLA_PRECIOS_LISTBOX[Código],LISTADO_PRODUCTOS[#All],4)</f>
        <v>Tempera Señorita Comun x 250ml</v>
      </c>
      <c r="C438" s="6" t="str">
        <f>VLOOKUP(TABLA_PRECIOS_LISTBOX[Código],LISTADO_PRODUCTOS[#All],5)</f>
        <v>N/A</v>
      </c>
      <c r="D438" s="13">
        <f>VLOOKUP(TABLA_PRECIOS_LISTBOX[[#This Row],[Código]],TABLA_PRECIOS[#All],6)</f>
        <v>1</v>
      </c>
      <c r="E438" s="28">
        <f>VLOOKUP(TABLA_PRECIOS_LISTBOX[[#This Row],[Código]],TABLA_PRECIOS[#All],7)</f>
        <v>1</v>
      </c>
      <c r="F438" s="32">
        <f>VLOOKUP(TABLA_PRECIOS_LISTBOX[[#This Row],[Código]],TABLA_PRECIOS[#All],8)</f>
        <v>1</v>
      </c>
      <c r="G438" s="9">
        <f>VLOOKUP(TABLA_PRECIOS_LISTBOX[[#This Row],[Código]],TABLA_PRECIOS[#All],10)</f>
        <v>0</v>
      </c>
    </row>
    <row r="439" spans="1:7" ht="12" customHeight="1" x14ac:dyDescent="0.3">
      <c r="A439" s="4">
        <v>2239</v>
      </c>
      <c r="B439" s="6" t="str">
        <f>VLOOKUP(TABLA_PRECIOS_LISTBOX[Código],LISTADO_PRODUCTOS[#All],4)</f>
        <v>Tempera Señorita FLUO x 250ml</v>
      </c>
      <c r="C439" s="6" t="str">
        <f>VLOOKUP(TABLA_PRECIOS_LISTBOX[Código],LISTADO_PRODUCTOS[#All],5)</f>
        <v>N/A</v>
      </c>
      <c r="D439" s="13">
        <f>VLOOKUP(TABLA_PRECIOS_LISTBOX[[#This Row],[Código]],TABLA_PRECIOS[#All],6)</f>
        <v>1</v>
      </c>
      <c r="E439" s="28">
        <f>VLOOKUP(TABLA_PRECIOS_LISTBOX[[#This Row],[Código]],TABLA_PRECIOS[#All],7)</f>
        <v>1</v>
      </c>
      <c r="F439" s="32">
        <f>VLOOKUP(TABLA_PRECIOS_LISTBOX[[#This Row],[Código]],TABLA_PRECIOS[#All],8)</f>
        <v>1</v>
      </c>
      <c r="G439" s="9">
        <f>VLOOKUP(TABLA_PRECIOS_LISTBOX[[#This Row],[Código]],TABLA_PRECIOS[#All],10)</f>
        <v>0</v>
      </c>
    </row>
    <row r="440" spans="1:7" ht="12" customHeight="1" x14ac:dyDescent="0.3">
      <c r="A440" s="4">
        <v>2240</v>
      </c>
      <c r="B440" s="6" t="str">
        <f>VLOOKUP(TABLA_PRECIOS_LISTBOX[Código],LISTADO_PRODUCTOS[#All],4)</f>
        <v>Tempera Señorita Metalizado x 250ml</v>
      </c>
      <c r="C440" s="6" t="str">
        <f>VLOOKUP(TABLA_PRECIOS_LISTBOX[Código],LISTADO_PRODUCTOS[#All],5)</f>
        <v>N/A</v>
      </c>
      <c r="D440" s="13">
        <f>VLOOKUP(TABLA_PRECIOS_LISTBOX[[#This Row],[Código]],TABLA_PRECIOS[#All],6)</f>
        <v>1</v>
      </c>
      <c r="E440" s="28">
        <f>VLOOKUP(TABLA_PRECIOS_LISTBOX[[#This Row],[Código]],TABLA_PRECIOS[#All],7)</f>
        <v>1</v>
      </c>
      <c r="F440" s="32">
        <f>VLOOKUP(TABLA_PRECIOS_LISTBOX[[#This Row],[Código]],TABLA_PRECIOS[#All],8)</f>
        <v>1</v>
      </c>
      <c r="G440" s="9">
        <f>VLOOKUP(TABLA_PRECIOS_LISTBOX[[#This Row],[Código]],TABLA_PRECIOS[#All],10)</f>
        <v>0</v>
      </c>
    </row>
    <row r="441" spans="1:7" ht="12" customHeight="1" x14ac:dyDescent="0.3">
      <c r="A441" s="4">
        <v>2255</v>
      </c>
      <c r="B441" s="6" t="str">
        <f>VLOOKUP(TABLA_PRECIOS_LISTBOX[Código],LISTADO_PRODUCTOS[#All],4)</f>
        <v>Acuarela Filgo x 12u</v>
      </c>
      <c r="C441" s="6" t="str">
        <f>VLOOKUP(TABLA_PRECIOS_LISTBOX[Código],LISTADO_PRODUCTOS[#All],5)</f>
        <v>N/A</v>
      </c>
      <c r="D441" s="13">
        <f>VLOOKUP(TABLA_PRECIOS_LISTBOX[[#This Row],[Código]],TABLA_PRECIOS[#All],6)</f>
        <v>1</v>
      </c>
      <c r="E441" s="28">
        <f>VLOOKUP(TABLA_PRECIOS_LISTBOX[[#This Row],[Código]],TABLA_PRECIOS[#All],7)</f>
        <v>1</v>
      </c>
      <c r="F441" s="32">
        <f>VLOOKUP(TABLA_PRECIOS_LISTBOX[[#This Row],[Código]],TABLA_PRECIOS[#All],8)</f>
        <v>1</v>
      </c>
      <c r="G441" s="9">
        <f>VLOOKUP(TABLA_PRECIOS_LISTBOX[[#This Row],[Código]],TABLA_PRECIOS[#All],10)</f>
        <v>0</v>
      </c>
    </row>
    <row r="442" spans="1:7" ht="12" customHeight="1" x14ac:dyDescent="0.3">
      <c r="A442" s="4">
        <v>2311</v>
      </c>
      <c r="B442" s="6" t="str">
        <f>VLOOKUP(TABLA_PRECIOS_LISTBOX[Código],LISTADO_PRODUCTOS[#All],4)</f>
        <v>Lentejuelas sifap x9 surt</v>
      </c>
      <c r="C442" s="6" t="str">
        <f>VLOOKUP(TABLA_PRECIOS_LISTBOX[Código],LISTADO_PRODUCTOS[#All],5)</f>
        <v>N/A</v>
      </c>
      <c r="D442" s="13">
        <f>VLOOKUP(TABLA_PRECIOS_LISTBOX[[#This Row],[Código]],TABLA_PRECIOS[#All],6)</f>
        <v>1</v>
      </c>
      <c r="E442" s="28">
        <f>VLOOKUP(TABLA_PRECIOS_LISTBOX[[#This Row],[Código]],TABLA_PRECIOS[#All],7)</f>
        <v>1</v>
      </c>
      <c r="F442" s="32">
        <f>VLOOKUP(TABLA_PRECIOS_LISTBOX[[#This Row],[Código]],TABLA_PRECIOS[#All],8)</f>
        <v>1</v>
      </c>
      <c r="G442" s="9">
        <f>VLOOKUP(TABLA_PRECIOS_LISTBOX[[#This Row],[Código]],TABLA_PRECIOS[#All],10)</f>
        <v>0</v>
      </c>
    </row>
    <row r="443" spans="1:7" ht="12" customHeight="1" x14ac:dyDescent="0.3">
      <c r="A443" s="4">
        <v>2315</v>
      </c>
      <c r="B443" s="6" t="str">
        <f>VLOOKUP(TABLA_PRECIOS_LISTBOX[Código],LISTADO_PRODUCTOS[#All],4)</f>
        <v xml:space="preserve">Pintura dimensional eterna colores </v>
      </c>
      <c r="C443" s="6" t="str">
        <f>VLOOKUP(TABLA_PRECIOS_LISTBOX[Código],LISTADO_PRODUCTOS[#All],5)</f>
        <v>N/A</v>
      </c>
      <c r="D443" s="13">
        <f>VLOOKUP(TABLA_PRECIOS_LISTBOX[[#This Row],[Código]],TABLA_PRECIOS[#All],6)</f>
        <v>1</v>
      </c>
      <c r="E443" s="28">
        <f>VLOOKUP(TABLA_PRECIOS_LISTBOX[[#This Row],[Código]],TABLA_PRECIOS[#All],7)</f>
        <v>1</v>
      </c>
      <c r="F443" s="32">
        <f>VLOOKUP(TABLA_PRECIOS_LISTBOX[[#This Row],[Código]],TABLA_PRECIOS[#All],8)</f>
        <v>1</v>
      </c>
      <c r="G443" s="9">
        <f>VLOOKUP(TABLA_PRECIOS_LISTBOX[[#This Row],[Código]],TABLA_PRECIOS[#All],10)</f>
        <v>0</v>
      </c>
    </row>
    <row r="444" spans="1:7" ht="12" customHeight="1" x14ac:dyDescent="0.3">
      <c r="A444" s="4">
        <v>2317</v>
      </c>
      <c r="B444" s="6" t="str">
        <f>VLOOKUP(TABLA_PRECIOS_LISTBOX[Código],LISTADO_PRODUCTOS[#All],4)</f>
        <v>Anilina Yacolor</v>
      </c>
      <c r="C444" s="6" t="str">
        <f>VLOOKUP(TABLA_PRECIOS_LISTBOX[Código],LISTADO_PRODUCTOS[#All],5)</f>
        <v>N/A</v>
      </c>
      <c r="D444" s="13">
        <f>VLOOKUP(TABLA_PRECIOS_LISTBOX[[#This Row],[Código]],TABLA_PRECIOS[#All],6)</f>
        <v>1</v>
      </c>
      <c r="E444" s="28">
        <f>VLOOKUP(TABLA_PRECIOS_LISTBOX[[#This Row],[Código]],TABLA_PRECIOS[#All],7)</f>
        <v>1</v>
      </c>
      <c r="F444" s="32">
        <f>VLOOKUP(TABLA_PRECIOS_LISTBOX[[#This Row],[Código]],TABLA_PRECIOS[#All],8)</f>
        <v>1</v>
      </c>
      <c r="G444" s="9">
        <f>VLOOKUP(TABLA_PRECIOS_LISTBOX[[#This Row],[Código]],TABLA_PRECIOS[#All],10)</f>
        <v>0</v>
      </c>
    </row>
    <row r="445" spans="1:7" ht="12" customHeight="1" x14ac:dyDescent="0.3">
      <c r="A445" s="4">
        <v>2318</v>
      </c>
      <c r="B445" s="6" t="str">
        <f>VLOOKUP(TABLA_PRECIOS_LISTBOX[Código],LISTADO_PRODUCTOS[#All],4)</f>
        <v>Block Nº6 Capitolio Fluo x 16h</v>
      </c>
      <c r="C445" s="6" t="str">
        <f>VLOOKUP(TABLA_PRECIOS_LISTBOX[Código],LISTADO_PRODUCTOS[#All],5)</f>
        <v>N/A</v>
      </c>
      <c r="D445" s="13">
        <f>VLOOKUP(TABLA_PRECIOS_LISTBOX[[#This Row],[Código]],TABLA_PRECIOS[#All],6)</f>
        <v>1</v>
      </c>
      <c r="E445" s="28">
        <f>VLOOKUP(TABLA_PRECIOS_LISTBOX[[#This Row],[Código]],TABLA_PRECIOS[#All],7)</f>
        <v>1</v>
      </c>
      <c r="F445" s="32">
        <f>VLOOKUP(TABLA_PRECIOS_LISTBOX[[#This Row],[Código]],TABLA_PRECIOS[#All],8)</f>
        <v>1</v>
      </c>
      <c r="G445" s="9">
        <f>VLOOKUP(TABLA_PRECIOS_LISTBOX[[#This Row],[Código]],TABLA_PRECIOS[#All],10)</f>
        <v>0</v>
      </c>
    </row>
    <row r="446" spans="1:7" ht="12" customHeight="1" x14ac:dyDescent="0.3">
      <c r="A446" s="4">
        <v>2320</v>
      </c>
      <c r="B446" s="6" t="str">
        <f>VLOOKUP(TABLA_PRECIOS_LISTBOX[Código],LISTADO_PRODUCTOS[#All],4)</f>
        <v>Cutter Olami 18mm Mango de goma</v>
      </c>
      <c r="C446" s="6" t="str">
        <f>VLOOKUP(TABLA_PRECIOS_LISTBOX[Código],LISTADO_PRODUCTOS[#All],5)</f>
        <v>N/A</v>
      </c>
      <c r="D446" s="13">
        <f>VLOOKUP(TABLA_PRECIOS_LISTBOX[[#This Row],[Código]],TABLA_PRECIOS[#All],6)</f>
        <v>1</v>
      </c>
      <c r="E446" s="28">
        <f>VLOOKUP(TABLA_PRECIOS_LISTBOX[[#This Row],[Código]],TABLA_PRECIOS[#All],7)</f>
        <v>1</v>
      </c>
      <c r="F446" s="32">
        <f>VLOOKUP(TABLA_PRECIOS_LISTBOX[[#This Row],[Código]],TABLA_PRECIOS[#All],8)</f>
        <v>1</v>
      </c>
      <c r="G446" s="9">
        <f>VLOOKUP(TABLA_PRECIOS_LISTBOX[[#This Row],[Código]],TABLA_PRECIOS[#All],10)</f>
        <v>0</v>
      </c>
    </row>
    <row r="447" spans="1:7" x14ac:dyDescent="0.3">
      <c r="A447" s="4">
        <v>2321</v>
      </c>
      <c r="B447" s="6" t="str">
        <f>VLOOKUP(TABLA_PRECIOS_LISTBOX[Código],LISTADO_PRODUCTOS[#All],4)</f>
        <v>Cutter Olami 9mm Guia metal Mango de Goma</v>
      </c>
      <c r="C447" s="6" t="str">
        <f>VLOOKUP(TABLA_PRECIOS_LISTBOX[Código],LISTADO_PRODUCTOS[#All],5)</f>
        <v>N/A</v>
      </c>
      <c r="D447" s="13">
        <f>VLOOKUP(TABLA_PRECIOS_LISTBOX[[#This Row],[Código]],TABLA_PRECIOS[#All],6)</f>
        <v>1</v>
      </c>
      <c r="E447" s="28">
        <f>VLOOKUP(TABLA_PRECIOS_LISTBOX[[#This Row],[Código]],TABLA_PRECIOS[#All],7)</f>
        <v>1</v>
      </c>
      <c r="F447" s="32">
        <f>VLOOKUP(TABLA_PRECIOS_LISTBOX[[#This Row],[Código]],TABLA_PRECIOS[#All],8)</f>
        <v>1</v>
      </c>
      <c r="G447" s="9">
        <f>VLOOKUP(TABLA_PRECIOS_LISTBOX[[#This Row],[Código]],TABLA_PRECIOS[#All],10)</f>
        <v>0</v>
      </c>
    </row>
    <row r="448" spans="1:7" x14ac:dyDescent="0.3">
      <c r="A448" s="4">
        <v>2326</v>
      </c>
      <c r="B448" s="6" t="str">
        <f>VLOOKUP(TABLA_PRECIOS_LISTBOX[Código],LISTADO_PRODUCTOS[#All],4)</f>
        <v xml:space="preserve">Barrita de silicona fina Suprabond </v>
      </c>
      <c r="C448" s="6" t="str">
        <f>VLOOKUP(TABLA_PRECIOS_LISTBOX[Código],LISTADO_PRODUCTOS[#All],5)</f>
        <v>N/A</v>
      </c>
      <c r="D448" s="13">
        <f>VLOOKUP(TABLA_PRECIOS_LISTBOX[[#This Row],[Código]],TABLA_PRECIOS[#All],6)</f>
        <v>1</v>
      </c>
      <c r="E448" s="28">
        <f>VLOOKUP(TABLA_PRECIOS_LISTBOX[[#This Row],[Código]],TABLA_PRECIOS[#All],7)</f>
        <v>1</v>
      </c>
      <c r="F448" s="32">
        <f>VLOOKUP(TABLA_PRECIOS_LISTBOX[[#This Row],[Código]],TABLA_PRECIOS[#All],8)</f>
        <v>1</v>
      </c>
      <c r="G448" s="9">
        <f>VLOOKUP(TABLA_PRECIOS_LISTBOX[[#This Row],[Código]],TABLA_PRECIOS[#All],10)</f>
        <v>0</v>
      </c>
    </row>
    <row r="449" spans="1:7" x14ac:dyDescent="0.3">
      <c r="A449" s="4">
        <v>2327</v>
      </c>
      <c r="B449" s="6" t="str">
        <f>VLOOKUP(TABLA_PRECIOS_LISTBOX[Código],LISTADO_PRODUCTOS[#All],4)</f>
        <v xml:space="preserve">Barrita de silicona Gruesa Suprabond </v>
      </c>
      <c r="C449" s="6" t="str">
        <f>VLOOKUP(TABLA_PRECIOS_LISTBOX[Código],LISTADO_PRODUCTOS[#All],5)</f>
        <v>N/A</v>
      </c>
      <c r="D449" s="13">
        <f>VLOOKUP(TABLA_PRECIOS_LISTBOX[[#This Row],[Código]],TABLA_PRECIOS[#All],6)</f>
        <v>1</v>
      </c>
      <c r="E449" s="28">
        <f>VLOOKUP(TABLA_PRECIOS_LISTBOX[[#This Row],[Código]],TABLA_PRECIOS[#All],7)</f>
        <v>1</v>
      </c>
      <c r="F449" s="32">
        <f>VLOOKUP(TABLA_PRECIOS_LISTBOX[[#This Row],[Código]],TABLA_PRECIOS[#All],8)</f>
        <v>1</v>
      </c>
      <c r="G449" s="9">
        <f>VLOOKUP(TABLA_PRECIOS_LISTBOX[[#This Row],[Código]],TABLA_PRECIOS[#All],10)</f>
        <v>0</v>
      </c>
    </row>
    <row r="450" spans="1:7" x14ac:dyDescent="0.3">
      <c r="A450" s="4">
        <v>2330</v>
      </c>
      <c r="B450" s="6" t="str">
        <f>VLOOKUP(TABLA_PRECIOS_LISTBOX[Código],LISTADO_PRODUCTOS[#All],4)</f>
        <v>Palitos de helado colores surtidos x 50u</v>
      </c>
      <c r="C450" s="6" t="str">
        <f>VLOOKUP(TABLA_PRECIOS_LISTBOX[Código],LISTADO_PRODUCTOS[#All],5)</f>
        <v>N/A</v>
      </c>
      <c r="D450" s="13">
        <f>VLOOKUP(TABLA_PRECIOS_LISTBOX[[#This Row],[Código]],TABLA_PRECIOS[#All],6)</f>
        <v>1</v>
      </c>
      <c r="E450" s="28">
        <f>VLOOKUP(TABLA_PRECIOS_LISTBOX[[#This Row],[Código]],TABLA_PRECIOS[#All],7)</f>
        <v>1</v>
      </c>
      <c r="F450" s="32">
        <f>VLOOKUP(TABLA_PRECIOS_LISTBOX[[#This Row],[Código]],TABLA_PRECIOS[#All],8)</f>
        <v>1</v>
      </c>
      <c r="G450" s="9">
        <f>VLOOKUP(TABLA_PRECIOS_LISTBOX[[#This Row],[Código]],TABLA_PRECIOS[#All],10)</f>
        <v>0</v>
      </c>
    </row>
    <row r="451" spans="1:7" x14ac:dyDescent="0.3">
      <c r="A451" s="4">
        <v>2332</v>
      </c>
      <c r="B451" s="6" t="str">
        <f>VLOOKUP(TABLA_PRECIOS_LISTBOX[Código],LISTADO_PRODUCTOS[#All],4)</f>
        <v>Block Origami El Nene x 24h bicolor</v>
      </c>
      <c r="C451" s="6" t="str">
        <f>VLOOKUP(TABLA_PRECIOS_LISTBOX[Código],LISTADO_PRODUCTOS[#All],5)</f>
        <v>N/A</v>
      </c>
      <c r="D451" s="13">
        <f>VLOOKUP(TABLA_PRECIOS_LISTBOX[[#This Row],[Código]],TABLA_PRECIOS[#All],6)</f>
        <v>1</v>
      </c>
      <c r="E451" s="28">
        <f>VLOOKUP(TABLA_PRECIOS_LISTBOX[[#This Row],[Código]],TABLA_PRECIOS[#All],7)</f>
        <v>1</v>
      </c>
      <c r="F451" s="32">
        <f>VLOOKUP(TABLA_PRECIOS_LISTBOX[[#This Row],[Código]],TABLA_PRECIOS[#All],8)</f>
        <v>1</v>
      </c>
      <c r="G451" s="9">
        <f>VLOOKUP(TABLA_PRECIOS_LISTBOX[[#This Row],[Código]],TABLA_PRECIOS[#All],10)</f>
        <v>0</v>
      </c>
    </row>
    <row r="452" spans="1:7" x14ac:dyDescent="0.3">
      <c r="A452" s="4">
        <v>2336</v>
      </c>
      <c r="B452" s="6" t="str">
        <f>VLOOKUP(TABLA_PRECIOS_LISTBOX[Código],LISTADO_PRODUCTOS[#All],4)</f>
        <v>Palito de helado paleta/jumbo colores x 50u</v>
      </c>
      <c r="C452" s="6" t="str">
        <f>VLOOKUP(TABLA_PRECIOS_LISTBOX[Código],LISTADO_PRODUCTOS[#All],5)</f>
        <v>N/A</v>
      </c>
      <c r="D452" s="13">
        <f>VLOOKUP(TABLA_PRECIOS_LISTBOX[[#This Row],[Código]],TABLA_PRECIOS[#All],6)</f>
        <v>1</v>
      </c>
      <c r="E452" s="28">
        <f>VLOOKUP(TABLA_PRECIOS_LISTBOX[[#This Row],[Código]],TABLA_PRECIOS[#All],7)</f>
        <v>1</v>
      </c>
      <c r="F452" s="32">
        <f>VLOOKUP(TABLA_PRECIOS_LISTBOX[[#This Row],[Código]],TABLA_PRECIOS[#All],8)</f>
        <v>1</v>
      </c>
      <c r="G452" s="9">
        <f>VLOOKUP(TABLA_PRECIOS_LISTBOX[[#This Row],[Código]],TABLA_PRECIOS[#All],10)</f>
        <v>0</v>
      </c>
    </row>
    <row r="453" spans="1:7" x14ac:dyDescent="0.3">
      <c r="A453" s="4">
        <v>2338</v>
      </c>
      <c r="B453" s="6" t="str">
        <f>VLOOKUP(TABLA_PRECIOS_LISTBOX[Código],LISTADO_PRODUCTOS[#All],4)</f>
        <v>Marcador Edding 4200 P/Porcelana x6u</v>
      </c>
      <c r="C453" s="6" t="str">
        <f>VLOOKUP(TABLA_PRECIOS_LISTBOX[Código],LISTADO_PRODUCTOS[#All],5)</f>
        <v>N/A</v>
      </c>
      <c r="D453" s="13">
        <f>VLOOKUP(TABLA_PRECIOS_LISTBOX[[#This Row],[Código]],TABLA_PRECIOS[#All],6)</f>
        <v>1</v>
      </c>
      <c r="E453" s="28">
        <f>VLOOKUP(TABLA_PRECIOS_LISTBOX[[#This Row],[Código]],TABLA_PRECIOS[#All],7)</f>
        <v>1</v>
      </c>
      <c r="F453" s="32">
        <f>VLOOKUP(TABLA_PRECIOS_LISTBOX[[#This Row],[Código]],TABLA_PRECIOS[#All],8)</f>
        <v>1</v>
      </c>
      <c r="G453" s="9">
        <f>VLOOKUP(TABLA_PRECIOS_LISTBOX[[#This Row],[Código]],TABLA_PRECIOS[#All],10)</f>
        <v>0</v>
      </c>
    </row>
    <row r="454" spans="1:7" x14ac:dyDescent="0.3">
      <c r="A454" s="4">
        <v>2348</v>
      </c>
      <c r="B454" s="6" t="str">
        <f>VLOOKUP(TABLA_PRECIOS_LISTBOX[Código],LISTADO_PRODUCTOS[#All],4)</f>
        <v>Cutter Maped 9mm</v>
      </c>
      <c r="C454" s="6" t="str">
        <f>VLOOKUP(TABLA_PRECIOS_LISTBOX[Código],LISTADO_PRODUCTOS[#All],5)</f>
        <v>N/A</v>
      </c>
      <c r="D454" s="13">
        <f>VLOOKUP(TABLA_PRECIOS_LISTBOX[[#This Row],[Código]],TABLA_PRECIOS[#All],6)</f>
        <v>1</v>
      </c>
      <c r="E454" s="28">
        <f>VLOOKUP(TABLA_PRECIOS_LISTBOX[[#This Row],[Código]],TABLA_PRECIOS[#All],7)</f>
        <v>1</v>
      </c>
      <c r="F454" s="32">
        <f>VLOOKUP(TABLA_PRECIOS_LISTBOX[[#This Row],[Código]],TABLA_PRECIOS[#All],8)</f>
        <v>1</v>
      </c>
      <c r="G454" s="9">
        <f>VLOOKUP(TABLA_PRECIOS_LISTBOX[[#This Row],[Código]],TABLA_PRECIOS[#All],10)</f>
        <v>0</v>
      </c>
    </row>
    <row r="455" spans="1:7" x14ac:dyDescent="0.3">
      <c r="A455" s="4">
        <v>2356</v>
      </c>
      <c r="B455" s="6" t="str">
        <f>VLOOKUP(TABLA_PRECIOS_LISTBOX[Código],LISTADO_PRODUCTOS[#All],4)</f>
        <v>Cutter Olami plastico en bolsa Hoja ancha</v>
      </c>
      <c r="C455" s="6" t="str">
        <f>VLOOKUP(TABLA_PRECIOS_LISTBOX[Código],LISTADO_PRODUCTOS[#All],5)</f>
        <v>N/A</v>
      </c>
      <c r="D455" s="13">
        <f>VLOOKUP(TABLA_PRECIOS_LISTBOX[[#This Row],[Código]],TABLA_PRECIOS[#All],6)</f>
        <v>1</v>
      </c>
      <c r="E455" s="28">
        <f>VLOOKUP(TABLA_PRECIOS_LISTBOX[[#This Row],[Código]],TABLA_PRECIOS[#All],7)</f>
        <v>1</v>
      </c>
      <c r="F455" s="32">
        <f>VLOOKUP(TABLA_PRECIOS_LISTBOX[[#This Row],[Código]],TABLA_PRECIOS[#All],8)</f>
        <v>1</v>
      </c>
      <c r="G455" s="9">
        <f>VLOOKUP(TABLA_PRECIOS_LISTBOX[[#This Row],[Código]],TABLA_PRECIOS[#All],10)</f>
        <v>0</v>
      </c>
    </row>
    <row r="456" spans="1:7" x14ac:dyDescent="0.3">
      <c r="A456" s="4">
        <v>2357</v>
      </c>
      <c r="B456" s="6" t="str">
        <f>VLOOKUP(TABLA_PRECIOS_LISTBOX[Código],LISTADO_PRODUCTOS[#All],4)</f>
        <v>Cutter Olami c/freno plastico en bolsa hoja fina</v>
      </c>
      <c r="C456" s="6" t="str">
        <f>VLOOKUP(TABLA_PRECIOS_LISTBOX[Código],LISTADO_PRODUCTOS[#All],5)</f>
        <v>N/A</v>
      </c>
      <c r="D456" s="13">
        <f>VLOOKUP(TABLA_PRECIOS_LISTBOX[[#This Row],[Código]],TABLA_PRECIOS[#All],6)</f>
        <v>1</v>
      </c>
      <c r="E456" s="28">
        <f>VLOOKUP(TABLA_PRECIOS_LISTBOX[[#This Row],[Código]],TABLA_PRECIOS[#All],7)</f>
        <v>1</v>
      </c>
      <c r="F456" s="32">
        <f>VLOOKUP(TABLA_PRECIOS_LISTBOX[[#This Row],[Código]],TABLA_PRECIOS[#All],8)</f>
        <v>1</v>
      </c>
      <c r="G456" s="9">
        <f>VLOOKUP(TABLA_PRECIOS_LISTBOX[[#This Row],[Código]],TABLA_PRECIOS[#All],10)</f>
        <v>0</v>
      </c>
    </row>
    <row r="457" spans="1:7" x14ac:dyDescent="0.3">
      <c r="A457" s="4">
        <v>2364</v>
      </c>
      <c r="B457" s="6" t="str">
        <f>VLOOKUP(TABLA_PRECIOS_LISTBOX[Código],LISTADO_PRODUCTOS[#All],4)</f>
        <v>Brillantina Stick/con formitas Sifap</v>
      </c>
      <c r="C457" s="6" t="str">
        <f>VLOOKUP(TABLA_PRECIOS_LISTBOX[Código],LISTADO_PRODUCTOS[#All],5)</f>
        <v>N/A</v>
      </c>
      <c r="D457" s="13">
        <f>VLOOKUP(TABLA_PRECIOS_LISTBOX[[#This Row],[Código]],TABLA_PRECIOS[#All],6)</f>
        <v>1</v>
      </c>
      <c r="E457" s="28">
        <f>VLOOKUP(TABLA_PRECIOS_LISTBOX[[#This Row],[Código]],TABLA_PRECIOS[#All],7)</f>
        <v>1</v>
      </c>
      <c r="F457" s="32">
        <f>VLOOKUP(TABLA_PRECIOS_LISTBOX[[#This Row],[Código]],TABLA_PRECIOS[#All],8)</f>
        <v>1</v>
      </c>
      <c r="G457" s="9">
        <f>VLOOKUP(TABLA_PRECIOS_LISTBOX[[#This Row],[Código]],TABLA_PRECIOS[#All],10)</f>
        <v>0</v>
      </c>
    </row>
    <row r="458" spans="1:7" x14ac:dyDescent="0.3">
      <c r="A458" s="4">
        <v>2374</v>
      </c>
      <c r="B458" s="6" t="str">
        <f>VLOOKUP(TABLA_PRECIOS_LISTBOX[Código],LISTADO_PRODUCTOS[#All],4)</f>
        <v>Cinta Ribbonete lisa 11mm x 50m Azul/rosa/lila/verde/naranja</v>
      </c>
      <c r="C458" s="6" t="str">
        <f>VLOOKUP(TABLA_PRECIOS_LISTBOX[Código],LISTADO_PRODUCTOS[#All],5)</f>
        <v>N/A</v>
      </c>
      <c r="D458" s="13">
        <f>VLOOKUP(TABLA_PRECIOS_LISTBOX[[#This Row],[Código]],TABLA_PRECIOS[#All],6)</f>
        <v>1</v>
      </c>
      <c r="E458" s="28">
        <f>VLOOKUP(TABLA_PRECIOS_LISTBOX[[#This Row],[Código]],TABLA_PRECIOS[#All],7)</f>
        <v>1</v>
      </c>
      <c r="F458" s="32">
        <f>VLOOKUP(TABLA_PRECIOS_LISTBOX[[#This Row],[Código]],TABLA_PRECIOS[#All],8)</f>
        <v>1</v>
      </c>
      <c r="G458" s="9">
        <f>VLOOKUP(TABLA_PRECIOS_LISTBOX[[#This Row],[Código]],TABLA_PRECIOS[#All],10)</f>
        <v>0</v>
      </c>
    </row>
    <row r="459" spans="1:7" x14ac:dyDescent="0.3">
      <c r="A459" s="4">
        <v>2380</v>
      </c>
      <c r="B459" s="6" t="str">
        <f>VLOOKUP(TABLA_PRECIOS_LISTBOX[Código],LISTADO_PRODUCTOS[#All],4)</f>
        <v>PVC contact Glitter x mt</v>
      </c>
      <c r="C459" s="6" t="str">
        <f>VLOOKUP(TABLA_PRECIOS_LISTBOX[Código],LISTADO_PRODUCTOS[#All],5)</f>
        <v>N/A</v>
      </c>
      <c r="D459" s="13">
        <f>VLOOKUP(TABLA_PRECIOS_LISTBOX[[#This Row],[Código]],TABLA_PRECIOS[#All],6)</f>
        <v>1</v>
      </c>
      <c r="E459" s="28">
        <f>VLOOKUP(TABLA_PRECIOS_LISTBOX[[#This Row],[Código]],TABLA_PRECIOS[#All],7)</f>
        <v>1</v>
      </c>
      <c r="F459" s="32">
        <f>VLOOKUP(TABLA_PRECIOS_LISTBOX[[#This Row],[Código]],TABLA_PRECIOS[#All],8)</f>
        <v>1</v>
      </c>
      <c r="G459" s="9">
        <f>VLOOKUP(TABLA_PRECIOS_LISTBOX[[#This Row],[Código]],TABLA_PRECIOS[#All],10)</f>
        <v>0</v>
      </c>
    </row>
    <row r="460" spans="1:7" x14ac:dyDescent="0.3">
      <c r="A460" s="4">
        <v>2381</v>
      </c>
      <c r="B460" s="6" t="str">
        <f>VLOOKUP(TABLA_PRECIOS_LISTBOX[Código],LISTADO_PRODUCTOS[#All],4)</f>
        <v>PVC contact transparente x mt</v>
      </c>
      <c r="C460" s="6" t="str">
        <f>VLOOKUP(TABLA_PRECIOS_LISTBOX[Código],LISTADO_PRODUCTOS[#All],5)</f>
        <v>N/A</v>
      </c>
      <c r="D460" s="13">
        <f>VLOOKUP(TABLA_PRECIOS_LISTBOX[[#This Row],[Código]],TABLA_PRECIOS[#All],6)</f>
        <v>1</v>
      </c>
      <c r="E460" s="28">
        <f>VLOOKUP(TABLA_PRECIOS_LISTBOX[[#This Row],[Código]],TABLA_PRECIOS[#All],7)</f>
        <v>1</v>
      </c>
      <c r="F460" s="32">
        <f>VLOOKUP(TABLA_PRECIOS_LISTBOX[[#This Row],[Código]],TABLA_PRECIOS[#All],8)</f>
        <v>1</v>
      </c>
      <c r="G460" s="9">
        <f>VLOOKUP(TABLA_PRECIOS_LISTBOX[[#This Row],[Código]],TABLA_PRECIOS[#All],10)</f>
        <v>0</v>
      </c>
    </row>
    <row r="461" spans="1:7" x14ac:dyDescent="0.3">
      <c r="A461" s="4">
        <v>2382</v>
      </c>
      <c r="B461" s="6" t="str">
        <f>VLOOKUP(TABLA_PRECIOS_LISTBOX[Código],LISTADO_PRODUCTOS[#All],4)</f>
        <v>PVC contact madera x mt</v>
      </c>
      <c r="C461" s="6" t="str">
        <f>VLOOKUP(TABLA_PRECIOS_LISTBOX[Código],LISTADO_PRODUCTOS[#All],5)</f>
        <v>N/A</v>
      </c>
      <c r="D461" s="13">
        <f>VLOOKUP(TABLA_PRECIOS_LISTBOX[[#This Row],[Código]],TABLA_PRECIOS[#All],6)</f>
        <v>1</v>
      </c>
      <c r="E461" s="28">
        <f>VLOOKUP(TABLA_PRECIOS_LISTBOX[[#This Row],[Código]],TABLA_PRECIOS[#All],7)</f>
        <v>1</v>
      </c>
      <c r="F461" s="32">
        <f>VLOOKUP(TABLA_PRECIOS_LISTBOX[[#This Row],[Código]],TABLA_PRECIOS[#All],8)</f>
        <v>1</v>
      </c>
      <c r="G461" s="9">
        <f>VLOOKUP(TABLA_PRECIOS_LISTBOX[[#This Row],[Código]],TABLA_PRECIOS[#All],10)</f>
        <v>0</v>
      </c>
    </row>
    <row r="462" spans="1:7" x14ac:dyDescent="0.3">
      <c r="A462" s="4">
        <v>2383</v>
      </c>
      <c r="B462" s="6" t="str">
        <f>VLOOKUP(TABLA_PRECIOS_LISTBOX[Código],LISTADO_PRODUCTOS[#All],4)</f>
        <v>PVC contact color x mt</v>
      </c>
      <c r="C462" s="6" t="str">
        <f>VLOOKUP(TABLA_PRECIOS_LISTBOX[Código],LISTADO_PRODUCTOS[#All],5)</f>
        <v>N/A</v>
      </c>
      <c r="D462" s="13">
        <f>VLOOKUP(TABLA_PRECIOS_LISTBOX[[#This Row],[Código]],TABLA_PRECIOS[#All],6)</f>
        <v>1</v>
      </c>
      <c r="E462" s="28">
        <f>VLOOKUP(TABLA_PRECIOS_LISTBOX[[#This Row],[Código]],TABLA_PRECIOS[#All],7)</f>
        <v>1</v>
      </c>
      <c r="F462" s="32">
        <f>VLOOKUP(TABLA_PRECIOS_LISTBOX[[#This Row],[Código]],TABLA_PRECIOS[#All],8)</f>
        <v>1</v>
      </c>
      <c r="G462" s="9">
        <f>VLOOKUP(TABLA_PRECIOS_LISTBOX[[#This Row],[Código]],TABLA_PRECIOS[#All],10)</f>
        <v>0</v>
      </c>
    </row>
    <row r="463" spans="1:7" x14ac:dyDescent="0.3">
      <c r="A463" s="4">
        <v>2384</v>
      </c>
      <c r="B463" s="6" t="str">
        <f>VLOOKUP(TABLA_PRECIOS_LISTBOX[Código],LISTADO_PRODUCTOS[#All],4)</f>
        <v>PVC holografiado x mt</v>
      </c>
      <c r="C463" s="6" t="str">
        <f>VLOOKUP(TABLA_PRECIOS_LISTBOX[Código],LISTADO_PRODUCTOS[#All],5)</f>
        <v>N/A</v>
      </c>
      <c r="D463" s="13">
        <f>VLOOKUP(TABLA_PRECIOS_LISTBOX[[#This Row],[Código]],TABLA_PRECIOS[#All],6)</f>
        <v>1</v>
      </c>
      <c r="E463" s="28">
        <f>VLOOKUP(TABLA_PRECIOS_LISTBOX[[#This Row],[Código]],TABLA_PRECIOS[#All],7)</f>
        <v>1</v>
      </c>
      <c r="F463" s="32">
        <f>VLOOKUP(TABLA_PRECIOS_LISTBOX[[#This Row],[Código]],TABLA_PRECIOS[#All],8)</f>
        <v>1</v>
      </c>
      <c r="G463" s="9">
        <f>VLOOKUP(TABLA_PRECIOS_LISTBOX[[#This Row],[Código]],TABLA_PRECIOS[#All],10)</f>
        <v>0</v>
      </c>
    </row>
    <row r="464" spans="1:7" x14ac:dyDescent="0.3">
      <c r="A464" s="4">
        <v>2385</v>
      </c>
      <c r="B464" s="6" t="str">
        <f>VLOOKUP(TABLA_PRECIOS_LISTBOX[Código],LISTADO_PRODUCTOS[#All],4)</f>
        <v>PVC traslucido x mt</v>
      </c>
      <c r="C464" s="6" t="str">
        <f>VLOOKUP(TABLA_PRECIOS_LISTBOX[Código],LISTADO_PRODUCTOS[#All],5)</f>
        <v>N/A</v>
      </c>
      <c r="D464" s="13">
        <f>VLOOKUP(TABLA_PRECIOS_LISTBOX[[#This Row],[Código]],TABLA_PRECIOS[#All],6)</f>
        <v>1</v>
      </c>
      <c r="E464" s="28">
        <f>VLOOKUP(TABLA_PRECIOS_LISTBOX[[#This Row],[Código]],TABLA_PRECIOS[#All],7)</f>
        <v>1</v>
      </c>
      <c r="F464" s="32">
        <f>VLOOKUP(TABLA_PRECIOS_LISTBOX[[#This Row],[Código]],TABLA_PRECIOS[#All],8)</f>
        <v>1</v>
      </c>
      <c r="G464" s="9">
        <f>VLOOKUP(TABLA_PRECIOS_LISTBOX[[#This Row],[Código]],TABLA_PRECIOS[#All],10)</f>
        <v>0</v>
      </c>
    </row>
    <row r="465" spans="1:7" x14ac:dyDescent="0.3">
      <c r="A465" s="4">
        <v>2386</v>
      </c>
      <c r="B465" s="6" t="str">
        <f>VLOOKUP(TABLA_PRECIOS_LISTBOX[Código],LISTADO_PRODUCTOS[#All],4)</f>
        <v>PVC contact ORO/PLATA x mt</v>
      </c>
      <c r="C465" s="6" t="str">
        <f>VLOOKUP(TABLA_PRECIOS_LISTBOX[Código],LISTADO_PRODUCTOS[#All],5)</f>
        <v>N/A</v>
      </c>
      <c r="D465" s="13">
        <f>VLOOKUP(TABLA_PRECIOS_LISTBOX[[#This Row],[Código]],TABLA_PRECIOS[#All],6)</f>
        <v>1</v>
      </c>
      <c r="E465" s="28">
        <f>VLOOKUP(TABLA_PRECIOS_LISTBOX[[#This Row],[Código]],TABLA_PRECIOS[#All],7)</f>
        <v>1</v>
      </c>
      <c r="F465" s="32">
        <f>VLOOKUP(TABLA_PRECIOS_LISTBOX[[#This Row],[Código]],TABLA_PRECIOS[#All],8)</f>
        <v>1</v>
      </c>
      <c r="G465" s="9">
        <f>VLOOKUP(TABLA_PRECIOS_LISTBOX[[#This Row],[Código]],TABLA_PRECIOS[#All],10)</f>
        <v>0</v>
      </c>
    </row>
    <row r="466" spans="1:7" x14ac:dyDescent="0.3">
      <c r="A466" s="4">
        <v>2387</v>
      </c>
      <c r="B466" s="6" t="str">
        <f>VLOOKUP(TABLA_PRECIOS_LISTBOX[Código],LISTADO_PRODUCTOS[#All],4)</f>
        <v>PVC contact dibujos x mt</v>
      </c>
      <c r="C466" s="6" t="str">
        <f>VLOOKUP(TABLA_PRECIOS_LISTBOX[Código],LISTADO_PRODUCTOS[#All],5)</f>
        <v>N/A</v>
      </c>
      <c r="D466" s="13">
        <f>VLOOKUP(TABLA_PRECIOS_LISTBOX[[#This Row],[Código]],TABLA_PRECIOS[#All],6)</f>
        <v>1</v>
      </c>
      <c r="E466" s="28">
        <f>VLOOKUP(TABLA_PRECIOS_LISTBOX[[#This Row],[Código]],TABLA_PRECIOS[#All],7)</f>
        <v>1</v>
      </c>
      <c r="F466" s="32">
        <f>VLOOKUP(TABLA_PRECIOS_LISTBOX[[#This Row],[Código]],TABLA_PRECIOS[#All],8)</f>
        <v>1</v>
      </c>
      <c r="G466" s="9">
        <f>VLOOKUP(TABLA_PRECIOS_LISTBOX[[#This Row],[Código]],TABLA_PRECIOS[#All],10)</f>
        <v>0</v>
      </c>
    </row>
    <row r="467" spans="1:7" x14ac:dyDescent="0.3">
      <c r="A467" s="4">
        <v>2388</v>
      </c>
      <c r="B467" s="6" t="str">
        <f>VLOOKUP(TABLA_PRECIOS_LISTBOX[Código],LISTADO_PRODUCTOS[#All],4)</f>
        <v>Cinta papel New-Tape 48mm x 40mts</v>
      </c>
      <c r="C467" s="6" t="str">
        <f>VLOOKUP(TABLA_PRECIOS_LISTBOX[Código],LISTADO_PRODUCTOS[#All],5)</f>
        <v>N/A</v>
      </c>
      <c r="D467" s="13">
        <f>VLOOKUP(TABLA_PRECIOS_LISTBOX[[#This Row],[Código]],TABLA_PRECIOS[#All],6)</f>
        <v>1</v>
      </c>
      <c r="E467" s="28">
        <f>VLOOKUP(TABLA_PRECIOS_LISTBOX[[#This Row],[Código]],TABLA_PRECIOS[#All],7)</f>
        <v>1</v>
      </c>
      <c r="F467" s="32">
        <f>VLOOKUP(TABLA_PRECIOS_LISTBOX[[#This Row],[Código]],TABLA_PRECIOS[#All],8)</f>
        <v>1</v>
      </c>
      <c r="G467" s="9">
        <f>VLOOKUP(TABLA_PRECIOS_LISTBOX[[#This Row],[Código]],TABLA_PRECIOS[#All],10)</f>
        <v>0</v>
      </c>
    </row>
    <row r="468" spans="1:7" x14ac:dyDescent="0.3">
      <c r="A468" s="4">
        <v>2389</v>
      </c>
      <c r="B468" s="6" t="str">
        <f>VLOOKUP(TABLA_PRECIOS_LISTBOX[Código],LISTADO_PRODUCTOS[#All],4)</f>
        <v>Cinta Papel New-Tape/Stioko 36mm x 40mts</v>
      </c>
      <c r="C468" s="6" t="str">
        <f>VLOOKUP(TABLA_PRECIOS_LISTBOX[Código],LISTADO_PRODUCTOS[#All],5)</f>
        <v>N/A</v>
      </c>
      <c r="D468" s="13">
        <f>VLOOKUP(TABLA_PRECIOS_LISTBOX[[#This Row],[Código]],TABLA_PRECIOS[#All],6)</f>
        <v>1</v>
      </c>
      <c r="E468" s="28">
        <f>VLOOKUP(TABLA_PRECIOS_LISTBOX[[#This Row],[Código]],TABLA_PRECIOS[#All],7)</f>
        <v>1</v>
      </c>
      <c r="F468" s="32">
        <f>VLOOKUP(TABLA_PRECIOS_LISTBOX[[#This Row],[Código]],TABLA_PRECIOS[#All],8)</f>
        <v>1</v>
      </c>
      <c r="G468" s="9">
        <f>VLOOKUP(TABLA_PRECIOS_LISTBOX[[#This Row],[Código]],TABLA_PRECIOS[#All],10)</f>
        <v>0</v>
      </c>
    </row>
    <row r="469" spans="1:7" x14ac:dyDescent="0.3">
      <c r="A469" s="4">
        <v>2390</v>
      </c>
      <c r="B469" s="6" t="str">
        <f>VLOOKUP(TABLA_PRECIOS_LISTBOX[Código],LISTADO_PRODUCTOS[#All],4)</f>
        <v>Cinta Papel New-Tape/Fijapel 24mm x 40mts</v>
      </c>
      <c r="C469" s="6" t="str">
        <f>VLOOKUP(TABLA_PRECIOS_LISTBOX[Código],LISTADO_PRODUCTOS[#All],5)</f>
        <v>N/A</v>
      </c>
      <c r="D469" s="13">
        <f>VLOOKUP(TABLA_PRECIOS_LISTBOX[[#This Row],[Código]],TABLA_PRECIOS[#All],6)</f>
        <v>1</v>
      </c>
      <c r="E469" s="28">
        <f>VLOOKUP(TABLA_PRECIOS_LISTBOX[[#This Row],[Código]],TABLA_PRECIOS[#All],7)</f>
        <v>1</v>
      </c>
      <c r="F469" s="32">
        <f>VLOOKUP(TABLA_PRECIOS_LISTBOX[[#This Row],[Código]],TABLA_PRECIOS[#All],8)</f>
        <v>1</v>
      </c>
      <c r="G469" s="9">
        <f>VLOOKUP(TABLA_PRECIOS_LISTBOX[[#This Row],[Código]],TABLA_PRECIOS[#All],10)</f>
        <v>0</v>
      </c>
    </row>
    <row r="470" spans="1:7" x14ac:dyDescent="0.3">
      <c r="A470" s="4">
        <v>2391</v>
      </c>
      <c r="B470" s="6" t="str">
        <f>VLOOKUP(TABLA_PRECIOS_LISTBOX[Código],LISTADO_PRODUCTOS[#All],4)</f>
        <v>Sticker perritos goma eva</v>
      </c>
      <c r="C470" s="6" t="str">
        <f>VLOOKUP(TABLA_PRECIOS_LISTBOX[Código],LISTADO_PRODUCTOS[#All],5)</f>
        <v>N/A</v>
      </c>
      <c r="D470" s="13">
        <f>VLOOKUP(TABLA_PRECIOS_LISTBOX[[#This Row],[Código]],TABLA_PRECIOS[#All],6)</f>
        <v>1</v>
      </c>
      <c r="E470" s="28">
        <f>VLOOKUP(TABLA_PRECIOS_LISTBOX[[#This Row],[Código]],TABLA_PRECIOS[#All],7)</f>
        <v>1</v>
      </c>
      <c r="F470" s="32">
        <f>VLOOKUP(TABLA_PRECIOS_LISTBOX[[#This Row],[Código]],TABLA_PRECIOS[#All],8)</f>
        <v>1</v>
      </c>
      <c r="G470" s="9">
        <f>VLOOKUP(TABLA_PRECIOS_LISTBOX[[#This Row],[Código]],TABLA_PRECIOS[#All],10)</f>
        <v>0</v>
      </c>
    </row>
    <row r="471" spans="1:7" x14ac:dyDescent="0.3">
      <c r="A471" s="4">
        <v>2394</v>
      </c>
      <c r="B471" s="6" t="str">
        <f>VLOOKUP(TABLA_PRECIOS_LISTBOX[Código],LISTADO_PRODUCTOS[#All],4)</f>
        <v>Repuesto cuchilla Cutter comun 18mm cuchilla ancha x10u $50 x u</v>
      </c>
      <c r="C471" s="6" t="str">
        <f>VLOOKUP(TABLA_PRECIOS_LISTBOX[Código],LISTADO_PRODUCTOS[#All],5)</f>
        <v>N/A</v>
      </c>
      <c r="D471" s="13">
        <f>VLOOKUP(TABLA_PRECIOS_LISTBOX[[#This Row],[Código]],TABLA_PRECIOS[#All],6)</f>
        <v>1</v>
      </c>
      <c r="E471" s="28">
        <f>VLOOKUP(TABLA_PRECIOS_LISTBOX[[#This Row],[Código]],TABLA_PRECIOS[#All],7)</f>
        <v>1</v>
      </c>
      <c r="F471" s="32">
        <f>VLOOKUP(TABLA_PRECIOS_LISTBOX[[#This Row],[Código]],TABLA_PRECIOS[#All],8)</f>
        <v>1</v>
      </c>
      <c r="G471" s="9">
        <f>VLOOKUP(TABLA_PRECIOS_LISTBOX[[#This Row],[Código]],TABLA_PRECIOS[#All],10)</f>
        <v>0</v>
      </c>
    </row>
    <row r="472" spans="1:7" x14ac:dyDescent="0.3">
      <c r="A472" s="4">
        <v>2395</v>
      </c>
      <c r="B472" s="6" t="str">
        <f>VLOOKUP(TABLA_PRECIOS_LISTBOX[Código],LISTADO_PRODUCTOS[#All],4)</f>
        <v>Repuesto Cutter cuchilla SDI 18mm ancha x10u (la grande) $150 x u</v>
      </c>
      <c r="C472" s="6" t="str">
        <f>VLOOKUP(TABLA_PRECIOS_LISTBOX[Código],LISTADO_PRODUCTOS[#All],5)</f>
        <v>N/A</v>
      </c>
      <c r="D472" s="13">
        <f>VLOOKUP(TABLA_PRECIOS_LISTBOX[[#This Row],[Código]],TABLA_PRECIOS[#All],6)</f>
        <v>1</v>
      </c>
      <c r="E472" s="28">
        <f>VLOOKUP(TABLA_PRECIOS_LISTBOX[[#This Row],[Código]],TABLA_PRECIOS[#All],7)</f>
        <v>1</v>
      </c>
      <c r="F472" s="32">
        <f>VLOOKUP(TABLA_PRECIOS_LISTBOX[[#This Row],[Código]],TABLA_PRECIOS[#All],8)</f>
        <v>1</v>
      </c>
      <c r="G472" s="9">
        <f>VLOOKUP(TABLA_PRECIOS_LISTBOX[[#This Row],[Código]],TABLA_PRECIOS[#All],10)</f>
        <v>0</v>
      </c>
    </row>
    <row r="473" spans="1:7" x14ac:dyDescent="0.3">
      <c r="A473" s="4">
        <v>2396</v>
      </c>
      <c r="B473" s="6" t="str">
        <f>VLOOKUP(TABLA_PRECIOS_LISTBOX[Código],LISTADO_PRODUCTOS[#All],4)</f>
        <v>Repuesto cuchilla Cutter x hoha 9mm (la chica) $50 x u</v>
      </c>
      <c r="C473" s="6" t="str">
        <f>VLOOKUP(TABLA_PRECIOS_LISTBOX[Código],LISTADO_PRODUCTOS[#All],5)</f>
        <v>N/A</v>
      </c>
      <c r="D473" s="13">
        <f>VLOOKUP(TABLA_PRECIOS_LISTBOX[[#This Row],[Código]],TABLA_PRECIOS[#All],6)</f>
        <v>1</v>
      </c>
      <c r="E473" s="28">
        <f>VLOOKUP(TABLA_PRECIOS_LISTBOX[[#This Row],[Código]],TABLA_PRECIOS[#All],7)</f>
        <v>1</v>
      </c>
      <c r="F473" s="32">
        <f>VLOOKUP(TABLA_PRECIOS_LISTBOX[[#This Row],[Código]],TABLA_PRECIOS[#All],8)</f>
        <v>1</v>
      </c>
      <c r="G473" s="9">
        <f>VLOOKUP(TABLA_PRECIOS_LISTBOX[[#This Row],[Código]],TABLA_PRECIOS[#All],10)</f>
        <v>0</v>
      </c>
    </row>
    <row r="474" spans="1:7" x14ac:dyDescent="0.3">
      <c r="A474" s="4">
        <v>2398</v>
      </c>
      <c r="B474" s="6" t="str">
        <f>VLOOKUP(TABLA_PRECIOS_LISTBOX[Código],LISTADO_PRODUCTOS[#All],4)</f>
        <v>Pvc Contac Transparente x 2mt</v>
      </c>
      <c r="C474" s="6" t="str">
        <f>VLOOKUP(TABLA_PRECIOS_LISTBOX[Código],LISTADO_PRODUCTOS[#All],5)</f>
        <v>N/A</v>
      </c>
      <c r="D474" s="13">
        <f>VLOOKUP(TABLA_PRECIOS_LISTBOX[[#This Row],[Código]],TABLA_PRECIOS[#All],6)</f>
        <v>1</v>
      </c>
      <c r="E474" s="28">
        <f>VLOOKUP(TABLA_PRECIOS_LISTBOX[[#This Row],[Código]],TABLA_PRECIOS[#All],7)</f>
        <v>1</v>
      </c>
      <c r="F474" s="32">
        <f>VLOOKUP(TABLA_PRECIOS_LISTBOX[[#This Row],[Código]],TABLA_PRECIOS[#All],8)</f>
        <v>1</v>
      </c>
      <c r="G474" s="9">
        <f>VLOOKUP(TABLA_PRECIOS_LISTBOX[[#This Row],[Código]],TABLA_PRECIOS[#All],10)</f>
        <v>0</v>
      </c>
    </row>
    <row r="475" spans="1:7" x14ac:dyDescent="0.3">
      <c r="A475" s="4">
        <v>2399</v>
      </c>
      <c r="B475" s="6" t="str">
        <f>VLOOKUP(TABLA_PRECIOS_LISTBOX[Código],LISTADO_PRODUCTOS[#All],4)</f>
        <v>Barrita de silicona Fina Liggo (85 x bolsa)</v>
      </c>
      <c r="C475" s="6" t="str">
        <f>VLOOKUP(TABLA_PRECIOS_LISTBOX[Código],LISTADO_PRODUCTOS[#All],5)</f>
        <v>N/A</v>
      </c>
      <c r="D475" s="13">
        <f>VLOOKUP(TABLA_PRECIOS_LISTBOX[[#This Row],[Código]],TABLA_PRECIOS[#All],6)</f>
        <v>1</v>
      </c>
      <c r="E475" s="28">
        <f>VLOOKUP(TABLA_PRECIOS_LISTBOX[[#This Row],[Código]],TABLA_PRECIOS[#All],7)</f>
        <v>1</v>
      </c>
      <c r="F475" s="32">
        <f>VLOOKUP(TABLA_PRECIOS_LISTBOX[[#This Row],[Código]],TABLA_PRECIOS[#All],8)</f>
        <v>1</v>
      </c>
      <c r="G475" s="9">
        <f>VLOOKUP(TABLA_PRECIOS_LISTBOX[[#This Row],[Código]],TABLA_PRECIOS[#All],10)</f>
        <v>0</v>
      </c>
    </row>
    <row r="476" spans="1:7" x14ac:dyDescent="0.3">
      <c r="A476" s="4">
        <v>2400</v>
      </c>
      <c r="B476" s="6" t="str">
        <f>VLOOKUP(TABLA_PRECIOS_LISTBOX[Código],LISTADO_PRODUCTOS[#All],4)</f>
        <v xml:space="preserve">Barrita de silicona Gruesa Liggo </v>
      </c>
      <c r="C476" s="6" t="str">
        <f>VLOOKUP(TABLA_PRECIOS_LISTBOX[Código],LISTADO_PRODUCTOS[#All],5)</f>
        <v>N/A</v>
      </c>
      <c r="D476" s="13">
        <f>VLOOKUP(TABLA_PRECIOS_LISTBOX[[#This Row],[Código]],TABLA_PRECIOS[#All],6)</f>
        <v>1</v>
      </c>
      <c r="E476" s="28">
        <f>VLOOKUP(TABLA_PRECIOS_LISTBOX[[#This Row],[Código]],TABLA_PRECIOS[#All],7)</f>
        <v>1</v>
      </c>
      <c r="F476" s="32">
        <f>VLOOKUP(TABLA_PRECIOS_LISTBOX[[#This Row],[Código]],TABLA_PRECIOS[#All],8)</f>
        <v>1</v>
      </c>
      <c r="G476" s="9">
        <f>VLOOKUP(TABLA_PRECIOS_LISTBOX[[#This Row],[Código]],TABLA_PRECIOS[#All],10)</f>
        <v>0</v>
      </c>
    </row>
    <row r="477" spans="1:7" x14ac:dyDescent="0.3">
      <c r="A477" s="4">
        <v>2401</v>
      </c>
      <c r="B477" s="6" t="str">
        <f>VLOOKUP(TABLA_PRECIOS_LISTBOX[Código],LISTADO_PRODUCTOS[#All],4)</f>
        <v>Tijera Maped Crea Cut 5 cortes</v>
      </c>
      <c r="C477" s="6" t="str">
        <f>VLOOKUP(TABLA_PRECIOS_LISTBOX[Código],LISTADO_PRODUCTOS[#All],5)</f>
        <v>N/A</v>
      </c>
      <c r="D477" s="13">
        <f>VLOOKUP(TABLA_PRECIOS_LISTBOX[[#This Row],[Código]],TABLA_PRECIOS[#All],6)</f>
        <v>1</v>
      </c>
      <c r="E477" s="28">
        <f>VLOOKUP(TABLA_PRECIOS_LISTBOX[[#This Row],[Código]],TABLA_PRECIOS[#All],7)</f>
        <v>1</v>
      </c>
      <c r="F477" s="32">
        <f>VLOOKUP(TABLA_PRECIOS_LISTBOX[[#This Row],[Código]],TABLA_PRECIOS[#All],8)</f>
        <v>1</v>
      </c>
      <c r="G477" s="9">
        <f>VLOOKUP(TABLA_PRECIOS_LISTBOX[[#This Row],[Código]],TABLA_PRECIOS[#All],10)</f>
        <v>0</v>
      </c>
    </row>
    <row r="478" spans="1:7" x14ac:dyDescent="0.3">
      <c r="A478" s="4">
        <v>2402</v>
      </c>
      <c r="B478" s="6" t="str">
        <f>VLOOKUP(TABLA_PRECIOS_LISTBOX[Código],LISTADO_PRODUCTOS[#All],4)</f>
        <v>Tubo lanza papel</v>
      </c>
      <c r="C478" s="6" t="str">
        <f>VLOOKUP(TABLA_PRECIOS_LISTBOX[Código],LISTADO_PRODUCTOS[#All],5)</f>
        <v>N/A</v>
      </c>
      <c r="D478" s="13">
        <f>VLOOKUP(TABLA_PRECIOS_LISTBOX[[#This Row],[Código]],TABLA_PRECIOS[#All],6)</f>
        <v>1</v>
      </c>
      <c r="E478" s="28">
        <f>VLOOKUP(TABLA_PRECIOS_LISTBOX[[#This Row],[Código]],TABLA_PRECIOS[#All],7)</f>
        <v>1</v>
      </c>
      <c r="F478" s="32">
        <f>VLOOKUP(TABLA_PRECIOS_LISTBOX[[#This Row],[Código]],TABLA_PRECIOS[#All],8)</f>
        <v>1</v>
      </c>
      <c r="G478" s="9">
        <f>VLOOKUP(TABLA_PRECIOS_LISTBOX[[#This Row],[Código]],TABLA_PRECIOS[#All],10)</f>
        <v>0</v>
      </c>
    </row>
    <row r="479" spans="1:7" x14ac:dyDescent="0.3">
      <c r="A479" s="4">
        <v>2405</v>
      </c>
      <c r="B479" s="6" t="str">
        <f>VLOOKUP(TABLA_PRECIOS_LISTBOX[Código],LISTADO_PRODUCTOS[#All],4)</f>
        <v>Tijera Ibi Craft corte con Formas</v>
      </c>
      <c r="C479" s="6" t="str">
        <f>VLOOKUP(TABLA_PRECIOS_LISTBOX[Código],LISTADO_PRODUCTOS[#All],5)</f>
        <v>N/A</v>
      </c>
      <c r="D479" s="13">
        <f>VLOOKUP(TABLA_PRECIOS_LISTBOX[[#This Row],[Código]],TABLA_PRECIOS[#All],6)</f>
        <v>1</v>
      </c>
      <c r="E479" s="28">
        <f>VLOOKUP(TABLA_PRECIOS_LISTBOX[[#This Row],[Código]],TABLA_PRECIOS[#All],7)</f>
        <v>1</v>
      </c>
      <c r="F479" s="32">
        <f>VLOOKUP(TABLA_PRECIOS_LISTBOX[[#This Row],[Código]],TABLA_PRECIOS[#All],8)</f>
        <v>1</v>
      </c>
      <c r="G479" s="9">
        <f>VLOOKUP(TABLA_PRECIOS_LISTBOX[[#This Row],[Código]],TABLA_PRECIOS[#All],10)</f>
        <v>0</v>
      </c>
    </row>
    <row r="480" spans="1:7" x14ac:dyDescent="0.3">
      <c r="A480" s="4">
        <v>2421</v>
      </c>
      <c r="B480" s="6" t="str">
        <f>VLOOKUP(TABLA_PRECIOS_LISTBOX[Código],LISTADO_PRODUCTOS[#All],4)</f>
        <v>Cinta papel Enmascarar Stiko escolar Rollo chico 18mm x 20m</v>
      </c>
      <c r="C480" s="6" t="str">
        <f>VLOOKUP(TABLA_PRECIOS_LISTBOX[Código],LISTADO_PRODUCTOS[#All],5)</f>
        <v>N/A</v>
      </c>
      <c r="D480" s="13">
        <f>VLOOKUP(TABLA_PRECIOS_LISTBOX[[#This Row],[Código]],TABLA_PRECIOS[#All],6)</f>
        <v>1</v>
      </c>
      <c r="E480" s="28">
        <f>VLOOKUP(TABLA_PRECIOS_LISTBOX[[#This Row],[Código]],TABLA_PRECIOS[#All],7)</f>
        <v>1</v>
      </c>
      <c r="F480" s="32">
        <f>VLOOKUP(TABLA_PRECIOS_LISTBOX[[#This Row],[Código]],TABLA_PRECIOS[#All],8)</f>
        <v>1</v>
      </c>
      <c r="G480" s="9">
        <f>VLOOKUP(TABLA_PRECIOS_LISTBOX[[#This Row],[Código]],TABLA_PRECIOS[#All],10)</f>
        <v>0</v>
      </c>
    </row>
    <row r="481" spans="1:7" x14ac:dyDescent="0.3">
      <c r="A481" s="4">
        <v>2422</v>
      </c>
      <c r="B481" s="6" t="str">
        <f>VLOOKUP(TABLA_PRECIOS_LISTBOX[Código],LISTADO_PRODUCTOS[#All],4)</f>
        <v>Stiker bien grande</v>
      </c>
      <c r="C481" s="6" t="str">
        <f>VLOOKUP(TABLA_PRECIOS_LISTBOX[Código],LISTADO_PRODUCTOS[#All],5)</f>
        <v>N/A</v>
      </c>
      <c r="D481" s="13">
        <f>VLOOKUP(TABLA_PRECIOS_LISTBOX[[#This Row],[Código]],TABLA_PRECIOS[#All],6)</f>
        <v>1</v>
      </c>
      <c r="E481" s="28">
        <f>VLOOKUP(TABLA_PRECIOS_LISTBOX[[#This Row],[Código]],TABLA_PRECIOS[#All],7)</f>
        <v>1</v>
      </c>
      <c r="F481" s="32">
        <f>VLOOKUP(TABLA_PRECIOS_LISTBOX[[#This Row],[Código]],TABLA_PRECIOS[#All],8)</f>
        <v>1</v>
      </c>
      <c r="G481" s="9">
        <f>VLOOKUP(TABLA_PRECIOS_LISTBOX[[#This Row],[Código]],TABLA_PRECIOS[#All],10)</f>
        <v>0</v>
      </c>
    </row>
    <row r="482" spans="1:7" x14ac:dyDescent="0.3">
      <c r="A482" s="4">
        <v>2424</v>
      </c>
      <c r="B482" s="6" t="str">
        <f>VLOOKUP(TABLA_PRECIOS_LISTBOX[Código],LISTADO_PRODUCTOS[#All],4)</f>
        <v>Repuesto America x96h M/Ref. Rayado</v>
      </c>
      <c r="C482" s="6" t="str">
        <f>VLOOKUP(TABLA_PRECIOS_LISTBOX[Código],LISTADO_PRODUCTOS[#All],5)</f>
        <v>N/A</v>
      </c>
      <c r="D482" s="13">
        <f>VLOOKUP(TABLA_PRECIOS_LISTBOX[[#This Row],[Código]],TABLA_PRECIOS[#All],6)</f>
        <v>1</v>
      </c>
      <c r="E482" s="28">
        <f>VLOOKUP(TABLA_PRECIOS_LISTBOX[[#This Row],[Código]],TABLA_PRECIOS[#All],7)</f>
        <v>1</v>
      </c>
      <c r="F482" s="32">
        <f>VLOOKUP(TABLA_PRECIOS_LISTBOX[[#This Row],[Código]],TABLA_PRECIOS[#All],8)</f>
        <v>1</v>
      </c>
      <c r="G482" s="9">
        <f>VLOOKUP(TABLA_PRECIOS_LISTBOX[[#This Row],[Código]],TABLA_PRECIOS[#All],10)</f>
        <v>0</v>
      </c>
    </row>
    <row r="483" spans="1:7" x14ac:dyDescent="0.3">
      <c r="A483" s="4">
        <v>2427</v>
      </c>
      <c r="B483" s="6" t="str">
        <f>VLOOKUP(TABLA_PRECIOS_LISTBOX[Código],LISTADO_PRODUCTOS[#All],4)</f>
        <v>Cinta New-tape enmascarar papel 18mm x 40mts</v>
      </c>
      <c r="C483" s="6" t="str">
        <f>VLOOKUP(TABLA_PRECIOS_LISTBOX[Código],LISTADO_PRODUCTOS[#All],5)</f>
        <v>N/A</v>
      </c>
      <c r="D483" s="13">
        <f>VLOOKUP(TABLA_PRECIOS_LISTBOX[[#This Row],[Código]],TABLA_PRECIOS[#All],6)</f>
        <v>1</v>
      </c>
      <c r="E483" s="28">
        <f>VLOOKUP(TABLA_PRECIOS_LISTBOX[[#This Row],[Código]],TABLA_PRECIOS[#All],7)</f>
        <v>1</v>
      </c>
      <c r="F483" s="32">
        <f>VLOOKUP(TABLA_PRECIOS_LISTBOX[[#This Row],[Código]],TABLA_PRECIOS[#All],8)</f>
        <v>1</v>
      </c>
      <c r="G483" s="9">
        <f>VLOOKUP(TABLA_PRECIOS_LISTBOX[[#This Row],[Código]],TABLA_PRECIOS[#All],10)</f>
        <v>0</v>
      </c>
    </row>
    <row r="484" spans="1:7" x14ac:dyDescent="0.3">
      <c r="A484" s="4">
        <v>2428</v>
      </c>
      <c r="B484" s="6" t="str">
        <f>VLOOKUP(TABLA_PRECIOS_LISTBOX[Código],LISTADO_PRODUCTOS[#All],4)</f>
        <v>Cinta New-tape enmascarar papel 12mm x 40mts</v>
      </c>
      <c r="C484" s="6" t="str">
        <f>VLOOKUP(TABLA_PRECIOS_LISTBOX[Código],LISTADO_PRODUCTOS[#All],5)</f>
        <v>N/A</v>
      </c>
      <c r="D484" s="13">
        <f>VLOOKUP(TABLA_PRECIOS_LISTBOX[[#This Row],[Código]],TABLA_PRECIOS[#All],6)</f>
        <v>1</v>
      </c>
      <c r="E484" s="28">
        <f>VLOOKUP(TABLA_PRECIOS_LISTBOX[[#This Row],[Código]],TABLA_PRECIOS[#All],7)</f>
        <v>1</v>
      </c>
      <c r="F484" s="32">
        <f>VLOOKUP(TABLA_PRECIOS_LISTBOX[[#This Row],[Código]],TABLA_PRECIOS[#All],8)</f>
        <v>1</v>
      </c>
      <c r="G484" s="9">
        <f>VLOOKUP(TABLA_PRECIOS_LISTBOX[[#This Row],[Código]],TABLA_PRECIOS[#All],10)</f>
        <v>0</v>
      </c>
    </row>
    <row r="485" spans="1:7" x14ac:dyDescent="0.3">
      <c r="A485" s="4">
        <v>2429</v>
      </c>
      <c r="B485" s="6" t="str">
        <f>VLOOKUP(TABLA_PRECIOS_LISTBOX[Código],LISTADO_PRODUCTOS[#All],4)</f>
        <v>Block/resma  A4 color Luma 100h 4 colores</v>
      </c>
      <c r="C485" s="6" t="str">
        <f>VLOOKUP(TABLA_PRECIOS_LISTBOX[Código],LISTADO_PRODUCTOS[#All],5)</f>
        <v>N/A</v>
      </c>
      <c r="D485" s="13">
        <f>VLOOKUP(TABLA_PRECIOS_LISTBOX[[#This Row],[Código]],TABLA_PRECIOS[#All],6)</f>
        <v>1</v>
      </c>
      <c r="E485" s="28">
        <f>VLOOKUP(TABLA_PRECIOS_LISTBOX[[#This Row],[Código]],TABLA_PRECIOS[#All],7)</f>
        <v>1</v>
      </c>
      <c r="F485" s="32">
        <f>VLOOKUP(TABLA_PRECIOS_LISTBOX[[#This Row],[Código]],TABLA_PRECIOS[#All],8)</f>
        <v>1</v>
      </c>
      <c r="G485" s="9">
        <f>VLOOKUP(TABLA_PRECIOS_LISTBOX[[#This Row],[Código]],TABLA_PRECIOS[#All],10)</f>
        <v>0</v>
      </c>
    </row>
    <row r="486" spans="1:7" x14ac:dyDescent="0.3">
      <c r="A486" s="4">
        <v>2443</v>
      </c>
      <c r="B486" s="6" t="str">
        <f>VLOOKUP(TABLA_PRECIOS_LISTBOX[Código],LISTADO_PRODUCTOS[#All],4)</f>
        <v>Pinceleta N°4</v>
      </c>
      <c r="C486" s="6" t="str">
        <f>VLOOKUP(TABLA_PRECIOS_LISTBOX[Código],LISTADO_PRODUCTOS[#All],5)</f>
        <v>N/A</v>
      </c>
      <c r="D486" s="13">
        <f>VLOOKUP(TABLA_PRECIOS_LISTBOX[[#This Row],[Código]],TABLA_PRECIOS[#All],6)</f>
        <v>1</v>
      </c>
      <c r="E486" s="28">
        <f>VLOOKUP(TABLA_PRECIOS_LISTBOX[[#This Row],[Código]],TABLA_PRECIOS[#All],7)</f>
        <v>1</v>
      </c>
      <c r="F486" s="32">
        <f>VLOOKUP(TABLA_PRECIOS_LISTBOX[[#This Row],[Código]],TABLA_PRECIOS[#All],8)</f>
        <v>1</v>
      </c>
      <c r="G486" s="9">
        <f>VLOOKUP(TABLA_PRECIOS_LISTBOX[[#This Row],[Código]],TABLA_PRECIOS[#All],10)</f>
        <v>0</v>
      </c>
    </row>
    <row r="487" spans="1:7" x14ac:dyDescent="0.3">
      <c r="A487" s="4">
        <v>2444</v>
      </c>
      <c r="B487" s="6" t="str">
        <f>VLOOKUP(TABLA_PRECIOS_LISTBOX[Código],LISTADO_PRODUCTOS[#All],4)</f>
        <v>Acuarela Trazos en caja plastica x12 + pincel</v>
      </c>
      <c r="C487" s="6" t="str">
        <f>VLOOKUP(TABLA_PRECIOS_LISTBOX[Código],LISTADO_PRODUCTOS[#All],5)</f>
        <v>N/A</v>
      </c>
      <c r="D487" s="13">
        <f>VLOOKUP(TABLA_PRECIOS_LISTBOX[[#This Row],[Código]],TABLA_PRECIOS[#All],6)</f>
        <v>1</v>
      </c>
      <c r="E487" s="28">
        <f>VLOOKUP(TABLA_PRECIOS_LISTBOX[[#This Row],[Código]],TABLA_PRECIOS[#All],7)</f>
        <v>1</v>
      </c>
      <c r="F487" s="32">
        <f>VLOOKUP(TABLA_PRECIOS_LISTBOX[[#This Row],[Código]],TABLA_PRECIOS[#All],8)</f>
        <v>1</v>
      </c>
      <c r="G487" s="9">
        <f>VLOOKUP(TABLA_PRECIOS_LISTBOX[[#This Row],[Código]],TABLA_PRECIOS[#All],10)</f>
        <v>0</v>
      </c>
    </row>
    <row r="488" spans="1:7" x14ac:dyDescent="0.3">
      <c r="A488" s="4">
        <v>2451</v>
      </c>
      <c r="B488" s="6" t="str">
        <f>VLOOKUP(TABLA_PRECIOS_LISTBOX[Código],LISTADO_PRODUCTOS[#All],4)</f>
        <v xml:space="preserve">Porcelana Fria Nicronx 500gr </v>
      </c>
      <c r="C488" s="6" t="str">
        <f>VLOOKUP(TABLA_PRECIOS_LISTBOX[Código],LISTADO_PRODUCTOS[#All],5)</f>
        <v>N/A</v>
      </c>
      <c r="D488" s="13">
        <f>VLOOKUP(TABLA_PRECIOS_LISTBOX[[#This Row],[Código]],TABLA_PRECIOS[#All],6)</f>
        <v>1</v>
      </c>
      <c r="E488" s="28">
        <f>VLOOKUP(TABLA_PRECIOS_LISTBOX[[#This Row],[Código]],TABLA_PRECIOS[#All],7)</f>
        <v>1</v>
      </c>
      <c r="F488" s="32">
        <f>VLOOKUP(TABLA_PRECIOS_LISTBOX[[#This Row],[Código]],TABLA_PRECIOS[#All],8)</f>
        <v>1</v>
      </c>
      <c r="G488" s="9">
        <f>VLOOKUP(TABLA_PRECIOS_LISTBOX[[#This Row],[Código]],TABLA_PRECIOS[#All],10)</f>
        <v>0</v>
      </c>
    </row>
    <row r="489" spans="1:7" x14ac:dyDescent="0.3">
      <c r="A489" s="4">
        <v>2458</v>
      </c>
      <c r="B489" s="6" t="str">
        <f>VLOOKUP(TABLA_PRECIOS_LISTBOX[Código],LISTADO_PRODUCTOS[#All],4)</f>
        <v>Tubo Pulceras luminicentes</v>
      </c>
      <c r="C489" s="6" t="str">
        <f>VLOOKUP(TABLA_PRECIOS_LISTBOX[Código],LISTADO_PRODUCTOS[#All],5)</f>
        <v>N/A</v>
      </c>
      <c r="D489" s="13">
        <f>VLOOKUP(TABLA_PRECIOS_LISTBOX[[#This Row],[Código]],TABLA_PRECIOS[#All],6)</f>
        <v>1</v>
      </c>
      <c r="E489" s="28">
        <f>VLOOKUP(TABLA_PRECIOS_LISTBOX[[#This Row],[Código]],TABLA_PRECIOS[#All],7)</f>
        <v>1</v>
      </c>
      <c r="F489" s="32">
        <f>VLOOKUP(TABLA_PRECIOS_LISTBOX[[#This Row],[Código]],TABLA_PRECIOS[#All],8)</f>
        <v>1</v>
      </c>
      <c r="G489" s="9">
        <f>VLOOKUP(TABLA_PRECIOS_LISTBOX[[#This Row],[Código]],TABLA_PRECIOS[#All],10)</f>
        <v>0</v>
      </c>
    </row>
    <row r="490" spans="1:7" x14ac:dyDescent="0.3">
      <c r="A490" s="4">
        <v>2466</v>
      </c>
      <c r="B490" s="6" t="str">
        <f>VLOOKUP(TABLA_PRECIOS_LISTBOX[Código],LISTADO_PRODUCTOS[#All],4)</f>
        <v>Sobre polietileno grueso porta credencial</v>
      </c>
      <c r="C490" s="6" t="str">
        <f>VLOOKUP(TABLA_PRECIOS_LISTBOX[Código],LISTADO_PRODUCTOS[#All],5)</f>
        <v>N/A</v>
      </c>
      <c r="D490" s="13">
        <f>VLOOKUP(TABLA_PRECIOS_LISTBOX[[#This Row],[Código]],TABLA_PRECIOS[#All],6)</f>
        <v>1</v>
      </c>
      <c r="E490" s="28">
        <f>VLOOKUP(TABLA_PRECIOS_LISTBOX[[#This Row],[Código]],TABLA_PRECIOS[#All],7)</f>
        <v>1</v>
      </c>
      <c r="F490" s="32">
        <f>VLOOKUP(TABLA_PRECIOS_LISTBOX[[#This Row],[Código]],TABLA_PRECIOS[#All],8)</f>
        <v>1</v>
      </c>
      <c r="G490" s="9">
        <f>VLOOKUP(TABLA_PRECIOS_LISTBOX[[#This Row],[Código]],TABLA_PRECIOS[#All],10)</f>
        <v>0</v>
      </c>
    </row>
    <row r="491" spans="1:7" x14ac:dyDescent="0.3">
      <c r="A491" s="4">
        <v>2468</v>
      </c>
      <c r="B491" s="6" t="str">
        <f>VLOOKUP(TABLA_PRECIOS_LISTBOX[Código],LISTADO_PRODUCTOS[#All],4)</f>
        <v>Papel metalizado Luma 5 mt X40cm / SE VENDE X METRO</v>
      </c>
      <c r="C491" s="6" t="str">
        <f>VLOOKUP(TABLA_PRECIOS_LISTBOX[Código],LISTADO_PRODUCTOS[#All],5)</f>
        <v>N/A</v>
      </c>
      <c r="D491" s="13">
        <f>VLOOKUP(TABLA_PRECIOS_LISTBOX[[#This Row],[Código]],TABLA_PRECIOS[#All],6)</f>
        <v>1</v>
      </c>
      <c r="E491" s="28">
        <f>VLOOKUP(TABLA_PRECIOS_LISTBOX[[#This Row],[Código]],TABLA_PRECIOS[#All],7)</f>
        <v>1</v>
      </c>
      <c r="F491" s="32">
        <f>VLOOKUP(TABLA_PRECIOS_LISTBOX[[#This Row],[Código]],TABLA_PRECIOS[#All],8)</f>
        <v>1</v>
      </c>
      <c r="G491" s="9">
        <f>VLOOKUP(TABLA_PRECIOS_LISTBOX[[#This Row],[Código]],TABLA_PRECIOS[#All],10)</f>
        <v>0</v>
      </c>
    </row>
    <row r="492" spans="1:7" x14ac:dyDescent="0.3">
      <c r="A492" s="4">
        <v>2471</v>
      </c>
      <c r="B492" s="6" t="str">
        <f>VLOOKUP(TABLA_PRECIOS_LISTBOX[Código],LISTADO_PRODUCTOS[#All],4)</f>
        <v>Tempera Maped color peps x 12u</v>
      </c>
      <c r="C492" s="6" t="str">
        <f>VLOOKUP(TABLA_PRECIOS_LISTBOX[Código],LISTADO_PRODUCTOS[#All],5)</f>
        <v>N/A</v>
      </c>
      <c r="D492" s="13">
        <f>VLOOKUP(TABLA_PRECIOS_LISTBOX[[#This Row],[Código]],TABLA_PRECIOS[#All],6)</f>
        <v>1</v>
      </c>
      <c r="E492" s="28">
        <f>VLOOKUP(TABLA_PRECIOS_LISTBOX[[#This Row],[Código]],TABLA_PRECIOS[#All],7)</f>
        <v>1</v>
      </c>
      <c r="F492" s="32">
        <f>VLOOKUP(TABLA_PRECIOS_LISTBOX[[#This Row],[Código]],TABLA_PRECIOS[#All],8)</f>
        <v>1</v>
      </c>
      <c r="G492" s="9">
        <f>VLOOKUP(TABLA_PRECIOS_LISTBOX[[#This Row],[Código]],TABLA_PRECIOS[#All],10)</f>
        <v>0</v>
      </c>
    </row>
    <row r="493" spans="1:7" x14ac:dyDescent="0.3">
      <c r="A493" s="4">
        <v>2472</v>
      </c>
      <c r="B493" s="6" t="str">
        <f>VLOOKUP(TABLA_PRECIOS_LISTBOX[Código],LISTADO_PRODUCTOS[#All],4)</f>
        <v>Hilo YUTE Natural ovillo x 20mts 2807</v>
      </c>
      <c r="C493" s="6" t="str">
        <f>VLOOKUP(TABLA_PRECIOS_LISTBOX[Código],LISTADO_PRODUCTOS[#All],5)</f>
        <v>N/A</v>
      </c>
      <c r="D493" s="13">
        <f>VLOOKUP(TABLA_PRECIOS_LISTBOX[[#This Row],[Código]],TABLA_PRECIOS[#All],6)</f>
        <v>1</v>
      </c>
      <c r="E493" s="28">
        <f>VLOOKUP(TABLA_PRECIOS_LISTBOX[[#This Row],[Código]],TABLA_PRECIOS[#All],7)</f>
        <v>1</v>
      </c>
      <c r="F493" s="32">
        <f>VLOOKUP(TABLA_PRECIOS_LISTBOX[[#This Row],[Código]],TABLA_PRECIOS[#All],8)</f>
        <v>1</v>
      </c>
      <c r="G493" s="9">
        <f>VLOOKUP(TABLA_PRECIOS_LISTBOX[[#This Row],[Código]],TABLA_PRECIOS[#All],10)</f>
        <v>0</v>
      </c>
    </row>
    <row r="494" spans="1:7" x14ac:dyDescent="0.3">
      <c r="A494" s="4">
        <v>2477</v>
      </c>
      <c r="B494" s="6" t="str">
        <f>VLOOKUP(TABLA_PRECIOS_LISTBOX[Código],LISTADO_PRODUCTOS[#All],4)</f>
        <v>Pintura a la tiza 200cc EQ ARTE</v>
      </c>
      <c r="C494" s="6" t="str">
        <f>VLOOKUP(TABLA_PRECIOS_LISTBOX[Código],LISTADO_PRODUCTOS[#All],5)</f>
        <v>N/A</v>
      </c>
      <c r="D494" s="13">
        <f>VLOOKUP(TABLA_PRECIOS_LISTBOX[[#This Row],[Código]],TABLA_PRECIOS[#All],6)</f>
        <v>1</v>
      </c>
      <c r="E494" s="28">
        <f>VLOOKUP(TABLA_PRECIOS_LISTBOX[[#This Row],[Código]],TABLA_PRECIOS[#All],7)</f>
        <v>1</v>
      </c>
      <c r="F494" s="32">
        <f>VLOOKUP(TABLA_PRECIOS_LISTBOX[[#This Row],[Código]],TABLA_PRECIOS[#All],8)</f>
        <v>1</v>
      </c>
      <c r="G494" s="9">
        <f>VLOOKUP(TABLA_PRECIOS_LISTBOX[[#This Row],[Código]],TABLA_PRECIOS[#All],10)</f>
        <v>0</v>
      </c>
    </row>
    <row r="495" spans="1:7" x14ac:dyDescent="0.3">
      <c r="A495" s="4">
        <v>2484</v>
      </c>
      <c r="B495" s="6" t="str">
        <f>VLOOKUP(TABLA_PRECIOS_LISTBOX[Código],LISTADO_PRODUCTOS[#All],4)</f>
        <v xml:space="preserve">Cinta regalo rollo (tipo ribbonete) 2cm x 50mt </v>
      </c>
      <c r="C495" s="6" t="str">
        <f>VLOOKUP(TABLA_PRECIOS_LISTBOX[Código],LISTADO_PRODUCTOS[#All],5)</f>
        <v>N/A</v>
      </c>
      <c r="D495" s="13">
        <f>VLOOKUP(TABLA_PRECIOS_LISTBOX[[#This Row],[Código]],TABLA_PRECIOS[#All],6)</f>
        <v>1</v>
      </c>
      <c r="E495" s="28">
        <f>VLOOKUP(TABLA_PRECIOS_LISTBOX[[#This Row],[Código]],TABLA_PRECIOS[#All],7)</f>
        <v>1</v>
      </c>
      <c r="F495" s="32">
        <f>VLOOKUP(TABLA_PRECIOS_LISTBOX[[#This Row],[Código]],TABLA_PRECIOS[#All],8)</f>
        <v>1</v>
      </c>
      <c r="G495" s="9">
        <f>VLOOKUP(TABLA_PRECIOS_LISTBOX[[#This Row],[Código]],TABLA_PRECIOS[#All],10)</f>
        <v>0</v>
      </c>
    </row>
    <row r="496" spans="1:7" x14ac:dyDescent="0.3">
      <c r="A496" s="4">
        <v>2487</v>
      </c>
      <c r="B496" s="6" t="str">
        <f>VLOOKUP(TABLA_PRECIOS_LISTBOX[Código],LISTADO_PRODUCTOS[#All],4)</f>
        <v>Cinta Doble faz Motex 12mm x 10m</v>
      </c>
      <c r="C496" s="6" t="str">
        <f>VLOOKUP(TABLA_PRECIOS_LISTBOX[Código],LISTADO_PRODUCTOS[#All],5)</f>
        <v>N/A</v>
      </c>
      <c r="D496" s="13">
        <f>VLOOKUP(TABLA_PRECIOS_LISTBOX[[#This Row],[Código]],TABLA_PRECIOS[#All],6)</f>
        <v>1</v>
      </c>
      <c r="E496" s="28">
        <f>VLOOKUP(TABLA_PRECIOS_LISTBOX[[#This Row],[Código]],TABLA_PRECIOS[#All],7)</f>
        <v>1</v>
      </c>
      <c r="F496" s="32">
        <f>VLOOKUP(TABLA_PRECIOS_LISTBOX[[#This Row],[Código]],TABLA_PRECIOS[#All],8)</f>
        <v>1</v>
      </c>
      <c r="G496" s="9">
        <f>VLOOKUP(TABLA_PRECIOS_LISTBOX[[#This Row],[Código]],TABLA_PRECIOS[#All],10)</f>
        <v>0</v>
      </c>
    </row>
    <row r="497" spans="1:7" x14ac:dyDescent="0.3">
      <c r="A497" s="4">
        <v>2488</v>
      </c>
      <c r="B497" s="6" t="str">
        <f>VLOOKUP(TABLA_PRECIOS_LISTBOX[Código],LISTADO_PRODUCTOS[#All],4)</f>
        <v>Broche Aprieta papel Sifap niquelado N°50 x unidad</v>
      </c>
      <c r="C497" s="6" t="str">
        <f>VLOOKUP(TABLA_PRECIOS_LISTBOX[Código],LISTADO_PRODUCTOS[#All],5)</f>
        <v>N/A</v>
      </c>
      <c r="D497" s="13">
        <f>VLOOKUP(TABLA_PRECIOS_LISTBOX[[#This Row],[Código]],TABLA_PRECIOS[#All],6)</f>
        <v>1</v>
      </c>
      <c r="E497" s="28">
        <f>VLOOKUP(TABLA_PRECIOS_LISTBOX[[#This Row],[Código]],TABLA_PRECIOS[#All],7)</f>
        <v>1</v>
      </c>
      <c r="F497" s="32">
        <f>VLOOKUP(TABLA_PRECIOS_LISTBOX[[#This Row],[Código]],TABLA_PRECIOS[#All],8)</f>
        <v>1</v>
      </c>
      <c r="G497" s="9">
        <f>VLOOKUP(TABLA_PRECIOS_LISTBOX[[#This Row],[Código]],TABLA_PRECIOS[#All],10)</f>
        <v>0</v>
      </c>
    </row>
    <row r="498" spans="1:7" x14ac:dyDescent="0.3">
      <c r="A498" s="4">
        <v>2489</v>
      </c>
      <c r="B498" s="6" t="str">
        <f>VLOOKUP(TABLA_PRECIOS_LISTBOX[Código],LISTADO_PRODUCTOS[#All],4)</f>
        <v>Broche Aprieta papel N°75 niquelado Sifap x unidad</v>
      </c>
      <c r="C498" s="6" t="str">
        <f>VLOOKUP(TABLA_PRECIOS_LISTBOX[Código],LISTADO_PRODUCTOS[#All],5)</f>
        <v>N/A</v>
      </c>
      <c r="D498" s="13">
        <f>VLOOKUP(TABLA_PRECIOS_LISTBOX[[#This Row],[Código]],TABLA_PRECIOS[#All],6)</f>
        <v>1</v>
      </c>
      <c r="E498" s="28">
        <f>VLOOKUP(TABLA_PRECIOS_LISTBOX[[#This Row],[Código]],TABLA_PRECIOS[#All],7)</f>
        <v>1</v>
      </c>
      <c r="F498" s="32">
        <f>VLOOKUP(TABLA_PRECIOS_LISTBOX[[#This Row],[Código]],TABLA_PRECIOS[#All],8)</f>
        <v>1</v>
      </c>
      <c r="G498" s="9">
        <f>VLOOKUP(TABLA_PRECIOS_LISTBOX[[#This Row],[Código]],TABLA_PRECIOS[#All],10)</f>
        <v>0</v>
      </c>
    </row>
    <row r="499" spans="1:7" x14ac:dyDescent="0.3">
      <c r="A499" s="4">
        <v>2495</v>
      </c>
      <c r="B499" s="6" t="str">
        <f>VLOOKUP(TABLA_PRECIOS_LISTBOX[Código],LISTADO_PRODUCTOS[#All],4)</f>
        <v>Plastilina Playcolor pastel x 6u</v>
      </c>
      <c r="C499" s="6" t="str">
        <f>VLOOKUP(TABLA_PRECIOS_LISTBOX[Código],LISTADO_PRODUCTOS[#All],5)</f>
        <v>N/A</v>
      </c>
      <c r="D499" s="13">
        <f>VLOOKUP(TABLA_PRECIOS_LISTBOX[[#This Row],[Código]],TABLA_PRECIOS[#All],6)</f>
        <v>1</v>
      </c>
      <c r="E499" s="28">
        <f>VLOOKUP(TABLA_PRECIOS_LISTBOX[[#This Row],[Código]],TABLA_PRECIOS[#All],7)</f>
        <v>1</v>
      </c>
      <c r="F499" s="32">
        <f>VLOOKUP(TABLA_PRECIOS_LISTBOX[[#This Row],[Código]],TABLA_PRECIOS[#All],8)</f>
        <v>1</v>
      </c>
      <c r="G499" s="9">
        <f>VLOOKUP(TABLA_PRECIOS_LISTBOX[[#This Row],[Código]],TABLA_PRECIOS[#All],10)</f>
        <v>0</v>
      </c>
    </row>
    <row r="500" spans="1:7" x14ac:dyDescent="0.3">
      <c r="A500" s="4">
        <v>2498</v>
      </c>
      <c r="B500" s="6" t="str">
        <f>VLOOKUP(TABLA_PRECIOS_LISTBOX[Código],LISTADO_PRODUCTOS[#All],4)</f>
        <v>Tempera Playcolor Fluo x 6u</v>
      </c>
      <c r="C500" s="6" t="str">
        <f>VLOOKUP(TABLA_PRECIOS_LISTBOX[Código],LISTADO_PRODUCTOS[#All],5)</f>
        <v>N/A</v>
      </c>
      <c r="D500" s="13">
        <f>VLOOKUP(TABLA_PRECIOS_LISTBOX[[#This Row],[Código]],TABLA_PRECIOS[#All],6)</f>
        <v>1</v>
      </c>
      <c r="E500" s="28">
        <f>VLOOKUP(TABLA_PRECIOS_LISTBOX[[#This Row],[Código]],TABLA_PRECIOS[#All],7)</f>
        <v>1</v>
      </c>
      <c r="F500" s="32">
        <f>VLOOKUP(TABLA_PRECIOS_LISTBOX[[#This Row],[Código]],TABLA_PRECIOS[#All],8)</f>
        <v>1</v>
      </c>
      <c r="G500" s="9">
        <f>VLOOKUP(TABLA_PRECIOS_LISTBOX[[#This Row],[Código]],TABLA_PRECIOS[#All],10)</f>
        <v>0</v>
      </c>
    </row>
    <row r="501" spans="1:7" x14ac:dyDescent="0.3">
      <c r="A501" s="4">
        <v>2499</v>
      </c>
      <c r="B501" s="6" t="str">
        <f>VLOOKUP(TABLA_PRECIOS_LISTBOX[Código],LISTADO_PRODUCTOS[#All],4)</f>
        <v>Cintas IBI CRAFT Glitter</v>
      </c>
      <c r="C501" s="6" t="str">
        <f>VLOOKUP(TABLA_PRECIOS_LISTBOX[Código],LISTADO_PRODUCTOS[#All],5)</f>
        <v>N/A</v>
      </c>
      <c r="D501" s="13">
        <f>VLOOKUP(TABLA_PRECIOS_LISTBOX[[#This Row],[Código]],TABLA_PRECIOS[#All],6)</f>
        <v>1</v>
      </c>
      <c r="E501" s="28">
        <f>VLOOKUP(TABLA_PRECIOS_LISTBOX[[#This Row],[Código]],TABLA_PRECIOS[#All],7)</f>
        <v>1</v>
      </c>
      <c r="F501" s="32">
        <f>VLOOKUP(TABLA_PRECIOS_LISTBOX[[#This Row],[Código]],TABLA_PRECIOS[#All],8)</f>
        <v>1</v>
      </c>
      <c r="G501" s="9">
        <f>VLOOKUP(TABLA_PRECIOS_LISTBOX[[#This Row],[Código]],TABLA_PRECIOS[#All],10)</f>
        <v>0</v>
      </c>
    </row>
    <row r="502" spans="1:7" x14ac:dyDescent="0.3">
      <c r="A502" s="4">
        <v>2500</v>
      </c>
      <c r="B502" s="6" t="str">
        <f>VLOOKUP(TABLA_PRECIOS_LISTBOX[Código],LISTADO_PRODUCTOS[#All],4)</f>
        <v>Barrita de silicona fina c/brillo</v>
      </c>
      <c r="C502" s="6" t="str">
        <f>VLOOKUP(TABLA_PRECIOS_LISTBOX[Código],LISTADO_PRODUCTOS[#All],5)</f>
        <v>N/A</v>
      </c>
      <c r="D502" s="13">
        <f>VLOOKUP(TABLA_PRECIOS_LISTBOX[[#This Row],[Código]],TABLA_PRECIOS[#All],6)</f>
        <v>1</v>
      </c>
      <c r="E502" s="28">
        <f>VLOOKUP(TABLA_PRECIOS_LISTBOX[[#This Row],[Código]],TABLA_PRECIOS[#All],7)</f>
        <v>1</v>
      </c>
      <c r="F502" s="32">
        <f>VLOOKUP(TABLA_PRECIOS_LISTBOX[[#This Row],[Código]],TABLA_PRECIOS[#All],8)</f>
        <v>1</v>
      </c>
      <c r="G502" s="9">
        <f>VLOOKUP(TABLA_PRECIOS_LISTBOX[[#This Row],[Código]],TABLA_PRECIOS[#All],10)</f>
        <v>0</v>
      </c>
    </row>
    <row r="503" spans="1:7" x14ac:dyDescent="0.3">
      <c r="A503" s="4">
        <v>2502</v>
      </c>
      <c r="B503" s="6" t="str">
        <f>VLOOKUP(TABLA_PRECIOS_LISTBOX[Código],LISTADO_PRODUCTOS[#All],4)</f>
        <v>Blister Pinceles Olami colores x 4</v>
      </c>
      <c r="C503" s="6" t="str">
        <f>VLOOKUP(TABLA_PRECIOS_LISTBOX[Código],LISTADO_PRODUCTOS[#All],5)</f>
        <v>N/A</v>
      </c>
      <c r="D503" s="13">
        <f>VLOOKUP(TABLA_PRECIOS_LISTBOX[[#This Row],[Código]],TABLA_PRECIOS[#All],6)</f>
        <v>1</v>
      </c>
      <c r="E503" s="28">
        <f>VLOOKUP(TABLA_PRECIOS_LISTBOX[[#This Row],[Código]],TABLA_PRECIOS[#All],7)</f>
        <v>1</v>
      </c>
      <c r="F503" s="32">
        <f>VLOOKUP(TABLA_PRECIOS_LISTBOX[[#This Row],[Código]],TABLA_PRECIOS[#All],8)</f>
        <v>1</v>
      </c>
      <c r="G503" s="9">
        <f>VLOOKUP(TABLA_PRECIOS_LISTBOX[[#This Row],[Código]],TABLA_PRECIOS[#All],10)</f>
        <v>0</v>
      </c>
    </row>
    <row r="504" spans="1:7" x14ac:dyDescent="0.3">
      <c r="A504" s="4">
        <v>2503</v>
      </c>
      <c r="B504" s="6" t="str">
        <f>VLOOKUP(TABLA_PRECIOS_LISTBOX[Código],LISTADO_PRODUCTOS[#All],4)</f>
        <v>Papel Kraft x hoja</v>
      </c>
      <c r="C504" s="6" t="str">
        <f>VLOOKUP(TABLA_PRECIOS_LISTBOX[Código],LISTADO_PRODUCTOS[#All],5)</f>
        <v>N/A</v>
      </c>
      <c r="D504" s="13">
        <f>VLOOKUP(TABLA_PRECIOS_LISTBOX[[#This Row],[Código]],TABLA_PRECIOS[#All],6)</f>
        <v>1</v>
      </c>
      <c r="E504" s="28">
        <f>VLOOKUP(TABLA_PRECIOS_LISTBOX[[#This Row],[Código]],TABLA_PRECIOS[#All],7)</f>
        <v>1</v>
      </c>
      <c r="F504" s="32">
        <f>VLOOKUP(TABLA_PRECIOS_LISTBOX[[#This Row],[Código]],TABLA_PRECIOS[#All],8)</f>
        <v>1</v>
      </c>
      <c r="G504" s="9">
        <f>VLOOKUP(TABLA_PRECIOS_LISTBOX[[#This Row],[Código]],TABLA_PRECIOS[#All],10)</f>
        <v>0</v>
      </c>
    </row>
    <row r="505" spans="1:7" x14ac:dyDescent="0.3">
      <c r="A505" s="4">
        <v>2504</v>
      </c>
      <c r="B505" s="6" t="str">
        <f>VLOOKUP(TABLA_PRECIOS_LISTBOX[Código],LISTADO_PRODUCTOS[#All],4)</f>
        <v>Alambre de aluminio CBX colores 1mm x 5mt</v>
      </c>
      <c r="C505" s="6" t="str">
        <f>VLOOKUP(TABLA_PRECIOS_LISTBOX[Código],LISTADO_PRODUCTOS[#All],5)</f>
        <v>N/A</v>
      </c>
      <c r="D505" s="13">
        <f>VLOOKUP(TABLA_PRECIOS_LISTBOX[[#This Row],[Código]],TABLA_PRECIOS[#All],6)</f>
        <v>1</v>
      </c>
      <c r="E505" s="28">
        <f>VLOOKUP(TABLA_PRECIOS_LISTBOX[[#This Row],[Código]],TABLA_PRECIOS[#All],7)</f>
        <v>1</v>
      </c>
      <c r="F505" s="32">
        <f>VLOOKUP(TABLA_PRECIOS_LISTBOX[[#This Row],[Código]],TABLA_PRECIOS[#All],8)</f>
        <v>1</v>
      </c>
      <c r="G505" s="9">
        <f>VLOOKUP(TABLA_PRECIOS_LISTBOX[[#This Row],[Código]],TABLA_PRECIOS[#All],10)</f>
        <v>0</v>
      </c>
    </row>
    <row r="506" spans="1:7" x14ac:dyDescent="0.3">
      <c r="A506" s="4">
        <v>3000</v>
      </c>
      <c r="B506" s="6" t="str">
        <f>VLOOKUP(TABLA_PRECIOS_LISTBOX[Código],LISTADO_PRODUCTOS[#All],4)</f>
        <v>Canopla cartuchera Mooving Como quieres que te quiera 1510136</v>
      </c>
      <c r="C506" s="6" t="str">
        <f>VLOOKUP(TABLA_PRECIOS_LISTBOX[Código],LISTADO_PRODUCTOS[#All],5)</f>
        <v>N/A</v>
      </c>
      <c r="D506" s="13">
        <f>VLOOKUP(TABLA_PRECIOS_LISTBOX[[#This Row],[Código]],TABLA_PRECIOS[#All],6)</f>
        <v>1</v>
      </c>
      <c r="E506" s="28">
        <f>VLOOKUP(TABLA_PRECIOS_LISTBOX[[#This Row],[Código]],TABLA_PRECIOS[#All],7)</f>
        <v>1</v>
      </c>
      <c r="F506" s="32">
        <f>VLOOKUP(TABLA_PRECIOS_LISTBOX[[#This Row],[Código]],TABLA_PRECIOS[#All],8)</f>
        <v>1</v>
      </c>
      <c r="G506" s="9">
        <f>VLOOKUP(TABLA_PRECIOS_LISTBOX[[#This Row],[Código]],TABLA_PRECIOS[#All],10)</f>
        <v>0</v>
      </c>
    </row>
    <row r="507" spans="1:7" x14ac:dyDescent="0.3">
      <c r="A507" s="4">
        <v>3001</v>
      </c>
      <c r="B507" s="6" t="str">
        <f>VLOOKUP(TABLA_PRECIOS_LISTBOX[Código],LISTADO_PRODUCTOS[#All],4)</f>
        <v>CANOPLA ALGAMA DOBLE CIERRE BRILLO/cuerina</v>
      </c>
      <c r="C507" s="6" t="str">
        <f>VLOOKUP(TABLA_PRECIOS_LISTBOX[Código],LISTADO_PRODUCTOS[#All],5)</f>
        <v>N/A</v>
      </c>
      <c r="D507" s="13">
        <f>VLOOKUP(TABLA_PRECIOS_LISTBOX[[#This Row],[Código]],TABLA_PRECIOS[#All],6)</f>
        <v>1</v>
      </c>
      <c r="E507" s="28">
        <f>VLOOKUP(TABLA_PRECIOS_LISTBOX[[#This Row],[Código]],TABLA_PRECIOS[#All],7)</f>
        <v>1</v>
      </c>
      <c r="F507" s="32">
        <f>VLOOKUP(TABLA_PRECIOS_LISTBOX[[#This Row],[Código]],TABLA_PRECIOS[#All],8)</f>
        <v>1</v>
      </c>
      <c r="G507" s="9">
        <f>VLOOKUP(TABLA_PRECIOS_LISTBOX[[#This Row],[Código]],TABLA_PRECIOS[#All],10)</f>
        <v>0</v>
      </c>
    </row>
    <row r="508" spans="1:7" x14ac:dyDescent="0.3">
      <c r="A508" s="4">
        <v>3005</v>
      </c>
      <c r="B508" s="6" t="str">
        <f>VLOOKUP(TABLA_PRECIOS_LISTBOX[Código],LISTADO_PRODUCTOS[#All],4)</f>
        <v>Mochila Fast Racing Art. No. 59060</v>
      </c>
      <c r="C508" s="6" t="str">
        <f>VLOOKUP(TABLA_PRECIOS_LISTBOX[Código],LISTADO_PRODUCTOS[#All],5)</f>
        <v>N/A</v>
      </c>
      <c r="D508" s="13">
        <f>VLOOKUP(TABLA_PRECIOS_LISTBOX[[#This Row],[Código]],TABLA_PRECIOS[#All],6)</f>
        <v>1</v>
      </c>
      <c r="E508" s="28">
        <f>VLOOKUP(TABLA_PRECIOS_LISTBOX[[#This Row],[Código]],TABLA_PRECIOS[#All],7)</f>
        <v>1</v>
      </c>
      <c r="F508" s="32">
        <f>VLOOKUP(TABLA_PRECIOS_LISTBOX[[#This Row],[Código]],TABLA_PRECIOS[#All],8)</f>
        <v>1</v>
      </c>
      <c r="G508" s="9">
        <f>VLOOKUP(TABLA_PRECIOS_LISTBOX[[#This Row],[Código]],TABLA_PRECIOS[#All],10)</f>
        <v>0</v>
      </c>
    </row>
    <row r="509" spans="1:7" x14ac:dyDescent="0.3">
      <c r="A509" s="4">
        <v>3026</v>
      </c>
      <c r="B509" s="6" t="str">
        <f>VLOOKUP(TABLA_PRECIOS_LISTBOX[Código],LISTADO_PRODUCTOS[#All],4)</f>
        <v>Canopla cartuchera FW con peluche organizador Fun Velvet</v>
      </c>
      <c r="C509" s="6" t="str">
        <f>VLOOKUP(TABLA_PRECIOS_LISTBOX[Código],LISTADO_PRODUCTOS[#All],5)</f>
        <v>N/A</v>
      </c>
      <c r="D509" s="13">
        <f>VLOOKUP(TABLA_PRECIOS_LISTBOX[[#This Row],[Código]],TABLA_PRECIOS[#All],6)</f>
        <v>1</v>
      </c>
      <c r="E509" s="28">
        <f>VLOOKUP(TABLA_PRECIOS_LISTBOX[[#This Row],[Código]],TABLA_PRECIOS[#All],7)</f>
        <v>1</v>
      </c>
      <c r="F509" s="32">
        <f>VLOOKUP(TABLA_PRECIOS_LISTBOX[[#This Row],[Código]],TABLA_PRECIOS[#All],8)</f>
        <v>1</v>
      </c>
      <c r="G509" s="9">
        <f>VLOOKUP(TABLA_PRECIOS_LISTBOX[[#This Row],[Código]],TABLA_PRECIOS[#All],10)</f>
        <v>0</v>
      </c>
    </row>
    <row r="510" spans="1:7" x14ac:dyDescent="0.3">
      <c r="A510" s="4">
        <v>3038</v>
      </c>
      <c r="B510" s="39" t="str">
        <f>VLOOKUP(TABLA_PRECIOS_LISTBOX[Código],LISTADO_PRODUCTOS[#All],4)</f>
        <v>Canopla Tubo LSyD dos cierres 97.3007.3</v>
      </c>
      <c r="C510" s="6" t="str">
        <f>VLOOKUP(TABLA_PRECIOS_LISTBOX[Código],LISTADO_PRODUCTOS[#All],5)</f>
        <v>N/A</v>
      </c>
      <c r="D510" s="13">
        <f>VLOOKUP(TABLA_PRECIOS_LISTBOX[[#This Row],[Código]],TABLA_PRECIOS[#All],6)</f>
        <v>1</v>
      </c>
      <c r="E510" s="28">
        <f>VLOOKUP(TABLA_PRECIOS_LISTBOX[[#This Row],[Código]],TABLA_PRECIOS[#All],7)</f>
        <v>1</v>
      </c>
      <c r="F510" s="32">
        <f>VLOOKUP(TABLA_PRECIOS_LISTBOX[[#This Row],[Código]],TABLA_PRECIOS[#All],8)</f>
        <v>1</v>
      </c>
      <c r="G510" s="9">
        <f>VLOOKUP(TABLA_PRECIOS_LISTBOX[[#This Row],[Código]],TABLA_PRECIOS[#All],10)</f>
        <v>0</v>
      </c>
    </row>
    <row r="511" spans="1:7" x14ac:dyDescent="0.3">
      <c r="A511" s="4">
        <v>3077</v>
      </c>
      <c r="B511" s="6" t="str">
        <f>VLOOKUP(TABLA_PRECIOS_LISTBOX[Código],LISTADO_PRODUCTOS[#All],4)</f>
        <v>Mochila LSyD Water War Art. No. 91.17800</v>
      </c>
      <c r="C511" s="6" t="str">
        <f>VLOOKUP(TABLA_PRECIOS_LISTBOX[Código],LISTADO_PRODUCTOS[#All],5)</f>
        <v>N/A</v>
      </c>
      <c r="D511" s="13">
        <f>VLOOKUP(TABLA_PRECIOS_LISTBOX[[#This Row],[Código]],TABLA_PRECIOS[#All],6)</f>
        <v>1</v>
      </c>
      <c r="E511" s="28">
        <f>VLOOKUP(TABLA_PRECIOS_LISTBOX[[#This Row],[Código]],TABLA_PRECIOS[#All],7)</f>
        <v>1</v>
      </c>
      <c r="F511" s="32">
        <f>VLOOKUP(TABLA_PRECIOS_LISTBOX[[#This Row],[Código]],TABLA_PRECIOS[#All],8)</f>
        <v>1</v>
      </c>
      <c r="G511" s="9">
        <f>VLOOKUP(TABLA_PRECIOS_LISTBOX[[#This Row],[Código]],TABLA_PRECIOS[#All],10)</f>
        <v>0</v>
      </c>
    </row>
    <row r="512" spans="1:7" x14ac:dyDescent="0.3">
      <c r="A512" s="4">
        <v>3078</v>
      </c>
      <c r="B512" s="6" t="str">
        <f>VLOOKUP(TABLA_PRECIOS_LISTBOX[Código],LISTADO_PRODUCTOS[#All],4)</f>
        <v>Mochila Disney Junior de Cresko</v>
      </c>
      <c r="C512" s="6" t="str">
        <f>VLOOKUP(TABLA_PRECIOS_LISTBOX[Código],LISTADO_PRODUCTOS[#All],5)</f>
        <v>N/A</v>
      </c>
      <c r="D512" s="13">
        <f>VLOOKUP(TABLA_PRECIOS_LISTBOX[[#This Row],[Código]],TABLA_PRECIOS[#All],6)</f>
        <v>1</v>
      </c>
      <c r="E512" s="28">
        <f>VLOOKUP(TABLA_PRECIOS_LISTBOX[[#This Row],[Código]],TABLA_PRECIOS[#All],7)</f>
        <v>1</v>
      </c>
      <c r="F512" s="32">
        <f>VLOOKUP(TABLA_PRECIOS_LISTBOX[[#This Row],[Código]],TABLA_PRECIOS[#All],8)</f>
        <v>1</v>
      </c>
      <c r="G512" s="9">
        <f>VLOOKUP(TABLA_PRECIOS_LISTBOX[[#This Row],[Código]],TABLA_PRECIOS[#All],10)</f>
        <v>0</v>
      </c>
    </row>
    <row r="513" spans="1:7" x14ac:dyDescent="0.3">
      <c r="A513" s="4">
        <v>3211</v>
      </c>
      <c r="B513" s="6" t="str">
        <f>VLOOKUP(TABLA_PRECIOS_LISTBOX[Código],LISTADO_PRODUCTOS[#All],4)</f>
        <v>Mochila IN Influencer Lesedife 68.3003</v>
      </c>
      <c r="C513" s="6" t="str">
        <f>VLOOKUP(TABLA_PRECIOS_LISTBOX[Código],LISTADO_PRODUCTOS[#All],5)</f>
        <v>N/A</v>
      </c>
      <c r="D513" s="13">
        <f>VLOOKUP(TABLA_PRECIOS_LISTBOX[[#This Row],[Código]],TABLA_PRECIOS[#All],6)</f>
        <v>1</v>
      </c>
      <c r="E513" s="28">
        <f>VLOOKUP(TABLA_PRECIOS_LISTBOX[[#This Row],[Código]],TABLA_PRECIOS[#All],7)</f>
        <v>1</v>
      </c>
      <c r="F513" s="32">
        <f>VLOOKUP(TABLA_PRECIOS_LISTBOX[[#This Row],[Código]],TABLA_PRECIOS[#All],8)</f>
        <v>1</v>
      </c>
      <c r="G513" s="9">
        <f>VLOOKUP(TABLA_PRECIOS_LISTBOX[[#This Row],[Código]],TABLA_PRECIOS[#All],10)</f>
        <v>0</v>
      </c>
    </row>
    <row r="514" spans="1:7" x14ac:dyDescent="0.3">
      <c r="A514" s="4">
        <v>3212</v>
      </c>
      <c r="B514" s="6" t="str">
        <f>VLOOKUP(TABLA_PRECIOS_LISTBOX[Código],LISTADO_PRODUCTOS[#All],4)</f>
        <v>Mochila LSyD BOMB Art. No. 91.1404</v>
      </c>
      <c r="C514" s="6" t="str">
        <f>VLOOKUP(TABLA_PRECIOS_LISTBOX[Código],LISTADO_PRODUCTOS[#All],5)</f>
        <v>N/A</v>
      </c>
      <c r="D514" s="13">
        <f>VLOOKUP(TABLA_PRECIOS_LISTBOX[[#This Row],[Código]],TABLA_PRECIOS[#All],6)</f>
        <v>1</v>
      </c>
      <c r="E514" s="28">
        <f>VLOOKUP(TABLA_PRECIOS_LISTBOX[[#This Row],[Código]],TABLA_PRECIOS[#All],7)</f>
        <v>1</v>
      </c>
      <c r="F514" s="32">
        <f>VLOOKUP(TABLA_PRECIOS_LISTBOX[[#This Row],[Código]],TABLA_PRECIOS[#All],8)</f>
        <v>1</v>
      </c>
      <c r="G514" s="9">
        <f>VLOOKUP(TABLA_PRECIOS_LISTBOX[[#This Row],[Código]],TABLA_PRECIOS[#All],10)</f>
        <v>0</v>
      </c>
    </row>
    <row r="515" spans="1:7" x14ac:dyDescent="0.3">
      <c r="A515" s="4">
        <v>3214</v>
      </c>
      <c r="B515" s="6" t="str">
        <f>VLOOKUP(TABLA_PRECIOS_LISTBOX[Código],LISTADO_PRODUCTOS[#All],4)</f>
        <v>Mochila LSyD Street Wear Art. No. 91.2805</v>
      </c>
      <c r="C515" s="6" t="str">
        <f>VLOOKUP(TABLA_PRECIOS_LISTBOX[Código],LISTADO_PRODUCTOS[#All],5)</f>
        <v>N/A</v>
      </c>
      <c r="D515" s="13">
        <f>VLOOKUP(TABLA_PRECIOS_LISTBOX[[#This Row],[Código]],TABLA_PRECIOS[#All],6)</f>
        <v>1</v>
      </c>
      <c r="E515" s="28">
        <f>VLOOKUP(TABLA_PRECIOS_LISTBOX[[#This Row],[Código]],TABLA_PRECIOS[#All],7)</f>
        <v>1</v>
      </c>
      <c r="F515" s="32">
        <f>VLOOKUP(TABLA_PRECIOS_LISTBOX[[#This Row],[Código]],TABLA_PRECIOS[#All],8)</f>
        <v>1</v>
      </c>
      <c r="G515" s="9">
        <f>VLOOKUP(TABLA_PRECIOS_LISTBOX[[#This Row],[Código]],TABLA_PRECIOS[#All],10)</f>
        <v>0</v>
      </c>
    </row>
    <row r="516" spans="1:7" x14ac:dyDescent="0.3">
      <c r="A516" s="4">
        <v>4000</v>
      </c>
      <c r="B516" s="6" t="str">
        <f>VLOOKUP(TABLA_PRECIOS_LISTBOX[Código],LISTADO_PRODUCTOS[#All],4)</f>
        <v>Borrador Sifap Goma eva</v>
      </c>
      <c r="C516" s="6" t="str">
        <f>VLOOKUP(TABLA_PRECIOS_LISTBOX[Código],LISTADO_PRODUCTOS[#All],5)</f>
        <v>N/A</v>
      </c>
      <c r="D516" s="13">
        <f>VLOOKUP(TABLA_PRECIOS_LISTBOX[[#This Row],[Código]],TABLA_PRECIOS[#All],6)</f>
        <v>1</v>
      </c>
      <c r="E516" s="46">
        <f>VLOOKUP(TABLA_PRECIOS_LISTBOX[[#This Row],[Código]],TABLA_PRECIOS[#All],7)</f>
        <v>1</v>
      </c>
      <c r="F516" s="32">
        <f>VLOOKUP(TABLA_PRECIOS_LISTBOX[[#This Row],[Código]],TABLA_PRECIOS[#All],8)</f>
        <v>1</v>
      </c>
      <c r="G516" s="9">
        <f>VLOOKUP(TABLA_PRECIOS_LISTBOX[[#This Row],[Código]],TABLA_PRECIOS[#All],10)</f>
        <v>0</v>
      </c>
    </row>
    <row r="517" spans="1:7" x14ac:dyDescent="0.3">
      <c r="A517" s="4">
        <v>4001</v>
      </c>
      <c r="B517" s="6" t="str">
        <f>VLOOKUP(TABLA_PRECIOS_LISTBOX[Código],LISTADO_PRODUCTOS[#All],4)</f>
        <v>Blister marcador de pizarra Filgo x 6u</v>
      </c>
      <c r="C517" s="6" t="str">
        <f>VLOOKUP(TABLA_PRECIOS_LISTBOX[Código],LISTADO_PRODUCTOS[#All],5)</f>
        <v>N/A</v>
      </c>
      <c r="D517" s="13">
        <f>VLOOKUP(TABLA_PRECIOS_LISTBOX[[#This Row],[Código]],TABLA_PRECIOS[#All],6)</f>
        <v>1</v>
      </c>
      <c r="E517" s="28">
        <f>VLOOKUP(TABLA_PRECIOS_LISTBOX[[#This Row],[Código]],TABLA_PRECIOS[#All],7)</f>
        <v>1</v>
      </c>
      <c r="F517" s="32">
        <f>VLOOKUP(TABLA_PRECIOS_LISTBOX[[#This Row],[Código]],TABLA_PRECIOS[#All],8)</f>
        <v>1</v>
      </c>
      <c r="G517" s="9">
        <f>VLOOKUP(TABLA_PRECIOS_LISTBOX[[#This Row],[Código]],TABLA_PRECIOS[#All],10)</f>
        <v>0</v>
      </c>
    </row>
    <row r="518" spans="1:7" x14ac:dyDescent="0.3">
      <c r="A518" s="4">
        <v>4006</v>
      </c>
      <c r="B518" s="6" t="str">
        <f>VLOOKUP(TABLA_PRECIOS_LISTBOX[Código],LISTADO_PRODUCTOS[#All],4)</f>
        <v>Repuesto Parker</v>
      </c>
      <c r="C518" s="6" t="str">
        <f>VLOOKUP(TABLA_PRECIOS_LISTBOX[Código],LISTADO_PRODUCTOS[#All],5)</f>
        <v>N/A</v>
      </c>
      <c r="D518" s="13">
        <f>VLOOKUP(TABLA_PRECIOS_LISTBOX[[#This Row],[Código]],TABLA_PRECIOS[#All],6)</f>
        <v>1</v>
      </c>
      <c r="E518" s="28">
        <f>VLOOKUP(TABLA_PRECIOS_LISTBOX[[#This Row],[Código]],TABLA_PRECIOS[#All],7)</f>
        <v>1</v>
      </c>
      <c r="F518" s="32">
        <f>VLOOKUP(TABLA_PRECIOS_LISTBOX[[#This Row],[Código]],TABLA_PRECIOS[#All],8)</f>
        <v>1</v>
      </c>
      <c r="G518" s="9">
        <f>VLOOKUP(TABLA_PRECIOS_LISTBOX[[#This Row],[Código]],TABLA_PRECIOS[#All],10)</f>
        <v>0</v>
      </c>
    </row>
    <row r="519" spans="1:7" x14ac:dyDescent="0.3">
      <c r="A519" s="4">
        <v>4007</v>
      </c>
      <c r="B519" s="6" t="str">
        <f>VLOOKUP(TABLA_PRECIOS_LISTBOX[Código],LISTADO_PRODUCTOS[#All],4)</f>
        <v>Abrochadora Maped Vivo Nº10</v>
      </c>
      <c r="C519" s="6" t="str">
        <f>VLOOKUP(TABLA_PRECIOS_LISTBOX[Código],LISTADO_PRODUCTOS[#All],5)</f>
        <v>N/A</v>
      </c>
      <c r="D519" s="13">
        <f>VLOOKUP(TABLA_PRECIOS_LISTBOX[[#This Row],[Código]],TABLA_PRECIOS[#All],6)</f>
        <v>1</v>
      </c>
      <c r="E519" s="28">
        <f>VLOOKUP(TABLA_PRECIOS_LISTBOX[[#This Row],[Código]],TABLA_PRECIOS[#All],7)</f>
        <v>1</v>
      </c>
      <c r="F519" s="32">
        <f>VLOOKUP(TABLA_PRECIOS_LISTBOX[[#This Row],[Código]],TABLA_PRECIOS[#All],8)</f>
        <v>1</v>
      </c>
      <c r="G519" s="9">
        <f>VLOOKUP(TABLA_PRECIOS_LISTBOX[[#This Row],[Código]],TABLA_PRECIOS[#All],10)</f>
        <v>0</v>
      </c>
    </row>
    <row r="520" spans="1:7" x14ac:dyDescent="0.3">
      <c r="A520" s="4">
        <v>4008</v>
      </c>
      <c r="B520" s="6" t="str">
        <f>VLOOKUP(TABLA_PRECIOS_LISTBOX[Código],LISTADO_PRODUCTOS[#All],4)</f>
        <v>Abrochadora General Office de bolsillo N°10 str-2102</v>
      </c>
      <c r="C520" s="6" t="str">
        <f>VLOOKUP(TABLA_PRECIOS_LISTBOX[Código],LISTADO_PRODUCTOS[#All],5)</f>
        <v>N/A</v>
      </c>
      <c r="D520" s="13">
        <f>VLOOKUP(TABLA_PRECIOS_LISTBOX[[#This Row],[Código]],TABLA_PRECIOS[#All],6)</f>
        <v>1</v>
      </c>
      <c r="E520" s="28">
        <f>VLOOKUP(TABLA_PRECIOS_LISTBOX[[#This Row],[Código]],TABLA_PRECIOS[#All],7)</f>
        <v>1</v>
      </c>
      <c r="F520" s="32">
        <f>VLOOKUP(TABLA_PRECIOS_LISTBOX[[#This Row],[Código]],TABLA_PRECIOS[#All],8)</f>
        <v>1</v>
      </c>
      <c r="G520" s="9">
        <f>VLOOKUP(TABLA_PRECIOS_LISTBOX[[#This Row],[Código]],TABLA_PRECIOS[#All],10)</f>
        <v>0</v>
      </c>
    </row>
    <row r="521" spans="1:7" x14ac:dyDescent="0.3">
      <c r="A521" s="4">
        <v>4010</v>
      </c>
      <c r="B521" s="6" t="str">
        <f>VLOOKUP(TABLA_PRECIOS_LISTBOX[Código],LISTADO_PRODUCTOS[#All],4)</f>
        <v>Abrochadora Maped Mini Office Nº10 metal</v>
      </c>
      <c r="C521" s="6" t="str">
        <f>VLOOKUP(TABLA_PRECIOS_LISTBOX[Código],LISTADO_PRODUCTOS[#All],5)</f>
        <v>N/A</v>
      </c>
      <c r="D521" s="13">
        <f>VLOOKUP(TABLA_PRECIOS_LISTBOX[[#This Row],[Código]],TABLA_PRECIOS[#All],6)</f>
        <v>1</v>
      </c>
      <c r="E521" s="28">
        <f>VLOOKUP(TABLA_PRECIOS_LISTBOX[[#This Row],[Código]],TABLA_PRECIOS[#All],7)</f>
        <v>1</v>
      </c>
      <c r="F521" s="32">
        <f>VLOOKUP(TABLA_PRECIOS_LISTBOX[[#This Row],[Código]],TABLA_PRECIOS[#All],8)</f>
        <v>1</v>
      </c>
      <c r="G521" s="9">
        <f>VLOOKUP(TABLA_PRECIOS_LISTBOX[[#This Row],[Código]],TABLA_PRECIOS[#All],10)</f>
        <v>0</v>
      </c>
    </row>
    <row r="522" spans="1:7" x14ac:dyDescent="0.3">
      <c r="A522" s="4">
        <v>4014</v>
      </c>
      <c r="B522" s="6" t="str">
        <f>VLOOKUP(TABLA_PRECIOS_LISTBOX[Código],LISTADO_PRODUCTOS[#All],4)</f>
        <v>Perforadora Kangaroo one hole</v>
      </c>
      <c r="C522" s="6" t="str">
        <f>VLOOKUP(TABLA_PRECIOS_LISTBOX[Código],LISTADO_PRODUCTOS[#All],5)</f>
        <v>N/A</v>
      </c>
      <c r="D522" s="13">
        <f>VLOOKUP(TABLA_PRECIOS_LISTBOX[[#This Row],[Código]],TABLA_PRECIOS[#All],6)</f>
        <v>1</v>
      </c>
      <c r="E522" s="28">
        <f>VLOOKUP(TABLA_PRECIOS_LISTBOX[[#This Row],[Código]],TABLA_PRECIOS[#All],7)</f>
        <v>1</v>
      </c>
      <c r="F522" s="32">
        <f>VLOOKUP(TABLA_PRECIOS_LISTBOX[[#This Row],[Código]],TABLA_PRECIOS[#All],8)</f>
        <v>1</v>
      </c>
      <c r="G522" s="9">
        <f>VLOOKUP(TABLA_PRECIOS_LISTBOX[[#This Row],[Código]],TABLA_PRECIOS[#All],10)</f>
        <v>0</v>
      </c>
    </row>
    <row r="523" spans="1:7" x14ac:dyDescent="0.3">
      <c r="A523" s="4">
        <v>4017</v>
      </c>
      <c r="B523" s="6" t="str">
        <f>VLOOKUP(TABLA_PRECIOS_LISTBOX[Código],LISTADO_PRODUCTOS[#All],4)</f>
        <v>Portarrollo Dispensador de cinta 30/60mm Olami MT903</v>
      </c>
      <c r="C523" s="6" t="str">
        <f>VLOOKUP(TABLA_PRECIOS_LISTBOX[Código],LISTADO_PRODUCTOS[#All],5)</f>
        <v>N/A</v>
      </c>
      <c r="D523" s="13">
        <f>VLOOKUP(TABLA_PRECIOS_LISTBOX[[#This Row],[Código]],TABLA_PRECIOS[#All],6)</f>
        <v>1</v>
      </c>
      <c r="E523" s="28">
        <f>VLOOKUP(TABLA_PRECIOS_LISTBOX[[#This Row],[Código]],TABLA_PRECIOS[#All],7)</f>
        <v>1</v>
      </c>
      <c r="F523" s="32">
        <f>VLOOKUP(TABLA_PRECIOS_LISTBOX[[#This Row],[Código]],TABLA_PRECIOS[#All],8)</f>
        <v>1</v>
      </c>
      <c r="G523" s="9">
        <f>VLOOKUP(TABLA_PRECIOS_LISTBOX[[#This Row],[Código]],TABLA_PRECIOS[#All],10)</f>
        <v>0</v>
      </c>
    </row>
    <row r="524" spans="1:7" x14ac:dyDescent="0.3">
      <c r="A524" s="4">
        <v>4018</v>
      </c>
      <c r="B524" s="6" t="str">
        <f>VLOOKUP(TABLA_PRECIOS_LISTBOX[Código],LISTADO_PRODUCTOS[#All],4)</f>
        <v>Tinta para sellos Negro Eureka</v>
      </c>
      <c r="C524" s="6" t="str">
        <f>VLOOKUP(TABLA_PRECIOS_LISTBOX[Código],LISTADO_PRODUCTOS[#All],5)</f>
        <v>N/A</v>
      </c>
      <c r="D524" s="13">
        <f>VLOOKUP(TABLA_PRECIOS_LISTBOX[[#This Row],[Código]],TABLA_PRECIOS[#All],6)</f>
        <v>1</v>
      </c>
      <c r="E524" s="28">
        <f>VLOOKUP(TABLA_PRECIOS_LISTBOX[[#This Row],[Código]],TABLA_PRECIOS[#All],7)</f>
        <v>1</v>
      </c>
      <c r="F524" s="32">
        <f>VLOOKUP(TABLA_PRECIOS_LISTBOX[[#This Row],[Código]],TABLA_PRECIOS[#All],8)</f>
        <v>1</v>
      </c>
      <c r="G524" s="9">
        <f>VLOOKUP(TABLA_PRECIOS_LISTBOX[[#This Row],[Código]],TABLA_PRECIOS[#All],10)</f>
        <v>0</v>
      </c>
    </row>
    <row r="525" spans="1:7" x14ac:dyDescent="0.3">
      <c r="A525" s="4">
        <v>4020</v>
      </c>
      <c r="B525" s="6" t="str">
        <f>VLOOKUP(TABLA_PRECIOS_LISTBOX[Código],LISTADO_PRODUCTOS[#All],4)</f>
        <v>Libro indice corona 2 manos</v>
      </c>
      <c r="C525" s="6" t="str">
        <f>VLOOKUP(TABLA_PRECIOS_LISTBOX[Código],LISTADO_PRODUCTOS[#All],5)</f>
        <v>N/A</v>
      </c>
      <c r="D525" s="13">
        <f>VLOOKUP(TABLA_PRECIOS_LISTBOX[[#This Row],[Código]],TABLA_PRECIOS[#All],6)</f>
        <v>1</v>
      </c>
      <c r="E525" s="28">
        <f>VLOOKUP(TABLA_PRECIOS_LISTBOX[[#This Row],[Código]],TABLA_PRECIOS[#All],7)</f>
        <v>1</v>
      </c>
      <c r="F525" s="32">
        <f>VLOOKUP(TABLA_PRECIOS_LISTBOX[[#This Row],[Código]],TABLA_PRECIOS[#All],8)</f>
        <v>1</v>
      </c>
      <c r="G525" s="9">
        <f>VLOOKUP(TABLA_PRECIOS_LISTBOX[[#This Row],[Código]],TABLA_PRECIOS[#All],10)</f>
        <v>0</v>
      </c>
    </row>
    <row r="526" spans="1:7" x14ac:dyDescent="0.3">
      <c r="A526" s="4">
        <v>4021</v>
      </c>
      <c r="B526" s="6" t="str">
        <f>VLOOKUP(TABLA_PRECIOS_LISTBOX[Código],LISTADO_PRODUCTOS[#All],4)</f>
        <v>Ficha Congreso- TRIUNFANTE x100 Nº3</v>
      </c>
      <c r="C526" s="6" t="str">
        <f>VLOOKUP(TABLA_PRECIOS_LISTBOX[Código],LISTADO_PRODUCTOS[#All],5)</f>
        <v>N/A</v>
      </c>
      <c r="D526" s="13">
        <f>VLOOKUP(TABLA_PRECIOS_LISTBOX[[#This Row],[Código]],TABLA_PRECIOS[#All],6)</f>
        <v>1</v>
      </c>
      <c r="E526" s="28">
        <f>VLOOKUP(TABLA_PRECIOS_LISTBOX[[#This Row],[Código]],TABLA_PRECIOS[#All],7)</f>
        <v>1</v>
      </c>
      <c r="F526" s="32">
        <f>VLOOKUP(TABLA_PRECIOS_LISTBOX[[#This Row],[Código]],TABLA_PRECIOS[#All],8)</f>
        <v>1</v>
      </c>
      <c r="G526" s="9">
        <f>VLOOKUP(TABLA_PRECIOS_LISTBOX[[#This Row],[Código]],TABLA_PRECIOS[#All],10)</f>
        <v>0</v>
      </c>
    </row>
    <row r="527" spans="1:7" x14ac:dyDescent="0.3">
      <c r="A527" s="4">
        <v>4022</v>
      </c>
      <c r="B527" s="6" t="str">
        <f>VLOOKUP(TABLA_PRECIOS_LISTBOX[Código],LISTADO_PRODUCTOS[#All],4)</f>
        <v>Ficha Triunfante x100 Nº2 - 7796569076114</v>
      </c>
      <c r="C527" s="6" t="str">
        <f>VLOOKUP(TABLA_PRECIOS_LISTBOX[Código],LISTADO_PRODUCTOS[#All],5)</f>
        <v>N/A</v>
      </c>
      <c r="D527" s="13">
        <f>VLOOKUP(TABLA_PRECIOS_LISTBOX[[#This Row],[Código]],TABLA_PRECIOS[#All],6)</f>
        <v>1</v>
      </c>
      <c r="E527" s="28">
        <f>VLOOKUP(TABLA_PRECIOS_LISTBOX[[#This Row],[Código]],TABLA_PRECIOS[#All],7)</f>
        <v>1</v>
      </c>
      <c r="F527" s="32">
        <f>VLOOKUP(TABLA_PRECIOS_LISTBOX[[#This Row],[Código]],TABLA_PRECIOS[#All],8)</f>
        <v>1</v>
      </c>
      <c r="G527" s="9">
        <f>VLOOKUP(TABLA_PRECIOS_LISTBOX[[#This Row],[Código]],TABLA_PRECIOS[#All],10)</f>
        <v>0</v>
      </c>
    </row>
    <row r="528" spans="1:7" x14ac:dyDescent="0.3">
      <c r="A528" s="4">
        <v>4024</v>
      </c>
      <c r="B528" s="6" t="str">
        <f>VLOOKUP(TABLA_PRECIOS_LISTBOX[Código],LISTADO_PRODUCTOS[#All],4)</f>
        <v>Pagare sin protesto Igneo pesos</v>
      </c>
      <c r="C528" s="6" t="str">
        <f>VLOOKUP(TABLA_PRECIOS_LISTBOX[Código],LISTADO_PRODUCTOS[#All],5)</f>
        <v>N/A</v>
      </c>
      <c r="D528" s="13">
        <f>VLOOKUP(TABLA_PRECIOS_LISTBOX[[#This Row],[Código]],TABLA_PRECIOS[#All],6)</f>
        <v>1</v>
      </c>
      <c r="E528" s="28">
        <f>VLOOKUP(TABLA_PRECIOS_LISTBOX[[#This Row],[Código]],TABLA_PRECIOS[#All],7)</f>
        <v>1</v>
      </c>
      <c r="F528" s="32">
        <f>VLOOKUP(TABLA_PRECIOS_LISTBOX[[#This Row],[Código]],TABLA_PRECIOS[#All],8)</f>
        <v>1</v>
      </c>
      <c r="G528" s="9">
        <f>VLOOKUP(TABLA_PRECIOS_LISTBOX[[#This Row],[Código]],TABLA_PRECIOS[#All],10)</f>
        <v>0</v>
      </c>
    </row>
    <row r="529" spans="1:7" x14ac:dyDescent="0.3">
      <c r="A529" s="4">
        <v>4025</v>
      </c>
      <c r="B529" s="6" t="str">
        <f>VLOOKUP(TABLA_PRECIOS_LISTBOX[Código],LISTADO_PRODUCTOS[#All],4)</f>
        <v>Recibo Husares Duplicado quimico</v>
      </c>
      <c r="C529" s="6" t="str">
        <f>VLOOKUP(TABLA_PRECIOS_LISTBOX[Código],LISTADO_PRODUCTOS[#All],5)</f>
        <v>N/A</v>
      </c>
      <c r="D529" s="13">
        <f>VLOOKUP(TABLA_PRECIOS_LISTBOX[[#This Row],[Código]],TABLA_PRECIOS[#All],6)</f>
        <v>1</v>
      </c>
      <c r="E529" s="28">
        <f>VLOOKUP(TABLA_PRECIOS_LISTBOX[[#This Row],[Código]],TABLA_PRECIOS[#All],7)</f>
        <v>1</v>
      </c>
      <c r="F529" s="32">
        <f>VLOOKUP(TABLA_PRECIOS_LISTBOX[[#This Row],[Código]],TABLA_PRECIOS[#All],8)</f>
        <v>1</v>
      </c>
      <c r="G529" s="9">
        <f>VLOOKUP(TABLA_PRECIOS_LISTBOX[[#This Row],[Código]],TABLA_PRECIOS[#All],10)</f>
        <v>0</v>
      </c>
    </row>
    <row r="530" spans="1:7" x14ac:dyDescent="0.3">
      <c r="A530" s="4">
        <v>4027</v>
      </c>
      <c r="B530" s="6" t="str">
        <f>VLOOKUP(TABLA_PRECIOS_LISTBOX[Código],LISTADO_PRODUCTOS[#All],4)</f>
        <v>Perforadora Kangaroo DP-280 - 376224</v>
      </c>
      <c r="C530" s="6" t="str">
        <f>VLOOKUP(TABLA_PRECIOS_LISTBOX[Código],LISTADO_PRODUCTOS[#All],5)</f>
        <v>N/A</v>
      </c>
      <c r="D530" s="13">
        <f>VLOOKUP(TABLA_PRECIOS_LISTBOX[[#This Row],[Código]],TABLA_PRECIOS[#All],6)</f>
        <v>1</v>
      </c>
      <c r="E530" s="28">
        <f>VLOOKUP(TABLA_PRECIOS_LISTBOX[[#This Row],[Código]],TABLA_PRECIOS[#All],7)</f>
        <v>1</v>
      </c>
      <c r="F530" s="32">
        <f>VLOOKUP(TABLA_PRECIOS_LISTBOX[[#This Row],[Código]],TABLA_PRECIOS[#All],8)</f>
        <v>1</v>
      </c>
      <c r="G530" s="9">
        <f>VLOOKUP(TABLA_PRECIOS_LISTBOX[[#This Row],[Código]],TABLA_PRECIOS[#All],10)</f>
        <v>0</v>
      </c>
    </row>
    <row r="531" spans="1:7" x14ac:dyDescent="0.3">
      <c r="A531" s="4">
        <v>4028</v>
      </c>
      <c r="B531" s="6" t="str">
        <f>VLOOKUP(TABLA_PRECIOS_LISTBOX[Código],LISTADO_PRODUCTOS[#All],4)</f>
        <v>Racionador de cinta de empaque metalico Liggo</v>
      </c>
      <c r="C531" s="6" t="str">
        <f>VLOOKUP(TABLA_PRECIOS_LISTBOX[Código],LISTADO_PRODUCTOS[#All],5)</f>
        <v>N/A</v>
      </c>
      <c r="D531" s="13">
        <f>VLOOKUP(TABLA_PRECIOS_LISTBOX[[#This Row],[Código]],TABLA_PRECIOS[#All],6)</f>
        <v>1</v>
      </c>
      <c r="E531" s="28">
        <f>VLOOKUP(TABLA_PRECIOS_LISTBOX[[#This Row],[Código]],TABLA_PRECIOS[#All],7)</f>
        <v>1</v>
      </c>
      <c r="F531" s="32">
        <f>VLOOKUP(TABLA_PRECIOS_LISTBOX[[#This Row],[Código]],TABLA_PRECIOS[#All],8)</f>
        <v>1</v>
      </c>
      <c r="G531" s="9">
        <f>VLOOKUP(TABLA_PRECIOS_LISTBOX[[#This Row],[Código]],TABLA_PRECIOS[#All],10)</f>
        <v>0</v>
      </c>
    </row>
    <row r="532" spans="1:7" x14ac:dyDescent="0.3">
      <c r="A532" s="4">
        <v>4030</v>
      </c>
      <c r="B532" s="6" t="str">
        <f>VLOOKUP(TABLA_PRECIOS_LISTBOX[Código],LISTADO_PRODUCTOS[#All],4)</f>
        <v>Chinche para dibujo  3 puntas Sifap 50u</v>
      </c>
      <c r="C532" s="6" t="str">
        <f>VLOOKUP(TABLA_PRECIOS_LISTBOX[Código],LISTADO_PRODUCTOS[#All],5)</f>
        <v>N/A</v>
      </c>
      <c r="D532" s="13">
        <f>VLOOKUP(TABLA_PRECIOS_LISTBOX[[#This Row],[Código]],TABLA_PRECIOS[#All],6)</f>
        <v>1</v>
      </c>
      <c r="E532" s="28">
        <f>VLOOKUP(TABLA_PRECIOS_LISTBOX[[#This Row],[Código]],TABLA_PRECIOS[#All],7)</f>
        <v>1</v>
      </c>
      <c r="F532" s="32">
        <f>VLOOKUP(TABLA_PRECIOS_LISTBOX[[#This Row],[Código]],TABLA_PRECIOS[#All],8)</f>
        <v>1</v>
      </c>
      <c r="G532" s="9">
        <f>VLOOKUP(TABLA_PRECIOS_LISTBOX[[#This Row],[Código]],TABLA_PRECIOS[#All],10)</f>
        <v>0</v>
      </c>
    </row>
    <row r="533" spans="1:7" x14ac:dyDescent="0.3">
      <c r="A533" s="4">
        <v>4032</v>
      </c>
      <c r="B533" s="6" t="str">
        <f>VLOOKUP(TABLA_PRECIOS_LISTBOX[Código],LISTADO_PRODUCTOS[#All],4)</f>
        <v>Tinta para Sellos Pelikan</v>
      </c>
      <c r="C533" s="6" t="str">
        <f>VLOOKUP(TABLA_PRECIOS_LISTBOX[Código],LISTADO_PRODUCTOS[#All],5)</f>
        <v>N/A</v>
      </c>
      <c r="D533" s="13">
        <f>VLOOKUP(TABLA_PRECIOS_LISTBOX[[#This Row],[Código]],TABLA_PRECIOS[#All],6)</f>
        <v>1</v>
      </c>
      <c r="E533" s="28">
        <f>VLOOKUP(TABLA_PRECIOS_LISTBOX[[#This Row],[Código]],TABLA_PRECIOS[#All],7)</f>
        <v>1</v>
      </c>
      <c r="F533" s="32">
        <f>VLOOKUP(TABLA_PRECIOS_LISTBOX[[#This Row],[Código]],TABLA_PRECIOS[#All],8)</f>
        <v>1</v>
      </c>
      <c r="G533" s="9">
        <f>VLOOKUP(TABLA_PRECIOS_LISTBOX[[#This Row],[Código]],TABLA_PRECIOS[#All],10)</f>
        <v>0</v>
      </c>
    </row>
    <row r="534" spans="1:7" x14ac:dyDescent="0.3">
      <c r="A534" s="4">
        <v>4033</v>
      </c>
      <c r="B534" s="6" t="str">
        <f>VLOOKUP(TABLA_PRECIOS_LISTBOX[Código],LISTADO_PRODUCTOS[#All],4)</f>
        <v>Tinta pàra Sellos Toyo</v>
      </c>
      <c r="C534" s="6" t="str">
        <f>VLOOKUP(TABLA_PRECIOS_LISTBOX[Código],LISTADO_PRODUCTOS[#All],5)</f>
        <v>N/A</v>
      </c>
      <c r="D534" s="13">
        <f>VLOOKUP(TABLA_PRECIOS_LISTBOX[[#This Row],[Código]],TABLA_PRECIOS[#All],6)</f>
        <v>1</v>
      </c>
      <c r="E534" s="28">
        <f>VLOOKUP(TABLA_PRECIOS_LISTBOX[[#This Row],[Código]],TABLA_PRECIOS[#All],7)</f>
        <v>1</v>
      </c>
      <c r="F534" s="32">
        <f>VLOOKUP(TABLA_PRECIOS_LISTBOX[[#This Row],[Código]],TABLA_PRECIOS[#All],8)</f>
        <v>1</v>
      </c>
      <c r="G534" s="9">
        <f>VLOOKUP(TABLA_PRECIOS_LISTBOX[[#This Row],[Código]],TABLA_PRECIOS[#All],10)</f>
        <v>0</v>
      </c>
    </row>
    <row r="535" spans="1:7" x14ac:dyDescent="0.3">
      <c r="A535" s="4">
        <v>4036</v>
      </c>
      <c r="B535" s="6" t="str">
        <f>VLOOKUP(TABLA_PRECIOS_LISTBOX[Código],LISTADO_PRODUCTOS[#All],4)</f>
        <v>Señalador Bolita SIFAP chico x 150u</v>
      </c>
      <c r="C535" s="6" t="str">
        <f>VLOOKUP(TABLA_PRECIOS_LISTBOX[Código],LISTADO_PRODUCTOS[#All],5)</f>
        <v>N/A</v>
      </c>
      <c r="D535" s="13">
        <f>VLOOKUP(TABLA_PRECIOS_LISTBOX[[#This Row],[Código]],TABLA_PRECIOS[#All],6)</f>
        <v>1</v>
      </c>
      <c r="E535" s="28">
        <f>VLOOKUP(TABLA_PRECIOS_LISTBOX[[#This Row],[Código]],TABLA_PRECIOS[#All],7)</f>
        <v>1</v>
      </c>
      <c r="F535" s="32">
        <f>VLOOKUP(TABLA_PRECIOS_LISTBOX[[#This Row],[Código]],TABLA_PRECIOS[#All],8)</f>
        <v>1</v>
      </c>
      <c r="G535" s="9">
        <f>VLOOKUP(TABLA_PRECIOS_LISTBOX[[#This Row],[Código]],TABLA_PRECIOS[#All],10)</f>
        <v>0</v>
      </c>
    </row>
    <row r="536" spans="1:7" x14ac:dyDescent="0.3">
      <c r="A536" s="4">
        <v>4044</v>
      </c>
      <c r="B536" s="6" t="str">
        <f>VLOOKUP(TABLA_PRECIOS_LISTBOX[Código],LISTADO_PRODUCTOS[#All],4)</f>
        <v>Broche Dorado Nº8 x100 Sifap 35mm</v>
      </c>
      <c r="C536" s="6" t="str">
        <f>VLOOKUP(TABLA_PRECIOS_LISTBOX[Código],LISTADO_PRODUCTOS[#All],5)</f>
        <v>N/A</v>
      </c>
      <c r="D536" s="13">
        <f>VLOOKUP(TABLA_PRECIOS_LISTBOX[[#This Row],[Código]],TABLA_PRECIOS[#All],6)</f>
        <v>1</v>
      </c>
      <c r="E536" s="28">
        <f>VLOOKUP(TABLA_PRECIOS_LISTBOX[[#This Row],[Código]],TABLA_PRECIOS[#All],7)</f>
        <v>1</v>
      </c>
      <c r="F536" s="32">
        <f>VLOOKUP(TABLA_PRECIOS_LISTBOX[[#This Row],[Código]],TABLA_PRECIOS[#All],8)</f>
        <v>1</v>
      </c>
      <c r="G536" s="9">
        <f>VLOOKUP(TABLA_PRECIOS_LISTBOX[[#This Row],[Código]],TABLA_PRECIOS[#All],10)</f>
        <v>0</v>
      </c>
    </row>
    <row r="537" spans="1:7" x14ac:dyDescent="0.3">
      <c r="A537" s="4">
        <v>4047</v>
      </c>
      <c r="B537" s="6" t="str">
        <f>VLOOKUP(TABLA_PRECIOS_LISTBOX[Código],LISTADO_PRODUCTOS[#All],4)</f>
        <v>Marcador Permanente Sharpie Negro Punta Fina</v>
      </c>
      <c r="C537" s="6" t="str">
        <f>VLOOKUP(TABLA_PRECIOS_LISTBOX[Código],LISTADO_PRODUCTOS[#All],5)</f>
        <v>N/A</v>
      </c>
      <c r="D537" s="13">
        <f>VLOOKUP(TABLA_PRECIOS_LISTBOX[[#This Row],[Código]],TABLA_PRECIOS[#All],6)</f>
        <v>1</v>
      </c>
      <c r="E537" s="28">
        <f>VLOOKUP(TABLA_PRECIOS_LISTBOX[[#This Row],[Código]],TABLA_PRECIOS[#All],7)</f>
        <v>1</v>
      </c>
      <c r="F537" s="32">
        <f>VLOOKUP(TABLA_PRECIOS_LISTBOX[[#This Row],[Código]],TABLA_PRECIOS[#All],8)</f>
        <v>1</v>
      </c>
      <c r="G537" s="9">
        <f>VLOOKUP(TABLA_PRECIOS_LISTBOX[[#This Row],[Código]],TABLA_PRECIOS[#All],10)</f>
        <v>0</v>
      </c>
    </row>
    <row r="538" spans="1:7" x14ac:dyDescent="0.3">
      <c r="A538" s="4">
        <v>4049</v>
      </c>
      <c r="B538" s="6" t="str">
        <f>VLOOKUP(TABLA_PRECIOS_LISTBOX[Código],LISTADO_PRODUCTOS[#All],4)</f>
        <v>Marcador sharpie Duo Color</v>
      </c>
      <c r="C538" s="6" t="str">
        <f>VLOOKUP(TABLA_PRECIOS_LISTBOX[Código],LISTADO_PRODUCTOS[#All],5)</f>
        <v>N/A</v>
      </c>
      <c r="D538" s="13">
        <f>VLOOKUP(TABLA_PRECIOS_LISTBOX[[#This Row],[Código]],TABLA_PRECIOS[#All],6)</f>
        <v>1</v>
      </c>
      <c r="E538" s="28">
        <f>VLOOKUP(TABLA_PRECIOS_LISTBOX[[#This Row],[Código]],TABLA_PRECIOS[#All],7)</f>
        <v>1</v>
      </c>
      <c r="F538" s="32">
        <f>VLOOKUP(TABLA_PRECIOS_LISTBOX[[#This Row],[Código]],TABLA_PRECIOS[#All],8)</f>
        <v>1</v>
      </c>
      <c r="G538" s="9">
        <f>VLOOKUP(TABLA_PRECIOS_LISTBOX[[#This Row],[Código]],TABLA_PRECIOS[#All],10)</f>
        <v>0</v>
      </c>
    </row>
    <row r="539" spans="1:7" x14ac:dyDescent="0.3">
      <c r="A539" s="4">
        <v>4053</v>
      </c>
      <c r="B539" s="6" t="str">
        <f>VLOOKUP(TABLA_PRECIOS_LISTBOX[Código],LISTADO_PRODUCTOS[#All],4)</f>
        <v>Tinta Trabí Permanente</v>
      </c>
      <c r="C539" s="6" t="str">
        <f>VLOOKUP(TABLA_PRECIOS_LISTBOX[Código],LISTADO_PRODUCTOS[#All],5)</f>
        <v>N/A</v>
      </c>
      <c r="D539" s="13">
        <f>VLOOKUP(TABLA_PRECIOS_LISTBOX[[#This Row],[Código]],TABLA_PRECIOS[#All],6)</f>
        <v>1</v>
      </c>
      <c r="E539" s="28">
        <f>VLOOKUP(TABLA_PRECIOS_LISTBOX[[#This Row],[Código]],TABLA_PRECIOS[#All],7)</f>
        <v>1</v>
      </c>
      <c r="F539" s="32">
        <f>VLOOKUP(TABLA_PRECIOS_LISTBOX[[#This Row],[Código]],TABLA_PRECIOS[#All],8)</f>
        <v>1</v>
      </c>
      <c r="G539" s="9">
        <f>VLOOKUP(TABLA_PRECIOS_LISTBOX[[#This Row],[Código]],TABLA_PRECIOS[#All],10)</f>
        <v>0</v>
      </c>
    </row>
    <row r="540" spans="1:7" x14ac:dyDescent="0.3">
      <c r="A540" s="4">
        <v>4055</v>
      </c>
      <c r="B540" s="6" t="str">
        <f>VLOOKUP(TABLA_PRECIOS_LISTBOX[Código],LISTADO_PRODUCTOS[#All],4)</f>
        <v>Banda elasticas Credencial x 100g</v>
      </c>
      <c r="C540" s="6" t="str">
        <f>VLOOKUP(TABLA_PRECIOS_LISTBOX[Código],LISTADO_PRODUCTOS[#All],5)</f>
        <v>N/A</v>
      </c>
      <c r="D540" s="13">
        <f>VLOOKUP(TABLA_PRECIOS_LISTBOX[[#This Row],[Código]],TABLA_PRECIOS[#All],6)</f>
        <v>1</v>
      </c>
      <c r="E540" s="28">
        <f>VLOOKUP(TABLA_PRECIOS_LISTBOX[[#This Row],[Código]],TABLA_PRECIOS[#All],7)</f>
        <v>1</v>
      </c>
      <c r="F540" s="32">
        <f>VLOOKUP(TABLA_PRECIOS_LISTBOX[[#This Row],[Código]],TABLA_PRECIOS[#All],8)</f>
        <v>1</v>
      </c>
      <c r="G540" s="9">
        <f>VLOOKUP(TABLA_PRECIOS_LISTBOX[[#This Row],[Código]],TABLA_PRECIOS[#All],10)</f>
        <v>0</v>
      </c>
    </row>
    <row r="541" spans="1:7" x14ac:dyDescent="0.3">
      <c r="A541" s="4">
        <v>4058</v>
      </c>
      <c r="B541" s="6" t="str">
        <f>VLOOKUP(TABLA_PRECIOS_LISTBOX[Código],LISTADO_PRODUCTOS[#All],4)</f>
        <v>Broche metalico con arandela tipo Binder 63mm</v>
      </c>
      <c r="C541" s="6" t="str">
        <f>VLOOKUP(TABLA_PRECIOS_LISTBOX[Código],LISTADO_PRODUCTOS[#All],5)</f>
        <v>N/A</v>
      </c>
      <c r="D541" s="13">
        <f>VLOOKUP(TABLA_PRECIOS_LISTBOX[[#This Row],[Código]],TABLA_PRECIOS[#All],6)</f>
        <v>1</v>
      </c>
      <c r="E541" s="28">
        <f>VLOOKUP(TABLA_PRECIOS_LISTBOX[[#This Row],[Código]],TABLA_PRECIOS[#All],7)</f>
        <v>1</v>
      </c>
      <c r="F541" s="32">
        <f>VLOOKUP(TABLA_PRECIOS_LISTBOX[[#This Row],[Código]],TABLA_PRECIOS[#All],8)</f>
        <v>1</v>
      </c>
      <c r="G541" s="9">
        <f>VLOOKUP(TABLA_PRECIOS_LISTBOX[[#This Row],[Código]],TABLA_PRECIOS[#All],10)</f>
        <v>0</v>
      </c>
    </row>
    <row r="542" spans="1:7" x14ac:dyDescent="0.3">
      <c r="A542" s="4">
        <v>4059</v>
      </c>
      <c r="B542" s="6" t="str">
        <f>VLOOKUP(TABLA_PRECIOS_LISTBOX[Código],LISTADO_PRODUCTOS[#All],4)</f>
        <v>Marcador de Billetes Trabi</v>
      </c>
      <c r="C542" s="6" t="str">
        <f>VLOOKUP(TABLA_PRECIOS_LISTBOX[Código],LISTADO_PRODUCTOS[#All],5)</f>
        <v>N/A</v>
      </c>
      <c r="D542" s="13">
        <f>VLOOKUP(TABLA_PRECIOS_LISTBOX[[#This Row],[Código]],TABLA_PRECIOS[#All],6)</f>
        <v>1</v>
      </c>
      <c r="E542" s="28">
        <f>VLOOKUP(TABLA_PRECIOS_LISTBOX[[#This Row],[Código]],TABLA_PRECIOS[#All],7)</f>
        <v>1</v>
      </c>
      <c r="F542" s="32">
        <f>VLOOKUP(TABLA_PRECIOS_LISTBOX[[#This Row],[Código]],TABLA_PRECIOS[#All],8)</f>
        <v>1</v>
      </c>
      <c r="G542" s="9">
        <f>VLOOKUP(TABLA_PRECIOS_LISTBOX[[#This Row],[Código]],TABLA_PRECIOS[#All],10)</f>
        <v>0</v>
      </c>
    </row>
    <row r="543" spans="1:7" x14ac:dyDescent="0.3">
      <c r="A543" s="4">
        <v>4061</v>
      </c>
      <c r="B543" s="6" t="str">
        <f>VLOOKUP(TABLA_PRECIOS_LISTBOX[Código],LISTADO_PRODUCTOS[#All],4)</f>
        <v>Borrador de Madera</v>
      </c>
      <c r="C543" s="6" t="str">
        <f>VLOOKUP(TABLA_PRECIOS_LISTBOX[Código],LISTADO_PRODUCTOS[#All],5)</f>
        <v>N/A</v>
      </c>
      <c r="D543" s="13">
        <f>VLOOKUP(TABLA_PRECIOS_LISTBOX[[#This Row],[Código]],TABLA_PRECIOS[#All],6)</f>
        <v>1</v>
      </c>
      <c r="E543" s="28">
        <f>VLOOKUP(TABLA_PRECIOS_LISTBOX[[#This Row],[Código]],TABLA_PRECIOS[#All],7)</f>
        <v>1</v>
      </c>
      <c r="F543" s="32">
        <f>VLOOKUP(TABLA_PRECIOS_LISTBOX[[#This Row],[Código]],TABLA_PRECIOS[#All],8)</f>
        <v>1</v>
      </c>
      <c r="G543" s="9">
        <f>VLOOKUP(TABLA_PRECIOS_LISTBOX[[#This Row],[Código]],TABLA_PRECIOS[#All],10)</f>
        <v>0</v>
      </c>
    </row>
    <row r="544" spans="1:7" x14ac:dyDescent="0.3">
      <c r="A544" s="4">
        <v>4062</v>
      </c>
      <c r="B544" s="6" t="str">
        <f>VLOOKUP(TABLA_PRECIOS_LISTBOX[Código],LISTADO_PRODUCTOS[#All],4)</f>
        <v>Plumines</v>
      </c>
      <c r="C544" s="6" t="str">
        <f>VLOOKUP(TABLA_PRECIOS_LISTBOX[Código],LISTADO_PRODUCTOS[#All],5)</f>
        <v>N/A</v>
      </c>
      <c r="D544" s="13">
        <f>VLOOKUP(TABLA_PRECIOS_LISTBOX[[#This Row],[Código]],TABLA_PRECIOS[#All],6)</f>
        <v>1</v>
      </c>
      <c r="E544" s="28">
        <f>VLOOKUP(TABLA_PRECIOS_LISTBOX[[#This Row],[Código]],TABLA_PRECIOS[#All],7)</f>
        <v>1</v>
      </c>
      <c r="F544" s="32">
        <f>VLOOKUP(TABLA_PRECIOS_LISTBOX[[#This Row],[Código]],TABLA_PRECIOS[#All],8)</f>
        <v>1</v>
      </c>
      <c r="G544" s="9">
        <f>VLOOKUP(TABLA_PRECIOS_LISTBOX[[#This Row],[Código]],TABLA_PRECIOS[#All],10)</f>
        <v>0</v>
      </c>
    </row>
    <row r="545" spans="1:7" x14ac:dyDescent="0.3">
      <c r="A545" s="4">
        <v>4066</v>
      </c>
      <c r="B545" s="6" t="str">
        <f>VLOOKUP(TABLA_PRECIOS_LISTBOX[Código],LISTADO_PRODUCTOS[#All],4)</f>
        <v>Broche doble clip Isofit 25mm</v>
      </c>
      <c r="C545" s="6" t="str">
        <f>VLOOKUP(TABLA_PRECIOS_LISTBOX[Código],LISTADO_PRODUCTOS[#All],5)</f>
        <v>N/A</v>
      </c>
      <c r="D545" s="13">
        <f>VLOOKUP(TABLA_PRECIOS_LISTBOX[[#This Row],[Código]],TABLA_PRECIOS[#All],6)</f>
        <v>1</v>
      </c>
      <c r="E545" s="28">
        <f>VLOOKUP(TABLA_PRECIOS_LISTBOX[[#This Row],[Código]],TABLA_PRECIOS[#All],7)</f>
        <v>1</v>
      </c>
      <c r="F545" s="32">
        <f>VLOOKUP(TABLA_PRECIOS_LISTBOX[[#This Row],[Código]],TABLA_PRECIOS[#All],8)</f>
        <v>1</v>
      </c>
      <c r="G545" s="9">
        <f>VLOOKUP(TABLA_PRECIOS_LISTBOX[[#This Row],[Código]],TABLA_PRECIOS[#All],10)</f>
        <v>0</v>
      </c>
    </row>
    <row r="546" spans="1:7" x14ac:dyDescent="0.3">
      <c r="A546" s="4">
        <v>4067</v>
      </c>
      <c r="B546" s="6" t="str">
        <f>VLOOKUP(TABLA_PRECIOS_LISTBOX[Código],LISTADO_PRODUCTOS[#All],4)</f>
        <v>Broche Doble Clip 40mm/51mm</v>
      </c>
      <c r="C546" s="6" t="str">
        <f>VLOOKUP(TABLA_PRECIOS_LISTBOX[Código],LISTADO_PRODUCTOS[#All],5)</f>
        <v>N/A</v>
      </c>
      <c r="D546" s="13">
        <f>VLOOKUP(TABLA_PRECIOS_LISTBOX[[#This Row],[Código]],TABLA_PRECIOS[#All],6)</f>
        <v>1</v>
      </c>
      <c r="E546" s="28">
        <f>VLOOKUP(TABLA_PRECIOS_LISTBOX[[#This Row],[Código]],TABLA_PRECIOS[#All],7)</f>
        <v>1</v>
      </c>
      <c r="F546" s="32">
        <f>VLOOKUP(TABLA_PRECIOS_LISTBOX[[#This Row],[Código]],TABLA_PRECIOS[#All],8)</f>
        <v>1</v>
      </c>
      <c r="G546" s="9">
        <f>VLOOKUP(TABLA_PRECIOS_LISTBOX[[#This Row],[Código]],TABLA_PRECIOS[#All],10)</f>
        <v>0</v>
      </c>
    </row>
    <row r="547" spans="1:7" x14ac:dyDescent="0.3">
      <c r="A547" s="4">
        <v>4068</v>
      </c>
      <c r="B547" s="6" t="str">
        <f>VLOOKUP(TABLA_PRECIOS_LISTBOX[Código],LISTADO_PRODUCTOS[#All],4)</f>
        <v>Tinta Trabi para pizarra blanca - 7790578034202</v>
      </c>
      <c r="C547" s="6" t="str">
        <f>VLOOKUP(TABLA_PRECIOS_LISTBOX[Código],LISTADO_PRODUCTOS[#All],5)</f>
        <v>N/A</v>
      </c>
      <c r="D547" s="13">
        <f>VLOOKUP(TABLA_PRECIOS_LISTBOX[[#This Row],[Código]],TABLA_PRECIOS[#All],6)</f>
        <v>1</v>
      </c>
      <c r="E547" s="28">
        <f>VLOOKUP(TABLA_PRECIOS_LISTBOX[[#This Row],[Código]],TABLA_PRECIOS[#All],7)</f>
        <v>1</v>
      </c>
      <c r="F547" s="32">
        <f>VLOOKUP(TABLA_PRECIOS_LISTBOX[[#This Row],[Código]],TABLA_PRECIOS[#All],8)</f>
        <v>1</v>
      </c>
      <c r="G547" s="9">
        <f>VLOOKUP(TABLA_PRECIOS_LISTBOX[[#This Row],[Código]],TABLA_PRECIOS[#All],10)</f>
        <v>0</v>
      </c>
    </row>
    <row r="548" spans="1:7" x14ac:dyDescent="0.3">
      <c r="A548" s="4">
        <v>4073</v>
      </c>
      <c r="B548" s="6" t="str">
        <f>VLOOKUP(TABLA_PRECIOS_LISTBOX[Código],LISTADO_PRODUCTOS[#All],4)</f>
        <v>Broche  Maped Nº 24/6 - 26/6 x1000</v>
      </c>
      <c r="C548" s="6" t="str">
        <f>VLOOKUP(TABLA_PRECIOS_LISTBOX[Código],LISTADO_PRODUCTOS[#All],5)</f>
        <v>N/A</v>
      </c>
      <c r="D548" s="13">
        <f>VLOOKUP(TABLA_PRECIOS_LISTBOX[[#This Row],[Código]],TABLA_PRECIOS[#All],6)</f>
        <v>1</v>
      </c>
      <c r="E548" s="28">
        <f>VLOOKUP(TABLA_PRECIOS_LISTBOX[[#This Row],[Código]],TABLA_PRECIOS[#All],7)</f>
        <v>1</v>
      </c>
      <c r="F548" s="32">
        <f>VLOOKUP(TABLA_PRECIOS_LISTBOX[[#This Row],[Código]],TABLA_PRECIOS[#All],8)</f>
        <v>1</v>
      </c>
      <c r="G548" s="9">
        <f>VLOOKUP(TABLA_PRECIOS_LISTBOX[[#This Row],[Código]],TABLA_PRECIOS[#All],10)</f>
        <v>0</v>
      </c>
    </row>
    <row r="549" spans="1:7" x14ac:dyDescent="0.3">
      <c r="A549" s="4">
        <v>4075</v>
      </c>
      <c r="B549" s="6" t="str">
        <f>VLOOKUP(TABLA_PRECIOS_LISTBOX[Código],LISTADO_PRODUCTOS[#All],4)</f>
        <v>Broche 21/6 x 1000</v>
      </c>
      <c r="C549" s="6" t="str">
        <f>VLOOKUP(TABLA_PRECIOS_LISTBOX[Código],LISTADO_PRODUCTOS[#All],5)</f>
        <v>N/A</v>
      </c>
      <c r="D549" s="13">
        <f>VLOOKUP(TABLA_PRECIOS_LISTBOX[[#This Row],[Código]],TABLA_PRECIOS[#All],6)</f>
        <v>1</v>
      </c>
      <c r="E549" s="28">
        <f>VLOOKUP(TABLA_PRECIOS_LISTBOX[[#This Row],[Código]],TABLA_PRECIOS[#All],7)</f>
        <v>1</v>
      </c>
      <c r="F549" s="32">
        <f>VLOOKUP(TABLA_PRECIOS_LISTBOX[[#This Row],[Código]],TABLA_PRECIOS[#All],8)</f>
        <v>1</v>
      </c>
      <c r="G549" s="9">
        <f>VLOOKUP(TABLA_PRECIOS_LISTBOX[[#This Row],[Código]],TABLA_PRECIOS[#All],10)</f>
        <v>0</v>
      </c>
    </row>
    <row r="550" spans="1:7" x14ac:dyDescent="0.3">
      <c r="A550" s="4">
        <v>4077</v>
      </c>
      <c r="B550" s="6" t="str">
        <f>VLOOKUP(TABLA_PRECIOS_LISTBOX[Código],LISTADO_PRODUCTOS[#All],4)</f>
        <v>Broche MIT N°64 x 1000</v>
      </c>
      <c r="C550" s="6" t="str">
        <f>VLOOKUP(TABLA_PRECIOS_LISTBOX[Código],LISTADO_PRODUCTOS[#All],5)</f>
        <v>N/A</v>
      </c>
      <c r="D550" s="13">
        <f>VLOOKUP(TABLA_PRECIOS_LISTBOX[[#This Row],[Código]],TABLA_PRECIOS[#All],6)</f>
        <v>1</v>
      </c>
      <c r="E550" s="28">
        <f>VLOOKUP(TABLA_PRECIOS_LISTBOX[[#This Row],[Código]],TABLA_PRECIOS[#All],7)</f>
        <v>1</v>
      </c>
      <c r="F550" s="32">
        <f>VLOOKUP(TABLA_PRECIOS_LISTBOX[[#This Row],[Código]],TABLA_PRECIOS[#All],8)</f>
        <v>1</v>
      </c>
      <c r="G550" s="9">
        <f>VLOOKUP(TABLA_PRECIOS_LISTBOX[[#This Row],[Código]],TABLA_PRECIOS[#All],10)</f>
        <v>0</v>
      </c>
    </row>
    <row r="551" spans="1:7" x14ac:dyDescent="0.3">
      <c r="A551" s="4">
        <v>4078</v>
      </c>
      <c r="B551" s="6" t="str">
        <f>VLOOKUP(TABLA_PRECIOS_LISTBOX[Código],LISTADO_PRODUCTOS[#All],4)</f>
        <v>Broche 50 x 1000 MIT</v>
      </c>
      <c r="C551" s="6" t="str">
        <f>VLOOKUP(TABLA_PRECIOS_LISTBOX[Código],LISTADO_PRODUCTOS[#All],5)</f>
        <v>N/A</v>
      </c>
      <c r="D551" s="13">
        <f>VLOOKUP(TABLA_PRECIOS_LISTBOX[[#This Row],[Código]],TABLA_PRECIOS[#All],6)</f>
        <v>1</v>
      </c>
      <c r="E551" s="28">
        <f>VLOOKUP(TABLA_PRECIOS_LISTBOX[[#This Row],[Código]],TABLA_PRECIOS[#All],7)</f>
        <v>1</v>
      </c>
      <c r="F551" s="32">
        <f>VLOOKUP(TABLA_PRECIOS_LISTBOX[[#This Row],[Código]],TABLA_PRECIOS[#All],8)</f>
        <v>1</v>
      </c>
      <c r="G551" s="9">
        <f>VLOOKUP(TABLA_PRECIOS_LISTBOX[[#This Row],[Código]],TABLA_PRECIOS[#All],10)</f>
        <v>0</v>
      </c>
    </row>
    <row r="552" spans="1:7" x14ac:dyDescent="0.3">
      <c r="A552" s="4">
        <v>4080</v>
      </c>
      <c r="B552" s="6" t="str">
        <f>VLOOKUP(TABLA_PRECIOS_LISTBOX[Código],LISTADO_PRODUCTOS[#All],4)</f>
        <v>Broche Mit Nº10 x 1000</v>
      </c>
      <c r="C552" s="6" t="str">
        <f>VLOOKUP(TABLA_PRECIOS_LISTBOX[Código],LISTADO_PRODUCTOS[#All],5)</f>
        <v>N/A</v>
      </c>
      <c r="D552" s="13">
        <f>VLOOKUP(TABLA_PRECIOS_LISTBOX[[#This Row],[Código]],TABLA_PRECIOS[#All],6)</f>
        <v>1</v>
      </c>
      <c r="E552" s="28">
        <f>VLOOKUP(TABLA_PRECIOS_LISTBOX[[#This Row],[Código]],TABLA_PRECIOS[#All],7)</f>
        <v>1</v>
      </c>
      <c r="F552" s="32">
        <f>VLOOKUP(TABLA_PRECIOS_LISTBOX[[#This Row],[Código]],TABLA_PRECIOS[#All],8)</f>
        <v>1</v>
      </c>
      <c r="G552" s="9">
        <f>VLOOKUP(TABLA_PRECIOS_LISTBOX[[#This Row],[Código]],TABLA_PRECIOS[#All],10)</f>
        <v>0</v>
      </c>
    </row>
    <row r="553" spans="1:7" x14ac:dyDescent="0.3">
      <c r="A553" s="4">
        <v>4082</v>
      </c>
      <c r="B553" s="6" t="str">
        <f>VLOOKUP(TABLA_PRECIOS_LISTBOX[Código],LISTADO_PRODUCTOS[#All],4)</f>
        <v xml:space="preserve">Bibliorato color </v>
      </c>
      <c r="C553" s="6" t="str">
        <f>VLOOKUP(TABLA_PRECIOS_LISTBOX[Código],LISTADO_PRODUCTOS[#All],5)</f>
        <v>N/A</v>
      </c>
      <c r="D553" s="13">
        <f>VLOOKUP(TABLA_PRECIOS_LISTBOX[[#This Row],[Código]],TABLA_PRECIOS[#All],6)</f>
        <v>1</v>
      </c>
      <c r="E553" s="28">
        <f>VLOOKUP(TABLA_PRECIOS_LISTBOX[[#This Row],[Código]],TABLA_PRECIOS[#All],7)</f>
        <v>1</v>
      </c>
      <c r="F553" s="32">
        <f>VLOOKUP(TABLA_PRECIOS_LISTBOX[[#This Row],[Código]],TABLA_PRECIOS[#All],8)</f>
        <v>1</v>
      </c>
      <c r="G553" s="9">
        <f>VLOOKUP(TABLA_PRECIOS_LISTBOX[[#This Row],[Código]],TABLA_PRECIOS[#All],10)</f>
        <v>0</v>
      </c>
    </row>
    <row r="554" spans="1:7" x14ac:dyDescent="0.3">
      <c r="A554" s="4">
        <v>4083</v>
      </c>
      <c r="B554" s="6" t="str">
        <f>VLOOKUP(TABLA_PRECIOS_LISTBOX[Código],LISTADO_PRODUCTOS[#All],4)</f>
        <v>Bilbliorato color A4 lomo Ancho</v>
      </c>
      <c r="C554" s="6" t="str">
        <f>VLOOKUP(TABLA_PRECIOS_LISTBOX[Código],LISTADO_PRODUCTOS[#All],5)</f>
        <v>N/A</v>
      </c>
      <c r="D554" s="13">
        <f>VLOOKUP(TABLA_PRECIOS_LISTBOX[[#This Row],[Código]],TABLA_PRECIOS[#All],6)</f>
        <v>1</v>
      </c>
      <c r="E554" s="28">
        <f>VLOOKUP(TABLA_PRECIOS_LISTBOX[[#This Row],[Código]],TABLA_PRECIOS[#All],7)</f>
        <v>1</v>
      </c>
      <c r="F554" s="32">
        <f>VLOOKUP(TABLA_PRECIOS_LISTBOX[[#This Row],[Código]],TABLA_PRECIOS[#All],8)</f>
        <v>1</v>
      </c>
      <c r="G554" s="9">
        <f>VLOOKUP(TABLA_PRECIOS_LISTBOX[[#This Row],[Código]],TABLA_PRECIOS[#All],10)</f>
        <v>0</v>
      </c>
    </row>
    <row r="555" spans="1:7" x14ac:dyDescent="0.3">
      <c r="A555" s="4">
        <v>4084</v>
      </c>
      <c r="B555" s="6" t="str">
        <f>VLOOKUP(TABLA_PRECIOS_LISTBOX[Código],LISTADO_PRODUCTOS[#All],4)</f>
        <v>Bibliorato Color Oficio Lomo Angosto</v>
      </c>
      <c r="C555" s="6" t="str">
        <f>VLOOKUP(TABLA_PRECIOS_LISTBOX[Código],LISTADO_PRODUCTOS[#All],5)</f>
        <v>N/A</v>
      </c>
      <c r="D555" s="13">
        <f>VLOOKUP(TABLA_PRECIOS_LISTBOX[[#This Row],[Código]],TABLA_PRECIOS[#All],6)</f>
        <v>1</v>
      </c>
      <c r="E555" s="28">
        <f>VLOOKUP(TABLA_PRECIOS_LISTBOX[[#This Row],[Código]],TABLA_PRECIOS[#All],7)</f>
        <v>1</v>
      </c>
      <c r="F555" s="32">
        <f>VLOOKUP(TABLA_PRECIOS_LISTBOX[[#This Row],[Código]],TABLA_PRECIOS[#All],8)</f>
        <v>1</v>
      </c>
      <c r="G555" s="9">
        <f>VLOOKUP(TABLA_PRECIOS_LISTBOX[[#This Row],[Código]],TABLA_PRECIOS[#All],10)</f>
        <v>0</v>
      </c>
    </row>
    <row r="556" spans="1:7" x14ac:dyDescent="0.3">
      <c r="A556" s="4">
        <v>4085</v>
      </c>
      <c r="B556" s="6" t="str">
        <f>VLOOKUP(TABLA_PRECIOS_LISTBOX[Código],LISTADO_PRODUCTOS[#All],4)</f>
        <v>Bibliorato Color Oficio Lomo Ancho</v>
      </c>
      <c r="C556" s="6" t="str">
        <f>VLOOKUP(TABLA_PRECIOS_LISTBOX[Código],LISTADO_PRODUCTOS[#All],5)</f>
        <v>N/A</v>
      </c>
      <c r="D556" s="13">
        <f>VLOOKUP(TABLA_PRECIOS_LISTBOX[[#This Row],[Código]],TABLA_PRECIOS[#All],6)</f>
        <v>1</v>
      </c>
      <c r="E556" s="28">
        <f>VLOOKUP(TABLA_PRECIOS_LISTBOX[[#This Row],[Código]],TABLA_PRECIOS[#All],7)</f>
        <v>1</v>
      </c>
      <c r="F556" s="32">
        <f>VLOOKUP(TABLA_PRECIOS_LISTBOX[[#This Row],[Código]],TABLA_PRECIOS[#All],8)</f>
        <v>1</v>
      </c>
      <c r="G556" s="9">
        <f>VLOOKUP(TABLA_PRECIOS_LISTBOX[[#This Row],[Código]],TABLA_PRECIOS[#All],10)</f>
        <v>0</v>
      </c>
    </row>
    <row r="557" spans="1:7" x14ac:dyDescent="0.3">
      <c r="A557" s="4">
        <v>4086</v>
      </c>
      <c r="B557" s="6" t="str">
        <f>VLOOKUP(TABLA_PRECIOS_LISTBOX[Código],LISTADO_PRODUCTOS[#All],4)</f>
        <v>Bibliorato Marmolado A4</v>
      </c>
      <c r="C557" s="6" t="str">
        <f>VLOOKUP(TABLA_PRECIOS_LISTBOX[Código],LISTADO_PRODUCTOS[#All],5)</f>
        <v>N/A</v>
      </c>
      <c r="D557" s="13">
        <f>VLOOKUP(TABLA_PRECIOS_LISTBOX[[#This Row],[Código]],TABLA_PRECIOS[#All],6)</f>
        <v>1</v>
      </c>
      <c r="E557" s="28">
        <f>VLOOKUP(TABLA_PRECIOS_LISTBOX[[#This Row],[Código]],TABLA_PRECIOS[#All],7)</f>
        <v>1</v>
      </c>
      <c r="F557" s="32">
        <f>VLOOKUP(TABLA_PRECIOS_LISTBOX[[#This Row],[Código]],TABLA_PRECIOS[#All],8)</f>
        <v>1</v>
      </c>
      <c r="G557" s="9">
        <f>VLOOKUP(TABLA_PRECIOS_LISTBOX[[#This Row],[Código]],TABLA_PRECIOS[#All],10)</f>
        <v>0</v>
      </c>
    </row>
    <row r="558" spans="1:7" x14ac:dyDescent="0.3">
      <c r="A558" s="4">
        <v>4087</v>
      </c>
      <c r="B558" s="6" t="str">
        <f>VLOOKUP(TABLA_PRECIOS_LISTBOX[Código],LISTADO_PRODUCTOS[#All],4)</f>
        <v>Bibliorato Marmolado Oficio</v>
      </c>
      <c r="C558" s="6" t="str">
        <f>VLOOKUP(TABLA_PRECIOS_LISTBOX[Código],LISTADO_PRODUCTOS[#All],5)</f>
        <v>N/A</v>
      </c>
      <c r="D558" s="13">
        <f>VLOOKUP(TABLA_PRECIOS_LISTBOX[[#This Row],[Código]],TABLA_PRECIOS[#All],6)</f>
        <v>1</v>
      </c>
      <c r="E558" s="28">
        <f>VLOOKUP(TABLA_PRECIOS_LISTBOX[[#This Row],[Código]],TABLA_PRECIOS[#All],7)</f>
        <v>1</v>
      </c>
      <c r="F558" s="32">
        <f>VLOOKUP(TABLA_PRECIOS_LISTBOX[[#This Row],[Código]],TABLA_PRECIOS[#All],8)</f>
        <v>1</v>
      </c>
      <c r="G558" s="9">
        <f>VLOOKUP(TABLA_PRECIOS_LISTBOX[[#This Row],[Código]],TABLA_PRECIOS[#All],10)</f>
        <v>0</v>
      </c>
    </row>
    <row r="559" spans="1:7" x14ac:dyDescent="0.3">
      <c r="A559" s="4">
        <v>4088</v>
      </c>
      <c r="B559" s="6" t="str">
        <f>VLOOKUP(TABLA_PRECIOS_LISTBOX[Código],LISTADO_PRODUCTOS[#All],4)</f>
        <v>Papel Carbonico Pelikan x u</v>
      </c>
      <c r="C559" s="6" t="str">
        <f>VLOOKUP(TABLA_PRECIOS_LISTBOX[Código],LISTADO_PRODUCTOS[#All],5)</f>
        <v>N/A</v>
      </c>
      <c r="D559" s="13">
        <f>VLOOKUP(TABLA_PRECIOS_LISTBOX[[#This Row],[Código]],TABLA_PRECIOS[#All],6)</f>
        <v>1</v>
      </c>
      <c r="E559" s="28">
        <f>VLOOKUP(TABLA_PRECIOS_LISTBOX[[#This Row],[Código]],TABLA_PRECIOS[#All],7)</f>
        <v>1</v>
      </c>
      <c r="F559" s="32">
        <f>VLOOKUP(TABLA_PRECIOS_LISTBOX[[#This Row],[Código]],TABLA_PRECIOS[#All],8)</f>
        <v>1</v>
      </c>
      <c r="G559" s="9">
        <f>VLOOKUP(TABLA_PRECIOS_LISTBOX[[#This Row],[Código]],TABLA_PRECIOS[#All],10)</f>
        <v>0</v>
      </c>
    </row>
    <row r="560" spans="1:7" x14ac:dyDescent="0.3">
      <c r="A560" s="4">
        <v>4089</v>
      </c>
      <c r="B560" s="6" t="str">
        <f>VLOOKUP(TABLA_PRECIOS_LISTBOX[Código],LISTADO_PRODUCTOS[#All],4)</f>
        <v>Papel Carbonico Coxi x u</v>
      </c>
      <c r="C560" s="6" t="str">
        <f>VLOOKUP(TABLA_PRECIOS_LISTBOX[Código],LISTADO_PRODUCTOS[#All],5)</f>
        <v>N/A</v>
      </c>
      <c r="D560" s="13">
        <f>VLOOKUP(TABLA_PRECIOS_LISTBOX[[#This Row],[Código]],TABLA_PRECIOS[#All],6)</f>
        <v>1</v>
      </c>
      <c r="E560" s="28">
        <f>VLOOKUP(TABLA_PRECIOS_LISTBOX[[#This Row],[Código]],TABLA_PRECIOS[#All],7)</f>
        <v>1</v>
      </c>
      <c r="F560" s="32">
        <f>VLOOKUP(TABLA_PRECIOS_LISTBOX[[#This Row],[Código]],TABLA_PRECIOS[#All],8)</f>
        <v>1</v>
      </c>
      <c r="G560" s="9">
        <f>VLOOKUP(TABLA_PRECIOS_LISTBOX[[#This Row],[Código]],TABLA_PRECIOS[#All],10)</f>
        <v>0</v>
      </c>
    </row>
    <row r="561" spans="1:7" x14ac:dyDescent="0.3">
      <c r="A561" s="4">
        <v>4090</v>
      </c>
      <c r="B561" s="6" t="str">
        <f>VLOOKUP(TABLA_PRECIOS_LISTBOX[Código],LISTADO_PRODUCTOS[#All],4)</f>
        <v>Caja Archivo plastica grande c/tapa</v>
      </c>
      <c r="C561" s="6" t="str">
        <f>VLOOKUP(TABLA_PRECIOS_LISTBOX[Código],LISTADO_PRODUCTOS[#All],5)</f>
        <v>N/A</v>
      </c>
      <c r="D561" s="13">
        <f>VLOOKUP(TABLA_PRECIOS_LISTBOX[[#This Row],[Código]],TABLA_PRECIOS[#All],6)</f>
        <v>1</v>
      </c>
      <c r="E561" s="28">
        <f>VLOOKUP(TABLA_PRECIOS_LISTBOX[[#This Row],[Código]],TABLA_PRECIOS[#All],7)</f>
        <v>1</v>
      </c>
      <c r="F561" s="32">
        <f>VLOOKUP(TABLA_PRECIOS_LISTBOX[[#This Row],[Código]],TABLA_PRECIOS[#All],8)</f>
        <v>1</v>
      </c>
      <c r="G561" s="9">
        <f>VLOOKUP(TABLA_PRECIOS_LISTBOX[[#This Row],[Código]],TABLA_PRECIOS[#All],10)</f>
        <v>0</v>
      </c>
    </row>
    <row r="562" spans="1:7" x14ac:dyDescent="0.3">
      <c r="A562" s="4">
        <v>4092</v>
      </c>
      <c r="B562" s="6" t="str">
        <f>VLOOKUP(TABLA_PRECIOS_LISTBOX[Código],LISTADO_PRODUCTOS[#All],4)</f>
        <v>Marcador Bic Marking Pizarra</v>
      </c>
      <c r="C562" s="6" t="str">
        <f>VLOOKUP(TABLA_PRECIOS_LISTBOX[Código],LISTADO_PRODUCTOS[#All],5)</f>
        <v>N/A</v>
      </c>
      <c r="D562" s="13">
        <f>VLOOKUP(TABLA_PRECIOS_LISTBOX[[#This Row],[Código]],TABLA_PRECIOS[#All],6)</f>
        <v>1</v>
      </c>
      <c r="E562" s="28">
        <f>VLOOKUP(TABLA_PRECIOS_LISTBOX[[#This Row],[Código]],TABLA_PRECIOS[#All],7)</f>
        <v>1</v>
      </c>
      <c r="F562" s="32">
        <f>VLOOKUP(TABLA_PRECIOS_LISTBOX[[#This Row],[Código]],TABLA_PRECIOS[#All],8)</f>
        <v>1</v>
      </c>
      <c r="G562" s="9">
        <f>VLOOKUP(TABLA_PRECIOS_LISTBOX[[#This Row],[Código]],TABLA_PRECIOS[#All],10)</f>
        <v>0</v>
      </c>
    </row>
    <row r="563" spans="1:7" x14ac:dyDescent="0.3">
      <c r="A563" s="4">
        <v>4094</v>
      </c>
      <c r="B563" s="6" t="str">
        <f>VLOOKUP(TABLA_PRECIOS_LISTBOX[Código],LISTADO_PRODUCTOS[#All],4)</f>
        <v>Talonario Neutro duplicado Alianza - Grande</v>
      </c>
      <c r="C563" s="6" t="str">
        <f>VLOOKUP(TABLA_PRECIOS_LISTBOX[Código],LISTADO_PRODUCTOS[#All],5)</f>
        <v>N/A</v>
      </c>
      <c r="D563" s="13">
        <f>VLOOKUP(TABLA_PRECIOS_LISTBOX[[#This Row],[Código]],TABLA_PRECIOS[#All],6)</f>
        <v>1</v>
      </c>
      <c r="E563" s="28">
        <f>VLOOKUP(TABLA_PRECIOS_LISTBOX[[#This Row],[Código]],TABLA_PRECIOS[#All],7)</f>
        <v>1</v>
      </c>
      <c r="F563" s="32">
        <f>VLOOKUP(TABLA_PRECIOS_LISTBOX[[#This Row],[Código]],TABLA_PRECIOS[#All],8)</f>
        <v>1</v>
      </c>
      <c r="G563" s="9">
        <f>VLOOKUP(TABLA_PRECIOS_LISTBOX[[#This Row],[Código]],TABLA_PRECIOS[#All],10)</f>
        <v>0</v>
      </c>
    </row>
    <row r="564" spans="1:7" x14ac:dyDescent="0.3">
      <c r="A564" s="4">
        <v>4095</v>
      </c>
      <c r="B564" s="6" t="str">
        <f>VLOOKUP(TABLA_PRECIOS_LISTBOX[Código],LISTADO_PRODUCTOS[#All],4)</f>
        <v>Broche Kangaroo/buffalo Nº10 - 793600660100</v>
      </c>
      <c r="C564" s="6" t="str">
        <f>VLOOKUP(TABLA_PRECIOS_LISTBOX[Código],LISTADO_PRODUCTOS[#All],5)</f>
        <v>N/A</v>
      </c>
      <c r="D564" s="13">
        <f>VLOOKUP(TABLA_PRECIOS_LISTBOX[[#This Row],[Código]],TABLA_PRECIOS[#All],6)</f>
        <v>1</v>
      </c>
      <c r="E564" s="28">
        <f>VLOOKUP(TABLA_PRECIOS_LISTBOX[[#This Row],[Código]],TABLA_PRECIOS[#All],7)</f>
        <v>1</v>
      </c>
      <c r="F564" s="32">
        <f>VLOOKUP(TABLA_PRECIOS_LISTBOX[[#This Row],[Código]],TABLA_PRECIOS[#All],8)</f>
        <v>1</v>
      </c>
      <c r="G564" s="9">
        <f>VLOOKUP(TABLA_PRECIOS_LISTBOX[[#This Row],[Código]],TABLA_PRECIOS[#All],10)</f>
        <v>0</v>
      </c>
    </row>
    <row r="565" spans="1:7" x14ac:dyDescent="0.3">
      <c r="A565" s="4">
        <v>4096</v>
      </c>
      <c r="B565" s="6" t="str">
        <f>VLOOKUP(TABLA_PRECIOS_LISTBOX[Código],LISTADO_PRODUCTOS[#All],4)</f>
        <v>Talonario contado Husares N 1831</v>
      </c>
      <c r="C565" s="6" t="str">
        <f>VLOOKUP(TABLA_PRECIOS_LISTBOX[Código],LISTADO_PRODUCTOS[#All],5)</f>
        <v>N/A</v>
      </c>
      <c r="D565" s="13">
        <f>VLOOKUP(TABLA_PRECIOS_LISTBOX[[#This Row],[Código]],TABLA_PRECIOS[#All],6)</f>
        <v>1</v>
      </c>
      <c r="E565" s="28">
        <f>VLOOKUP(TABLA_PRECIOS_LISTBOX[[#This Row],[Código]],TABLA_PRECIOS[#All],7)</f>
        <v>1</v>
      </c>
      <c r="F565" s="32">
        <f>VLOOKUP(TABLA_PRECIOS_LISTBOX[[#This Row],[Código]],TABLA_PRECIOS[#All],8)</f>
        <v>1</v>
      </c>
      <c r="G565" s="9">
        <f>VLOOKUP(TABLA_PRECIOS_LISTBOX[[#This Row],[Código]],TABLA_PRECIOS[#All],10)</f>
        <v>0</v>
      </c>
    </row>
    <row r="566" spans="1:7" x14ac:dyDescent="0.3">
      <c r="A566" s="4">
        <v>4097</v>
      </c>
      <c r="B566" s="6" t="str">
        <f>VLOOKUP(TABLA_PRECIOS_LISTBOX[Código],LISTADO_PRODUCTOS[#All],4)</f>
        <v>Talonario Husares duplicado multiuso N1929</v>
      </c>
      <c r="C566" s="6" t="str">
        <f>VLOOKUP(TABLA_PRECIOS_LISTBOX[Código],LISTADO_PRODUCTOS[#All],5)</f>
        <v>N/A</v>
      </c>
      <c r="D566" s="13">
        <f>VLOOKUP(TABLA_PRECIOS_LISTBOX[[#This Row],[Código]],TABLA_PRECIOS[#All],6)</f>
        <v>1</v>
      </c>
      <c r="E566" s="28">
        <f>VLOOKUP(TABLA_PRECIOS_LISTBOX[[#This Row],[Código]],TABLA_PRECIOS[#All],7)</f>
        <v>1</v>
      </c>
      <c r="F566" s="32">
        <f>VLOOKUP(TABLA_PRECIOS_LISTBOX[[#This Row],[Código]],TABLA_PRECIOS[#All],8)</f>
        <v>1</v>
      </c>
      <c r="G566" s="9">
        <f>VLOOKUP(TABLA_PRECIOS_LISTBOX[[#This Row],[Código]],TABLA_PRECIOS[#All],10)</f>
        <v>0</v>
      </c>
    </row>
    <row r="567" spans="1:7" x14ac:dyDescent="0.3">
      <c r="A567" s="4">
        <v>4098</v>
      </c>
      <c r="B567" s="6" t="str">
        <f>VLOOKUP(TABLA_PRECIOS_LISTBOX[Código],LISTADO_PRODUCTOS[#All],4)</f>
        <v>Banda elasticas Flexiband x 50gr</v>
      </c>
      <c r="C567" s="6" t="str">
        <f>VLOOKUP(TABLA_PRECIOS_LISTBOX[Código],LISTADO_PRODUCTOS[#All],5)</f>
        <v>N/A</v>
      </c>
      <c r="D567" s="13">
        <f>VLOOKUP(TABLA_PRECIOS_LISTBOX[[#This Row],[Código]],TABLA_PRECIOS[#All],6)</f>
        <v>1</v>
      </c>
      <c r="E567" s="28">
        <f>VLOOKUP(TABLA_PRECIOS_LISTBOX[[#This Row],[Código]],TABLA_PRECIOS[#All],7)</f>
        <v>1</v>
      </c>
      <c r="F567" s="32">
        <f>VLOOKUP(TABLA_PRECIOS_LISTBOX[[#This Row],[Código]],TABLA_PRECIOS[#All],8)</f>
        <v>1</v>
      </c>
      <c r="G567" s="9">
        <f>VLOOKUP(TABLA_PRECIOS_LISTBOX[[#This Row],[Código]],TABLA_PRECIOS[#All],10)</f>
        <v>0</v>
      </c>
    </row>
    <row r="568" spans="1:7" x14ac:dyDescent="0.3">
      <c r="A568" s="4">
        <v>4101</v>
      </c>
      <c r="B568" s="6" t="str">
        <f>VLOOKUP(TABLA_PRECIOS_LISTBOX[Código],LISTADO_PRODUCTOS[#All],4)</f>
        <v>Folio Oficio Micro/LUMA x100 x bolsa completa $2750 - 7796893002148</v>
      </c>
      <c r="C568" s="6" t="str">
        <f>VLOOKUP(TABLA_PRECIOS_LISTBOX[Código],LISTADO_PRODUCTOS[#All],5)</f>
        <v>N/A</v>
      </c>
      <c r="D568" s="13">
        <f>VLOOKUP(TABLA_PRECIOS_LISTBOX[[#This Row],[Código]],TABLA_PRECIOS[#All],6)</f>
        <v>1</v>
      </c>
      <c r="E568" s="28">
        <f>VLOOKUP(TABLA_PRECIOS_LISTBOX[[#This Row],[Código]],TABLA_PRECIOS[#All],7)</f>
        <v>1</v>
      </c>
      <c r="F568" s="32">
        <f>VLOOKUP(TABLA_PRECIOS_LISTBOX[[#This Row],[Código]],TABLA_PRECIOS[#All],8)</f>
        <v>1</v>
      </c>
      <c r="G568" s="9">
        <f>VLOOKUP(TABLA_PRECIOS_LISTBOX[[#This Row],[Código]],TABLA_PRECIOS[#All],10)</f>
        <v>0</v>
      </c>
    </row>
    <row r="569" spans="1:7" x14ac:dyDescent="0.3">
      <c r="A569" s="4">
        <v>4102</v>
      </c>
      <c r="B569" s="6" t="str">
        <f>VLOOKUP(TABLA_PRECIOS_LISTBOX[Código],LISTADO_PRODUCTOS[#All],4)</f>
        <v>Folio A4 Micro/LUMA x100 x bolsa completa $2300- 7796893002124</v>
      </c>
      <c r="C569" s="6" t="str">
        <f>VLOOKUP(TABLA_PRECIOS_LISTBOX[Código],LISTADO_PRODUCTOS[#All],5)</f>
        <v>N/A</v>
      </c>
      <c r="D569" s="13">
        <f>VLOOKUP(TABLA_PRECIOS_LISTBOX[[#This Row],[Código]],TABLA_PRECIOS[#All],6)</f>
        <v>1</v>
      </c>
      <c r="E569" s="28">
        <f>VLOOKUP(TABLA_PRECIOS_LISTBOX[[#This Row],[Código]],TABLA_PRECIOS[#All],7)</f>
        <v>1</v>
      </c>
      <c r="F569" s="32">
        <f>VLOOKUP(TABLA_PRECIOS_LISTBOX[[#This Row],[Código]],TABLA_PRECIOS[#All],8)</f>
        <v>1</v>
      </c>
      <c r="G569" s="9">
        <f>VLOOKUP(TABLA_PRECIOS_LISTBOX[[#This Row],[Código]],TABLA_PRECIOS[#All],10)</f>
        <v>0</v>
      </c>
    </row>
    <row r="570" spans="1:7" x14ac:dyDescent="0.3">
      <c r="A570" s="4">
        <v>4105</v>
      </c>
      <c r="B570" s="6" t="str">
        <f>VLOOKUP(TABLA_PRECIOS_LISTBOX[Código],LISTADO_PRODUCTOS[#All],4)</f>
        <v>Folio Nº3 Luma/Liggo Comun x100 - Pack $1260</v>
      </c>
      <c r="C570" s="6" t="str">
        <f>VLOOKUP(TABLA_PRECIOS_LISTBOX[Código],LISTADO_PRODUCTOS[#All],5)</f>
        <v>N/A</v>
      </c>
      <c r="D570" s="13">
        <f>VLOOKUP(TABLA_PRECIOS_LISTBOX[[#This Row],[Código]],TABLA_PRECIOS[#All],6)</f>
        <v>1</v>
      </c>
      <c r="E570" s="28">
        <f>VLOOKUP(TABLA_PRECIOS_LISTBOX[[#This Row],[Código]],TABLA_PRECIOS[#All],7)</f>
        <v>1</v>
      </c>
      <c r="F570" s="32">
        <f>VLOOKUP(TABLA_PRECIOS_LISTBOX[[#This Row],[Código]],TABLA_PRECIOS[#All],8)</f>
        <v>1</v>
      </c>
      <c r="G570" s="9">
        <f>VLOOKUP(TABLA_PRECIOS_LISTBOX[[#This Row],[Código]],TABLA_PRECIOS[#All],10)</f>
        <v>0</v>
      </c>
    </row>
    <row r="571" spans="1:7" x14ac:dyDescent="0.3">
      <c r="A571" s="4">
        <v>4108</v>
      </c>
      <c r="B571" s="6" t="str">
        <f>VLOOKUP(TABLA_PRECIOS_LISTBOX[Código],LISTADO_PRODUCTOS[#All],4)</f>
        <v>Broche GRAP N°65 x 1000u</v>
      </c>
      <c r="C571" s="6" t="str">
        <f>VLOOKUP(TABLA_PRECIOS_LISTBOX[Código],LISTADO_PRODUCTOS[#All],5)</f>
        <v>N/A</v>
      </c>
      <c r="D571" s="13">
        <f>VLOOKUP(TABLA_PRECIOS_LISTBOX[[#This Row],[Código]],TABLA_PRECIOS[#All],6)</f>
        <v>1</v>
      </c>
      <c r="E571" s="28">
        <f>VLOOKUP(TABLA_PRECIOS_LISTBOX[[#This Row],[Código]],TABLA_PRECIOS[#All],7)</f>
        <v>1</v>
      </c>
      <c r="F571" s="32">
        <f>VLOOKUP(TABLA_PRECIOS_LISTBOX[[#This Row],[Código]],TABLA_PRECIOS[#All],8)</f>
        <v>1</v>
      </c>
      <c r="G571" s="9">
        <f>VLOOKUP(TABLA_PRECIOS_LISTBOX[[#This Row],[Código]],TABLA_PRECIOS[#All],10)</f>
        <v>0</v>
      </c>
    </row>
    <row r="572" spans="1:7" x14ac:dyDescent="0.3">
      <c r="A572" s="4">
        <v>4109</v>
      </c>
      <c r="B572" s="6" t="str">
        <f>VLOOKUP(TABLA_PRECIOS_LISTBOX[Código],LISTADO_PRODUCTOS[#All],4)</f>
        <v>Chinche dorado Sifap</v>
      </c>
      <c r="C572" s="6" t="str">
        <f>VLOOKUP(TABLA_PRECIOS_LISTBOX[Código],LISTADO_PRODUCTOS[#All],5)</f>
        <v>N/A</v>
      </c>
      <c r="D572" s="13">
        <f>VLOOKUP(TABLA_PRECIOS_LISTBOX[[#This Row],[Código]],TABLA_PRECIOS[#All],6)</f>
        <v>1</v>
      </c>
      <c r="E572" s="28">
        <f>VLOOKUP(TABLA_PRECIOS_LISTBOX[[#This Row],[Código]],TABLA_PRECIOS[#All],7)</f>
        <v>1</v>
      </c>
      <c r="F572" s="32">
        <f>VLOOKUP(TABLA_PRECIOS_LISTBOX[[#This Row],[Código]],TABLA_PRECIOS[#All],8)</f>
        <v>1</v>
      </c>
      <c r="G572" s="9">
        <f>VLOOKUP(TABLA_PRECIOS_LISTBOX[[#This Row],[Código]],TABLA_PRECIOS[#All],10)</f>
        <v>0</v>
      </c>
    </row>
    <row r="573" spans="1:7" x14ac:dyDescent="0.3">
      <c r="A573" s="4">
        <v>4127</v>
      </c>
      <c r="B573" s="6" t="str">
        <f>VLOOKUP(TABLA_PRECIOS_LISTBOX[Código],LISTADO_PRODUCTOS[#All],4)</f>
        <v>Alfiler SIFAP CX 50gr</v>
      </c>
      <c r="C573" s="6" t="str">
        <f>VLOOKUP(TABLA_PRECIOS_LISTBOX[Código],LISTADO_PRODUCTOS[#All],5)</f>
        <v>N/A</v>
      </c>
      <c r="D573" s="13">
        <f>VLOOKUP(TABLA_PRECIOS_LISTBOX[[#This Row],[Código]],TABLA_PRECIOS[#All],6)</f>
        <v>1</v>
      </c>
      <c r="E573" s="28">
        <f>VLOOKUP(TABLA_PRECIOS_LISTBOX[[#This Row],[Código]],TABLA_PRECIOS[#All],7)</f>
        <v>1</v>
      </c>
      <c r="F573" s="32">
        <f>VLOOKUP(TABLA_PRECIOS_LISTBOX[[#This Row],[Código]],TABLA_PRECIOS[#All],8)</f>
        <v>1</v>
      </c>
      <c r="G573" s="9">
        <f>VLOOKUP(TABLA_PRECIOS_LISTBOX[[#This Row],[Código]],TABLA_PRECIOS[#All],10)</f>
        <v>0</v>
      </c>
    </row>
    <row r="574" spans="1:7" x14ac:dyDescent="0.3">
      <c r="A574" s="4">
        <v>4129</v>
      </c>
      <c r="B574" s="6" t="str">
        <f>VLOOKUP(TABLA_PRECIOS_LISTBOX[Código],LISTADO_PRODUCTOS[#All],4)</f>
        <v>Alfiler SIFAP CX 50gr</v>
      </c>
      <c r="C574" s="6" t="str">
        <f>VLOOKUP(TABLA_PRECIOS_LISTBOX[Código],LISTADO_PRODUCTOS[#All],5)</f>
        <v>N/A</v>
      </c>
      <c r="D574" s="13">
        <f>VLOOKUP(TABLA_PRECIOS_LISTBOX[[#This Row],[Código]],TABLA_PRECIOS[#All],6)</f>
        <v>1</v>
      </c>
      <c r="E574" s="28">
        <f>VLOOKUP(TABLA_PRECIOS_LISTBOX[[#This Row],[Código]],TABLA_PRECIOS[#All],7)</f>
        <v>1</v>
      </c>
      <c r="F574" s="32">
        <f>VLOOKUP(TABLA_PRECIOS_LISTBOX[[#This Row],[Código]],TABLA_PRECIOS[#All],8)</f>
        <v>1</v>
      </c>
      <c r="G574" s="9">
        <f>VLOOKUP(TABLA_PRECIOS_LISTBOX[[#This Row],[Código]],TABLA_PRECIOS[#All],10)</f>
        <v>0</v>
      </c>
    </row>
    <row r="575" spans="1:7" x14ac:dyDescent="0.3">
      <c r="A575" s="4">
        <v>4133</v>
      </c>
      <c r="B575" s="6" t="str">
        <f>VLOOKUP(TABLA_PRECIOS_LISTBOX[Código],LISTADO_PRODUCTOS[#All],4)</f>
        <v>Alfiler SIFAP CX 50gr</v>
      </c>
      <c r="C575" s="6" t="str">
        <f>VLOOKUP(TABLA_PRECIOS_LISTBOX[Código],LISTADO_PRODUCTOS[#All],5)</f>
        <v>N/A</v>
      </c>
      <c r="D575" s="13">
        <f>VLOOKUP(TABLA_PRECIOS_LISTBOX[[#This Row],[Código]],TABLA_PRECIOS[#All],6)</f>
        <v>1</v>
      </c>
      <c r="E575" s="28">
        <f>VLOOKUP(TABLA_PRECIOS_LISTBOX[[#This Row],[Código]],TABLA_PRECIOS[#All],7)</f>
        <v>1</v>
      </c>
      <c r="F575" s="32">
        <f>VLOOKUP(TABLA_PRECIOS_LISTBOX[[#This Row],[Código]],TABLA_PRECIOS[#All],8)</f>
        <v>1</v>
      </c>
      <c r="G575" s="9">
        <f>VLOOKUP(TABLA_PRECIOS_LISTBOX[[#This Row],[Código]],TABLA_PRECIOS[#All],10)</f>
        <v>0</v>
      </c>
    </row>
    <row r="576" spans="1:7" x14ac:dyDescent="0.3">
      <c r="A576" s="4">
        <v>4207</v>
      </c>
      <c r="B576" s="6" t="str">
        <f>VLOOKUP(TABLA_PRECIOS_LISTBOX[Código],LISTADO_PRODUCTOS[#All],4)</f>
        <v>Libro de Actas Potosi 2 manos Clochet</v>
      </c>
      <c r="C576" s="6" t="str">
        <f>VLOOKUP(TABLA_PRECIOS_LISTBOX[Código],LISTADO_PRODUCTOS[#All],5)</f>
        <v>N/A</v>
      </c>
      <c r="D576" s="13">
        <f>VLOOKUP(TABLA_PRECIOS_LISTBOX[[#This Row],[Código]],TABLA_PRECIOS[#All],6)</f>
        <v>1</v>
      </c>
      <c r="E576" s="28">
        <f>VLOOKUP(TABLA_PRECIOS_LISTBOX[[#This Row],[Código]],TABLA_PRECIOS[#All],7)</f>
        <v>1</v>
      </c>
      <c r="F576" s="32">
        <f>VLOOKUP(TABLA_PRECIOS_LISTBOX[[#This Row],[Código]],TABLA_PRECIOS[#All],8)</f>
        <v>1</v>
      </c>
      <c r="G576" s="9">
        <f>VLOOKUP(TABLA_PRECIOS_LISTBOX[[#This Row],[Código]],TABLA_PRECIOS[#All],10)</f>
        <v>0</v>
      </c>
    </row>
    <row r="577" spans="1:7" x14ac:dyDescent="0.3">
      <c r="A577" s="4">
        <v>4117</v>
      </c>
      <c r="B577" s="6" t="str">
        <f>VLOOKUP(TABLA_PRECIOS_LISTBOX[Código],LISTADO_PRODUCTOS[#All],4)</f>
        <v>Carpeta Foliada x20 f util-off/display - 7794765003668</v>
      </c>
      <c r="C577" s="6" t="str">
        <f>VLOOKUP(TABLA_PRECIOS_LISTBOX[Código],LISTADO_PRODUCTOS[#All],5)</f>
        <v>N/A</v>
      </c>
      <c r="D577" s="13">
        <f>VLOOKUP(TABLA_PRECIOS_LISTBOX[[#This Row],[Código]],TABLA_PRECIOS[#All],6)</f>
        <v>1</v>
      </c>
      <c r="E577" s="28">
        <f>VLOOKUP(TABLA_PRECIOS_LISTBOX[[#This Row],[Código]],TABLA_PRECIOS[#All],7)</f>
        <v>1</v>
      </c>
      <c r="F577" s="32">
        <f>VLOOKUP(TABLA_PRECIOS_LISTBOX[[#This Row],[Código]],TABLA_PRECIOS[#All],8)</f>
        <v>1</v>
      </c>
      <c r="G577" s="9">
        <f>VLOOKUP(TABLA_PRECIOS_LISTBOX[[#This Row],[Código]],TABLA_PRECIOS[#All],10)</f>
        <v>0</v>
      </c>
    </row>
    <row r="578" spans="1:7" x14ac:dyDescent="0.3">
      <c r="A578" s="4">
        <v>4120</v>
      </c>
      <c r="B578" s="6" t="str">
        <f>VLOOKUP(TABLA_PRECIOS_LISTBOX[Código],LISTADO_PRODUCTOS[#All],4)</f>
        <v>Alfiler SIFAP CX 50gr</v>
      </c>
      <c r="C578" s="6" t="str">
        <f>VLOOKUP(TABLA_PRECIOS_LISTBOX[Código],LISTADO_PRODUCTOS[#All],5)</f>
        <v>N/A</v>
      </c>
      <c r="D578" s="13">
        <f>VLOOKUP(TABLA_PRECIOS_LISTBOX[[#This Row],[Código]],TABLA_PRECIOS[#All],6)</f>
        <v>1</v>
      </c>
      <c r="E578" s="28">
        <f>VLOOKUP(TABLA_PRECIOS_LISTBOX[[#This Row],[Código]],TABLA_PRECIOS[#All],7)</f>
        <v>1</v>
      </c>
      <c r="F578" s="32">
        <f>VLOOKUP(TABLA_PRECIOS_LISTBOX[[#This Row],[Código]],TABLA_PRECIOS[#All],8)</f>
        <v>1</v>
      </c>
      <c r="G578" s="9">
        <f>VLOOKUP(TABLA_PRECIOS_LISTBOX[[#This Row],[Código]],TABLA_PRECIOS[#All],10)</f>
        <v>0</v>
      </c>
    </row>
    <row r="579" spans="1:7" x14ac:dyDescent="0.3">
      <c r="A579" s="4">
        <v>4143</v>
      </c>
      <c r="B579" s="6" t="str">
        <f>VLOOKUP(TABLA_PRECIOS_LISTBOX[Código],LISTADO_PRODUCTOS[#All],4)</f>
        <v>Rollo Motex Blanco P/maquina</v>
      </c>
      <c r="C579" s="6" t="str">
        <f>VLOOKUP(TABLA_PRECIOS_LISTBOX[Código],LISTADO_PRODUCTOS[#All],5)</f>
        <v>N/A</v>
      </c>
      <c r="D579" s="13">
        <f>VLOOKUP(TABLA_PRECIOS_LISTBOX[[#This Row],[Código]],TABLA_PRECIOS[#All],6)</f>
        <v>1</v>
      </c>
      <c r="E579" s="28">
        <f>VLOOKUP(TABLA_PRECIOS_LISTBOX[[#This Row],[Código]],TABLA_PRECIOS[#All],7)</f>
        <v>1</v>
      </c>
      <c r="F579" s="32">
        <f>VLOOKUP(TABLA_PRECIOS_LISTBOX[[#This Row],[Código]],TABLA_PRECIOS[#All],8)</f>
        <v>1</v>
      </c>
      <c r="G579" s="9">
        <f>VLOOKUP(TABLA_PRECIOS_LISTBOX[[#This Row],[Código]],TABLA_PRECIOS[#All],10)</f>
        <v>0</v>
      </c>
    </row>
    <row r="580" spans="1:7" x14ac:dyDescent="0.3">
      <c r="A580" s="4">
        <v>4146</v>
      </c>
      <c r="B580" s="6" t="str">
        <f>VLOOKUP(TABLA_PRECIOS_LISTBOX[Código],LISTADO_PRODUCTOS[#All],4)</f>
        <v>Fichero Metallico Nº2 300 fichas</v>
      </c>
      <c r="C580" s="6" t="str">
        <f>VLOOKUP(TABLA_PRECIOS_LISTBOX[Código],LISTADO_PRODUCTOS[#All],5)</f>
        <v>N/A</v>
      </c>
      <c r="D580" s="13">
        <f>VLOOKUP(TABLA_PRECIOS_LISTBOX[[#This Row],[Código]],TABLA_PRECIOS[#All],6)</f>
        <v>1</v>
      </c>
      <c r="E580" s="28">
        <f>VLOOKUP(TABLA_PRECIOS_LISTBOX[[#This Row],[Código]],TABLA_PRECIOS[#All],7)</f>
        <v>1</v>
      </c>
      <c r="F580" s="32">
        <f>VLOOKUP(TABLA_PRECIOS_LISTBOX[[#This Row],[Código]],TABLA_PRECIOS[#All],8)</f>
        <v>1</v>
      </c>
      <c r="G580" s="9">
        <f>VLOOKUP(TABLA_PRECIOS_LISTBOX[[#This Row],[Código]],TABLA_PRECIOS[#All],10)</f>
        <v>0</v>
      </c>
    </row>
    <row r="581" spans="1:7" x14ac:dyDescent="0.3">
      <c r="A581" s="4">
        <v>4147</v>
      </c>
      <c r="B581" s="6" t="str">
        <f>VLOOKUP(TABLA_PRECIOS_LISTBOX[Código],LISTADO_PRODUCTOS[#All],4)</f>
        <v>Fichero Metallico Nº3 300 fichas</v>
      </c>
      <c r="C581" s="6" t="str">
        <f>VLOOKUP(TABLA_PRECIOS_LISTBOX[Código],LISTADO_PRODUCTOS[#All],5)</f>
        <v>N/A</v>
      </c>
      <c r="D581" s="13">
        <f>VLOOKUP(TABLA_PRECIOS_LISTBOX[[#This Row],[Código]],TABLA_PRECIOS[#All],6)</f>
        <v>1</v>
      </c>
      <c r="E581" s="28">
        <f>VLOOKUP(TABLA_PRECIOS_LISTBOX[[#This Row],[Código]],TABLA_PRECIOS[#All],7)</f>
        <v>1</v>
      </c>
      <c r="F581" s="32">
        <f>VLOOKUP(TABLA_PRECIOS_LISTBOX[[#This Row],[Código]],TABLA_PRECIOS[#All],8)</f>
        <v>1</v>
      </c>
      <c r="G581" s="9">
        <f>VLOOKUP(TABLA_PRECIOS_LISTBOX[[#This Row],[Código]],TABLA_PRECIOS[#All],10)</f>
        <v>0</v>
      </c>
    </row>
    <row r="582" spans="1:7" x14ac:dyDescent="0.3">
      <c r="A582" s="4">
        <v>4148</v>
      </c>
      <c r="B582" s="6" t="str">
        <f>VLOOKUP(TABLA_PRECIOS_LISTBOX[Código],LISTADO_PRODUCTOS[#All],4)</f>
        <v>Notas adhesivas Mooving Tropical 45x 50 x 20hj</v>
      </c>
      <c r="C582" s="6" t="str">
        <f>VLOOKUP(TABLA_PRECIOS_LISTBOX[Código],LISTADO_PRODUCTOS[#All],5)</f>
        <v>N/A</v>
      </c>
      <c r="D582" s="13">
        <f>VLOOKUP(TABLA_PRECIOS_LISTBOX[[#This Row],[Código]],TABLA_PRECIOS[#All],6)</f>
        <v>1</v>
      </c>
      <c r="E582" s="28">
        <f>VLOOKUP(TABLA_PRECIOS_LISTBOX[[#This Row],[Código]],TABLA_PRECIOS[#All],7)</f>
        <v>1</v>
      </c>
      <c r="F582" s="32">
        <f>VLOOKUP(TABLA_PRECIOS_LISTBOX[[#This Row],[Código]],TABLA_PRECIOS[#All],8)</f>
        <v>1</v>
      </c>
      <c r="G582" s="9">
        <f>VLOOKUP(TABLA_PRECIOS_LISTBOX[[#This Row],[Código]],TABLA_PRECIOS[#All],10)</f>
        <v>0</v>
      </c>
    </row>
    <row r="583" spans="1:7" x14ac:dyDescent="0.3">
      <c r="A583" s="4">
        <v>4150</v>
      </c>
      <c r="B583" s="6" t="str">
        <f>VLOOKUP(TABLA_PRECIOS_LISTBOX[Código],LISTADO_PRODUCTOS[#All],4)</f>
        <v>Banderitas Ezco FLUO</v>
      </c>
      <c r="C583" s="6" t="str">
        <f>VLOOKUP(TABLA_PRECIOS_LISTBOX[Código],LISTADO_PRODUCTOS[#All],5)</f>
        <v>N/A</v>
      </c>
      <c r="D583" s="13">
        <f>VLOOKUP(TABLA_PRECIOS_LISTBOX[[#This Row],[Código]],TABLA_PRECIOS[#All],6)</f>
        <v>1</v>
      </c>
      <c r="E583" s="28">
        <f>VLOOKUP(TABLA_PRECIOS_LISTBOX[[#This Row],[Código]],TABLA_PRECIOS[#All],7)</f>
        <v>1</v>
      </c>
      <c r="F583" s="32">
        <f>VLOOKUP(TABLA_PRECIOS_LISTBOX[[#This Row],[Código]],TABLA_PRECIOS[#All],8)</f>
        <v>1</v>
      </c>
      <c r="G583" s="9">
        <f>VLOOKUP(TABLA_PRECIOS_LISTBOX[[#This Row],[Código]],TABLA_PRECIOS[#All],10)</f>
        <v>0</v>
      </c>
    </row>
    <row r="584" spans="1:7" x14ac:dyDescent="0.3">
      <c r="A584" s="4">
        <v>4154</v>
      </c>
      <c r="B584" s="6" t="str">
        <f>VLOOKUP(TABLA_PRECIOS_LISTBOX[Código],LISTADO_PRODUCTOS[#All],4)</f>
        <v>Carpeta fondo base opaca Oficio T/T</v>
      </c>
      <c r="C584" s="6" t="str">
        <f>VLOOKUP(TABLA_PRECIOS_LISTBOX[Código],LISTADO_PRODUCTOS[#All],5)</f>
        <v>N/A</v>
      </c>
      <c r="D584" s="13">
        <f>VLOOKUP(TABLA_PRECIOS_LISTBOX[[#This Row],[Código]],TABLA_PRECIOS[#All],6)</f>
        <v>1</v>
      </c>
      <c r="E584" s="28">
        <f>VLOOKUP(TABLA_PRECIOS_LISTBOX[[#This Row],[Código]],TABLA_PRECIOS[#All],7)</f>
        <v>1</v>
      </c>
      <c r="F584" s="32">
        <f>VLOOKUP(TABLA_PRECIOS_LISTBOX[[#This Row],[Código]],TABLA_PRECIOS[#All],8)</f>
        <v>1</v>
      </c>
      <c r="G584" s="9">
        <f>VLOOKUP(TABLA_PRECIOS_LISTBOX[[#This Row],[Código]],TABLA_PRECIOS[#All],10)</f>
        <v>0</v>
      </c>
    </row>
    <row r="585" spans="1:7" x14ac:dyDescent="0.3">
      <c r="A585" s="4">
        <v>4155</v>
      </c>
      <c r="B585" s="6" t="str">
        <f>VLOOKUP(TABLA_PRECIOS_LISTBOX[Código],LISTADO_PRODUCTOS[#All],4)</f>
        <v>Carpeta Fondo base Opaca A4</v>
      </c>
      <c r="C585" s="6" t="str">
        <f>VLOOKUP(TABLA_PRECIOS_LISTBOX[Código],LISTADO_PRODUCTOS[#All],5)</f>
        <v>N/A</v>
      </c>
      <c r="D585" s="13">
        <f>VLOOKUP(TABLA_PRECIOS_LISTBOX[[#This Row],[Código]],TABLA_PRECIOS[#All],6)</f>
        <v>1</v>
      </c>
      <c r="E585" s="28">
        <f>VLOOKUP(TABLA_PRECIOS_LISTBOX[[#This Row],[Código]],TABLA_PRECIOS[#All],7)</f>
        <v>1</v>
      </c>
      <c r="F585" s="32">
        <f>VLOOKUP(TABLA_PRECIOS_LISTBOX[[#This Row],[Código]],TABLA_PRECIOS[#All],8)</f>
        <v>1</v>
      </c>
      <c r="G585" s="9">
        <f>VLOOKUP(TABLA_PRECIOS_LISTBOX[[#This Row],[Código]],TABLA_PRECIOS[#All],10)</f>
        <v>0</v>
      </c>
    </row>
    <row r="586" spans="1:7" x14ac:dyDescent="0.3">
      <c r="A586" s="4">
        <v>4157</v>
      </c>
      <c r="B586" s="6" t="str">
        <f>VLOOKUP(TABLA_PRECIOS_LISTBOX[Código],LISTADO_PRODUCTOS[#All],4)</f>
        <v>Carpeta C/Vaina Oficio</v>
      </c>
      <c r="C586" s="6" t="str">
        <f>VLOOKUP(TABLA_PRECIOS_LISTBOX[Código],LISTADO_PRODUCTOS[#All],5)</f>
        <v>N/A</v>
      </c>
      <c r="D586" s="13">
        <f>VLOOKUP(TABLA_PRECIOS_LISTBOX[[#This Row],[Código]],TABLA_PRECIOS[#All],6)</f>
        <v>1</v>
      </c>
      <c r="E586" s="28">
        <f>VLOOKUP(TABLA_PRECIOS_LISTBOX[[#This Row],[Código]],TABLA_PRECIOS[#All],7)</f>
        <v>1</v>
      </c>
      <c r="F586" s="32">
        <f>VLOOKUP(TABLA_PRECIOS_LISTBOX[[#This Row],[Código]],TABLA_PRECIOS[#All],8)</f>
        <v>1</v>
      </c>
      <c r="G586" s="9">
        <f>VLOOKUP(TABLA_PRECIOS_LISTBOX[[#This Row],[Código]],TABLA_PRECIOS[#All],10)</f>
        <v>0</v>
      </c>
    </row>
    <row r="587" spans="1:7" x14ac:dyDescent="0.3">
      <c r="A587" s="4">
        <v>4158</v>
      </c>
      <c r="B587" s="6" t="str">
        <f>VLOOKUP(TABLA_PRECIOS_LISTBOX[Código],LISTADO_PRODUCTOS[#All],4)</f>
        <v>Carpeta c/Vaina A4</v>
      </c>
      <c r="C587" s="6" t="str">
        <f>VLOOKUP(TABLA_PRECIOS_LISTBOX[Código],LISTADO_PRODUCTOS[#All],5)</f>
        <v>N/A</v>
      </c>
      <c r="D587" s="13">
        <f>VLOOKUP(TABLA_PRECIOS_LISTBOX[[#This Row],[Código]],TABLA_PRECIOS[#All],6)</f>
        <v>1</v>
      </c>
      <c r="E587" s="28">
        <f>VLOOKUP(TABLA_PRECIOS_LISTBOX[[#This Row],[Código]],TABLA_PRECIOS[#All],7)</f>
        <v>1</v>
      </c>
      <c r="F587" s="32">
        <f>VLOOKUP(TABLA_PRECIOS_LISTBOX[[#This Row],[Código]],TABLA_PRECIOS[#All],8)</f>
        <v>1</v>
      </c>
      <c r="G587" s="9">
        <f>VLOOKUP(TABLA_PRECIOS_LISTBOX[[#This Row],[Código]],TABLA_PRECIOS[#All],10)</f>
        <v>0</v>
      </c>
    </row>
    <row r="588" spans="1:7" x14ac:dyDescent="0.3">
      <c r="A588" s="4">
        <v>4159</v>
      </c>
      <c r="B588" s="6" t="str">
        <f>VLOOKUP(TABLA_PRECIOS_LISTBOX[Código],LISTADO_PRODUCTOS[#All],4)</f>
        <v>Carpeta Veloz</v>
      </c>
      <c r="C588" s="6" t="str">
        <f>VLOOKUP(TABLA_PRECIOS_LISTBOX[Código],LISTADO_PRODUCTOS[#All],5)</f>
        <v>N/A</v>
      </c>
      <c r="D588" s="13">
        <f>VLOOKUP(TABLA_PRECIOS_LISTBOX[[#This Row],[Código]],TABLA_PRECIOS[#All],6)</f>
        <v>1</v>
      </c>
      <c r="E588" s="28">
        <f>VLOOKUP(TABLA_PRECIOS_LISTBOX[[#This Row],[Código]],TABLA_PRECIOS[#All],7)</f>
        <v>1</v>
      </c>
      <c r="F588" s="32">
        <f>VLOOKUP(TABLA_PRECIOS_LISTBOX[[#This Row],[Código]],TABLA_PRECIOS[#All],8)</f>
        <v>1</v>
      </c>
      <c r="G588" s="9">
        <f>VLOOKUP(TABLA_PRECIOS_LISTBOX[[#This Row],[Código]],TABLA_PRECIOS[#All],10)</f>
        <v>0</v>
      </c>
    </row>
    <row r="589" spans="1:7" x14ac:dyDescent="0.3">
      <c r="A589" s="4">
        <v>4160</v>
      </c>
      <c r="B589" s="6" t="str">
        <f>VLOOKUP(TABLA_PRECIOS_LISTBOX[Código],LISTADO_PRODUCTOS[#All],4)</f>
        <v>Carpeta c/vaina color</v>
      </c>
      <c r="C589" s="6" t="str">
        <f>VLOOKUP(TABLA_PRECIOS_LISTBOX[Código],LISTADO_PRODUCTOS[#All],5)</f>
        <v>N/A</v>
      </c>
      <c r="D589" s="13">
        <f>VLOOKUP(TABLA_PRECIOS_LISTBOX[[#This Row],[Código]],TABLA_PRECIOS[#All],6)</f>
        <v>1</v>
      </c>
      <c r="E589" s="28">
        <f>VLOOKUP(TABLA_PRECIOS_LISTBOX[[#This Row],[Código]],TABLA_PRECIOS[#All],7)</f>
        <v>1</v>
      </c>
      <c r="F589" s="32">
        <f>VLOOKUP(TABLA_PRECIOS_LISTBOX[[#This Row],[Código]],TABLA_PRECIOS[#All],8)</f>
        <v>1</v>
      </c>
      <c r="G589" s="9">
        <f>VLOOKUP(TABLA_PRECIOS_LISTBOX[[#This Row],[Código]],TABLA_PRECIOS[#All],10)</f>
        <v>0</v>
      </c>
    </row>
    <row r="590" spans="1:7" x14ac:dyDescent="0.3">
      <c r="A590" s="4">
        <v>4166</v>
      </c>
      <c r="B590" s="6" t="str">
        <f>VLOOKUP(TABLA_PRECIOS_LISTBOX[Código],LISTADO_PRODUCTOS[#All],4)</f>
        <v>Carpeta foliada Lama 100f A4</v>
      </c>
      <c r="C590" s="6" t="str">
        <f>VLOOKUP(TABLA_PRECIOS_LISTBOX[Código],LISTADO_PRODUCTOS[#All],5)</f>
        <v>N/A</v>
      </c>
      <c r="D590" s="13">
        <f>VLOOKUP(TABLA_PRECIOS_LISTBOX[[#This Row],[Código]],TABLA_PRECIOS[#All],6)</f>
        <v>1</v>
      </c>
      <c r="E590" s="28">
        <f>VLOOKUP(TABLA_PRECIOS_LISTBOX[[#This Row],[Código]],TABLA_PRECIOS[#All],7)</f>
        <v>1</v>
      </c>
      <c r="F590" s="32">
        <f>VLOOKUP(TABLA_PRECIOS_LISTBOX[[#This Row],[Código]],TABLA_PRECIOS[#All],8)</f>
        <v>1</v>
      </c>
      <c r="G590" s="9">
        <f>VLOOKUP(TABLA_PRECIOS_LISTBOX[[#This Row],[Código]],TABLA_PRECIOS[#All],10)</f>
        <v>0</v>
      </c>
    </row>
    <row r="591" spans="1:7" x14ac:dyDescent="0.3">
      <c r="A591" s="4">
        <v>4167</v>
      </c>
      <c r="B591" s="6" t="str">
        <f>VLOOKUP(TABLA_PRECIOS_LISTBOX[Código],LISTADO_PRODUCTOS[#All],4)</f>
        <v>Cartuchera para cuaderno/agenda FW A5</v>
      </c>
      <c r="C591" s="6" t="str">
        <f>VLOOKUP(TABLA_PRECIOS_LISTBOX[Código],LISTADO_PRODUCTOS[#All],5)</f>
        <v>N/A</v>
      </c>
      <c r="D591" s="13">
        <f>VLOOKUP(TABLA_PRECIOS_LISTBOX[[#This Row],[Código]],TABLA_PRECIOS[#All],6)</f>
        <v>1</v>
      </c>
      <c r="E591" s="28">
        <f>VLOOKUP(TABLA_PRECIOS_LISTBOX[[#This Row],[Código]],TABLA_PRECIOS[#All],7)</f>
        <v>1</v>
      </c>
      <c r="F591" s="32">
        <f>VLOOKUP(TABLA_PRECIOS_LISTBOX[[#This Row],[Código]],TABLA_PRECIOS[#All],8)</f>
        <v>1</v>
      </c>
      <c r="G591" s="9">
        <f>VLOOKUP(TABLA_PRECIOS_LISTBOX[[#This Row],[Código]],TABLA_PRECIOS[#All],10)</f>
        <v>0</v>
      </c>
    </row>
    <row r="592" spans="1:7" x14ac:dyDescent="0.3">
      <c r="A592" s="4">
        <v>4207</v>
      </c>
      <c r="B592" s="6" t="str">
        <f>VLOOKUP(TABLA_PRECIOS_LISTBOX[Código],LISTADO_PRODUCTOS[#All],4)</f>
        <v>Libro de Actas Potosi 2 manos Clochet</v>
      </c>
      <c r="C592" s="6" t="str">
        <f>VLOOKUP(TABLA_PRECIOS_LISTBOX[Código],LISTADO_PRODUCTOS[#All],5)</f>
        <v>N/A</v>
      </c>
      <c r="D592" s="13">
        <f>VLOOKUP(TABLA_PRECIOS_LISTBOX[[#This Row],[Código]],TABLA_PRECIOS[#All],6)</f>
        <v>1</v>
      </c>
      <c r="E592" s="28">
        <f>VLOOKUP(TABLA_PRECIOS_LISTBOX[[#This Row],[Código]],TABLA_PRECIOS[#All],7)</f>
        <v>1</v>
      </c>
      <c r="F592" s="32">
        <f>VLOOKUP(TABLA_PRECIOS_LISTBOX[[#This Row],[Código]],TABLA_PRECIOS[#All],8)</f>
        <v>1</v>
      </c>
      <c r="G592" s="9">
        <f>VLOOKUP(TABLA_PRECIOS_LISTBOX[[#This Row],[Código]],TABLA_PRECIOS[#All],10)</f>
        <v>0</v>
      </c>
    </row>
    <row r="593" spans="1:7" x14ac:dyDescent="0.3">
      <c r="A593" s="4">
        <v>4208</v>
      </c>
      <c r="B593" s="6" t="str">
        <f>VLOOKUP(TABLA_PRECIOS_LISTBOX[Código],LISTADO_PRODUCTOS[#All],4)</f>
        <v>Libro de Actas Oficio Potosi Corona 2 manos</v>
      </c>
      <c r="C593" s="6" t="str">
        <f>VLOOKUP(TABLA_PRECIOS_LISTBOX[Código],LISTADO_PRODUCTOS[#All],5)</f>
        <v>N/A</v>
      </c>
      <c r="D593" s="13">
        <f>VLOOKUP(TABLA_PRECIOS_LISTBOX[[#This Row],[Código]],TABLA_PRECIOS[#All],6)</f>
        <v>1</v>
      </c>
      <c r="E593" s="28">
        <f>VLOOKUP(TABLA_PRECIOS_LISTBOX[[#This Row],[Código]],TABLA_PRECIOS[#All],7)</f>
        <v>1</v>
      </c>
      <c r="F593" s="32">
        <f>VLOOKUP(TABLA_PRECIOS_LISTBOX[[#This Row],[Código]],TABLA_PRECIOS[#All],8)</f>
        <v>1</v>
      </c>
      <c r="G593" s="9">
        <f>VLOOKUP(TABLA_PRECIOS_LISTBOX[[#This Row],[Código]],TABLA_PRECIOS[#All],10)</f>
        <v>0</v>
      </c>
    </row>
    <row r="594" spans="1:7" x14ac:dyDescent="0.3">
      <c r="A594" s="4">
        <v>4209</v>
      </c>
      <c r="B594" s="6" t="str">
        <f>VLOOKUP(TABLA_PRECIOS_LISTBOX[Código],LISTADO_PRODUCTOS[#All],4)</f>
        <v>Tinta BIC para marcador de Pizarra Blanca</v>
      </c>
      <c r="C594" s="6" t="str">
        <f>VLOOKUP(TABLA_PRECIOS_LISTBOX[Código],LISTADO_PRODUCTOS[#All],5)</f>
        <v>N/A</v>
      </c>
      <c r="D594" s="13">
        <f>VLOOKUP(TABLA_PRECIOS_LISTBOX[[#This Row],[Código]],TABLA_PRECIOS[#All],6)</f>
        <v>1</v>
      </c>
      <c r="E594" s="28">
        <f>VLOOKUP(TABLA_PRECIOS_LISTBOX[[#This Row],[Código]],TABLA_PRECIOS[#All],7)</f>
        <v>1</v>
      </c>
      <c r="F594" s="32">
        <f>VLOOKUP(TABLA_PRECIOS_LISTBOX[[#This Row],[Código]],TABLA_PRECIOS[#All],8)</f>
        <v>1</v>
      </c>
      <c r="G594" s="9">
        <f>VLOOKUP(TABLA_PRECIOS_LISTBOX[[#This Row],[Código]],TABLA_PRECIOS[#All],10)</f>
        <v>0</v>
      </c>
    </row>
    <row r="595" spans="1:7" x14ac:dyDescent="0.3">
      <c r="A595" s="4">
        <v>4211</v>
      </c>
      <c r="B595" s="6" t="str">
        <f>VLOOKUP(TABLA_PRECIOS_LISTBOX[Código],LISTADO_PRODUCTOS[#All],4)</f>
        <v>Clasificador A4 LAMA EF202NE</v>
      </c>
      <c r="C595" s="6" t="str">
        <f>VLOOKUP(TABLA_PRECIOS_LISTBOX[Código],LISTADO_PRODUCTOS[#All],5)</f>
        <v>N/A</v>
      </c>
      <c r="D595" s="13">
        <f>VLOOKUP(TABLA_PRECIOS_LISTBOX[[#This Row],[Código]],TABLA_PRECIOS[#All],6)</f>
        <v>1</v>
      </c>
      <c r="E595" s="28">
        <f>VLOOKUP(TABLA_PRECIOS_LISTBOX[[#This Row],[Código]],TABLA_PRECIOS[#All],7)</f>
        <v>1</v>
      </c>
      <c r="F595" s="32">
        <f>VLOOKUP(TABLA_PRECIOS_LISTBOX[[#This Row],[Código]],TABLA_PRECIOS[#All],8)</f>
        <v>1</v>
      </c>
      <c r="G595" s="9">
        <f>VLOOKUP(TABLA_PRECIOS_LISTBOX[[#This Row],[Código]],TABLA_PRECIOS[#All],10)</f>
        <v>0</v>
      </c>
    </row>
    <row r="596" spans="1:7" x14ac:dyDescent="0.3">
      <c r="A596" s="4">
        <v>4301</v>
      </c>
      <c r="B596" s="6" t="str">
        <f>VLOOKUP(TABLA_PRECIOS_LISTBOX[Código],LISTADO_PRODUCTOS[#All],4)</f>
        <v>Broche Clip Sifap Forrado Color Nº6</v>
      </c>
      <c r="C596" s="6" t="str">
        <f>VLOOKUP(TABLA_PRECIOS_LISTBOX[Código],LISTADO_PRODUCTOS[#All],5)</f>
        <v>N/A</v>
      </c>
      <c r="D596" s="13">
        <f>VLOOKUP(TABLA_PRECIOS_LISTBOX[[#This Row],[Código]],TABLA_PRECIOS[#All],6)</f>
        <v>1</v>
      </c>
      <c r="E596" s="28">
        <f>VLOOKUP(TABLA_PRECIOS_LISTBOX[[#This Row],[Código]],TABLA_PRECIOS[#All],7)</f>
        <v>1</v>
      </c>
      <c r="F596" s="32">
        <f>VLOOKUP(TABLA_PRECIOS_LISTBOX[[#This Row],[Código]],TABLA_PRECIOS[#All],8)</f>
        <v>1</v>
      </c>
      <c r="G596" s="9">
        <f>VLOOKUP(TABLA_PRECIOS_LISTBOX[[#This Row],[Código]],TABLA_PRECIOS[#All],10)</f>
        <v>0</v>
      </c>
    </row>
    <row r="597" spans="1:7" x14ac:dyDescent="0.3">
      <c r="A597" s="4">
        <v>4302</v>
      </c>
      <c r="B597" s="6" t="str">
        <f>VLOOKUP(TABLA_PRECIOS_LISTBOX[Código],LISTADO_PRODUCTOS[#All],4)</f>
        <v>Marcador Sharpie Metal plateado/rojo/azul/verde</v>
      </c>
      <c r="C597" s="6" t="str">
        <f>VLOOKUP(TABLA_PRECIOS_LISTBOX[Código],LISTADO_PRODUCTOS[#All],5)</f>
        <v>N/A</v>
      </c>
      <c r="D597" s="13">
        <f>VLOOKUP(TABLA_PRECIOS_LISTBOX[[#This Row],[Código]],TABLA_PRECIOS[#All],6)</f>
        <v>1</v>
      </c>
      <c r="E597" s="28">
        <f>VLOOKUP(TABLA_PRECIOS_LISTBOX[[#This Row],[Código]],TABLA_PRECIOS[#All],7)</f>
        <v>1</v>
      </c>
      <c r="F597" s="32">
        <f>VLOOKUP(TABLA_PRECIOS_LISTBOX[[#This Row],[Código]],TABLA_PRECIOS[#All],8)</f>
        <v>1</v>
      </c>
      <c r="G597" s="9">
        <f>VLOOKUP(TABLA_PRECIOS_LISTBOX[[#This Row],[Código]],TABLA_PRECIOS[#All],10)</f>
        <v>0</v>
      </c>
    </row>
    <row r="598" spans="1:7" x14ac:dyDescent="0.3">
      <c r="A598" s="4">
        <v>4305</v>
      </c>
      <c r="B598" s="6" t="str">
        <f>VLOOKUP(TABLA_PRECIOS_LISTBOX[Código],LISTADO_PRODUCTOS[#All],4)</f>
        <v>Banderitas flecha Mooving Pastel</v>
      </c>
      <c r="C598" s="6" t="str">
        <f>VLOOKUP(TABLA_PRECIOS_LISTBOX[Código],LISTADO_PRODUCTOS[#All],5)</f>
        <v>N/A</v>
      </c>
      <c r="D598" s="13">
        <f>VLOOKUP(TABLA_PRECIOS_LISTBOX[[#This Row],[Código]],TABLA_PRECIOS[#All],6)</f>
        <v>1</v>
      </c>
      <c r="E598" s="28">
        <f>VLOOKUP(TABLA_PRECIOS_LISTBOX[[#This Row],[Código]],TABLA_PRECIOS[#All],7)</f>
        <v>1</v>
      </c>
      <c r="F598" s="32">
        <f>VLOOKUP(TABLA_PRECIOS_LISTBOX[[#This Row],[Código]],TABLA_PRECIOS[#All],8)</f>
        <v>1</v>
      </c>
      <c r="G598" s="9">
        <f>VLOOKUP(TABLA_PRECIOS_LISTBOX[[#This Row],[Código]],TABLA_PRECIOS[#All],10)</f>
        <v>0</v>
      </c>
    </row>
    <row r="599" spans="1:7" x14ac:dyDescent="0.3">
      <c r="A599" s="4">
        <v>4308</v>
      </c>
      <c r="B599" s="6" t="str">
        <f>VLOOKUP(TABLA_PRECIOS_LISTBOX[Código],LISTADO_PRODUCTOS[#All],4)</f>
        <v>Clip Sifap N°8 78mm</v>
      </c>
      <c r="C599" s="6" t="str">
        <f>VLOOKUP(TABLA_PRECIOS_LISTBOX[Código],LISTADO_PRODUCTOS[#All],5)</f>
        <v>N/A</v>
      </c>
      <c r="D599" s="13">
        <f>VLOOKUP(TABLA_PRECIOS_LISTBOX[[#This Row],[Código]],TABLA_PRECIOS[#All],6)</f>
        <v>1</v>
      </c>
      <c r="E599" s="28">
        <f>VLOOKUP(TABLA_PRECIOS_LISTBOX[[#This Row],[Código]],TABLA_PRECIOS[#All],7)</f>
        <v>1</v>
      </c>
      <c r="F599" s="32">
        <f>VLOOKUP(TABLA_PRECIOS_LISTBOX[[#This Row],[Código]],TABLA_PRECIOS[#All],8)</f>
        <v>1</v>
      </c>
      <c r="G599" s="9">
        <f>VLOOKUP(TABLA_PRECIOS_LISTBOX[[#This Row],[Código]],TABLA_PRECIOS[#All],10)</f>
        <v>0</v>
      </c>
    </row>
    <row r="600" spans="1:7" x14ac:dyDescent="0.3">
      <c r="A600" s="4">
        <v>4322</v>
      </c>
      <c r="B600" s="6" t="str">
        <f>VLOOKUP(TABLA_PRECIOS_LISTBOX[Código],LISTADO_PRODUCTOS[#All],4)</f>
        <v>Clip 50mm Trazos</v>
      </c>
      <c r="C600" s="6" t="str">
        <f>VLOOKUP(TABLA_PRECIOS_LISTBOX[Código],LISTADO_PRODUCTOS[#All],5)</f>
        <v>N/A</v>
      </c>
      <c r="D600" s="13">
        <f>VLOOKUP(TABLA_PRECIOS_LISTBOX[[#This Row],[Código]],TABLA_PRECIOS[#All],6)</f>
        <v>1</v>
      </c>
      <c r="E600" s="28">
        <f>VLOOKUP(TABLA_PRECIOS_LISTBOX[[#This Row],[Código]],TABLA_PRECIOS[#All],7)</f>
        <v>1</v>
      </c>
      <c r="F600" s="32">
        <f>VLOOKUP(TABLA_PRECIOS_LISTBOX[[#This Row],[Código]],TABLA_PRECIOS[#All],8)</f>
        <v>1</v>
      </c>
      <c r="G600" s="9">
        <f>VLOOKUP(TABLA_PRECIOS_LISTBOX[[#This Row],[Código]],TABLA_PRECIOS[#All],10)</f>
        <v>0</v>
      </c>
    </row>
    <row r="601" spans="1:7" x14ac:dyDescent="0.3">
      <c r="A601" s="4">
        <v>4323</v>
      </c>
      <c r="B601" s="6" t="str">
        <f>VLOOKUP(TABLA_PRECIOS_LISTBOX[Código],LISTADO_PRODUCTOS[#All],4)</f>
        <v>Libro Recibos expediente Potosi</v>
      </c>
      <c r="C601" s="6" t="str">
        <f>VLOOKUP(TABLA_PRECIOS_LISTBOX[Código],LISTADO_PRODUCTOS[#All],5)</f>
        <v>N/A</v>
      </c>
      <c r="D601" s="13">
        <f>VLOOKUP(TABLA_PRECIOS_LISTBOX[[#This Row],[Código]],TABLA_PRECIOS[#All],6)</f>
        <v>1</v>
      </c>
      <c r="E601" s="28">
        <f>VLOOKUP(TABLA_PRECIOS_LISTBOX[[#This Row],[Código]],TABLA_PRECIOS[#All],7)</f>
        <v>1</v>
      </c>
      <c r="F601" s="32">
        <f>VLOOKUP(TABLA_PRECIOS_LISTBOX[[#This Row],[Código]],TABLA_PRECIOS[#All],8)</f>
        <v>1</v>
      </c>
      <c r="G601" s="9">
        <f>VLOOKUP(TABLA_PRECIOS_LISTBOX[[#This Row],[Código]],TABLA_PRECIOS[#All],10)</f>
        <v>0</v>
      </c>
    </row>
    <row r="602" spans="1:7" x14ac:dyDescent="0.3">
      <c r="A602" s="4">
        <v>4325</v>
      </c>
      <c r="B602" s="6" t="str">
        <f>VLOOKUP(TABLA_PRECIOS_LISTBOX[Código],LISTADO_PRODUCTOS[#All],4)</f>
        <v>Carpeta foliada Oficio Util-off 60f - 7794765003712</v>
      </c>
      <c r="C602" s="6" t="str">
        <f>VLOOKUP(TABLA_PRECIOS_LISTBOX[Código],LISTADO_PRODUCTOS[#All],5)</f>
        <v>N/A</v>
      </c>
      <c r="D602" s="13">
        <f>VLOOKUP(TABLA_PRECIOS_LISTBOX[[#This Row],[Código]],TABLA_PRECIOS[#All],6)</f>
        <v>1</v>
      </c>
      <c r="E602" s="28">
        <f>VLOOKUP(TABLA_PRECIOS_LISTBOX[[#This Row],[Código]],TABLA_PRECIOS[#All],7)</f>
        <v>1</v>
      </c>
      <c r="F602" s="32">
        <f>VLOOKUP(TABLA_PRECIOS_LISTBOX[[#This Row],[Código]],TABLA_PRECIOS[#All],8)</f>
        <v>1</v>
      </c>
      <c r="G602" s="9">
        <f>VLOOKUP(TABLA_PRECIOS_LISTBOX[[#This Row],[Código]],TABLA_PRECIOS[#All],10)</f>
        <v>0</v>
      </c>
    </row>
    <row r="603" spans="1:7" x14ac:dyDescent="0.3">
      <c r="A603" s="4">
        <v>4328</v>
      </c>
      <c r="B603" s="6" t="str">
        <f>VLOOKUP(TABLA_PRECIOS_LISTBOX[Código],LISTADO_PRODUCTOS[#All],4)</f>
        <v>Broche Clip Sifap metal Nº5 / Nº6</v>
      </c>
      <c r="C603" s="6" t="str">
        <f>VLOOKUP(TABLA_PRECIOS_LISTBOX[Código],LISTADO_PRODUCTOS[#All],5)</f>
        <v>N/A</v>
      </c>
      <c r="D603" s="13">
        <f>VLOOKUP(TABLA_PRECIOS_LISTBOX[[#This Row],[Código]],TABLA_PRECIOS[#All],6)</f>
        <v>1</v>
      </c>
      <c r="E603" s="28">
        <f>VLOOKUP(TABLA_PRECIOS_LISTBOX[[#This Row],[Código]],TABLA_PRECIOS[#All],7)</f>
        <v>1</v>
      </c>
      <c r="F603" s="32">
        <f>VLOOKUP(TABLA_PRECIOS_LISTBOX[[#This Row],[Código]],TABLA_PRECIOS[#All],8)</f>
        <v>1</v>
      </c>
      <c r="G603" s="9">
        <f>VLOOKUP(TABLA_PRECIOS_LISTBOX[[#This Row],[Código]],TABLA_PRECIOS[#All],10)</f>
        <v>0</v>
      </c>
    </row>
    <row r="604" spans="1:7" x14ac:dyDescent="0.3">
      <c r="A604" s="4">
        <v>4332</v>
      </c>
      <c r="B604" s="6" t="str">
        <f>VLOOKUP(TABLA_PRECIOS_LISTBOX[Código],LISTADO_PRODUCTOS[#All],4)</f>
        <v>Carpeta colgante nepaco delta</v>
      </c>
      <c r="C604" s="6" t="str">
        <f>VLOOKUP(TABLA_PRECIOS_LISTBOX[Código],LISTADO_PRODUCTOS[#All],5)</f>
        <v>N/A</v>
      </c>
      <c r="D604" s="13">
        <f>VLOOKUP(TABLA_PRECIOS_LISTBOX[[#This Row],[Código]],TABLA_PRECIOS[#All],6)</f>
        <v>1</v>
      </c>
      <c r="E604" s="28">
        <f>VLOOKUP(TABLA_PRECIOS_LISTBOX[[#This Row],[Código]],TABLA_PRECIOS[#All],7)</f>
        <v>1</v>
      </c>
      <c r="F604" s="32">
        <f>VLOOKUP(TABLA_PRECIOS_LISTBOX[[#This Row],[Código]],TABLA_PRECIOS[#All],8)</f>
        <v>1</v>
      </c>
      <c r="G604" s="9">
        <f>VLOOKUP(TABLA_PRECIOS_LISTBOX[[#This Row],[Código]],TABLA_PRECIOS[#All],10)</f>
        <v>0</v>
      </c>
    </row>
    <row r="605" spans="1:7" x14ac:dyDescent="0.3">
      <c r="A605" s="4">
        <v>4335</v>
      </c>
      <c r="B605" s="6" t="str">
        <f>VLOOKUP(TABLA_PRECIOS_LISTBOX[Código],LISTADO_PRODUCTOS[#All],4)</f>
        <v>Carpeta foliada 10f util-off oficio - 7794765003644</v>
      </c>
      <c r="C605" s="6" t="str">
        <f>VLOOKUP(TABLA_PRECIOS_LISTBOX[Código],LISTADO_PRODUCTOS[#All],5)</f>
        <v>N/A</v>
      </c>
      <c r="D605" s="13">
        <f>VLOOKUP(TABLA_PRECIOS_LISTBOX[[#This Row],[Código]],TABLA_PRECIOS[#All],6)</f>
        <v>1</v>
      </c>
      <c r="E605" s="28">
        <f>VLOOKUP(TABLA_PRECIOS_LISTBOX[[#This Row],[Código]],TABLA_PRECIOS[#All],7)</f>
        <v>1</v>
      </c>
      <c r="F605" s="32">
        <f>VLOOKUP(TABLA_PRECIOS_LISTBOX[[#This Row],[Código]],TABLA_PRECIOS[#All],8)</f>
        <v>1</v>
      </c>
      <c r="G605" s="9">
        <f>VLOOKUP(TABLA_PRECIOS_LISTBOX[[#This Row],[Código]],TABLA_PRECIOS[#All],10)</f>
        <v>0</v>
      </c>
    </row>
    <row r="606" spans="1:7" x14ac:dyDescent="0.3">
      <c r="A606" s="4">
        <v>4336</v>
      </c>
      <c r="B606" s="6" t="str">
        <f>VLOOKUP(TABLA_PRECIOS_LISTBOX[Código],LISTADO_PRODUCTOS[#All],4)</f>
        <v>Plancha de ojalillos Ori-Tec C/U</v>
      </c>
      <c r="C606" s="6" t="str">
        <f>VLOOKUP(TABLA_PRECIOS_LISTBOX[Código],LISTADO_PRODUCTOS[#All],5)</f>
        <v>N/A</v>
      </c>
      <c r="D606" s="13">
        <f>VLOOKUP(TABLA_PRECIOS_LISTBOX[[#This Row],[Código]],TABLA_PRECIOS[#All],6)</f>
        <v>1</v>
      </c>
      <c r="E606" s="28">
        <f>VLOOKUP(TABLA_PRECIOS_LISTBOX[[#This Row],[Código]],TABLA_PRECIOS[#All],7)</f>
        <v>1</v>
      </c>
      <c r="F606" s="32">
        <f>VLOOKUP(TABLA_PRECIOS_LISTBOX[[#This Row],[Código]],TABLA_PRECIOS[#All],8)</f>
        <v>1</v>
      </c>
      <c r="G606" s="9">
        <f>VLOOKUP(TABLA_PRECIOS_LISTBOX[[#This Row],[Código]],TABLA_PRECIOS[#All],10)</f>
        <v>0</v>
      </c>
    </row>
    <row r="607" spans="1:7" x14ac:dyDescent="0.3">
      <c r="A607" s="4">
        <v>4337</v>
      </c>
      <c r="B607" s="6" t="str">
        <f>VLOOKUP(TABLA_PRECIOS_LISTBOX[Código],LISTADO_PRODUCTOS[#All],4)</f>
        <v>Banderitas Mickey de Mooving</v>
      </c>
      <c r="C607" s="6" t="str">
        <f>VLOOKUP(TABLA_PRECIOS_LISTBOX[Código],LISTADO_PRODUCTOS[#All],5)</f>
        <v>N/A</v>
      </c>
      <c r="D607" s="13">
        <f>VLOOKUP(TABLA_PRECIOS_LISTBOX[[#This Row],[Código]],TABLA_PRECIOS[#All],6)</f>
        <v>1</v>
      </c>
      <c r="E607" s="28">
        <f>VLOOKUP(TABLA_PRECIOS_LISTBOX[[#This Row],[Código]],TABLA_PRECIOS[#All],7)</f>
        <v>1</v>
      </c>
      <c r="F607" s="32">
        <f>VLOOKUP(TABLA_PRECIOS_LISTBOX[[#This Row],[Código]],TABLA_PRECIOS[#All],8)</f>
        <v>1</v>
      </c>
      <c r="G607" s="9">
        <f>VLOOKUP(TABLA_PRECIOS_LISTBOX[[#This Row],[Código]],TABLA_PRECIOS[#All],10)</f>
        <v>0</v>
      </c>
    </row>
    <row r="608" spans="1:7" x14ac:dyDescent="0.3">
      <c r="A608" s="4">
        <v>4338</v>
      </c>
      <c r="B608" s="6" t="str">
        <f>VLOOKUP(TABLA_PRECIOS_LISTBOX[Código],LISTADO_PRODUCTOS[#All],4)</f>
        <v>Banderitas mooving 2100203 / 2</v>
      </c>
      <c r="C608" s="6" t="str">
        <f>VLOOKUP(TABLA_PRECIOS_LISTBOX[Código],LISTADO_PRODUCTOS[#All],5)</f>
        <v>N/A</v>
      </c>
      <c r="D608" s="13">
        <f>VLOOKUP(TABLA_PRECIOS_LISTBOX[[#This Row],[Código]],TABLA_PRECIOS[#All],6)</f>
        <v>1</v>
      </c>
      <c r="E608" s="28">
        <f>VLOOKUP(TABLA_PRECIOS_LISTBOX[[#This Row],[Código]],TABLA_PRECIOS[#All],7)</f>
        <v>1</v>
      </c>
      <c r="F608" s="32">
        <f>VLOOKUP(TABLA_PRECIOS_LISTBOX[[#This Row],[Código]],TABLA_PRECIOS[#All],8)</f>
        <v>1</v>
      </c>
      <c r="G608" s="9">
        <f>VLOOKUP(TABLA_PRECIOS_LISTBOX[[#This Row],[Código]],TABLA_PRECIOS[#All],10)</f>
        <v>0</v>
      </c>
    </row>
    <row r="609" spans="1:7" x14ac:dyDescent="0.3">
      <c r="A609" s="4">
        <v>4340</v>
      </c>
      <c r="B609" s="6" t="str">
        <f>VLOOKUP(TABLA_PRECIOS_LISTBOX[Código],LISTADO_PRODUCTOS[#All],4)</f>
        <v>banderitas mooving 2100207</v>
      </c>
      <c r="C609" s="6" t="str">
        <f>VLOOKUP(TABLA_PRECIOS_LISTBOX[Código],LISTADO_PRODUCTOS[#All],5)</f>
        <v>N/A</v>
      </c>
      <c r="D609" s="13">
        <f>VLOOKUP(TABLA_PRECIOS_LISTBOX[[#This Row],[Código]],TABLA_PRECIOS[#All],6)</f>
        <v>1</v>
      </c>
      <c r="E609" s="28">
        <f>VLOOKUP(TABLA_PRECIOS_LISTBOX[[#This Row],[Código]],TABLA_PRECIOS[#All],7)</f>
        <v>1</v>
      </c>
      <c r="F609" s="32">
        <f>VLOOKUP(TABLA_PRECIOS_LISTBOX[[#This Row],[Código]],TABLA_PRECIOS[#All],8)</f>
        <v>1</v>
      </c>
      <c r="G609" s="9">
        <f>VLOOKUP(TABLA_PRECIOS_LISTBOX[[#This Row],[Código]],TABLA_PRECIOS[#All],10)</f>
        <v>0</v>
      </c>
    </row>
    <row r="610" spans="1:7" x14ac:dyDescent="0.3">
      <c r="A610" s="4">
        <v>4341</v>
      </c>
      <c r="B610" s="6" t="str">
        <f>VLOOKUP(TABLA_PRECIOS_LISTBOX[Código],LISTADO_PRODUCTOS[#All],4)</f>
        <v>banderitas mooving 2100402</v>
      </c>
      <c r="C610" s="6" t="str">
        <f>VLOOKUP(TABLA_PRECIOS_LISTBOX[Código],LISTADO_PRODUCTOS[#All],5)</f>
        <v>N/A</v>
      </c>
      <c r="D610" s="13">
        <f>VLOOKUP(TABLA_PRECIOS_LISTBOX[[#This Row],[Código]],TABLA_PRECIOS[#All],6)</f>
        <v>1</v>
      </c>
      <c r="E610" s="28">
        <f>VLOOKUP(TABLA_PRECIOS_LISTBOX[[#This Row],[Código]],TABLA_PRECIOS[#All],7)</f>
        <v>1</v>
      </c>
      <c r="F610" s="32">
        <f>VLOOKUP(TABLA_PRECIOS_LISTBOX[[#This Row],[Código]],TABLA_PRECIOS[#All],8)</f>
        <v>1</v>
      </c>
      <c r="G610" s="9">
        <f>VLOOKUP(TABLA_PRECIOS_LISTBOX[[#This Row],[Código]],TABLA_PRECIOS[#All],10)</f>
        <v>0</v>
      </c>
    </row>
    <row r="611" spans="1:7" x14ac:dyDescent="0.3">
      <c r="A611" s="4">
        <v>4342</v>
      </c>
      <c r="B611" s="6" t="str">
        <f>VLOOKUP(TABLA_PRECIOS_LISTBOX[Código],LISTADO_PRODUCTOS[#All],4)</f>
        <v>Flechas Adhesivas Mooving pastel</v>
      </c>
      <c r="C611" s="6" t="str">
        <f>VLOOKUP(TABLA_PRECIOS_LISTBOX[Código],LISTADO_PRODUCTOS[#All],5)</f>
        <v>N/A</v>
      </c>
      <c r="D611" s="13">
        <f>VLOOKUP(TABLA_PRECIOS_LISTBOX[[#This Row],[Código]],TABLA_PRECIOS[#All],6)</f>
        <v>1</v>
      </c>
      <c r="E611" s="28">
        <f>VLOOKUP(TABLA_PRECIOS_LISTBOX[[#This Row],[Código]],TABLA_PRECIOS[#All],7)</f>
        <v>1</v>
      </c>
      <c r="F611" s="32">
        <f>VLOOKUP(TABLA_PRECIOS_LISTBOX[[#This Row],[Código]],TABLA_PRECIOS[#All],8)</f>
        <v>1</v>
      </c>
      <c r="G611" s="9">
        <f>VLOOKUP(TABLA_PRECIOS_LISTBOX[[#This Row],[Código]],TABLA_PRECIOS[#All],10)</f>
        <v>0</v>
      </c>
    </row>
    <row r="612" spans="1:7" x14ac:dyDescent="0.3">
      <c r="A612" s="4">
        <v>4345</v>
      </c>
      <c r="B612" s="6" t="str">
        <f>VLOOKUP(TABLA_PRECIOS_LISTBOX[Código],LISTADO_PRODUCTOS[#All],4)</f>
        <v>Banderitas mooving 2100205</v>
      </c>
      <c r="C612" s="6" t="str">
        <f>VLOOKUP(TABLA_PRECIOS_LISTBOX[Código],LISTADO_PRODUCTOS[#All],5)</f>
        <v>N/A</v>
      </c>
      <c r="D612" s="13">
        <f>VLOOKUP(TABLA_PRECIOS_LISTBOX[[#This Row],[Código]],TABLA_PRECIOS[#All],6)</f>
        <v>1</v>
      </c>
      <c r="E612" s="28">
        <f>VLOOKUP(TABLA_PRECIOS_LISTBOX[[#This Row],[Código]],TABLA_PRECIOS[#All],7)</f>
        <v>1</v>
      </c>
      <c r="F612" s="32">
        <f>VLOOKUP(TABLA_PRECIOS_LISTBOX[[#This Row],[Código]],TABLA_PRECIOS[#All],8)</f>
        <v>1</v>
      </c>
      <c r="G612" s="9">
        <f>VLOOKUP(TABLA_PRECIOS_LISTBOX[[#This Row],[Código]],TABLA_PRECIOS[#All],10)</f>
        <v>0</v>
      </c>
    </row>
    <row r="613" spans="1:7" x14ac:dyDescent="0.3">
      <c r="A613" s="4">
        <v>4346</v>
      </c>
      <c r="B613" s="6" t="str">
        <f>VLOOKUP(TABLA_PRECIOS_LISTBOX[Código],LISTADO_PRODUCTOS[#All],4)</f>
        <v>Carpeta catalogo foliada 10F General Office A4</v>
      </c>
      <c r="C613" s="6" t="str">
        <f>VLOOKUP(TABLA_PRECIOS_LISTBOX[Código],LISTADO_PRODUCTOS[#All],5)</f>
        <v>N/A</v>
      </c>
      <c r="D613" s="13">
        <f>VLOOKUP(TABLA_PRECIOS_LISTBOX[[#This Row],[Código]],TABLA_PRECIOS[#All],6)</f>
        <v>1</v>
      </c>
      <c r="E613" s="28">
        <f>VLOOKUP(TABLA_PRECIOS_LISTBOX[[#This Row],[Código]],TABLA_PRECIOS[#All],7)</f>
        <v>1</v>
      </c>
      <c r="F613" s="32">
        <f>VLOOKUP(TABLA_PRECIOS_LISTBOX[[#This Row],[Código]],TABLA_PRECIOS[#All],8)</f>
        <v>1</v>
      </c>
      <c r="G613" s="9">
        <f>VLOOKUP(TABLA_PRECIOS_LISTBOX[[#This Row],[Código]],TABLA_PRECIOS[#All],10)</f>
        <v>0</v>
      </c>
    </row>
    <row r="614" spans="1:7" x14ac:dyDescent="0.3">
      <c r="A614" s="4">
        <v>4354</v>
      </c>
      <c r="B614" s="6" t="str">
        <f>VLOOKUP(TABLA_PRECIOS_LISTBOX[Código],LISTADO_PRODUCTOS[#All],4)</f>
        <v>Marcador SHARPIE STAINED P/TELA PUNTA PINCEL blister x8u</v>
      </c>
      <c r="C614" s="6" t="str">
        <f>VLOOKUP(TABLA_PRECIOS_LISTBOX[Código],LISTADO_PRODUCTOS[#All],5)</f>
        <v>N/A</v>
      </c>
      <c r="D614" s="13">
        <f>VLOOKUP(TABLA_PRECIOS_LISTBOX[[#This Row],[Código]],TABLA_PRECIOS[#All],6)</f>
        <v>1</v>
      </c>
      <c r="E614" s="28">
        <f>VLOOKUP(TABLA_PRECIOS_LISTBOX[[#This Row],[Código]],TABLA_PRECIOS[#All],7)</f>
        <v>1</v>
      </c>
      <c r="F614" s="32">
        <f>VLOOKUP(TABLA_PRECIOS_LISTBOX[[#This Row],[Código]],TABLA_PRECIOS[#All],8)</f>
        <v>1</v>
      </c>
      <c r="G614" s="9">
        <f>VLOOKUP(TABLA_PRECIOS_LISTBOX[[#This Row],[Código]],TABLA_PRECIOS[#All],10)</f>
        <v>0</v>
      </c>
    </row>
    <row r="615" spans="1:7" x14ac:dyDescent="0.3">
      <c r="A615" s="4">
        <v>4362</v>
      </c>
      <c r="B615" s="6" t="str">
        <f>VLOOKUP(TABLA_PRECIOS_LISTBOX[Código],LISTADO_PRODUCTOS[#All],4)</f>
        <v>Abrochadora brazo largo 31cm + 1000 broche 26/6</v>
      </c>
      <c r="C615" s="6" t="str">
        <f>VLOOKUP(TABLA_PRECIOS_LISTBOX[Código],LISTADO_PRODUCTOS[#All],5)</f>
        <v>N/A</v>
      </c>
      <c r="D615" s="13">
        <f>VLOOKUP(TABLA_PRECIOS_LISTBOX[[#This Row],[Código]],TABLA_PRECIOS[#All],6)</f>
        <v>1</v>
      </c>
      <c r="E615" s="28">
        <f>VLOOKUP(TABLA_PRECIOS_LISTBOX[[#This Row],[Código]],TABLA_PRECIOS[#All],7)</f>
        <v>1</v>
      </c>
      <c r="F615" s="32">
        <f>VLOOKUP(TABLA_PRECIOS_LISTBOX[[#This Row],[Código]],TABLA_PRECIOS[#All],8)</f>
        <v>1</v>
      </c>
      <c r="G615" s="9">
        <f>VLOOKUP(TABLA_PRECIOS_LISTBOX[[#This Row],[Código]],TABLA_PRECIOS[#All],10)</f>
        <v>0</v>
      </c>
    </row>
    <row r="616" spans="1:7" x14ac:dyDescent="0.3">
      <c r="A616" s="4">
        <v>4363</v>
      </c>
      <c r="B616" s="6" t="str">
        <f>VLOOKUP(TABLA_PRECIOS_LISTBOX[Código],LISTADO_PRODUCTOS[#All],4)</f>
        <v>Almohadilla Pelikan N°0</v>
      </c>
      <c r="C616" s="6" t="str">
        <f>VLOOKUP(TABLA_PRECIOS_LISTBOX[Código],LISTADO_PRODUCTOS[#All],5)</f>
        <v>N/A</v>
      </c>
      <c r="D616" s="13">
        <f>VLOOKUP(TABLA_PRECIOS_LISTBOX[[#This Row],[Código]],TABLA_PRECIOS[#All],6)</f>
        <v>1</v>
      </c>
      <c r="E616" s="28">
        <f>VLOOKUP(TABLA_PRECIOS_LISTBOX[[#This Row],[Código]],TABLA_PRECIOS[#All],7)</f>
        <v>1</v>
      </c>
      <c r="F616" s="32">
        <f>VLOOKUP(TABLA_PRECIOS_LISTBOX[[#This Row],[Código]],TABLA_PRECIOS[#All],8)</f>
        <v>1</v>
      </c>
      <c r="G616" s="9">
        <f>VLOOKUP(TABLA_PRECIOS_LISTBOX[[#This Row],[Código]],TABLA_PRECIOS[#All],10)</f>
        <v>0</v>
      </c>
    </row>
    <row r="617" spans="1:7" x14ac:dyDescent="0.3">
      <c r="A617" s="4">
        <v>4364</v>
      </c>
      <c r="B617" s="6" t="str">
        <f>VLOOKUP(TABLA_PRECIOS_LISTBOX[Código],LISTADO_PRODUCTOS[#All],4)</f>
        <v>Almohadilla Pelikan N°1</v>
      </c>
      <c r="C617" s="6" t="str">
        <f>VLOOKUP(TABLA_PRECIOS_LISTBOX[Código],LISTADO_PRODUCTOS[#All],5)</f>
        <v>N/A</v>
      </c>
      <c r="D617" s="13">
        <f>VLOOKUP(TABLA_PRECIOS_LISTBOX[[#This Row],[Código]],TABLA_PRECIOS[#All],6)</f>
        <v>1</v>
      </c>
      <c r="E617" s="28">
        <f>VLOOKUP(TABLA_PRECIOS_LISTBOX[[#This Row],[Código]],TABLA_PRECIOS[#All],7)</f>
        <v>1</v>
      </c>
      <c r="F617" s="32">
        <f>VLOOKUP(TABLA_PRECIOS_LISTBOX[[#This Row],[Código]],TABLA_PRECIOS[#All],8)</f>
        <v>1</v>
      </c>
      <c r="G617" s="9">
        <f>VLOOKUP(TABLA_PRECIOS_LISTBOX[[#This Row],[Código]],TABLA_PRECIOS[#All],10)</f>
        <v>0</v>
      </c>
    </row>
    <row r="618" spans="1:7" x14ac:dyDescent="0.3">
      <c r="A618" s="4">
        <v>4366</v>
      </c>
      <c r="B618" s="6" t="str">
        <f>VLOOKUP(TABLA_PRECIOS_LISTBOX[Código],LISTADO_PRODUCTOS[#All],4)</f>
        <v>Marcador Simball metaizado doble punta pinta 2</v>
      </c>
      <c r="C618" s="6" t="str">
        <f>VLOOKUP(TABLA_PRECIOS_LISTBOX[Código],LISTADO_PRODUCTOS[#All],5)</f>
        <v>N/A</v>
      </c>
      <c r="D618" s="13">
        <f>VLOOKUP(TABLA_PRECIOS_LISTBOX[[#This Row],[Código]],TABLA_PRECIOS[#All],6)</f>
        <v>1</v>
      </c>
      <c r="E618" s="28">
        <f>VLOOKUP(TABLA_PRECIOS_LISTBOX[[#This Row],[Código]],TABLA_PRECIOS[#All],7)</f>
        <v>1</v>
      </c>
      <c r="F618" s="32">
        <f>VLOOKUP(TABLA_PRECIOS_LISTBOX[[#This Row],[Código]],TABLA_PRECIOS[#All],8)</f>
        <v>1</v>
      </c>
      <c r="G618" s="9">
        <f>VLOOKUP(TABLA_PRECIOS_LISTBOX[[#This Row],[Código]],TABLA_PRECIOS[#All],10)</f>
        <v>0</v>
      </c>
    </row>
    <row r="619" spans="1:7" x14ac:dyDescent="0.3">
      <c r="A619" s="4">
        <v>4367</v>
      </c>
      <c r="B619" s="6" t="str">
        <f>VLOOKUP(TABLA_PRECIOS_LISTBOX[Código],LISTADO_PRODUCTOS[#All],4)</f>
        <v>Abrochadora huvito Eagle Omax Mini N°10 s-5150D</v>
      </c>
      <c r="C619" s="6" t="str">
        <f>VLOOKUP(TABLA_PRECIOS_LISTBOX[Código],LISTADO_PRODUCTOS[#All],5)</f>
        <v>N/A</v>
      </c>
      <c r="D619" s="13">
        <f>VLOOKUP(TABLA_PRECIOS_LISTBOX[[#This Row],[Código]],TABLA_PRECIOS[#All],6)</f>
        <v>1</v>
      </c>
      <c r="E619" s="28">
        <f>VLOOKUP(TABLA_PRECIOS_LISTBOX[[#This Row],[Código]],TABLA_PRECIOS[#All],7)</f>
        <v>1</v>
      </c>
      <c r="F619" s="32">
        <f>VLOOKUP(TABLA_PRECIOS_LISTBOX[[#This Row],[Código]],TABLA_PRECIOS[#All],8)</f>
        <v>1</v>
      </c>
      <c r="G619" s="9">
        <f>VLOOKUP(TABLA_PRECIOS_LISTBOX[[#This Row],[Código]],TABLA_PRECIOS[#All],10)</f>
        <v>0</v>
      </c>
    </row>
    <row r="620" spans="1:7" x14ac:dyDescent="0.3">
      <c r="A620" s="4">
        <v>4368</v>
      </c>
      <c r="B620" s="6" t="str">
        <f>VLOOKUP(TABLA_PRECIOS_LISTBOX[Código],LISTADO_PRODUCTOS[#All],4)</f>
        <v>Abrochadora Deli Animalitos + broches</v>
      </c>
      <c r="C620" s="6" t="str">
        <f>VLOOKUP(TABLA_PRECIOS_LISTBOX[Código],LISTADO_PRODUCTOS[#All],5)</f>
        <v>N/A</v>
      </c>
      <c r="D620" s="13">
        <f>VLOOKUP(TABLA_PRECIOS_LISTBOX[[#This Row],[Código]],TABLA_PRECIOS[#All],6)</f>
        <v>1</v>
      </c>
      <c r="E620" s="28">
        <f>VLOOKUP(TABLA_PRECIOS_LISTBOX[[#This Row],[Código]],TABLA_PRECIOS[#All],7)</f>
        <v>1</v>
      </c>
      <c r="F620" s="32">
        <f>VLOOKUP(TABLA_PRECIOS_LISTBOX[[#This Row],[Código]],TABLA_PRECIOS[#All],8)</f>
        <v>1</v>
      </c>
      <c r="G620" s="9">
        <f>VLOOKUP(TABLA_PRECIOS_LISTBOX[[#This Row],[Código]],TABLA_PRECIOS[#All],10)</f>
        <v>0</v>
      </c>
    </row>
    <row r="621" spans="1:7" x14ac:dyDescent="0.3">
      <c r="A621" s="4">
        <v>4369</v>
      </c>
      <c r="B621" s="6" t="str">
        <f>VLOOKUP(TABLA_PRECIOS_LISTBOX[Código],LISTADO_PRODUCTOS[#All],4)</f>
        <v>Abrochadora Metal Kangaroo HP-10 Pinza</v>
      </c>
      <c r="C621" s="6" t="str">
        <f>VLOOKUP(TABLA_PRECIOS_LISTBOX[Código],LISTADO_PRODUCTOS[#All],5)</f>
        <v>N/A</v>
      </c>
      <c r="D621" s="13">
        <f>VLOOKUP(TABLA_PRECIOS_LISTBOX[[#This Row],[Código]],TABLA_PRECIOS[#All],6)</f>
        <v>1</v>
      </c>
      <c r="E621" s="28">
        <f>VLOOKUP(TABLA_PRECIOS_LISTBOX[[#This Row],[Código]],TABLA_PRECIOS[#All],7)</f>
        <v>1</v>
      </c>
      <c r="F621" s="32">
        <f>VLOOKUP(TABLA_PRECIOS_LISTBOX[[#This Row],[Código]],TABLA_PRECIOS[#All],8)</f>
        <v>1</v>
      </c>
      <c r="G621" s="9">
        <f>VLOOKUP(TABLA_PRECIOS_LISTBOX[[#This Row],[Código]],TABLA_PRECIOS[#All],10)</f>
        <v>0</v>
      </c>
    </row>
    <row r="622" spans="1:7" x14ac:dyDescent="0.3">
      <c r="A622" s="4">
        <v>4372</v>
      </c>
      <c r="B622" s="6" t="str">
        <f>VLOOKUP(TABLA_PRECIOS_LISTBOX[Código],LISTADO_PRODUCTOS[#All],4)</f>
        <v>Broche dorado Sifap en bolsa N°14 63mm</v>
      </c>
      <c r="C622" s="6" t="str">
        <f>VLOOKUP(TABLA_PRECIOS_LISTBOX[Código],LISTADO_PRODUCTOS[#All],5)</f>
        <v>N/A</v>
      </c>
      <c r="D622" s="13">
        <f>VLOOKUP(TABLA_PRECIOS_LISTBOX[[#This Row],[Código]],TABLA_PRECIOS[#All],6)</f>
        <v>1</v>
      </c>
      <c r="E622" s="28">
        <f>VLOOKUP(TABLA_PRECIOS_LISTBOX[[#This Row],[Código]],TABLA_PRECIOS[#All],7)</f>
        <v>1</v>
      </c>
      <c r="F622" s="32">
        <f>VLOOKUP(TABLA_PRECIOS_LISTBOX[[#This Row],[Código]],TABLA_PRECIOS[#All],8)</f>
        <v>1</v>
      </c>
      <c r="G622" s="9">
        <f>VLOOKUP(TABLA_PRECIOS_LISTBOX[[#This Row],[Código]],TABLA_PRECIOS[#All],10)</f>
        <v>0</v>
      </c>
    </row>
    <row r="623" spans="1:7" x14ac:dyDescent="0.3">
      <c r="A623" s="4">
        <v>4377</v>
      </c>
      <c r="B623" s="6" t="str">
        <f>VLOOKUP(TABLA_PRECIOS_LISTBOX[Código],LISTADO_PRODUCTOS[#All],4)</f>
        <v>Resaltador Trabí Pastel/FLUO High Texter</v>
      </c>
      <c r="C623" s="6" t="str">
        <f>VLOOKUP(TABLA_PRECIOS_LISTBOX[Código],LISTADO_PRODUCTOS[#All],5)</f>
        <v>N/A</v>
      </c>
      <c r="D623" s="13">
        <f>VLOOKUP(TABLA_PRECIOS_LISTBOX[[#This Row],[Código]],TABLA_PRECIOS[#All],6)</f>
        <v>1</v>
      </c>
      <c r="E623" s="28">
        <f>VLOOKUP(TABLA_PRECIOS_LISTBOX[[#This Row],[Código]],TABLA_PRECIOS[#All],7)</f>
        <v>1</v>
      </c>
      <c r="F623" s="32">
        <f>VLOOKUP(TABLA_PRECIOS_LISTBOX[[#This Row],[Código]],TABLA_PRECIOS[#All],8)</f>
        <v>1</v>
      </c>
      <c r="G623" s="9">
        <f>VLOOKUP(TABLA_PRECIOS_LISTBOX[[#This Row],[Código]],TABLA_PRECIOS[#All],10)</f>
        <v>0</v>
      </c>
    </row>
    <row r="624" spans="1:7" x14ac:dyDescent="0.3">
      <c r="A624" s="4">
        <v>4382</v>
      </c>
      <c r="B624" s="6" t="str">
        <f>VLOOKUP(TABLA_PRECIOS_LISTBOX[Código],LISTADO_PRODUCTOS[#All],4)</f>
        <v>Notas adhesivas traslucidas extra fuerte super adhesiva</v>
      </c>
      <c r="C624" s="6" t="str">
        <f>VLOOKUP(TABLA_PRECIOS_LISTBOX[Código],LISTADO_PRODUCTOS[#All],5)</f>
        <v>N/A</v>
      </c>
      <c r="D624" s="13">
        <f>VLOOKUP(TABLA_PRECIOS_LISTBOX[[#This Row],[Código]],TABLA_PRECIOS[#All],6)</f>
        <v>1</v>
      </c>
      <c r="E624" s="28">
        <f>VLOOKUP(TABLA_PRECIOS_LISTBOX[[#This Row],[Código]],TABLA_PRECIOS[#All],7)</f>
        <v>1</v>
      </c>
      <c r="F624" s="32">
        <f>VLOOKUP(TABLA_PRECIOS_LISTBOX[[#This Row],[Código]],TABLA_PRECIOS[#All],8)</f>
        <v>1</v>
      </c>
      <c r="G624" s="9">
        <f>VLOOKUP(TABLA_PRECIOS_LISTBOX[[#This Row],[Código]],TABLA_PRECIOS[#All],10)</f>
        <v>0</v>
      </c>
    </row>
    <row r="625" spans="1:7" x14ac:dyDescent="0.3">
      <c r="A625" s="4">
        <v>4384</v>
      </c>
      <c r="B625" s="6" t="str">
        <f>VLOOKUP(TABLA_PRECIOS_LISTBOX[Código],LISTADO_PRODUCTOS[#All],4)</f>
        <v>Resaltador Pelikan textmarker Flash</v>
      </c>
      <c r="C625" s="6" t="str">
        <f>VLOOKUP(TABLA_PRECIOS_LISTBOX[Código],LISTADO_PRODUCTOS[#All],5)</f>
        <v>N/A</v>
      </c>
      <c r="D625" s="13">
        <f>VLOOKUP(TABLA_PRECIOS_LISTBOX[[#This Row],[Código]],TABLA_PRECIOS[#All],6)</f>
        <v>1</v>
      </c>
      <c r="E625" s="28">
        <f>VLOOKUP(TABLA_PRECIOS_LISTBOX[[#This Row],[Código]],TABLA_PRECIOS[#All],7)</f>
        <v>1</v>
      </c>
      <c r="F625" s="32">
        <f>VLOOKUP(TABLA_PRECIOS_LISTBOX[[#This Row],[Código]],TABLA_PRECIOS[#All],8)</f>
        <v>1</v>
      </c>
      <c r="G625" s="9">
        <f>VLOOKUP(TABLA_PRECIOS_LISTBOX[[#This Row],[Código]],TABLA_PRECIOS[#All],10)</f>
        <v>0</v>
      </c>
    </row>
    <row r="626" spans="1:7" x14ac:dyDescent="0.3">
      <c r="A626" s="4">
        <v>4391</v>
      </c>
      <c r="B626" s="6" t="str">
        <f>VLOOKUP(TABLA_PRECIOS_LISTBOX[Código],LISTADO_PRODUCTOS[#All],4)</f>
        <v>Anotador MEMO FIX formas varias Pastel</v>
      </c>
      <c r="C626" s="6" t="str">
        <f>VLOOKUP(TABLA_PRECIOS_LISTBOX[Código],LISTADO_PRODUCTOS[#All],5)</f>
        <v>N/A</v>
      </c>
      <c r="D626" s="13">
        <f>VLOOKUP(TABLA_PRECIOS_LISTBOX[[#This Row],[Código]],TABLA_PRECIOS[#All],6)</f>
        <v>1</v>
      </c>
      <c r="E626" s="28">
        <f>VLOOKUP(TABLA_PRECIOS_LISTBOX[[#This Row],[Código]],TABLA_PRECIOS[#All],7)</f>
        <v>1</v>
      </c>
      <c r="F626" s="32">
        <f>VLOOKUP(TABLA_PRECIOS_LISTBOX[[#This Row],[Código]],TABLA_PRECIOS[#All],8)</f>
        <v>1</v>
      </c>
      <c r="G626" s="9">
        <f>VLOOKUP(TABLA_PRECIOS_LISTBOX[[#This Row],[Código]],TABLA_PRECIOS[#All],10)</f>
        <v>0</v>
      </c>
    </row>
    <row r="627" spans="1:7" x14ac:dyDescent="0.3">
      <c r="A627" s="4">
        <v>4392</v>
      </c>
      <c r="B627" s="6" t="str">
        <f>VLOOKUP(TABLA_PRECIOS_LISTBOX[Código],LISTADO_PRODUCTOS[#All],4)</f>
        <v>Notas MEMO FIX Phantone 25x74</v>
      </c>
      <c r="C627" s="6" t="str">
        <f>VLOOKUP(TABLA_PRECIOS_LISTBOX[Código],LISTADO_PRODUCTOS[#All],5)</f>
        <v>N/A</v>
      </c>
      <c r="D627" s="13">
        <f>VLOOKUP(TABLA_PRECIOS_LISTBOX[[#This Row],[Código]],TABLA_PRECIOS[#All],6)</f>
        <v>1</v>
      </c>
      <c r="E627" s="28">
        <f>VLOOKUP(TABLA_PRECIOS_LISTBOX[[#This Row],[Código]],TABLA_PRECIOS[#All],7)</f>
        <v>1</v>
      </c>
      <c r="F627" s="32">
        <f>VLOOKUP(TABLA_PRECIOS_LISTBOX[[#This Row],[Código]],TABLA_PRECIOS[#All],8)</f>
        <v>1</v>
      </c>
      <c r="G627" s="9">
        <f>VLOOKUP(TABLA_PRECIOS_LISTBOX[[#This Row],[Código]],TABLA_PRECIOS[#All],10)</f>
        <v>0</v>
      </c>
    </row>
    <row r="628" spans="1:7" x14ac:dyDescent="0.3">
      <c r="A628" s="4">
        <v>4393</v>
      </c>
      <c r="B628" s="6" t="str">
        <f>VLOOKUP(TABLA_PRECIOS_LISTBOX[Código],LISTADO_PRODUCTOS[#All],4)</f>
        <v>Mini cubo notas pastel Memo Fix200h 74x74</v>
      </c>
      <c r="C628" s="6" t="str">
        <f>VLOOKUP(TABLA_PRECIOS_LISTBOX[Código],LISTADO_PRODUCTOS[#All],5)</f>
        <v>N/A</v>
      </c>
      <c r="D628" s="13">
        <f>VLOOKUP(TABLA_PRECIOS_LISTBOX[[#This Row],[Código]],TABLA_PRECIOS[#All],6)</f>
        <v>1</v>
      </c>
      <c r="E628" s="28">
        <f>VLOOKUP(TABLA_PRECIOS_LISTBOX[[#This Row],[Código]],TABLA_PRECIOS[#All],7)</f>
        <v>1</v>
      </c>
      <c r="F628" s="32">
        <f>VLOOKUP(TABLA_PRECIOS_LISTBOX[[#This Row],[Código]],TABLA_PRECIOS[#All],8)</f>
        <v>1</v>
      </c>
      <c r="G628" s="9">
        <f>VLOOKUP(TABLA_PRECIOS_LISTBOX[[#This Row],[Código]],TABLA_PRECIOS[#All],10)</f>
        <v>0</v>
      </c>
    </row>
    <row r="629" spans="1:7" x14ac:dyDescent="0.3">
      <c r="A629" s="4">
        <v>4395</v>
      </c>
      <c r="B629" s="6" t="str">
        <f>VLOOKUP(TABLA_PRECIOS_LISTBOX[Código],LISTADO_PRODUCTOS[#All],4)</f>
        <v>Clasificador LAMA Oficio colores vivos y negro EF202FCR</v>
      </c>
      <c r="C629" s="6" t="str">
        <f>VLOOKUP(TABLA_PRECIOS_LISTBOX[Código],LISTADO_PRODUCTOS[#All],5)</f>
        <v>N/A</v>
      </c>
      <c r="D629" s="13">
        <f>VLOOKUP(TABLA_PRECIOS_LISTBOX[[#This Row],[Código]],TABLA_PRECIOS[#All],6)</f>
        <v>1</v>
      </c>
      <c r="E629" s="28">
        <f>VLOOKUP(TABLA_PRECIOS_LISTBOX[[#This Row],[Código]],TABLA_PRECIOS[#All],7)</f>
        <v>1</v>
      </c>
      <c r="F629" s="32">
        <f>VLOOKUP(TABLA_PRECIOS_LISTBOX[[#This Row],[Código]],TABLA_PRECIOS[#All],8)</f>
        <v>1</v>
      </c>
      <c r="G629" s="9">
        <f>VLOOKUP(TABLA_PRECIOS_LISTBOX[[#This Row],[Código]],TABLA_PRECIOS[#All],10)</f>
        <v>0</v>
      </c>
    </row>
    <row r="630" spans="1:7" x14ac:dyDescent="0.3">
      <c r="A630" s="4">
        <v>4399</v>
      </c>
      <c r="B630" s="6" t="str">
        <f>VLOOKUP(TABLA_PRECIOS_LISTBOX[Código],LISTADO_PRODUCTOS[#All],4)</f>
        <v>Taco MEMOFIX CUBO 200h 50x50 PASTEL surt-226</v>
      </c>
      <c r="C630" s="6" t="str">
        <f>VLOOKUP(TABLA_PRECIOS_LISTBOX[Código],LISTADO_PRODUCTOS[#All],5)</f>
        <v>N/A</v>
      </c>
      <c r="D630" s="13">
        <f>VLOOKUP(TABLA_PRECIOS_LISTBOX[[#This Row],[Código]],TABLA_PRECIOS[#All],6)</f>
        <v>1</v>
      </c>
      <c r="E630" s="28">
        <f>VLOOKUP(TABLA_PRECIOS_LISTBOX[[#This Row],[Código]],TABLA_PRECIOS[#All],7)</f>
        <v>1</v>
      </c>
      <c r="F630" s="32">
        <f>VLOOKUP(TABLA_PRECIOS_LISTBOX[[#This Row],[Código]],TABLA_PRECIOS[#All],8)</f>
        <v>1</v>
      </c>
      <c r="G630" s="9">
        <f>VLOOKUP(TABLA_PRECIOS_LISTBOX[[#This Row],[Código]],TABLA_PRECIOS[#All],10)</f>
        <v>0</v>
      </c>
    </row>
    <row r="631" spans="1:7" x14ac:dyDescent="0.3">
      <c r="A631" s="4">
        <v>4405</v>
      </c>
      <c r="B631" s="6" t="str">
        <f>VLOOKUP(TABLA_PRECIOS_LISTBOX[Código],LISTADO_PRODUCTOS[#All],4)</f>
        <v>Taco Notas adhesivas NEON Ezco</v>
      </c>
      <c r="C631" s="6" t="str">
        <f>VLOOKUP(TABLA_PRECIOS_LISTBOX[Código],LISTADO_PRODUCTOS[#All],5)</f>
        <v>N/A</v>
      </c>
      <c r="D631" s="13">
        <f>VLOOKUP(TABLA_PRECIOS_LISTBOX[[#This Row],[Código]],TABLA_PRECIOS[#All],6)</f>
        <v>1</v>
      </c>
      <c r="E631" s="28">
        <f>VLOOKUP(TABLA_PRECIOS_LISTBOX[[#This Row],[Código]],TABLA_PRECIOS[#All],7)</f>
        <v>1</v>
      </c>
      <c r="F631" s="32">
        <f>VLOOKUP(TABLA_PRECIOS_LISTBOX[[#This Row],[Código]],TABLA_PRECIOS[#All],8)</f>
        <v>1</v>
      </c>
      <c r="G631" s="9">
        <f>VLOOKUP(TABLA_PRECIOS_LISTBOX[[#This Row],[Código]],TABLA_PRECIOS[#All],10)</f>
        <v>0</v>
      </c>
    </row>
    <row r="632" spans="1:7" x14ac:dyDescent="0.3">
      <c r="A632" s="4">
        <v>4407</v>
      </c>
      <c r="B632" s="6" t="str">
        <f>VLOOKUP(TABLA_PRECIOS_LISTBOX[Código],LISTADO_PRODUCTOS[#All],4)</f>
        <v>Adaptador OTG USB</v>
      </c>
      <c r="C632" s="6" t="str">
        <f>VLOOKUP(TABLA_PRECIOS_LISTBOX[Código],LISTADO_PRODUCTOS[#All],5)</f>
        <v>N/A</v>
      </c>
      <c r="D632" s="13">
        <f>VLOOKUP(TABLA_PRECIOS_LISTBOX[[#This Row],[Código]],TABLA_PRECIOS[#All],6)</f>
        <v>1</v>
      </c>
      <c r="E632" s="28">
        <f>VLOOKUP(TABLA_PRECIOS_LISTBOX[[#This Row],[Código]],TABLA_PRECIOS[#All],7)</f>
        <v>1</v>
      </c>
      <c r="F632" s="32">
        <f>VLOOKUP(TABLA_PRECIOS_LISTBOX[[#This Row],[Código]],TABLA_PRECIOS[#All],8)</f>
        <v>1</v>
      </c>
      <c r="G632" s="9">
        <f>VLOOKUP(TABLA_PRECIOS_LISTBOX[[#This Row],[Código]],TABLA_PRECIOS[#All],10)</f>
        <v>0</v>
      </c>
    </row>
    <row r="633" spans="1:7" x14ac:dyDescent="0.3">
      <c r="A633" s="4">
        <v>4408</v>
      </c>
      <c r="B633" s="6" t="str">
        <f>VLOOKUP(TABLA_PRECIOS_LISTBOX[Código],LISTADO_PRODUCTOS[#All],4)</f>
        <v>Cable HDMI Apro</v>
      </c>
      <c r="C633" s="6" t="str">
        <f>VLOOKUP(TABLA_PRECIOS_LISTBOX[Código],LISTADO_PRODUCTOS[#All],5)</f>
        <v>N/A</v>
      </c>
      <c r="D633" s="13">
        <f>VLOOKUP(TABLA_PRECIOS_LISTBOX[[#This Row],[Código]],TABLA_PRECIOS[#All],6)</f>
        <v>1</v>
      </c>
      <c r="E633" s="28">
        <f>VLOOKUP(TABLA_PRECIOS_LISTBOX[[#This Row],[Código]],TABLA_PRECIOS[#All],7)</f>
        <v>1</v>
      </c>
      <c r="F633" s="32">
        <f>VLOOKUP(TABLA_PRECIOS_LISTBOX[[#This Row],[Código]],TABLA_PRECIOS[#All],8)</f>
        <v>1</v>
      </c>
      <c r="G633" s="9">
        <f>VLOOKUP(TABLA_PRECIOS_LISTBOX[[#This Row],[Código]],TABLA_PRECIOS[#All],10)</f>
        <v>0</v>
      </c>
    </row>
    <row r="634" spans="1:7" x14ac:dyDescent="0.3">
      <c r="A634" s="4">
        <v>4410</v>
      </c>
      <c r="B634" s="6" t="str">
        <f>VLOOKUP(TABLA_PRECIOS_LISTBOX[Código],LISTADO_PRODUCTOS[#All],4)</f>
        <v>Notas adhesivas Util-of 76x127 amarillo 100h</v>
      </c>
      <c r="C634" s="6" t="str">
        <f>VLOOKUP(TABLA_PRECIOS_LISTBOX[Código],LISTADO_PRODUCTOS[#All],5)</f>
        <v>N/A</v>
      </c>
      <c r="D634" s="13">
        <f>VLOOKUP(TABLA_PRECIOS_LISTBOX[[#This Row],[Código]],TABLA_PRECIOS[#All],6)</f>
        <v>1</v>
      </c>
      <c r="E634" s="28">
        <f>VLOOKUP(TABLA_PRECIOS_LISTBOX[[#This Row],[Código]],TABLA_PRECIOS[#All],7)</f>
        <v>1</v>
      </c>
      <c r="F634" s="32">
        <f>VLOOKUP(TABLA_PRECIOS_LISTBOX[[#This Row],[Código]],TABLA_PRECIOS[#All],8)</f>
        <v>1</v>
      </c>
      <c r="G634" s="9">
        <f>VLOOKUP(TABLA_PRECIOS_LISTBOX[[#This Row],[Código]],TABLA_PRECIOS[#All],10)</f>
        <v>0</v>
      </c>
    </row>
    <row r="635" spans="1:7" x14ac:dyDescent="0.3">
      <c r="A635" s="4">
        <v>4411</v>
      </c>
      <c r="B635" s="6" t="str">
        <f>VLOOKUP(TABLA_PRECIOS_LISTBOX[Código],LISTADO_PRODUCTOS[#All],4)</f>
        <v>Notas adhesivas Util-of 76x102 amarilla 100h</v>
      </c>
      <c r="C635" s="6" t="str">
        <f>VLOOKUP(TABLA_PRECIOS_LISTBOX[Código],LISTADO_PRODUCTOS[#All],5)</f>
        <v>N/A</v>
      </c>
      <c r="D635" s="13">
        <f>VLOOKUP(TABLA_PRECIOS_LISTBOX[[#This Row],[Código]],TABLA_PRECIOS[#All],6)</f>
        <v>1</v>
      </c>
      <c r="E635" s="28">
        <f>VLOOKUP(TABLA_PRECIOS_LISTBOX[[#This Row],[Código]],TABLA_PRECIOS[#All],7)</f>
        <v>1</v>
      </c>
      <c r="F635" s="32">
        <f>VLOOKUP(TABLA_PRECIOS_LISTBOX[[#This Row],[Código]],TABLA_PRECIOS[#All],8)</f>
        <v>1</v>
      </c>
      <c r="G635" s="9">
        <f>VLOOKUP(TABLA_PRECIOS_LISTBOX[[#This Row],[Código]],TABLA_PRECIOS[#All],10)</f>
        <v>0</v>
      </c>
    </row>
    <row r="636" spans="1:7" x14ac:dyDescent="0.3">
      <c r="A636" s="4">
        <v>4414</v>
      </c>
      <c r="B636" s="6" t="str">
        <f>VLOOKUP(TABLA_PRECIOS_LISTBOX[Código],LISTADO_PRODUCTOS[#All],4)</f>
        <v xml:space="preserve">Abrochadora MIT 24/6 Pintada </v>
      </c>
      <c r="C636" s="6" t="str">
        <f>VLOOKUP(TABLA_PRECIOS_LISTBOX[Código],LISTADO_PRODUCTOS[#All],5)</f>
        <v>N/A</v>
      </c>
      <c r="D636" s="13">
        <f>VLOOKUP(TABLA_PRECIOS_LISTBOX[[#This Row],[Código]],TABLA_PRECIOS[#All],6)</f>
        <v>1</v>
      </c>
      <c r="E636" s="28">
        <f>VLOOKUP(TABLA_PRECIOS_LISTBOX[[#This Row],[Código]],TABLA_PRECIOS[#All],7)</f>
        <v>1</v>
      </c>
      <c r="F636" s="32">
        <f>VLOOKUP(TABLA_PRECIOS_LISTBOX[[#This Row],[Código]],TABLA_PRECIOS[#All],8)</f>
        <v>1</v>
      </c>
      <c r="G636" s="9">
        <f>VLOOKUP(TABLA_PRECIOS_LISTBOX[[#This Row],[Código]],TABLA_PRECIOS[#All],10)</f>
        <v>0</v>
      </c>
    </row>
    <row r="637" spans="1:7" x14ac:dyDescent="0.3">
      <c r="A637" s="4">
        <v>4415</v>
      </c>
      <c r="B637" s="6" t="str">
        <f>VLOOKUP(TABLA_PRECIOS_LISTBOX[Código],LISTADO_PRODUCTOS[#All],4)</f>
        <v xml:space="preserve">Perforador MIT Mediano Pintado </v>
      </c>
      <c r="C637" s="6" t="str">
        <f>VLOOKUP(TABLA_PRECIOS_LISTBOX[Código],LISTADO_PRODUCTOS[#All],5)</f>
        <v>N/A</v>
      </c>
      <c r="D637" s="13">
        <f>VLOOKUP(TABLA_PRECIOS_LISTBOX[[#This Row],[Código]],TABLA_PRECIOS[#All],6)</f>
        <v>1</v>
      </c>
      <c r="E637" s="28">
        <f>VLOOKUP(TABLA_PRECIOS_LISTBOX[[#This Row],[Código]],TABLA_PRECIOS[#All],7)</f>
        <v>1</v>
      </c>
      <c r="F637" s="32">
        <f>VLOOKUP(TABLA_PRECIOS_LISTBOX[[#This Row],[Código]],TABLA_PRECIOS[#All],8)</f>
        <v>1</v>
      </c>
      <c r="G637" s="9">
        <f>VLOOKUP(TABLA_PRECIOS_LISTBOX[[#This Row],[Código]],TABLA_PRECIOS[#All],10)</f>
        <v>0</v>
      </c>
    </row>
    <row r="638" spans="1:7" x14ac:dyDescent="0.3">
      <c r="A638" s="4">
        <v>4416</v>
      </c>
      <c r="B638" s="6" t="str">
        <f>VLOOKUP(TABLA_PRECIOS_LISTBOX[Código],LISTADO_PRODUCTOS[#All],4)</f>
        <v>Pizarra Blanca C/Iman alto impacto N°7 61*91</v>
      </c>
      <c r="C638" s="6" t="str">
        <f>VLOOKUP(TABLA_PRECIOS_LISTBOX[Código],LISTADO_PRODUCTOS[#All],5)</f>
        <v>N/A</v>
      </c>
      <c r="D638" s="13">
        <f>VLOOKUP(TABLA_PRECIOS_LISTBOX[[#This Row],[Código]],TABLA_PRECIOS[#All],6)</f>
        <v>1</v>
      </c>
      <c r="E638" s="28">
        <f>VLOOKUP(TABLA_PRECIOS_LISTBOX[[#This Row],[Código]],TABLA_PRECIOS[#All],7)</f>
        <v>1</v>
      </c>
      <c r="F638" s="32">
        <f>VLOOKUP(TABLA_PRECIOS_LISTBOX[[#This Row],[Código]],TABLA_PRECIOS[#All],8)</f>
        <v>1</v>
      </c>
      <c r="G638" s="9">
        <f>VLOOKUP(TABLA_PRECIOS_LISTBOX[[#This Row],[Código]],TABLA_PRECIOS[#All],10)</f>
        <v>0</v>
      </c>
    </row>
    <row r="639" spans="1:7" x14ac:dyDescent="0.3">
      <c r="A639" s="4">
        <v>4417</v>
      </c>
      <c r="B639" s="6" t="str">
        <f>VLOOKUP(TABLA_PRECIOS_LISTBOX[Código],LISTADO_PRODUCTOS[#All],4)</f>
        <v>Pizarra Blanca C/Iman Alto Impacto N°9 91*123</v>
      </c>
      <c r="C639" s="6" t="str">
        <f>VLOOKUP(TABLA_PRECIOS_LISTBOX[Código],LISTADO_PRODUCTOS[#All],5)</f>
        <v>N/A</v>
      </c>
      <c r="D639" s="13">
        <f>VLOOKUP(TABLA_PRECIOS_LISTBOX[[#This Row],[Código]],TABLA_PRECIOS[#All],6)</f>
        <v>1</v>
      </c>
      <c r="E639" s="28">
        <f>VLOOKUP(TABLA_PRECIOS_LISTBOX[[#This Row],[Código]],TABLA_PRECIOS[#All],7)</f>
        <v>1</v>
      </c>
      <c r="F639" s="32">
        <f>VLOOKUP(TABLA_PRECIOS_LISTBOX[[#This Row],[Código]],TABLA_PRECIOS[#All],8)</f>
        <v>1</v>
      </c>
      <c r="G639" s="9">
        <f>VLOOKUP(TABLA_PRECIOS_LISTBOX[[#This Row],[Código]],TABLA_PRECIOS[#All],10)</f>
        <v>0</v>
      </c>
    </row>
    <row r="640" spans="1:7" x14ac:dyDescent="0.3">
      <c r="A640" s="4">
        <v>4418</v>
      </c>
      <c r="B640" s="6" t="str">
        <f>VLOOKUP(TABLA_PRECIOS_LISTBOX[Código],LISTADO_PRODUCTOS[#All],4)</f>
        <v>Pizarra Blanca N°8 Alto Impacto 70*123</v>
      </c>
      <c r="C640" s="6" t="str">
        <f>VLOOKUP(TABLA_PRECIOS_LISTBOX[Código],LISTADO_PRODUCTOS[#All],5)</f>
        <v>N/A</v>
      </c>
      <c r="D640" s="13">
        <f>VLOOKUP(TABLA_PRECIOS_LISTBOX[[#This Row],[Código]],TABLA_PRECIOS[#All],6)</f>
        <v>1</v>
      </c>
      <c r="E640" s="28">
        <f>VLOOKUP(TABLA_PRECIOS_LISTBOX[[#This Row],[Código]],TABLA_PRECIOS[#All],7)</f>
        <v>1</v>
      </c>
      <c r="F640" s="32">
        <f>VLOOKUP(TABLA_PRECIOS_LISTBOX[[#This Row],[Código]],TABLA_PRECIOS[#All],8)</f>
        <v>1</v>
      </c>
      <c r="G640" s="9">
        <f>VLOOKUP(TABLA_PRECIOS_LISTBOX[[#This Row],[Código]],TABLA_PRECIOS[#All],10)</f>
        <v>0</v>
      </c>
    </row>
    <row r="641" spans="1:7" x14ac:dyDescent="0.3">
      <c r="A641" s="4">
        <v>4419</v>
      </c>
      <c r="B641" s="6" t="str">
        <f>VLOOKUP(TABLA_PRECIOS_LISTBOX[Código],LISTADO_PRODUCTOS[#All],4)</f>
        <v>Notas Adhesivas Deli animales</v>
      </c>
      <c r="C641" s="6" t="str">
        <f>VLOOKUP(TABLA_PRECIOS_LISTBOX[Código],LISTADO_PRODUCTOS[#All],5)</f>
        <v>N/A</v>
      </c>
      <c r="D641" s="13">
        <f>VLOOKUP(TABLA_PRECIOS_LISTBOX[[#This Row],[Código]],TABLA_PRECIOS[#All],6)</f>
        <v>1</v>
      </c>
      <c r="E641" s="28">
        <f>VLOOKUP(TABLA_PRECIOS_LISTBOX[[#This Row],[Código]],TABLA_PRECIOS[#All],7)</f>
        <v>1</v>
      </c>
      <c r="F641" s="32">
        <f>VLOOKUP(TABLA_PRECIOS_LISTBOX[[#This Row],[Código]],TABLA_PRECIOS[#All],8)</f>
        <v>1</v>
      </c>
      <c r="G641" s="9">
        <f>VLOOKUP(TABLA_PRECIOS_LISTBOX[[#This Row],[Código]],TABLA_PRECIOS[#All],10)</f>
        <v>0</v>
      </c>
    </row>
    <row r="642" spans="1:7" x14ac:dyDescent="0.3">
      <c r="A642" s="4">
        <v>4420</v>
      </c>
      <c r="B642" s="6" t="str">
        <f>VLOOKUP(TABLA_PRECIOS_LISTBOX[Código],LISTADO_PRODUCTOS[#All],4)</f>
        <v>Notas adhesivas Memo Fix 74x74 8h  decoradas</v>
      </c>
      <c r="C642" s="6" t="str">
        <f>VLOOKUP(TABLA_PRECIOS_LISTBOX[Código],LISTADO_PRODUCTOS[#All],5)</f>
        <v>N/A</v>
      </c>
      <c r="D642" s="13">
        <f>VLOOKUP(TABLA_PRECIOS_LISTBOX[[#This Row],[Código]],TABLA_PRECIOS[#All],6)</f>
        <v>1</v>
      </c>
      <c r="E642" s="28">
        <f>VLOOKUP(TABLA_PRECIOS_LISTBOX[[#This Row],[Código]],TABLA_PRECIOS[#All],7)</f>
        <v>1</v>
      </c>
      <c r="F642" s="32">
        <f>VLOOKUP(TABLA_PRECIOS_LISTBOX[[#This Row],[Código]],TABLA_PRECIOS[#All],8)</f>
        <v>1</v>
      </c>
      <c r="G642" s="9">
        <f>VLOOKUP(TABLA_PRECIOS_LISTBOX[[#This Row],[Código]],TABLA_PRECIOS[#All],10)</f>
        <v>0</v>
      </c>
    </row>
    <row r="643" spans="1:7" x14ac:dyDescent="0.3">
      <c r="A643" s="4">
        <v>4421</v>
      </c>
      <c r="B643" s="6" t="str">
        <f>VLOOKUP(TABLA_PRECIOS_LISTBOX[Código],LISTADO_PRODUCTOS[#All],4)</f>
        <v>Pizarra Blanca N°9 Alto Impacto 91*123</v>
      </c>
      <c r="C643" s="6" t="str">
        <f>VLOOKUP(TABLA_PRECIOS_LISTBOX[Código],LISTADO_PRODUCTOS[#All],5)</f>
        <v>N/A</v>
      </c>
      <c r="D643" s="13">
        <f>VLOOKUP(TABLA_PRECIOS_LISTBOX[[#This Row],[Código]],TABLA_PRECIOS[#All],6)</f>
        <v>1</v>
      </c>
      <c r="E643" s="28">
        <f>VLOOKUP(TABLA_PRECIOS_LISTBOX[[#This Row],[Código]],TABLA_PRECIOS[#All],7)</f>
        <v>1</v>
      </c>
      <c r="F643" s="32">
        <f>VLOOKUP(TABLA_PRECIOS_LISTBOX[[#This Row],[Código]],TABLA_PRECIOS[#All],8)</f>
        <v>1</v>
      </c>
      <c r="G643" s="9">
        <f>VLOOKUP(TABLA_PRECIOS_LISTBOX[[#This Row],[Código]],TABLA_PRECIOS[#All],10)</f>
        <v>0</v>
      </c>
    </row>
    <row r="644" spans="1:7" x14ac:dyDescent="0.3">
      <c r="A644" s="4">
        <v>4422</v>
      </c>
      <c r="B644" s="6" t="str">
        <f>VLOOKUP(TABLA_PRECIOS_LISTBOX[Código],LISTADO_PRODUCTOS[#All],4)</f>
        <v>Clasificador Oficio Avios Combinado</v>
      </c>
      <c r="C644" s="6" t="str">
        <f>VLOOKUP(TABLA_PRECIOS_LISTBOX[Código],LISTADO_PRODUCTOS[#All],5)</f>
        <v>N/A</v>
      </c>
      <c r="D644" s="13">
        <f>VLOOKUP(TABLA_PRECIOS_LISTBOX[[#This Row],[Código]],TABLA_PRECIOS[#All],6)</f>
        <v>1</v>
      </c>
      <c r="E644" s="28">
        <f>VLOOKUP(TABLA_PRECIOS_LISTBOX[[#This Row],[Código]],TABLA_PRECIOS[#All],7)</f>
        <v>1</v>
      </c>
      <c r="F644" s="32">
        <f>VLOOKUP(TABLA_PRECIOS_LISTBOX[[#This Row],[Código]],TABLA_PRECIOS[#All],8)</f>
        <v>1</v>
      </c>
      <c r="G644" s="9">
        <f>VLOOKUP(TABLA_PRECIOS_LISTBOX[[#This Row],[Código]],TABLA_PRECIOS[#All],10)</f>
        <v>0</v>
      </c>
    </row>
    <row r="645" spans="1:7" x14ac:dyDescent="0.3">
      <c r="A645" s="4">
        <v>4423</v>
      </c>
      <c r="B645" s="6" t="str">
        <f>VLOOKUP(TABLA_PRECIOS_LISTBOX[Código],LISTADO_PRODUCTOS[#All],4)</f>
        <v>Marcador de pizarra Simball</v>
      </c>
      <c r="C645" s="6" t="str">
        <f>VLOOKUP(TABLA_PRECIOS_LISTBOX[Código],LISTADO_PRODUCTOS[#All],5)</f>
        <v>N/A</v>
      </c>
      <c r="D645" s="13">
        <f>VLOOKUP(TABLA_PRECIOS_LISTBOX[[#This Row],[Código]],TABLA_PRECIOS[#All],6)</f>
        <v>1</v>
      </c>
      <c r="E645" s="28">
        <f>VLOOKUP(TABLA_PRECIOS_LISTBOX[[#This Row],[Código]],TABLA_PRECIOS[#All],7)</f>
        <v>1</v>
      </c>
      <c r="F645" s="32">
        <f>VLOOKUP(TABLA_PRECIOS_LISTBOX[[#This Row],[Código]],TABLA_PRECIOS[#All],8)</f>
        <v>1</v>
      </c>
      <c r="G645" s="9">
        <f>VLOOKUP(TABLA_PRECIOS_LISTBOX[[#This Row],[Código]],TABLA_PRECIOS[#All],10)</f>
        <v>0</v>
      </c>
    </row>
    <row r="646" spans="1:7" x14ac:dyDescent="0.3">
      <c r="A646" s="4">
        <v>4424</v>
      </c>
      <c r="B646" s="6" t="str">
        <f>VLOOKUP(TABLA_PRECIOS_LISTBOX[Código],LISTADO_PRODUCTOS[#All],4)</f>
        <v>Taco color FLUO Simball Office 75x75 80h</v>
      </c>
      <c r="C646" s="6" t="str">
        <f>VLOOKUP(TABLA_PRECIOS_LISTBOX[Código],LISTADO_PRODUCTOS[#All],5)</f>
        <v>N/A</v>
      </c>
      <c r="D646" s="13">
        <f>VLOOKUP(TABLA_PRECIOS_LISTBOX[[#This Row],[Código]],TABLA_PRECIOS[#All],6)</f>
        <v>1</v>
      </c>
      <c r="E646" s="28">
        <f>VLOOKUP(TABLA_PRECIOS_LISTBOX[[#This Row],[Código]],TABLA_PRECIOS[#All],7)</f>
        <v>1</v>
      </c>
      <c r="F646" s="32">
        <f>VLOOKUP(TABLA_PRECIOS_LISTBOX[[#This Row],[Código]],TABLA_PRECIOS[#All],8)</f>
        <v>1</v>
      </c>
      <c r="G646" s="9">
        <f>VLOOKUP(TABLA_PRECIOS_LISTBOX[[#This Row],[Código]],TABLA_PRECIOS[#All],10)</f>
        <v>0</v>
      </c>
    </row>
    <row r="647" spans="1:7" x14ac:dyDescent="0.3">
      <c r="A647" s="4">
        <v>4425</v>
      </c>
      <c r="B647" s="6" t="str">
        <f>VLOOKUP(TABLA_PRECIOS_LISTBOX[Código],LISTADO_PRODUCTOS[#All],4)</f>
        <v>Pizarra Blanca Magnetica OLAMI 35 x 43</v>
      </c>
      <c r="C647" s="6" t="str">
        <f>VLOOKUP(TABLA_PRECIOS_LISTBOX[Código],LISTADO_PRODUCTOS[#All],5)</f>
        <v>N/A</v>
      </c>
      <c r="D647" s="13">
        <f>VLOOKUP(TABLA_PRECIOS_LISTBOX[[#This Row],[Código]],TABLA_PRECIOS[#All],6)</f>
        <v>1</v>
      </c>
      <c r="E647" s="28">
        <f>VLOOKUP(TABLA_PRECIOS_LISTBOX[[#This Row],[Código]],TABLA_PRECIOS[#All],7)</f>
        <v>1</v>
      </c>
      <c r="F647" s="32">
        <f>VLOOKUP(TABLA_PRECIOS_LISTBOX[[#This Row],[Código]],TABLA_PRECIOS[#All],8)</f>
        <v>1</v>
      </c>
      <c r="G647" s="9">
        <f>VLOOKUP(TABLA_PRECIOS_LISTBOX[[#This Row],[Código]],TABLA_PRECIOS[#All],10)</f>
        <v>0</v>
      </c>
    </row>
    <row r="648" spans="1:7" x14ac:dyDescent="0.3">
      <c r="A648" s="4">
        <v>4426</v>
      </c>
      <c r="B648" s="6" t="str">
        <f>VLOOKUP(TABLA_PRECIOS_LISTBOX[Código],LISTADO_PRODUCTOS[#All],4)</f>
        <v>Pizarra Blanca Magnetica OLAMI 43 x 58</v>
      </c>
      <c r="C648" s="6" t="str">
        <f>VLOOKUP(TABLA_PRECIOS_LISTBOX[Código],LISTADO_PRODUCTOS[#All],5)</f>
        <v>N/A</v>
      </c>
      <c r="D648" s="13">
        <f>VLOOKUP(TABLA_PRECIOS_LISTBOX[[#This Row],[Código]],TABLA_PRECIOS[#All],6)</f>
        <v>1</v>
      </c>
      <c r="E648" s="28">
        <f>VLOOKUP(TABLA_PRECIOS_LISTBOX[[#This Row],[Código]],TABLA_PRECIOS[#All],7)</f>
        <v>1</v>
      </c>
      <c r="F648" s="32">
        <f>VLOOKUP(TABLA_PRECIOS_LISTBOX[[#This Row],[Código]],TABLA_PRECIOS[#All],8)</f>
        <v>1</v>
      </c>
      <c r="G648" s="9">
        <f>VLOOKUP(TABLA_PRECIOS_LISTBOX[[#This Row],[Código]],TABLA_PRECIOS[#All],10)</f>
        <v>0</v>
      </c>
    </row>
    <row r="649" spans="1:7" x14ac:dyDescent="0.3">
      <c r="A649" s="4">
        <v>4428</v>
      </c>
      <c r="B649" s="6" t="str">
        <f>VLOOKUP(TABLA_PRECIOS_LISTBOX[Código],LISTADO_PRODUCTOS[#All],4)</f>
        <v>Notas Adhesivas BOHO FW 17 stick notes distintas</v>
      </c>
      <c r="C649" s="6" t="str">
        <f>VLOOKUP(TABLA_PRECIOS_LISTBOX[Código],LISTADO_PRODUCTOS[#All],5)</f>
        <v>N/A</v>
      </c>
      <c r="D649" s="13">
        <f>VLOOKUP(TABLA_PRECIOS_LISTBOX[[#This Row],[Código]],TABLA_PRECIOS[#All],6)</f>
        <v>1</v>
      </c>
      <c r="E649" s="28">
        <f>VLOOKUP(TABLA_PRECIOS_LISTBOX[[#This Row],[Código]],TABLA_PRECIOS[#All],7)</f>
        <v>1</v>
      </c>
      <c r="F649" s="32">
        <f>VLOOKUP(TABLA_PRECIOS_LISTBOX[[#This Row],[Código]],TABLA_PRECIOS[#All],8)</f>
        <v>1</v>
      </c>
      <c r="G649" s="9">
        <f>VLOOKUP(TABLA_PRECIOS_LISTBOX[[#This Row],[Código]],TABLA_PRECIOS[#All],10)</f>
        <v>0</v>
      </c>
    </row>
    <row r="650" spans="1:7" x14ac:dyDescent="0.3">
      <c r="A650" s="4">
        <v>4431</v>
      </c>
      <c r="B650" s="6" t="str">
        <f>VLOOKUP(TABLA_PRECIOS_LISTBOX[Código],LISTADO_PRODUCTOS[#All],4)</f>
        <v>Blister Marcadores Permanentes NEON Sharpie x 5</v>
      </c>
      <c r="C650" s="6" t="str">
        <f>VLOOKUP(TABLA_PRECIOS_LISTBOX[Código],LISTADO_PRODUCTOS[#All],5)</f>
        <v>N/A</v>
      </c>
      <c r="D650" s="13">
        <f>VLOOKUP(TABLA_PRECIOS_LISTBOX[[#This Row],[Código]],TABLA_PRECIOS[#All],6)</f>
        <v>1</v>
      </c>
      <c r="E650" s="28">
        <f>VLOOKUP(TABLA_PRECIOS_LISTBOX[[#This Row],[Código]],TABLA_PRECIOS[#All],7)</f>
        <v>1</v>
      </c>
      <c r="F650" s="32">
        <f>VLOOKUP(TABLA_PRECIOS_LISTBOX[[#This Row],[Código]],TABLA_PRECIOS[#All],8)</f>
        <v>1</v>
      </c>
      <c r="G650" s="9">
        <f>VLOOKUP(TABLA_PRECIOS_LISTBOX[[#This Row],[Código]],TABLA_PRECIOS[#All],10)</f>
        <v>0</v>
      </c>
    </row>
    <row r="651" spans="1:7" x14ac:dyDescent="0.3">
      <c r="A651" s="4">
        <v>5001</v>
      </c>
      <c r="B651" s="6" t="str">
        <f>VLOOKUP(TABLA_PRECIOS_LISTBOX[Código],LISTADO_PRODUCTOS[#All],4)</f>
        <v>Pen Drive Verbatim 32GB Pin Stripe</v>
      </c>
      <c r="C651" s="6" t="str">
        <f>VLOOKUP(TABLA_PRECIOS_LISTBOX[Código],LISTADO_PRODUCTOS[#All],5)</f>
        <v>N/A</v>
      </c>
      <c r="D651" s="13">
        <f>VLOOKUP(TABLA_PRECIOS_LISTBOX[[#This Row],[Código]],TABLA_PRECIOS[#All],6)</f>
        <v>1</v>
      </c>
      <c r="E651" s="28">
        <f>VLOOKUP(TABLA_PRECIOS_LISTBOX[[#This Row],[Código]],TABLA_PRECIOS[#All],7)</f>
        <v>1</v>
      </c>
      <c r="F651" s="32">
        <f>VLOOKUP(TABLA_PRECIOS_LISTBOX[[#This Row],[Código]],TABLA_PRECIOS[#All],8)</f>
        <v>1</v>
      </c>
      <c r="G651" s="9">
        <f>VLOOKUP(TABLA_PRECIOS_LISTBOX[[#This Row],[Código]],TABLA_PRECIOS[#All],10)</f>
        <v>0</v>
      </c>
    </row>
    <row r="652" spans="1:7" x14ac:dyDescent="0.3">
      <c r="A652" s="4">
        <v>5002</v>
      </c>
      <c r="B652" s="6" t="str">
        <f>VLOOKUP(TABLA_PRECIOS_LISTBOX[Código],LISTADO_PRODUCTOS[#All],4)</f>
        <v>Pen Drive Verbatim 16GB Store n Go</v>
      </c>
      <c r="C652" s="6" t="str">
        <f>VLOOKUP(TABLA_PRECIOS_LISTBOX[Código],LISTADO_PRODUCTOS[#All],5)</f>
        <v>N/A</v>
      </c>
      <c r="D652" s="13">
        <f>VLOOKUP(TABLA_PRECIOS_LISTBOX[[#This Row],[Código]],TABLA_PRECIOS[#All],6)</f>
        <v>1</v>
      </c>
      <c r="E652" s="28">
        <f>VLOOKUP(TABLA_PRECIOS_LISTBOX[[#This Row],[Código]],TABLA_PRECIOS[#All],7)</f>
        <v>1</v>
      </c>
      <c r="F652" s="32">
        <f>VLOOKUP(TABLA_PRECIOS_LISTBOX[[#This Row],[Código]],TABLA_PRECIOS[#All],8)</f>
        <v>1</v>
      </c>
      <c r="G652" s="9">
        <f>VLOOKUP(TABLA_PRECIOS_LISTBOX[[#This Row],[Código]],TABLA_PRECIOS[#All],10)</f>
        <v>0</v>
      </c>
    </row>
    <row r="653" spans="1:7" x14ac:dyDescent="0.3">
      <c r="A653" s="4">
        <v>5003</v>
      </c>
      <c r="B653" s="6" t="str">
        <f>VLOOKUP(TABLA_PRECIOS_LISTBOX[Código],LISTADO_PRODUCTOS[#All],4)</f>
        <v>Pen drive Vervatim 64gb 2.0 Microban Pin Strip</v>
      </c>
      <c r="C653" s="6" t="str">
        <f>VLOOKUP(TABLA_PRECIOS_LISTBOX[Código],LISTADO_PRODUCTOS[#All],5)</f>
        <v>N/A</v>
      </c>
      <c r="D653" s="13">
        <f>VLOOKUP(TABLA_PRECIOS_LISTBOX[[#This Row],[Código]],TABLA_PRECIOS[#All],6)</f>
        <v>1</v>
      </c>
      <c r="E653" s="28">
        <f>VLOOKUP(TABLA_PRECIOS_LISTBOX[[#This Row],[Código]],TABLA_PRECIOS[#All],7)</f>
        <v>1</v>
      </c>
      <c r="F653" s="32">
        <f>VLOOKUP(TABLA_PRECIOS_LISTBOX[[#This Row],[Código]],TABLA_PRECIOS[#All],8)</f>
        <v>1</v>
      </c>
      <c r="G653" s="9">
        <f>VLOOKUP(TABLA_PRECIOS_LISTBOX[[#This Row],[Código]],TABLA_PRECIOS[#All],10)</f>
        <v>0</v>
      </c>
    </row>
    <row r="654" spans="1:7" x14ac:dyDescent="0.3">
      <c r="A654" s="4">
        <v>5009</v>
      </c>
      <c r="B654" s="6" t="str">
        <f>VLOOKUP(TABLA_PRECIOS_LISTBOX[Código],LISTADO_PRODUCTOS[#All],4)</f>
        <v>Clasificador 5 divisiones Pastel</v>
      </c>
      <c r="C654" s="6" t="str">
        <f>VLOOKUP(TABLA_PRECIOS_LISTBOX[Código],LISTADO_PRODUCTOS[#All],5)</f>
        <v>N/A</v>
      </c>
      <c r="D654" s="13">
        <f>VLOOKUP(TABLA_PRECIOS_LISTBOX[[#This Row],[Código]],TABLA_PRECIOS[#All],6)</f>
        <v>1</v>
      </c>
      <c r="E654" s="28">
        <f>VLOOKUP(TABLA_PRECIOS_LISTBOX[[#This Row],[Código]],TABLA_PRECIOS[#All],7)</f>
        <v>1</v>
      </c>
      <c r="F654" s="32">
        <f>VLOOKUP(TABLA_PRECIOS_LISTBOX[[#This Row],[Código]],TABLA_PRECIOS[#All],8)</f>
        <v>1</v>
      </c>
      <c r="G654" s="9">
        <f>VLOOKUP(TABLA_PRECIOS_LISTBOX[[#This Row],[Código]],TABLA_PRECIOS[#All],10)</f>
        <v>0</v>
      </c>
    </row>
    <row r="655" spans="1:7" x14ac:dyDescent="0.3">
      <c r="A655" s="4">
        <v>5010</v>
      </c>
      <c r="B655" s="6" t="str">
        <f>VLOOKUP(TABLA_PRECIOS_LISTBOX[Código],LISTADO_PRODUCTOS[#All],4)</f>
        <v>Auricular economico</v>
      </c>
      <c r="C655" s="6" t="str">
        <f>VLOOKUP(TABLA_PRECIOS_LISTBOX[Código],LISTADO_PRODUCTOS[#All],5)</f>
        <v>N/A</v>
      </c>
      <c r="D655" s="13">
        <f>VLOOKUP(TABLA_PRECIOS_LISTBOX[[#This Row],[Código]],TABLA_PRECIOS[#All],6)</f>
        <v>1</v>
      </c>
      <c r="E655" s="28">
        <f>VLOOKUP(TABLA_PRECIOS_LISTBOX[[#This Row],[Código]],TABLA_PRECIOS[#All],7)</f>
        <v>1</v>
      </c>
      <c r="F655" s="32">
        <f>VLOOKUP(TABLA_PRECIOS_LISTBOX[[#This Row],[Código]],TABLA_PRECIOS[#All],8)</f>
        <v>1</v>
      </c>
      <c r="G655" s="9">
        <f>VLOOKUP(TABLA_PRECIOS_LISTBOX[[#This Row],[Código]],TABLA_PRECIOS[#All],10)</f>
        <v>0</v>
      </c>
    </row>
    <row r="656" spans="1:7" x14ac:dyDescent="0.3">
      <c r="A656" s="4">
        <v>5013</v>
      </c>
      <c r="B656" s="6" t="str">
        <f>VLOOKUP(TABLA_PRECIOS_LISTBOX[Código],LISTADO_PRODUCTOS[#All],4)</f>
        <v>Disco externo Seagate 2tb</v>
      </c>
      <c r="C656" s="6" t="str">
        <f>VLOOKUP(TABLA_PRECIOS_LISTBOX[Código],LISTADO_PRODUCTOS[#All],5)</f>
        <v>N/A</v>
      </c>
      <c r="D656" s="13">
        <f>VLOOKUP(TABLA_PRECIOS_LISTBOX[[#This Row],[Código]],TABLA_PRECIOS[#All],6)</f>
        <v>1</v>
      </c>
      <c r="E656" s="28">
        <f>VLOOKUP(TABLA_PRECIOS_LISTBOX[[#This Row],[Código]],TABLA_PRECIOS[#All],7)</f>
        <v>1</v>
      </c>
      <c r="F656" s="32">
        <f>VLOOKUP(TABLA_PRECIOS_LISTBOX[[#This Row],[Código]],TABLA_PRECIOS[#All],8)</f>
        <v>1</v>
      </c>
      <c r="G656" s="9">
        <f>VLOOKUP(TABLA_PRECIOS_LISTBOX[[#This Row],[Código]],TABLA_PRECIOS[#All],10)</f>
        <v>0</v>
      </c>
    </row>
    <row r="657" spans="1:7" x14ac:dyDescent="0.3">
      <c r="A657" s="4">
        <v>5018</v>
      </c>
      <c r="B657" s="6" t="str">
        <f>VLOOKUP(TABLA_PRECIOS_LISTBOX[Código],LISTADO_PRODUCTOS[#All],4)</f>
        <v>Consola ALIEN PRO 2 videojuegos</v>
      </c>
      <c r="C657" s="6" t="str">
        <f>VLOOKUP(TABLA_PRECIOS_LISTBOX[Código],LISTADO_PRODUCTOS[#All],5)</f>
        <v>N/A</v>
      </c>
      <c r="D657" s="13">
        <f>VLOOKUP(TABLA_PRECIOS_LISTBOX[[#This Row],[Código]],TABLA_PRECIOS[#All],6)</f>
        <v>1</v>
      </c>
      <c r="E657" s="28">
        <f>VLOOKUP(TABLA_PRECIOS_LISTBOX[[#This Row],[Código]],TABLA_PRECIOS[#All],7)</f>
        <v>1</v>
      </c>
      <c r="F657" s="32">
        <f>VLOOKUP(TABLA_PRECIOS_LISTBOX[[#This Row],[Código]],TABLA_PRECIOS[#All],8)</f>
        <v>1</v>
      </c>
      <c r="G657" s="9">
        <f>VLOOKUP(TABLA_PRECIOS_LISTBOX[[#This Row],[Código]],TABLA_PRECIOS[#All],10)</f>
        <v>0</v>
      </c>
    </row>
    <row r="658" spans="1:7" x14ac:dyDescent="0.3">
      <c r="A658" s="4">
        <v>5108</v>
      </c>
      <c r="B658" s="6" t="str">
        <f>VLOOKUP(TABLA_PRECIOS_LISTBOX[Código],LISTADO_PRODUCTOS[#All],4)</f>
        <v>Calculadora Kenko de Bolsillo KK-402</v>
      </c>
      <c r="C658" s="6" t="str">
        <f>VLOOKUP(TABLA_PRECIOS_LISTBOX[Código],LISTADO_PRODUCTOS[#All],5)</f>
        <v>N/A</v>
      </c>
      <c r="D658" s="13">
        <f>VLOOKUP(TABLA_PRECIOS_LISTBOX[[#This Row],[Código]],TABLA_PRECIOS[#All],6)</f>
        <v>1</v>
      </c>
      <c r="E658" s="28">
        <f>VLOOKUP(TABLA_PRECIOS_LISTBOX[[#This Row],[Código]],TABLA_PRECIOS[#All],7)</f>
        <v>1</v>
      </c>
      <c r="F658" s="32">
        <f>VLOOKUP(TABLA_PRECIOS_LISTBOX[[#This Row],[Código]],TABLA_PRECIOS[#All],8)</f>
        <v>1</v>
      </c>
      <c r="G658" s="9">
        <f>VLOOKUP(TABLA_PRECIOS_LISTBOX[[#This Row],[Código]],TABLA_PRECIOS[#All],10)</f>
        <v>0</v>
      </c>
    </row>
    <row r="659" spans="1:7" x14ac:dyDescent="0.3">
      <c r="A659" s="4">
        <v>5109</v>
      </c>
      <c r="B659" s="6" t="str">
        <f>VLOOKUP(TABLA_PRECIOS_LISTBOX[Código],LISTADO_PRODUCTOS[#All],4)</f>
        <v>Calculadora Ecal TC37</v>
      </c>
      <c r="C659" s="6" t="str">
        <f>VLOOKUP(TABLA_PRECIOS_LISTBOX[Código],LISTADO_PRODUCTOS[#All],5)</f>
        <v>N/A</v>
      </c>
      <c r="D659" s="13">
        <f>VLOOKUP(TABLA_PRECIOS_LISTBOX[[#This Row],[Código]],TABLA_PRECIOS[#All],6)</f>
        <v>1</v>
      </c>
      <c r="E659" s="28">
        <f>VLOOKUP(TABLA_PRECIOS_LISTBOX[[#This Row],[Código]],TABLA_PRECIOS[#All],7)</f>
        <v>1</v>
      </c>
      <c r="F659" s="32">
        <f>VLOOKUP(TABLA_PRECIOS_LISTBOX[[#This Row],[Código]],TABLA_PRECIOS[#All],8)</f>
        <v>1</v>
      </c>
      <c r="G659" s="9">
        <f>VLOOKUP(TABLA_PRECIOS_LISTBOX[[#This Row],[Código]],TABLA_PRECIOS[#All],10)</f>
        <v>0</v>
      </c>
    </row>
    <row r="660" spans="1:7" x14ac:dyDescent="0.3">
      <c r="A660" s="4">
        <v>5111</v>
      </c>
      <c r="B660" s="6" t="str">
        <f>VLOOKUP(TABLA_PRECIOS_LISTBOX[Código],LISTADO_PRODUCTOS[#All],4)</f>
        <v>Calculadora Casio Fx-82 cientifica</v>
      </c>
      <c r="C660" s="6" t="str">
        <f>VLOOKUP(TABLA_PRECIOS_LISTBOX[Código],LISTADO_PRODUCTOS[#All],5)</f>
        <v>N/A</v>
      </c>
      <c r="D660" s="13">
        <f>VLOOKUP(TABLA_PRECIOS_LISTBOX[[#This Row],[Código]],TABLA_PRECIOS[#All],6)</f>
        <v>1</v>
      </c>
      <c r="E660" s="28">
        <f>VLOOKUP(TABLA_PRECIOS_LISTBOX[[#This Row],[Código]],TABLA_PRECIOS[#All],7)</f>
        <v>1</v>
      </c>
      <c r="F660" s="32">
        <f>VLOOKUP(TABLA_PRECIOS_LISTBOX[[#This Row],[Código]],TABLA_PRECIOS[#All],8)</f>
        <v>1</v>
      </c>
      <c r="G660" s="9">
        <f>VLOOKUP(TABLA_PRECIOS_LISTBOX[[#This Row],[Código]],TABLA_PRECIOS[#All],10)</f>
        <v>0</v>
      </c>
    </row>
    <row r="661" spans="1:7" x14ac:dyDescent="0.3">
      <c r="A661" s="4">
        <v>5113</v>
      </c>
      <c r="B661" s="6" t="str">
        <f>VLOOKUP(TABLA_PRECIOS_LISTBOX[Código],LISTADO_PRODUCTOS[#All],4)</f>
        <v>Calculadora Ecal TC 95 MS</v>
      </c>
      <c r="C661" s="6" t="str">
        <f>VLOOKUP(TABLA_PRECIOS_LISTBOX[Código],LISTADO_PRODUCTOS[#All],5)</f>
        <v>N/A</v>
      </c>
      <c r="D661" s="13">
        <f>VLOOKUP(TABLA_PRECIOS_LISTBOX[[#This Row],[Código]],TABLA_PRECIOS[#All],6)</f>
        <v>1</v>
      </c>
      <c r="E661" s="28">
        <f>VLOOKUP(TABLA_PRECIOS_LISTBOX[[#This Row],[Código]],TABLA_PRECIOS[#All],7)</f>
        <v>1</v>
      </c>
      <c r="F661" s="32">
        <f>VLOOKUP(TABLA_PRECIOS_LISTBOX[[#This Row],[Código]],TABLA_PRECIOS[#All],8)</f>
        <v>1</v>
      </c>
      <c r="G661" s="9">
        <f>VLOOKUP(TABLA_PRECIOS_LISTBOX[[#This Row],[Código]],TABLA_PRECIOS[#All],10)</f>
        <v>0</v>
      </c>
    </row>
    <row r="662" spans="1:7" x14ac:dyDescent="0.3">
      <c r="A662" s="4">
        <v>5114</v>
      </c>
      <c r="B662" s="6" t="str">
        <f>VLOOKUP(TABLA_PRECIOS_LISTBOX[Código],LISTADO_PRODUCTOS[#All],4)</f>
        <v>Calculadora Casio HL-820LV</v>
      </c>
      <c r="C662" s="6" t="str">
        <f>VLOOKUP(TABLA_PRECIOS_LISTBOX[Código],LISTADO_PRODUCTOS[#All],5)</f>
        <v>N/A</v>
      </c>
      <c r="D662" s="13">
        <f>VLOOKUP(TABLA_PRECIOS_LISTBOX[[#This Row],[Código]],TABLA_PRECIOS[#All],6)</f>
        <v>1</v>
      </c>
      <c r="E662" s="28">
        <f>VLOOKUP(TABLA_PRECIOS_LISTBOX[[#This Row],[Código]],TABLA_PRECIOS[#All],7)</f>
        <v>1</v>
      </c>
      <c r="F662" s="32">
        <f>VLOOKUP(TABLA_PRECIOS_LISTBOX[[#This Row],[Código]],TABLA_PRECIOS[#All],8)</f>
        <v>1</v>
      </c>
      <c r="G662" s="9">
        <f>VLOOKUP(TABLA_PRECIOS_LISTBOX[[#This Row],[Código]],TABLA_PRECIOS[#All],10)</f>
        <v>0</v>
      </c>
    </row>
    <row r="663" spans="1:7" x14ac:dyDescent="0.3">
      <c r="A663" s="4">
        <v>5115</v>
      </c>
      <c r="B663" s="6" t="str">
        <f>VLOOKUP(TABLA_PRECIOS_LISTBOX[Código],LISTADO_PRODUCTOS[#All],4)</f>
        <v>Calculadora Ecal TC 82</v>
      </c>
      <c r="C663" s="6" t="str">
        <f>VLOOKUP(TABLA_PRECIOS_LISTBOX[Código],LISTADO_PRODUCTOS[#All],5)</f>
        <v>N/A</v>
      </c>
      <c r="D663" s="13">
        <f>VLOOKUP(TABLA_PRECIOS_LISTBOX[[#This Row],[Código]],TABLA_PRECIOS[#All],6)</f>
        <v>1</v>
      </c>
      <c r="E663" s="28">
        <f>VLOOKUP(TABLA_PRECIOS_LISTBOX[[#This Row],[Código]],TABLA_PRECIOS[#All],7)</f>
        <v>1</v>
      </c>
      <c r="F663" s="32">
        <f>VLOOKUP(TABLA_PRECIOS_LISTBOX[[#This Row],[Código]],TABLA_PRECIOS[#All],8)</f>
        <v>1</v>
      </c>
      <c r="G663" s="9">
        <f>VLOOKUP(TABLA_PRECIOS_LISTBOX[[#This Row],[Código]],TABLA_PRECIOS[#All],10)</f>
        <v>0</v>
      </c>
    </row>
    <row r="664" spans="1:7" x14ac:dyDescent="0.3">
      <c r="A664" s="4">
        <v>5118</v>
      </c>
      <c r="B664" s="6" t="str">
        <f>VLOOKUP(TABLA_PRECIOS_LISTBOX[Código],LISTADO_PRODUCTOS[#All],4)</f>
        <v>Mouse Genius retractil</v>
      </c>
      <c r="C664" s="6" t="str">
        <f>VLOOKUP(TABLA_PRECIOS_LISTBOX[Código],LISTADO_PRODUCTOS[#All],5)</f>
        <v>N/A</v>
      </c>
      <c r="D664" s="13">
        <f>VLOOKUP(TABLA_PRECIOS_LISTBOX[[#This Row],[Código]],TABLA_PRECIOS[#All],6)</f>
        <v>1</v>
      </c>
      <c r="E664" s="28">
        <f>VLOOKUP(TABLA_PRECIOS_LISTBOX[[#This Row],[Código]],TABLA_PRECIOS[#All],7)</f>
        <v>1</v>
      </c>
      <c r="F664" s="32">
        <f>VLOOKUP(TABLA_PRECIOS_LISTBOX[[#This Row],[Código]],TABLA_PRECIOS[#All],8)</f>
        <v>1</v>
      </c>
      <c r="G664" s="9">
        <f>VLOOKUP(TABLA_PRECIOS_LISTBOX[[#This Row],[Código]],TABLA_PRECIOS[#All],10)</f>
        <v>0</v>
      </c>
    </row>
    <row r="665" spans="1:7" x14ac:dyDescent="0.3">
      <c r="A665" s="4">
        <v>5120</v>
      </c>
      <c r="B665" s="6" t="str">
        <f>VLOOKUP(TABLA_PRECIOS_LISTBOX[Código],LISTADO_PRODUCTOS[#All],4)</f>
        <v>Mouse Gamer GX AMMOX X1-400</v>
      </c>
      <c r="C665" s="6" t="str">
        <f>VLOOKUP(TABLA_PRECIOS_LISTBOX[Código],LISTADO_PRODUCTOS[#All],5)</f>
        <v>N/A</v>
      </c>
      <c r="D665" s="13">
        <f>VLOOKUP(TABLA_PRECIOS_LISTBOX[[#This Row],[Código]],TABLA_PRECIOS[#All],6)</f>
        <v>1</v>
      </c>
      <c r="E665" s="28">
        <f>VLOOKUP(TABLA_PRECIOS_LISTBOX[[#This Row],[Código]],TABLA_PRECIOS[#All],7)</f>
        <v>1</v>
      </c>
      <c r="F665" s="32">
        <f>VLOOKUP(TABLA_PRECIOS_LISTBOX[[#This Row],[Código]],TABLA_PRECIOS[#All],8)</f>
        <v>1</v>
      </c>
      <c r="G665" s="9">
        <f>VLOOKUP(TABLA_PRECIOS_LISTBOX[[#This Row],[Código]],TABLA_PRECIOS[#All],10)</f>
        <v>0</v>
      </c>
    </row>
    <row r="666" spans="1:7" x14ac:dyDescent="0.3">
      <c r="A666" s="4">
        <v>5129</v>
      </c>
      <c r="B666" s="6" t="str">
        <f>VLOOKUP(TABLA_PRECIOS_LISTBOX[Código],LISTADO_PRODUCTOS[#All],4)</f>
        <v>Mouse FLICA Diseños especiales inalambrico</v>
      </c>
      <c r="C666" s="6" t="str">
        <f>VLOOKUP(TABLA_PRECIOS_LISTBOX[Código],LISTADO_PRODUCTOS[#All],5)</f>
        <v>N/A</v>
      </c>
      <c r="D666" s="13">
        <f>VLOOKUP(TABLA_PRECIOS_LISTBOX[[#This Row],[Código]],TABLA_PRECIOS[#All],6)</f>
        <v>1</v>
      </c>
      <c r="E666" s="28">
        <f>VLOOKUP(TABLA_PRECIOS_LISTBOX[[#This Row],[Código]],TABLA_PRECIOS[#All],7)</f>
        <v>1</v>
      </c>
      <c r="F666" s="32">
        <f>VLOOKUP(TABLA_PRECIOS_LISTBOX[[#This Row],[Código]],TABLA_PRECIOS[#All],8)</f>
        <v>1</v>
      </c>
      <c r="G666" s="9">
        <f>VLOOKUP(TABLA_PRECIOS_LISTBOX[[#This Row],[Código]],TABLA_PRECIOS[#All],10)</f>
        <v>0</v>
      </c>
    </row>
    <row r="667" spans="1:7" x14ac:dyDescent="0.3">
      <c r="A667" s="4">
        <v>5133</v>
      </c>
      <c r="B667" s="6" t="str">
        <f>VLOOKUP(TABLA_PRECIOS_LISTBOX[Código],LISTADO_PRODUCTOS[#All],4)</f>
        <v>Brick Game 9999 in 1</v>
      </c>
      <c r="C667" s="6" t="str">
        <f>VLOOKUP(TABLA_PRECIOS_LISTBOX[Código],LISTADO_PRODUCTOS[#All],5)</f>
        <v>N/A</v>
      </c>
      <c r="D667" s="13">
        <f>VLOOKUP(TABLA_PRECIOS_LISTBOX[[#This Row],[Código]],TABLA_PRECIOS[#All],6)</f>
        <v>1</v>
      </c>
      <c r="E667" s="28">
        <f>VLOOKUP(TABLA_PRECIOS_LISTBOX[[#This Row],[Código]],TABLA_PRECIOS[#All],7)</f>
        <v>1</v>
      </c>
      <c r="F667" s="32">
        <f>VLOOKUP(TABLA_PRECIOS_LISTBOX[[#This Row],[Código]],TABLA_PRECIOS[#All],8)</f>
        <v>1</v>
      </c>
      <c r="G667" s="9">
        <f>VLOOKUP(TABLA_PRECIOS_LISTBOX[[#This Row],[Código]],TABLA_PRECIOS[#All],10)</f>
        <v>0</v>
      </c>
    </row>
    <row r="668" spans="1:7" x14ac:dyDescent="0.3">
      <c r="A668" s="4">
        <v>5134</v>
      </c>
      <c r="B668" s="6" t="str">
        <f>VLOOKUP(TABLA_PRECIOS_LISTBOX[Código],LISTADO_PRODUCTOS[#All],4)</f>
        <v>Pad Mouse FLICA Eco Cuero</v>
      </c>
      <c r="C668" s="6" t="str">
        <f>VLOOKUP(TABLA_PRECIOS_LISTBOX[Código],LISTADO_PRODUCTOS[#All],5)</f>
        <v>N/A</v>
      </c>
      <c r="D668" s="13">
        <f>VLOOKUP(TABLA_PRECIOS_LISTBOX[[#This Row],[Código]],TABLA_PRECIOS[#All],6)</f>
        <v>1</v>
      </c>
      <c r="E668" s="28">
        <f>VLOOKUP(TABLA_PRECIOS_LISTBOX[[#This Row],[Código]],TABLA_PRECIOS[#All],7)</f>
        <v>1</v>
      </c>
      <c r="F668" s="32">
        <f>VLOOKUP(TABLA_PRECIOS_LISTBOX[[#This Row],[Código]],TABLA_PRECIOS[#All],8)</f>
        <v>1</v>
      </c>
      <c r="G668" s="9">
        <f>VLOOKUP(TABLA_PRECIOS_LISTBOX[[#This Row],[Código]],TABLA_PRECIOS[#All],10)</f>
        <v>0</v>
      </c>
    </row>
    <row r="669" spans="1:7" x14ac:dyDescent="0.3">
      <c r="A669" s="4">
        <v>5140</v>
      </c>
      <c r="B669" s="6" t="str">
        <f>VLOOKUP(TABLA_PRECIOS_LISTBOX[Código],LISTADO_PRODUCTOS[#All],4)</f>
        <v>Funda tablet 7" NOGA</v>
      </c>
      <c r="C669" s="6" t="str">
        <f>VLOOKUP(TABLA_PRECIOS_LISTBOX[Código],LISTADO_PRODUCTOS[#All],5)</f>
        <v>N/A</v>
      </c>
      <c r="D669" s="13">
        <f>VLOOKUP(TABLA_PRECIOS_LISTBOX[[#This Row],[Código]],TABLA_PRECIOS[#All],6)</f>
        <v>1</v>
      </c>
      <c r="E669" s="28">
        <f>VLOOKUP(TABLA_PRECIOS_LISTBOX[[#This Row],[Código]],TABLA_PRECIOS[#All],7)</f>
        <v>1</v>
      </c>
      <c r="F669" s="32">
        <f>VLOOKUP(TABLA_PRECIOS_LISTBOX[[#This Row],[Código]],TABLA_PRECIOS[#All],8)</f>
        <v>1</v>
      </c>
      <c r="G669" s="9">
        <f>VLOOKUP(TABLA_PRECIOS_LISTBOX[[#This Row],[Código]],TABLA_PRECIOS[#All],10)</f>
        <v>0</v>
      </c>
    </row>
    <row r="670" spans="1:7" x14ac:dyDescent="0.3">
      <c r="A670" s="4">
        <v>5143</v>
      </c>
      <c r="B670" s="6" t="str">
        <f>VLOOKUP(TABLA_PRECIOS_LISTBOX[Código],LISTADO_PRODUCTOS[#All],4)</f>
        <v>Parlante Genius SP-HF180 6wRMS</v>
      </c>
      <c r="C670" s="6" t="str">
        <f>VLOOKUP(TABLA_PRECIOS_LISTBOX[Código],LISTADO_PRODUCTOS[#All],5)</f>
        <v>N/A</v>
      </c>
      <c r="D670" s="13">
        <f>VLOOKUP(TABLA_PRECIOS_LISTBOX[[#This Row],[Código]],TABLA_PRECIOS[#All],6)</f>
        <v>1</v>
      </c>
      <c r="E670" s="28">
        <f>VLOOKUP(TABLA_PRECIOS_LISTBOX[[#This Row],[Código]],TABLA_PRECIOS[#All],7)</f>
        <v>1</v>
      </c>
      <c r="F670" s="32">
        <f>VLOOKUP(TABLA_PRECIOS_LISTBOX[[#This Row],[Código]],TABLA_PRECIOS[#All],8)</f>
        <v>1</v>
      </c>
      <c r="G670" s="9">
        <f>VLOOKUP(TABLA_PRECIOS_LISTBOX[[#This Row],[Código]],TABLA_PRECIOS[#All],10)</f>
        <v>0</v>
      </c>
    </row>
    <row r="671" spans="1:7" x14ac:dyDescent="0.3">
      <c r="A671" s="4">
        <v>5146</v>
      </c>
      <c r="B671" s="6" t="str">
        <f>VLOOKUP(TABLA_PRECIOS_LISTBOX[Código],LISTADO_PRODUCTOS[#All],4)</f>
        <v>Auricular Genius sobre oreja HS-M270</v>
      </c>
      <c r="C671" s="6" t="str">
        <f>VLOOKUP(TABLA_PRECIOS_LISTBOX[Código],LISTADO_PRODUCTOS[#All],5)</f>
        <v>N/A</v>
      </c>
      <c r="D671" s="13">
        <f>VLOOKUP(TABLA_PRECIOS_LISTBOX[[#This Row],[Código]],TABLA_PRECIOS[#All],6)</f>
        <v>1</v>
      </c>
      <c r="E671" s="28">
        <f>VLOOKUP(TABLA_PRECIOS_LISTBOX[[#This Row],[Código]],TABLA_PRECIOS[#All],7)</f>
        <v>1</v>
      </c>
      <c r="F671" s="32">
        <f>VLOOKUP(TABLA_PRECIOS_LISTBOX[[#This Row],[Código]],TABLA_PRECIOS[#All],8)</f>
        <v>1</v>
      </c>
      <c r="G671" s="9">
        <f>VLOOKUP(TABLA_PRECIOS_LISTBOX[[#This Row],[Código]],TABLA_PRECIOS[#All],10)</f>
        <v>0</v>
      </c>
    </row>
    <row r="672" spans="1:7" x14ac:dyDescent="0.3">
      <c r="A672" s="4">
        <v>5148</v>
      </c>
      <c r="B672" s="6" t="str">
        <f>VLOOKUP(TABLA_PRECIOS_LISTBOX[Código],LISTADO_PRODUCTOS[#All],4)</f>
        <v>Teclado inalambrico compacto LOGITECH K230</v>
      </c>
      <c r="C672" s="6" t="str">
        <f>VLOOKUP(TABLA_PRECIOS_LISTBOX[Código],LISTADO_PRODUCTOS[#All],5)</f>
        <v>N/A</v>
      </c>
      <c r="D672" s="13">
        <f>VLOOKUP(TABLA_PRECIOS_LISTBOX[[#This Row],[Código]],TABLA_PRECIOS[#All],6)</f>
        <v>1</v>
      </c>
      <c r="E672" s="28">
        <f>VLOOKUP(TABLA_PRECIOS_LISTBOX[[#This Row],[Código]],TABLA_PRECIOS[#All],7)</f>
        <v>1</v>
      </c>
      <c r="F672" s="32">
        <f>VLOOKUP(TABLA_PRECIOS_LISTBOX[[#This Row],[Código]],TABLA_PRECIOS[#All],8)</f>
        <v>1</v>
      </c>
      <c r="G672" s="9">
        <f>VLOOKUP(TABLA_PRECIOS_LISTBOX[[#This Row],[Código]],TABLA_PRECIOS[#All],10)</f>
        <v>0</v>
      </c>
    </row>
    <row r="673" spans="1:7" x14ac:dyDescent="0.3">
      <c r="A673" s="4">
        <v>5167</v>
      </c>
      <c r="B673" s="6" t="str">
        <f>VLOOKUP(TABLA_PRECIOS_LISTBOX[Código],LISTADO_PRODUCTOS[#All],4)</f>
        <v>Mini teclado numerico NETMAK NM KB240</v>
      </c>
      <c r="C673" s="6" t="str">
        <f>VLOOKUP(TABLA_PRECIOS_LISTBOX[Código],LISTADO_PRODUCTOS[#All],5)</f>
        <v>N/A</v>
      </c>
      <c r="D673" s="13">
        <f>VLOOKUP(TABLA_PRECIOS_LISTBOX[[#This Row],[Código]],TABLA_PRECIOS[#All],6)</f>
        <v>1</v>
      </c>
      <c r="E673" s="28">
        <f>VLOOKUP(TABLA_PRECIOS_LISTBOX[[#This Row],[Código]],TABLA_PRECIOS[#All],7)</f>
        <v>1</v>
      </c>
      <c r="F673" s="32">
        <f>VLOOKUP(TABLA_PRECIOS_LISTBOX[[#This Row],[Código]],TABLA_PRECIOS[#All],8)</f>
        <v>1</v>
      </c>
      <c r="G673" s="9">
        <f>VLOOKUP(TABLA_PRECIOS_LISTBOX[[#This Row],[Código]],TABLA_PRECIOS[#All],10)</f>
        <v>0</v>
      </c>
    </row>
    <row r="674" spans="1:7" x14ac:dyDescent="0.3">
      <c r="A674" s="4">
        <v>5170</v>
      </c>
      <c r="B674" s="6" t="str">
        <f>VLOOKUP(TABLA_PRECIOS_LISTBOX[Código],LISTADO_PRODUCTOS[#All],4)</f>
        <v>Cargador USB Energizer</v>
      </c>
      <c r="C674" s="6" t="str">
        <f>VLOOKUP(TABLA_PRECIOS_LISTBOX[Código],LISTADO_PRODUCTOS[#All],5)</f>
        <v>N/A</v>
      </c>
      <c r="D674" s="13">
        <f>VLOOKUP(TABLA_PRECIOS_LISTBOX[[#This Row],[Código]],TABLA_PRECIOS[#All],6)</f>
        <v>1</v>
      </c>
      <c r="E674" s="28">
        <f>VLOOKUP(TABLA_PRECIOS_LISTBOX[[#This Row],[Código]],TABLA_PRECIOS[#All],7)</f>
        <v>1</v>
      </c>
      <c r="F674" s="32">
        <f>VLOOKUP(TABLA_PRECIOS_LISTBOX[[#This Row],[Código]],TABLA_PRECIOS[#All],8)</f>
        <v>1</v>
      </c>
      <c r="G674" s="9">
        <f>VLOOKUP(TABLA_PRECIOS_LISTBOX[[#This Row],[Código]],TABLA_PRECIOS[#All],10)</f>
        <v>0</v>
      </c>
    </row>
    <row r="675" spans="1:7" x14ac:dyDescent="0.3">
      <c r="A675" s="4">
        <v>5189</v>
      </c>
      <c r="B675" s="6" t="str">
        <f>VLOOKUP(TABLA_PRECIOS_LISTBOX[Código],LISTADO_PRODUCTOS[#All],4)</f>
        <v>Cable audio Mini plug - mini plug (Rojo)</v>
      </c>
      <c r="C675" s="6" t="str">
        <f>VLOOKUP(TABLA_PRECIOS_LISTBOX[Código],LISTADO_PRODUCTOS[#All],5)</f>
        <v>N/A</v>
      </c>
      <c r="D675" s="13">
        <f>VLOOKUP(TABLA_PRECIOS_LISTBOX[[#This Row],[Código]],TABLA_PRECIOS[#All],6)</f>
        <v>1</v>
      </c>
      <c r="E675" s="28">
        <f>VLOOKUP(TABLA_PRECIOS_LISTBOX[[#This Row],[Código]],TABLA_PRECIOS[#All],7)</f>
        <v>1</v>
      </c>
      <c r="F675" s="32">
        <f>VLOOKUP(TABLA_PRECIOS_LISTBOX[[#This Row],[Código]],TABLA_PRECIOS[#All],8)</f>
        <v>1</v>
      </c>
      <c r="G675" s="9">
        <f>VLOOKUP(TABLA_PRECIOS_LISTBOX[[#This Row],[Código]],TABLA_PRECIOS[#All],10)</f>
        <v>0</v>
      </c>
    </row>
    <row r="676" spans="1:7" x14ac:dyDescent="0.3">
      <c r="A676" s="4">
        <v>5192</v>
      </c>
      <c r="B676" s="6" t="str">
        <f>VLOOKUP(TABLA_PRECIOS_LISTBOX[Código],LISTADO_PRODUCTOS[#All],4)</f>
        <v>Equipo de audio para motos</v>
      </c>
      <c r="C676" s="6" t="str">
        <f>VLOOKUP(TABLA_PRECIOS_LISTBOX[Código],LISTADO_PRODUCTOS[#All],5)</f>
        <v>N/A</v>
      </c>
      <c r="D676" s="13">
        <f>VLOOKUP(TABLA_PRECIOS_LISTBOX[[#This Row],[Código]],TABLA_PRECIOS[#All],6)</f>
        <v>1</v>
      </c>
      <c r="E676" s="28">
        <f>VLOOKUP(TABLA_PRECIOS_LISTBOX[[#This Row],[Código]],TABLA_PRECIOS[#All],7)</f>
        <v>1</v>
      </c>
      <c r="F676" s="32">
        <f>VLOOKUP(TABLA_PRECIOS_LISTBOX[[#This Row],[Código]],TABLA_PRECIOS[#All],8)</f>
        <v>1</v>
      </c>
      <c r="G676" s="9">
        <f>VLOOKUP(TABLA_PRECIOS_LISTBOX[[#This Row],[Código]],TABLA_PRECIOS[#All],10)</f>
        <v>0</v>
      </c>
    </row>
    <row r="677" spans="1:7" x14ac:dyDescent="0.3">
      <c r="A677" s="4">
        <v>5194</v>
      </c>
      <c r="B677" s="6" t="str">
        <f>VLOOKUP(TABLA_PRECIOS_LISTBOX[Código],LISTADO_PRODUCTOS[#All],4)</f>
        <v>Mouse inalambrico Genius NX-7000</v>
      </c>
      <c r="C677" s="6" t="str">
        <f>VLOOKUP(TABLA_PRECIOS_LISTBOX[Código],LISTADO_PRODUCTOS[#All],5)</f>
        <v>N/A</v>
      </c>
      <c r="D677" s="13">
        <f>VLOOKUP(TABLA_PRECIOS_LISTBOX[[#This Row],[Código]],TABLA_PRECIOS[#All],6)</f>
        <v>1</v>
      </c>
      <c r="E677" s="28">
        <f>VLOOKUP(TABLA_PRECIOS_LISTBOX[[#This Row],[Código]],TABLA_PRECIOS[#All],7)</f>
        <v>1</v>
      </c>
      <c r="F677" s="32">
        <f>VLOOKUP(TABLA_PRECIOS_LISTBOX[[#This Row],[Código]],TABLA_PRECIOS[#All],8)</f>
        <v>1</v>
      </c>
      <c r="G677" s="9">
        <f>VLOOKUP(TABLA_PRECIOS_LISTBOX[[#This Row],[Código]],TABLA_PRECIOS[#All],10)</f>
        <v>0</v>
      </c>
    </row>
    <row r="678" spans="1:7" x14ac:dyDescent="0.3">
      <c r="A678" s="4">
        <v>5202</v>
      </c>
      <c r="B678" s="6" t="str">
        <f>VLOOKUP(TABLA_PRECIOS_LISTBOX[Código],LISTADO_PRODUCTOS[#All],4)</f>
        <v>Joestick para Celu</v>
      </c>
      <c r="C678" s="6" t="str">
        <f>VLOOKUP(TABLA_PRECIOS_LISTBOX[Código],LISTADO_PRODUCTOS[#All],5)</f>
        <v>N/A</v>
      </c>
      <c r="D678" s="13">
        <f>VLOOKUP(TABLA_PRECIOS_LISTBOX[[#This Row],[Código]],TABLA_PRECIOS[#All],6)</f>
        <v>1</v>
      </c>
      <c r="E678" s="28">
        <f>VLOOKUP(TABLA_PRECIOS_LISTBOX[[#This Row],[Código]],TABLA_PRECIOS[#All],7)</f>
        <v>1</v>
      </c>
      <c r="F678" s="32">
        <f>VLOOKUP(TABLA_PRECIOS_LISTBOX[[#This Row],[Código]],TABLA_PRECIOS[#All],8)</f>
        <v>1</v>
      </c>
      <c r="G678" s="9">
        <f>VLOOKUP(TABLA_PRECIOS_LISTBOX[[#This Row],[Código]],TABLA_PRECIOS[#All],10)</f>
        <v>0</v>
      </c>
    </row>
    <row r="679" spans="1:7" x14ac:dyDescent="0.3">
      <c r="A679" s="4">
        <v>5204</v>
      </c>
      <c r="B679" s="6" t="str">
        <f>VLOOKUP(TABLA_PRECIOS_LISTBOX[Código],LISTADO_PRODUCTOS[#All],4)</f>
        <v>Reposa celular piramide soporte diferentes angulos 228747</v>
      </c>
      <c r="C679" s="6" t="str">
        <f>VLOOKUP(TABLA_PRECIOS_LISTBOX[Código],LISTADO_PRODUCTOS[#All],5)</f>
        <v>N/A</v>
      </c>
      <c r="D679" s="13">
        <f>VLOOKUP(TABLA_PRECIOS_LISTBOX[[#This Row],[Código]],TABLA_PRECIOS[#All],6)</f>
        <v>1</v>
      </c>
      <c r="E679" s="28">
        <f>VLOOKUP(TABLA_PRECIOS_LISTBOX[[#This Row],[Código]],TABLA_PRECIOS[#All],7)</f>
        <v>1</v>
      </c>
      <c r="F679" s="32">
        <f>VLOOKUP(TABLA_PRECIOS_LISTBOX[[#This Row],[Código]],TABLA_PRECIOS[#All],8)</f>
        <v>1</v>
      </c>
      <c r="G679" s="9">
        <f>VLOOKUP(TABLA_PRECIOS_LISTBOX[[#This Row],[Código]],TABLA_PRECIOS[#All],10)</f>
        <v>0</v>
      </c>
    </row>
    <row r="680" spans="1:7" x14ac:dyDescent="0.3">
      <c r="A680" s="4">
        <v>5207</v>
      </c>
      <c r="B680" s="6" t="str">
        <f>VLOOKUP(TABLA_PRECIOS_LISTBOX[Código],LISTADO_PRODUCTOS[#All],4)</f>
        <v>Cable iphone en bolsita suelto</v>
      </c>
      <c r="C680" s="6" t="str">
        <f>VLOOKUP(TABLA_PRECIOS_LISTBOX[Código],LISTADO_PRODUCTOS[#All],5)</f>
        <v>N/A</v>
      </c>
      <c r="D680" s="13">
        <f>VLOOKUP(TABLA_PRECIOS_LISTBOX[[#This Row],[Código]],TABLA_PRECIOS[#All],6)</f>
        <v>1</v>
      </c>
      <c r="E680" s="28">
        <f>VLOOKUP(TABLA_PRECIOS_LISTBOX[[#This Row],[Código]],TABLA_PRECIOS[#All],7)</f>
        <v>1</v>
      </c>
      <c r="F680" s="32">
        <f>VLOOKUP(TABLA_PRECIOS_LISTBOX[[#This Row],[Código]],TABLA_PRECIOS[#All],8)</f>
        <v>1</v>
      </c>
      <c r="G680" s="9">
        <f>VLOOKUP(TABLA_PRECIOS_LISTBOX[[#This Row],[Código]],TABLA_PRECIOS[#All],10)</f>
        <v>0</v>
      </c>
    </row>
    <row r="681" spans="1:7" x14ac:dyDescent="0.3">
      <c r="A681" s="4">
        <v>5213</v>
      </c>
      <c r="B681" s="6" t="str">
        <f>VLOOKUP(TABLA_PRECIOS_LISTBOX[Código],LISTADO_PRODUCTOS[#All],4)</f>
        <v>Auricular sobre oreja</v>
      </c>
      <c r="C681" s="6" t="str">
        <f>VLOOKUP(TABLA_PRECIOS_LISTBOX[Código],LISTADO_PRODUCTOS[#All],5)</f>
        <v>N/A</v>
      </c>
      <c r="D681" s="13">
        <f>VLOOKUP(TABLA_PRECIOS_LISTBOX[[#This Row],[Código]],TABLA_PRECIOS[#All],6)</f>
        <v>1</v>
      </c>
      <c r="E681" s="28">
        <f>VLOOKUP(TABLA_PRECIOS_LISTBOX[[#This Row],[Código]],TABLA_PRECIOS[#All],7)</f>
        <v>1</v>
      </c>
      <c r="F681" s="32">
        <f>VLOOKUP(TABLA_PRECIOS_LISTBOX[[#This Row],[Código]],TABLA_PRECIOS[#All],8)</f>
        <v>1</v>
      </c>
      <c r="G681" s="9">
        <f>VLOOKUP(TABLA_PRECIOS_LISTBOX[[#This Row],[Código]],TABLA_PRECIOS[#All],10)</f>
        <v>0</v>
      </c>
    </row>
    <row r="682" spans="1:7" x14ac:dyDescent="0.3">
      <c r="A682" s="4">
        <v>5219</v>
      </c>
      <c r="B682" s="6" t="str">
        <f>VLOOKUP(TABLA_PRECIOS_LISTBOX[Código],LISTADO_PRODUCTOS[#All],4)</f>
        <v>Calculadora ECAL TC63</v>
      </c>
      <c r="C682" s="6" t="str">
        <f>VLOOKUP(TABLA_PRECIOS_LISTBOX[Código],LISTADO_PRODUCTOS[#All],5)</f>
        <v>N/A</v>
      </c>
      <c r="D682" s="13">
        <f>VLOOKUP(TABLA_PRECIOS_LISTBOX[[#This Row],[Código]],TABLA_PRECIOS[#All],6)</f>
        <v>1</v>
      </c>
      <c r="E682" s="28">
        <f>VLOOKUP(TABLA_PRECIOS_LISTBOX[[#This Row],[Código]],TABLA_PRECIOS[#All],7)</f>
        <v>1</v>
      </c>
      <c r="F682" s="32">
        <f>VLOOKUP(TABLA_PRECIOS_LISTBOX[[#This Row],[Código]],TABLA_PRECIOS[#All],8)</f>
        <v>1</v>
      </c>
      <c r="G682" s="9">
        <f>VLOOKUP(TABLA_PRECIOS_LISTBOX[[#This Row],[Código]],TABLA_PRECIOS[#All],10)</f>
        <v>0</v>
      </c>
    </row>
    <row r="683" spans="1:7" x14ac:dyDescent="0.3">
      <c r="A683" s="4">
        <v>5226</v>
      </c>
      <c r="B683" s="6" t="str">
        <f>VLOOKUP(TABLA_PRECIOS_LISTBOX[Código],LISTADO_PRODUCTOS[#All],4)</f>
        <v>Bateria cargador  Power Bank chato</v>
      </c>
      <c r="C683" s="6" t="str">
        <f>VLOOKUP(TABLA_PRECIOS_LISTBOX[Código],LISTADO_PRODUCTOS[#All],5)</f>
        <v>N/A</v>
      </c>
      <c r="D683" s="13">
        <f>VLOOKUP(TABLA_PRECIOS_LISTBOX[[#This Row],[Código]],TABLA_PRECIOS[#All],6)</f>
        <v>1</v>
      </c>
      <c r="E683" s="28">
        <f>VLOOKUP(TABLA_PRECIOS_LISTBOX[[#This Row],[Código]],TABLA_PRECIOS[#All],7)</f>
        <v>1</v>
      </c>
      <c r="F683" s="32">
        <f>VLOOKUP(TABLA_PRECIOS_LISTBOX[[#This Row],[Código]],TABLA_PRECIOS[#All],8)</f>
        <v>1</v>
      </c>
      <c r="G683" s="9">
        <f>VLOOKUP(TABLA_PRECIOS_LISTBOX[[#This Row],[Código]],TABLA_PRECIOS[#All],10)</f>
        <v>0</v>
      </c>
    </row>
    <row r="684" spans="1:7" x14ac:dyDescent="0.3">
      <c r="A684" s="4">
        <v>5227</v>
      </c>
      <c r="B684" s="6" t="str">
        <f>VLOOKUP(TABLA_PRECIOS_LISTBOX[Código],LISTADO_PRODUCTOS[#All],4)</f>
        <v>Teclado + mouse IBEK BK-811</v>
      </c>
      <c r="C684" s="6" t="str">
        <f>VLOOKUP(TABLA_PRECIOS_LISTBOX[Código],LISTADO_PRODUCTOS[#All],5)</f>
        <v>N/A</v>
      </c>
      <c r="D684" s="13">
        <f>VLOOKUP(TABLA_PRECIOS_LISTBOX[[#This Row],[Código]],TABLA_PRECIOS[#All],6)</f>
        <v>1</v>
      </c>
      <c r="E684" s="28">
        <f>VLOOKUP(TABLA_PRECIOS_LISTBOX[[#This Row],[Código]],TABLA_PRECIOS[#All],7)</f>
        <v>1</v>
      </c>
      <c r="F684" s="32">
        <f>VLOOKUP(TABLA_PRECIOS_LISTBOX[[#This Row],[Código]],TABLA_PRECIOS[#All],8)</f>
        <v>1</v>
      </c>
      <c r="G684" s="9">
        <f>VLOOKUP(TABLA_PRECIOS_LISTBOX[[#This Row],[Código]],TABLA_PRECIOS[#All],10)</f>
        <v>0</v>
      </c>
    </row>
    <row r="685" spans="1:7" x14ac:dyDescent="0.3">
      <c r="A685" s="4">
        <v>5228</v>
      </c>
      <c r="B685" s="6" t="str">
        <f>VLOOKUP(TABLA_PRECIOS_LISTBOX[Código],LISTADO_PRODUCTOS[#All],4)</f>
        <v>Calculadora Motex doble visor KK-8585-12</v>
      </c>
      <c r="C685" s="6" t="str">
        <f>VLOOKUP(TABLA_PRECIOS_LISTBOX[Código],LISTADO_PRODUCTOS[#All],5)</f>
        <v>N/A</v>
      </c>
      <c r="D685" s="13">
        <f>VLOOKUP(TABLA_PRECIOS_LISTBOX[[#This Row],[Código]],TABLA_PRECIOS[#All],6)</f>
        <v>1</v>
      </c>
      <c r="E685" s="28">
        <f>VLOOKUP(TABLA_PRECIOS_LISTBOX[[#This Row],[Código]],TABLA_PRECIOS[#All],7)</f>
        <v>1</v>
      </c>
      <c r="F685" s="32">
        <f>VLOOKUP(TABLA_PRECIOS_LISTBOX[[#This Row],[Código]],TABLA_PRECIOS[#All],8)</f>
        <v>1</v>
      </c>
      <c r="G685" s="9">
        <f>VLOOKUP(TABLA_PRECIOS_LISTBOX[[#This Row],[Código]],TABLA_PRECIOS[#All],10)</f>
        <v>0</v>
      </c>
    </row>
    <row r="686" spans="1:7" x14ac:dyDescent="0.3">
      <c r="A686" s="4">
        <v>5229</v>
      </c>
      <c r="B686" s="6" t="str">
        <f>VLOOKUP(TABLA_PRECIOS_LISTBOX[Código],LISTADO_PRODUCTOS[#All],4)</f>
        <v>Cable Samsung USB - Type C</v>
      </c>
      <c r="C686" s="6" t="str">
        <f>VLOOKUP(TABLA_PRECIOS_LISTBOX[Código],LISTADO_PRODUCTOS[#All],5)</f>
        <v>N/A</v>
      </c>
      <c r="D686" s="13">
        <f>VLOOKUP(TABLA_PRECIOS_LISTBOX[[#This Row],[Código]],TABLA_PRECIOS[#All],6)</f>
        <v>1</v>
      </c>
      <c r="E686" s="28">
        <f>VLOOKUP(TABLA_PRECIOS_LISTBOX[[#This Row],[Código]],TABLA_PRECIOS[#All],7)</f>
        <v>1</v>
      </c>
      <c r="F686" s="32">
        <f>VLOOKUP(TABLA_PRECIOS_LISTBOX[[#This Row],[Código]],TABLA_PRECIOS[#All],8)</f>
        <v>1</v>
      </c>
      <c r="G686" s="9">
        <f>VLOOKUP(TABLA_PRECIOS_LISTBOX[[#This Row],[Código]],TABLA_PRECIOS[#All],10)</f>
        <v>0</v>
      </c>
    </row>
    <row r="687" spans="1:7" x14ac:dyDescent="0.3">
      <c r="A687" s="4">
        <v>5230</v>
      </c>
      <c r="B687" s="6" t="str">
        <f>VLOOKUP(TABLA_PRECIOS_LISTBOX[Código],LISTADO_PRODUCTOS[#All],4)</f>
        <v>Calculadora Casio MW-5V-WE</v>
      </c>
      <c r="C687" s="6" t="str">
        <f>VLOOKUP(TABLA_PRECIOS_LISTBOX[Código],LISTADO_PRODUCTOS[#All],5)</f>
        <v>N/A</v>
      </c>
      <c r="D687" s="13">
        <f>VLOOKUP(TABLA_PRECIOS_LISTBOX[[#This Row],[Código]],TABLA_PRECIOS[#All],6)</f>
        <v>1</v>
      </c>
      <c r="E687" s="28">
        <f>VLOOKUP(TABLA_PRECIOS_LISTBOX[[#This Row],[Código]],TABLA_PRECIOS[#All],7)</f>
        <v>1</v>
      </c>
      <c r="F687" s="32">
        <f>VLOOKUP(TABLA_PRECIOS_LISTBOX[[#This Row],[Código]],TABLA_PRECIOS[#All],8)</f>
        <v>1</v>
      </c>
      <c r="G687" s="9">
        <f>VLOOKUP(TABLA_PRECIOS_LISTBOX[[#This Row],[Código]],TABLA_PRECIOS[#All],10)</f>
        <v>0</v>
      </c>
    </row>
    <row r="688" spans="1:7" x14ac:dyDescent="0.3">
      <c r="A688" s="4">
        <v>5231</v>
      </c>
      <c r="B688" s="6" t="str">
        <f>VLOOKUP(TABLA_PRECIOS_LISTBOX[Código],LISTADO_PRODUCTOS[#All],4)</f>
        <v>Cable Fast Charging Samsung Galaxy Note</v>
      </c>
      <c r="C688" s="6" t="str">
        <f>VLOOKUP(TABLA_PRECIOS_LISTBOX[Código],LISTADO_PRODUCTOS[#All],5)</f>
        <v>N/A</v>
      </c>
      <c r="D688" s="13">
        <f>VLOOKUP(TABLA_PRECIOS_LISTBOX[[#This Row],[Código]],TABLA_PRECIOS[#All],6)</f>
        <v>1</v>
      </c>
      <c r="E688" s="28">
        <f>VLOOKUP(TABLA_PRECIOS_LISTBOX[[#This Row],[Código]],TABLA_PRECIOS[#All],7)</f>
        <v>1</v>
      </c>
      <c r="F688" s="32">
        <f>VLOOKUP(TABLA_PRECIOS_LISTBOX[[#This Row],[Código]],TABLA_PRECIOS[#All],8)</f>
        <v>1</v>
      </c>
      <c r="G688" s="9">
        <f>VLOOKUP(TABLA_PRECIOS_LISTBOX[[#This Row],[Código]],TABLA_PRECIOS[#All],10)</f>
        <v>0</v>
      </c>
    </row>
    <row r="689" spans="1:7" x14ac:dyDescent="0.3">
      <c r="A689" s="4">
        <v>5233</v>
      </c>
      <c r="B689" s="6" t="str">
        <f>VLOOKUP(TABLA_PRECIOS_LISTBOX[Código],LISTADO_PRODUCTOS[#All],4)</f>
        <v>Toner Global para Xerox Phaser 3020</v>
      </c>
      <c r="C689" s="6" t="str">
        <f>VLOOKUP(TABLA_PRECIOS_LISTBOX[Código],LISTADO_PRODUCTOS[#All],5)</f>
        <v>N/A</v>
      </c>
      <c r="D689" s="13">
        <f>VLOOKUP(TABLA_PRECIOS_LISTBOX[[#This Row],[Código]],TABLA_PRECIOS[#All],6)</f>
        <v>1</v>
      </c>
      <c r="E689" s="28">
        <f>VLOOKUP(TABLA_PRECIOS_LISTBOX[[#This Row],[Código]],TABLA_PRECIOS[#All],7)</f>
        <v>1</v>
      </c>
      <c r="F689" s="32">
        <f>VLOOKUP(TABLA_PRECIOS_LISTBOX[[#This Row],[Código]],TABLA_PRECIOS[#All],8)</f>
        <v>1</v>
      </c>
      <c r="G689" s="9">
        <f>VLOOKUP(TABLA_PRECIOS_LISTBOX[[#This Row],[Código]],TABLA_PRECIOS[#All],10)</f>
        <v>0</v>
      </c>
    </row>
    <row r="690" spans="1:7" x14ac:dyDescent="0.3">
      <c r="A690" s="4">
        <v>6100</v>
      </c>
      <c r="B690" s="6" t="str">
        <f>VLOOKUP(TABLA_PRECIOS_LISTBOX[Código],LISTADO_PRODUCTOS[#All],4)</f>
        <v>El Principito Catapulta Junior</v>
      </c>
      <c r="C690" s="6" t="str">
        <f>VLOOKUP(TABLA_PRECIOS_LISTBOX[Código],LISTADO_PRODUCTOS[#All],5)</f>
        <v>N/A</v>
      </c>
      <c r="D690" s="13">
        <f>VLOOKUP(TABLA_PRECIOS_LISTBOX[[#This Row],[Código]],TABLA_PRECIOS[#All],6)</f>
        <v>1</v>
      </c>
      <c r="E690" s="28">
        <f>VLOOKUP(TABLA_PRECIOS_LISTBOX[[#This Row],[Código]],TABLA_PRECIOS[#All],7)</f>
        <v>1</v>
      </c>
      <c r="F690" s="32">
        <f>VLOOKUP(TABLA_PRECIOS_LISTBOX[[#This Row],[Código]],TABLA_PRECIOS[#All],8)</f>
        <v>1</v>
      </c>
      <c r="G690" s="9">
        <f>VLOOKUP(TABLA_PRECIOS_LISTBOX[[#This Row],[Código]],TABLA_PRECIOS[#All],10)</f>
        <v>0</v>
      </c>
    </row>
    <row r="691" spans="1:7" x14ac:dyDescent="0.3">
      <c r="A691" s="4">
        <v>6101</v>
      </c>
      <c r="B691" s="6" t="str">
        <f>VLOOKUP(TABLA_PRECIOS_LISTBOX[Código],LISTADO_PRODUCTOS[#All],4)</f>
        <v>Set Mi primer libro de actividades + 24 colores Filgo</v>
      </c>
      <c r="C691" s="6" t="str">
        <f>VLOOKUP(TABLA_PRECIOS_LISTBOX[Código],LISTADO_PRODUCTOS[#All],5)</f>
        <v>N/A</v>
      </c>
      <c r="D691" s="13">
        <f>VLOOKUP(TABLA_PRECIOS_LISTBOX[[#This Row],[Código]],TABLA_PRECIOS[#All],6)</f>
        <v>1</v>
      </c>
      <c r="E691" s="28">
        <f>VLOOKUP(TABLA_PRECIOS_LISTBOX[[#This Row],[Código]],TABLA_PRECIOS[#All],7)</f>
        <v>1</v>
      </c>
      <c r="F691" s="32">
        <f>VLOOKUP(TABLA_PRECIOS_LISTBOX[[#This Row],[Código]],TABLA_PRECIOS[#All],8)</f>
        <v>1</v>
      </c>
      <c r="G691" s="9">
        <f>VLOOKUP(TABLA_PRECIOS_LISTBOX[[#This Row],[Código]],TABLA_PRECIOS[#All],10)</f>
        <v>0</v>
      </c>
    </row>
    <row r="692" spans="1:7" x14ac:dyDescent="0.3">
      <c r="A692" s="4">
        <v>6102</v>
      </c>
      <c r="B692" s="6" t="str">
        <f>VLOOKUP(TABLA_PRECIOS_LISTBOX[Código],LISTADO_PRODUCTOS[#All],4)</f>
        <v xml:space="preserve">Libro Paleta Magica de colores (12 Posters con acuarelas en cada pagina) </v>
      </c>
      <c r="C692" s="6" t="str">
        <f>VLOOKUP(TABLA_PRECIOS_LISTBOX[Código],LISTADO_PRODUCTOS[#All],5)</f>
        <v>N/A</v>
      </c>
      <c r="D692" s="13">
        <f>VLOOKUP(TABLA_PRECIOS_LISTBOX[[#This Row],[Código]],TABLA_PRECIOS[#All],6)</f>
        <v>1</v>
      </c>
      <c r="E692" s="28">
        <f>VLOOKUP(TABLA_PRECIOS_LISTBOX[[#This Row],[Código]],TABLA_PRECIOS[#All],7)</f>
        <v>1</v>
      </c>
      <c r="F692" s="32">
        <f>VLOOKUP(TABLA_PRECIOS_LISTBOX[[#This Row],[Código]],TABLA_PRECIOS[#All],8)</f>
        <v>1</v>
      </c>
      <c r="G692" s="9">
        <f>VLOOKUP(TABLA_PRECIOS_LISTBOX[[#This Row],[Código]],TABLA_PRECIOS[#All],10)</f>
        <v>0</v>
      </c>
    </row>
    <row r="693" spans="1:7" x14ac:dyDescent="0.3">
      <c r="A693" s="4">
        <v>6105</v>
      </c>
      <c r="B693" s="6" t="str">
        <f>VLOOKUP(TABLA_PRECIOS_LISTBOX[Código],LISTADO_PRODUCTOS[#All],4)</f>
        <v>Largo petalo de mar- Isabel Allende</v>
      </c>
      <c r="C693" s="6" t="str">
        <f>VLOOKUP(TABLA_PRECIOS_LISTBOX[Código],LISTADO_PRODUCTOS[#All],5)</f>
        <v>N/A</v>
      </c>
      <c r="D693" s="13">
        <f>VLOOKUP(TABLA_PRECIOS_LISTBOX[[#This Row],[Código]],TABLA_PRECIOS[#All],6)</f>
        <v>1</v>
      </c>
      <c r="E693" s="28">
        <f>VLOOKUP(TABLA_PRECIOS_LISTBOX[[#This Row],[Código]],TABLA_PRECIOS[#All],7)</f>
        <v>1</v>
      </c>
      <c r="F693" s="32">
        <f>VLOOKUP(TABLA_PRECIOS_LISTBOX[[#This Row],[Código]],TABLA_PRECIOS[#All],8)</f>
        <v>1</v>
      </c>
      <c r="G693" s="9">
        <f>VLOOKUP(TABLA_PRECIOS_LISTBOX[[#This Row],[Código]],TABLA_PRECIOS[#All],10)</f>
        <v>0</v>
      </c>
    </row>
    <row r="694" spans="1:7" x14ac:dyDescent="0.3">
      <c r="A694" s="4">
        <v>6106</v>
      </c>
      <c r="B694" s="6" t="str">
        <f>VLOOKUP(TABLA_PRECIOS_LISTBOX[Código],LISTADO_PRODUCTOS[#All],4)</f>
        <v>Las neuronas de dios de Diego Golombek</v>
      </c>
      <c r="C694" s="6" t="str">
        <f>VLOOKUP(TABLA_PRECIOS_LISTBOX[Código],LISTADO_PRODUCTOS[#All],5)</f>
        <v>N/A</v>
      </c>
      <c r="D694" s="13">
        <f>VLOOKUP(TABLA_PRECIOS_LISTBOX[[#This Row],[Código]],TABLA_PRECIOS[#All],6)</f>
        <v>1</v>
      </c>
      <c r="E694" s="28">
        <f>VLOOKUP(TABLA_PRECIOS_LISTBOX[[#This Row],[Código]],TABLA_PRECIOS[#All],7)</f>
        <v>1</v>
      </c>
      <c r="F694" s="32">
        <f>VLOOKUP(TABLA_PRECIOS_LISTBOX[[#This Row],[Código]],TABLA_PRECIOS[#All],8)</f>
        <v>1</v>
      </c>
      <c r="G694" s="9">
        <f>VLOOKUP(TABLA_PRECIOS_LISTBOX[[#This Row],[Código]],TABLA_PRECIOS[#All],10)</f>
        <v>0</v>
      </c>
    </row>
    <row r="695" spans="1:7" x14ac:dyDescent="0.3">
      <c r="A695" s="4">
        <v>6107</v>
      </c>
      <c r="B695" s="6" t="str">
        <f>VLOOKUP(TABLA_PRECIOS_LISTBOX[Código],LISTADO_PRODUCTOS[#All],4)</f>
        <v>Cruzar la noche de Alicia Barberis</v>
      </c>
      <c r="C695" s="6" t="str">
        <f>VLOOKUP(TABLA_PRECIOS_LISTBOX[Código],LISTADO_PRODUCTOS[#All],5)</f>
        <v>N/A</v>
      </c>
      <c r="D695" s="13">
        <f>VLOOKUP(TABLA_PRECIOS_LISTBOX[[#This Row],[Código]],TABLA_PRECIOS[#All],6)</f>
        <v>1</v>
      </c>
      <c r="E695" s="28">
        <f>VLOOKUP(TABLA_PRECIOS_LISTBOX[[#This Row],[Código]],TABLA_PRECIOS[#All],7)</f>
        <v>1</v>
      </c>
      <c r="F695" s="32">
        <f>VLOOKUP(TABLA_PRECIOS_LISTBOX[[#This Row],[Código]],TABLA_PRECIOS[#All],8)</f>
        <v>1</v>
      </c>
      <c r="G695" s="9">
        <f>VLOOKUP(TABLA_PRECIOS_LISTBOX[[#This Row],[Código]],TABLA_PRECIOS[#All],10)</f>
        <v>0</v>
      </c>
    </row>
    <row r="696" spans="1:7" x14ac:dyDescent="0.3">
      <c r="A696" s="4">
        <v>6108</v>
      </c>
      <c r="B696" s="6" t="str">
        <f>VLOOKUP(TABLA_PRECIOS_LISTBOX[Código],LISTADO_PRODUCTOS[#All],4)</f>
        <v>Una caza de secretos de paula bombara</v>
      </c>
      <c r="C696" s="6" t="str">
        <f>VLOOKUP(TABLA_PRECIOS_LISTBOX[Código],LISTADO_PRODUCTOS[#All],5)</f>
        <v>N/A</v>
      </c>
      <c r="D696" s="13">
        <f>VLOOKUP(TABLA_PRECIOS_LISTBOX[[#This Row],[Código]],TABLA_PRECIOS[#All],6)</f>
        <v>1</v>
      </c>
      <c r="E696" s="28">
        <f>VLOOKUP(TABLA_PRECIOS_LISTBOX[[#This Row],[Código]],TABLA_PRECIOS[#All],7)</f>
        <v>1</v>
      </c>
      <c r="F696" s="32">
        <f>VLOOKUP(TABLA_PRECIOS_LISTBOX[[#This Row],[Código]],TABLA_PRECIOS[#All],8)</f>
        <v>1</v>
      </c>
      <c r="G696" s="9">
        <f>VLOOKUP(TABLA_PRECIOS_LISTBOX[[#This Row],[Código]],TABLA_PRECIOS[#All],10)</f>
        <v>0</v>
      </c>
    </row>
    <row r="697" spans="1:7" x14ac:dyDescent="0.3">
      <c r="A697" s="4">
        <v>6109</v>
      </c>
      <c r="B697" s="6" t="str">
        <f>VLOOKUP(TABLA_PRECIOS_LISTBOX[Código],LISTADO_PRODUCTOS[#All],4)</f>
        <v>Cuando me muera quiero que me toquen cumbia de cristian alarcon</v>
      </c>
      <c r="C697" s="6" t="str">
        <f>VLOOKUP(TABLA_PRECIOS_LISTBOX[Código],LISTADO_PRODUCTOS[#All],5)</f>
        <v>N/A</v>
      </c>
      <c r="D697" s="13">
        <f>VLOOKUP(TABLA_PRECIOS_LISTBOX[[#This Row],[Código]],TABLA_PRECIOS[#All],6)</f>
        <v>1</v>
      </c>
      <c r="E697" s="28">
        <f>VLOOKUP(TABLA_PRECIOS_LISTBOX[[#This Row],[Código]],TABLA_PRECIOS[#All],7)</f>
        <v>1</v>
      </c>
      <c r="F697" s="32">
        <f>VLOOKUP(TABLA_PRECIOS_LISTBOX[[#This Row],[Código]],TABLA_PRECIOS[#All],8)</f>
        <v>1</v>
      </c>
      <c r="G697" s="9">
        <f>VLOOKUP(TABLA_PRECIOS_LISTBOX[[#This Row],[Código]],TABLA_PRECIOS[#All],10)</f>
        <v>0</v>
      </c>
    </row>
    <row r="698" spans="1:7" x14ac:dyDescent="0.3">
      <c r="A698" s="4">
        <v>6110</v>
      </c>
      <c r="B698" s="6" t="str">
        <f>VLOOKUP(TABLA_PRECIOS_LISTBOX[Código],LISTADO_PRODUCTOS[#All],4)</f>
        <v>La chica pajaro de paula bombara</v>
      </c>
      <c r="C698" s="6" t="str">
        <f>VLOOKUP(TABLA_PRECIOS_LISTBOX[Código],LISTADO_PRODUCTOS[#All],5)</f>
        <v>N/A</v>
      </c>
      <c r="D698" s="13">
        <f>VLOOKUP(TABLA_PRECIOS_LISTBOX[[#This Row],[Código]],TABLA_PRECIOS[#All],6)</f>
        <v>1</v>
      </c>
      <c r="E698" s="28">
        <f>VLOOKUP(TABLA_PRECIOS_LISTBOX[[#This Row],[Código]],TABLA_PRECIOS[#All],7)</f>
        <v>1</v>
      </c>
      <c r="F698" s="32">
        <f>VLOOKUP(TABLA_PRECIOS_LISTBOX[[#This Row],[Código]],TABLA_PRECIOS[#All],8)</f>
        <v>1</v>
      </c>
      <c r="G698" s="9">
        <f>VLOOKUP(TABLA_PRECIOS_LISTBOX[[#This Row],[Código]],TABLA_PRECIOS[#All],10)</f>
        <v>0</v>
      </c>
    </row>
    <row r="699" spans="1:7" x14ac:dyDescent="0.3">
      <c r="A699" s="4">
        <v>6149</v>
      </c>
      <c r="B699" s="6" t="str">
        <f>VLOOKUP(TABLA_PRECIOS_LISTBOX[Código],LISTADO_PRODUCTOS[#All],4)</f>
        <v>Libritos Mandalitas Ed. Betina</v>
      </c>
      <c r="C699" s="6" t="str">
        <f>VLOOKUP(TABLA_PRECIOS_LISTBOX[Código],LISTADO_PRODUCTOS[#All],5)</f>
        <v>N/A</v>
      </c>
      <c r="D699" s="13">
        <f>VLOOKUP(TABLA_PRECIOS_LISTBOX[[#This Row],[Código]],TABLA_PRECIOS[#All],6)</f>
        <v>1</v>
      </c>
      <c r="E699" s="28">
        <f>VLOOKUP(TABLA_PRECIOS_LISTBOX[[#This Row],[Código]],TABLA_PRECIOS[#All],7)</f>
        <v>1</v>
      </c>
      <c r="F699" s="32">
        <f>VLOOKUP(TABLA_PRECIOS_LISTBOX[[#This Row],[Código]],TABLA_PRECIOS[#All],8)</f>
        <v>1</v>
      </c>
      <c r="G699" s="9">
        <f>VLOOKUP(TABLA_PRECIOS_LISTBOX[[#This Row],[Código]],TABLA_PRECIOS[#All],10)</f>
        <v>0</v>
      </c>
    </row>
    <row r="700" spans="1:7" x14ac:dyDescent="0.3">
      <c r="A700" s="4">
        <v>6165</v>
      </c>
      <c r="B700" s="6" t="str">
        <f>VLOOKUP(TABLA_PRECIOS_LISTBOX[Código],LISTADO_PRODUCTOS[#All],4)</f>
        <v>El Retrato de Doria Grey</v>
      </c>
      <c r="C700" s="6" t="str">
        <f>VLOOKUP(TABLA_PRECIOS_LISTBOX[Código],LISTADO_PRODUCTOS[#All],5)</f>
        <v>N/A</v>
      </c>
      <c r="D700" s="13">
        <f>VLOOKUP(TABLA_PRECIOS_LISTBOX[[#This Row],[Código]],TABLA_PRECIOS[#All],6)</f>
        <v>1</v>
      </c>
      <c r="E700" s="28">
        <f>VLOOKUP(TABLA_PRECIOS_LISTBOX[[#This Row],[Código]],TABLA_PRECIOS[#All],7)</f>
        <v>1</v>
      </c>
      <c r="F700" s="32">
        <f>VLOOKUP(TABLA_PRECIOS_LISTBOX[[#This Row],[Código]],TABLA_PRECIOS[#All],8)</f>
        <v>1</v>
      </c>
      <c r="G700" s="9">
        <f>VLOOKUP(TABLA_PRECIOS_LISTBOX[[#This Row],[Código]],TABLA_PRECIOS[#All],10)</f>
        <v>0</v>
      </c>
    </row>
    <row r="701" spans="1:7" x14ac:dyDescent="0.3">
      <c r="A701" s="4">
        <v>6166</v>
      </c>
      <c r="B701" s="6" t="str">
        <f>VLOOKUP(TABLA_PRECIOS_LISTBOX[Código],LISTADO_PRODUCTOS[#All],4)</f>
        <v>La Gitanilla</v>
      </c>
      <c r="C701" s="6" t="str">
        <f>VLOOKUP(TABLA_PRECIOS_LISTBOX[Código],LISTADO_PRODUCTOS[#All],5)</f>
        <v>N/A</v>
      </c>
      <c r="D701" s="13">
        <f>VLOOKUP(TABLA_PRECIOS_LISTBOX[[#This Row],[Código]],TABLA_PRECIOS[#All],6)</f>
        <v>1</v>
      </c>
      <c r="E701" s="28">
        <f>VLOOKUP(TABLA_PRECIOS_LISTBOX[[#This Row],[Código]],TABLA_PRECIOS[#All],7)</f>
        <v>1</v>
      </c>
      <c r="F701" s="32">
        <f>VLOOKUP(TABLA_PRECIOS_LISTBOX[[#This Row],[Código]],TABLA_PRECIOS[#All],8)</f>
        <v>1</v>
      </c>
      <c r="G701" s="9">
        <f>VLOOKUP(TABLA_PRECIOS_LISTBOX[[#This Row],[Código]],TABLA_PRECIOS[#All],10)</f>
        <v>0</v>
      </c>
    </row>
    <row r="702" spans="1:7" x14ac:dyDescent="0.3">
      <c r="A702" s="4">
        <v>6167</v>
      </c>
      <c r="B702" s="6" t="str">
        <f>VLOOKUP(TABLA_PRECIOS_LISTBOX[Código],LISTADO_PRODUCTOS[#All],4)</f>
        <v>La Isla del Tesoro</v>
      </c>
      <c r="C702" s="6" t="str">
        <f>VLOOKUP(TABLA_PRECIOS_LISTBOX[Código],LISTADO_PRODUCTOS[#All],5)</f>
        <v>N/A</v>
      </c>
      <c r="D702" s="13">
        <f>VLOOKUP(TABLA_PRECIOS_LISTBOX[[#This Row],[Código]],TABLA_PRECIOS[#All],6)</f>
        <v>1</v>
      </c>
      <c r="E702" s="28">
        <f>VLOOKUP(TABLA_PRECIOS_LISTBOX[[#This Row],[Código]],TABLA_PRECIOS[#All],7)</f>
        <v>1</v>
      </c>
      <c r="F702" s="32">
        <f>VLOOKUP(TABLA_PRECIOS_LISTBOX[[#This Row],[Código]],TABLA_PRECIOS[#All],8)</f>
        <v>1</v>
      </c>
      <c r="G702" s="9">
        <f>VLOOKUP(TABLA_PRECIOS_LISTBOX[[#This Row],[Código]],TABLA_PRECIOS[#All],10)</f>
        <v>0</v>
      </c>
    </row>
    <row r="703" spans="1:7" x14ac:dyDescent="0.3">
      <c r="A703" s="4">
        <v>6180</v>
      </c>
      <c r="B703" s="6" t="str">
        <f>VLOOKUP(TABLA_PRECIOS_LISTBOX[Código],LISTADO_PRODUCTOS[#All],4)</f>
        <v>Diccionario de sinonimos y antonimos Estrada</v>
      </c>
      <c r="C703" s="6" t="str">
        <f>VLOOKUP(TABLA_PRECIOS_LISTBOX[Código],LISTADO_PRODUCTOS[#All],5)</f>
        <v>N/A</v>
      </c>
      <c r="D703" s="13">
        <f>VLOOKUP(TABLA_PRECIOS_LISTBOX[[#This Row],[Código]],TABLA_PRECIOS[#All],6)</f>
        <v>1</v>
      </c>
      <c r="E703" s="28">
        <f>VLOOKUP(TABLA_PRECIOS_LISTBOX[[#This Row],[Código]],TABLA_PRECIOS[#All],7)</f>
        <v>1</v>
      </c>
      <c r="F703" s="32">
        <f>VLOOKUP(TABLA_PRECIOS_LISTBOX[[#This Row],[Código]],TABLA_PRECIOS[#All],8)</f>
        <v>1</v>
      </c>
      <c r="G703" s="9">
        <f>VLOOKUP(TABLA_PRECIOS_LISTBOX[[#This Row],[Código]],TABLA_PRECIOS[#All],10)</f>
        <v>0</v>
      </c>
    </row>
    <row r="704" spans="1:7" x14ac:dyDescent="0.3">
      <c r="A704" s="4">
        <v>6185</v>
      </c>
      <c r="B704" s="6" t="str">
        <f>VLOOKUP(TABLA_PRECIOS_LISTBOX[Código],LISTADO_PRODUCTOS[#All],4)</f>
        <v>Juega y Colorea (Libro para pintar+ Stikers + crayones)</v>
      </c>
      <c r="C704" s="6" t="str">
        <f>VLOOKUP(TABLA_PRECIOS_LISTBOX[Código],LISTADO_PRODUCTOS[#All],5)</f>
        <v>N/A</v>
      </c>
      <c r="D704" s="13">
        <f>VLOOKUP(TABLA_PRECIOS_LISTBOX[[#This Row],[Código]],TABLA_PRECIOS[#All],6)</f>
        <v>1</v>
      </c>
      <c r="E704" s="28">
        <f>VLOOKUP(TABLA_PRECIOS_LISTBOX[[#This Row],[Código]],TABLA_PRECIOS[#All],7)</f>
        <v>1</v>
      </c>
      <c r="F704" s="32">
        <f>VLOOKUP(TABLA_PRECIOS_LISTBOX[[#This Row],[Código]],TABLA_PRECIOS[#All],8)</f>
        <v>1</v>
      </c>
      <c r="G704" s="9">
        <f>VLOOKUP(TABLA_PRECIOS_LISTBOX[[#This Row],[Código]],TABLA_PRECIOS[#All],10)</f>
        <v>0</v>
      </c>
    </row>
    <row r="705" spans="1:7" x14ac:dyDescent="0.3">
      <c r="A705" s="4">
        <v>6187</v>
      </c>
      <c r="B705" s="6" t="str">
        <f>VLOOKUP(TABLA_PRECIOS_LISTBOX[Código],LISTADO_PRODUCTOS[#All],4)</f>
        <v>Mamá gracias por tu amor VyR</v>
      </c>
      <c r="C705" s="6" t="str">
        <f>VLOOKUP(TABLA_PRECIOS_LISTBOX[Código],LISTADO_PRODUCTOS[#All],5)</f>
        <v>N/A</v>
      </c>
      <c r="D705" s="13">
        <f>VLOOKUP(TABLA_PRECIOS_LISTBOX[[#This Row],[Código]],TABLA_PRECIOS[#All],6)</f>
        <v>1</v>
      </c>
      <c r="E705" s="28">
        <f>VLOOKUP(TABLA_PRECIOS_LISTBOX[[#This Row],[Código]],TABLA_PRECIOS[#All],7)</f>
        <v>1</v>
      </c>
      <c r="F705" s="32">
        <f>VLOOKUP(TABLA_PRECIOS_LISTBOX[[#This Row],[Código]],TABLA_PRECIOS[#All],8)</f>
        <v>1</v>
      </c>
      <c r="G705" s="9">
        <f>VLOOKUP(TABLA_PRECIOS_LISTBOX[[#This Row],[Código]],TABLA_PRECIOS[#All],10)</f>
        <v>0</v>
      </c>
    </row>
    <row r="706" spans="1:7" x14ac:dyDescent="0.3">
      <c r="A706" s="4">
        <v>6190</v>
      </c>
      <c r="B706" s="6" t="str">
        <f>VLOOKUP(TABLA_PRECIOS_LISTBOX[Código],LISTADO_PRODUCTOS[#All],4)</f>
        <v>Premio a la mejor Madre VyR</v>
      </c>
      <c r="C706" s="6" t="str">
        <f>VLOOKUP(TABLA_PRECIOS_LISTBOX[Código],LISTADO_PRODUCTOS[#All],5)</f>
        <v>N/A</v>
      </c>
      <c r="D706" s="13">
        <f>VLOOKUP(TABLA_PRECIOS_LISTBOX[[#This Row],[Código]],TABLA_PRECIOS[#All],6)</f>
        <v>1</v>
      </c>
      <c r="E706" s="28">
        <f>VLOOKUP(TABLA_PRECIOS_LISTBOX[[#This Row],[Código]],TABLA_PRECIOS[#All],7)</f>
        <v>1</v>
      </c>
      <c r="F706" s="32">
        <f>VLOOKUP(TABLA_PRECIOS_LISTBOX[[#This Row],[Código]],TABLA_PRECIOS[#All],8)</f>
        <v>1</v>
      </c>
      <c r="G706" s="9">
        <f>VLOOKUP(TABLA_PRECIOS_LISTBOX[[#This Row],[Código]],TABLA_PRECIOS[#All],10)</f>
        <v>0</v>
      </c>
    </row>
    <row r="707" spans="1:7" x14ac:dyDescent="0.3">
      <c r="A707" s="4">
        <v>6191</v>
      </c>
      <c r="B707" s="6" t="str">
        <f>VLOOKUP(TABLA_PRECIOS_LISTBOX[Código],LISTADO_PRODUCTOS[#All],4)</f>
        <v>Querida Mama VyR</v>
      </c>
      <c r="C707" s="6" t="str">
        <f>VLOOKUP(TABLA_PRECIOS_LISTBOX[Código],LISTADO_PRODUCTOS[#All],5)</f>
        <v>N/A</v>
      </c>
      <c r="D707" s="13">
        <f>VLOOKUP(TABLA_PRECIOS_LISTBOX[[#This Row],[Código]],TABLA_PRECIOS[#All],6)</f>
        <v>1</v>
      </c>
      <c r="E707" s="28">
        <f>VLOOKUP(TABLA_PRECIOS_LISTBOX[[#This Row],[Código]],TABLA_PRECIOS[#All],7)</f>
        <v>1</v>
      </c>
      <c r="F707" s="32">
        <f>VLOOKUP(TABLA_PRECIOS_LISTBOX[[#This Row],[Código]],TABLA_PRECIOS[#All],8)</f>
        <v>1</v>
      </c>
      <c r="G707" s="9">
        <f>VLOOKUP(TABLA_PRECIOS_LISTBOX[[#This Row],[Código]],TABLA_PRECIOS[#All],10)</f>
        <v>0</v>
      </c>
    </row>
    <row r="708" spans="1:7" x14ac:dyDescent="0.3">
      <c r="A708" s="4">
        <v>6193</v>
      </c>
      <c r="B708" s="6" t="str">
        <f>VLOOKUP(TABLA_PRECIOS_LISTBOX[Código],LISTADO_PRODUCTOS[#All],4)</f>
        <v>cuento uno y cuento dos</v>
      </c>
      <c r="C708" s="6" t="str">
        <f>VLOOKUP(TABLA_PRECIOS_LISTBOX[Código],LISTADO_PRODUCTOS[#All],5)</f>
        <v>N/A</v>
      </c>
      <c r="D708" s="13">
        <f>VLOOKUP(TABLA_PRECIOS_LISTBOX[[#This Row],[Código]],TABLA_PRECIOS[#All],6)</f>
        <v>1</v>
      </c>
      <c r="E708" s="28">
        <f>VLOOKUP(TABLA_PRECIOS_LISTBOX[[#This Row],[Código]],TABLA_PRECIOS[#All],7)</f>
        <v>1</v>
      </c>
      <c r="F708" s="32">
        <f>VLOOKUP(TABLA_PRECIOS_LISTBOX[[#This Row],[Código]],TABLA_PRECIOS[#All],8)</f>
        <v>1</v>
      </c>
      <c r="G708" s="9">
        <f>VLOOKUP(TABLA_PRECIOS_LISTBOX[[#This Row],[Código]],TABLA_PRECIOS[#All],10)</f>
        <v>0</v>
      </c>
    </row>
    <row r="709" spans="1:7" x14ac:dyDescent="0.3">
      <c r="A709" s="4">
        <v>6209</v>
      </c>
      <c r="B709" s="6" t="str">
        <f>VLOOKUP(TABLA_PRECIOS_LISTBOX[Código],LISTADO_PRODUCTOS[#All],4)</f>
        <v>Libro Biblia para niños de Giuseppino de Roma</v>
      </c>
      <c r="C709" s="6" t="str">
        <f>VLOOKUP(TABLA_PRECIOS_LISTBOX[Código],LISTADO_PRODUCTOS[#All],5)</f>
        <v>N/A</v>
      </c>
      <c r="D709" s="13">
        <f>VLOOKUP(TABLA_PRECIOS_LISTBOX[[#This Row],[Código]],TABLA_PRECIOS[#All],6)</f>
        <v>1</v>
      </c>
      <c r="E709" s="28">
        <f>VLOOKUP(TABLA_PRECIOS_LISTBOX[[#This Row],[Código]],TABLA_PRECIOS[#All],7)</f>
        <v>1</v>
      </c>
      <c r="F709" s="32">
        <f>VLOOKUP(TABLA_PRECIOS_LISTBOX[[#This Row],[Código]],TABLA_PRECIOS[#All],8)</f>
        <v>1</v>
      </c>
      <c r="G709" s="9">
        <f>VLOOKUP(TABLA_PRECIOS_LISTBOX[[#This Row],[Código]],TABLA_PRECIOS[#All],10)</f>
        <v>0</v>
      </c>
    </row>
    <row r="710" spans="1:7" x14ac:dyDescent="0.3">
      <c r="A710" s="4">
        <v>6220</v>
      </c>
      <c r="B710" s="6" t="str">
        <f>VLOOKUP(TABLA_PRECIOS_LISTBOX[Código],LISTADO_PRODUCTOS[#All],4)</f>
        <v>Diccionario escolar Rivadavia</v>
      </c>
      <c r="C710" s="6" t="str">
        <f>VLOOKUP(TABLA_PRECIOS_LISTBOX[Código],LISTADO_PRODUCTOS[#All],5)</f>
        <v>N/A</v>
      </c>
      <c r="D710" s="13">
        <f>VLOOKUP(TABLA_PRECIOS_LISTBOX[[#This Row],[Código]],TABLA_PRECIOS[#All],6)</f>
        <v>1</v>
      </c>
      <c r="E710" s="28">
        <f>VLOOKUP(TABLA_PRECIOS_LISTBOX[[#This Row],[Código]],TABLA_PRECIOS[#All],7)</f>
        <v>1</v>
      </c>
      <c r="F710" s="32">
        <f>VLOOKUP(TABLA_PRECIOS_LISTBOX[[#This Row],[Código]],TABLA_PRECIOS[#All],8)</f>
        <v>1</v>
      </c>
      <c r="G710" s="9">
        <f>VLOOKUP(TABLA_PRECIOS_LISTBOX[[#This Row],[Código]],TABLA_PRECIOS[#All],10)</f>
        <v>0</v>
      </c>
    </row>
    <row r="711" spans="1:7" x14ac:dyDescent="0.3">
      <c r="A711" s="4">
        <v>6226</v>
      </c>
      <c r="B711" s="6" t="str">
        <f>VLOOKUP(TABLA_PRECIOS_LISTBOX[Código],LISTADO_PRODUCTOS[#All],4)</f>
        <v>Stiker grande</v>
      </c>
      <c r="C711" s="6" t="str">
        <f>VLOOKUP(TABLA_PRECIOS_LISTBOX[Código],LISTADO_PRODUCTOS[#All],5)</f>
        <v>N/A</v>
      </c>
      <c r="D711" s="13">
        <f>VLOOKUP(TABLA_PRECIOS_LISTBOX[[#This Row],[Código]],TABLA_PRECIOS[#All],6)</f>
        <v>1</v>
      </c>
      <c r="E711" s="28">
        <f>VLOOKUP(TABLA_PRECIOS_LISTBOX[[#This Row],[Código]],TABLA_PRECIOS[#All],7)</f>
        <v>1</v>
      </c>
      <c r="F711" s="32">
        <f>VLOOKUP(TABLA_PRECIOS_LISTBOX[[#This Row],[Código]],TABLA_PRECIOS[#All],8)</f>
        <v>1</v>
      </c>
      <c r="G711" s="9">
        <f>VLOOKUP(TABLA_PRECIOS_LISTBOX[[#This Row],[Código]],TABLA_PRECIOS[#All],10)</f>
        <v>0</v>
      </c>
    </row>
    <row r="712" spans="1:7" x14ac:dyDescent="0.3">
      <c r="A712" s="4">
        <v>6235</v>
      </c>
      <c r="B712" s="6" t="str">
        <f>VLOOKUP(TABLA_PRECIOS_LISTBOX[Código],LISTADO_PRODUCTOS[#All],4)</f>
        <v>DESAPARECIDA de Gabriel Barnes</v>
      </c>
      <c r="C712" s="6" t="str">
        <f>VLOOKUP(TABLA_PRECIOS_LISTBOX[Código],LISTADO_PRODUCTOS[#All],5)</f>
        <v>N/A</v>
      </c>
      <c r="D712" s="13">
        <f>VLOOKUP(TABLA_PRECIOS_LISTBOX[[#This Row],[Código]],TABLA_PRECIOS[#All],6)</f>
        <v>1</v>
      </c>
      <c r="E712" s="28">
        <f>VLOOKUP(TABLA_PRECIOS_LISTBOX[[#This Row],[Código]],TABLA_PRECIOS[#All],7)</f>
        <v>1</v>
      </c>
      <c r="F712" s="32">
        <f>VLOOKUP(TABLA_PRECIOS_LISTBOX[[#This Row],[Código]],TABLA_PRECIOS[#All],8)</f>
        <v>1</v>
      </c>
      <c r="G712" s="9">
        <f>VLOOKUP(TABLA_PRECIOS_LISTBOX[[#This Row],[Código]],TABLA_PRECIOS[#All],10)</f>
        <v>0</v>
      </c>
    </row>
    <row r="713" spans="1:7" x14ac:dyDescent="0.3">
      <c r="A713" s="4">
        <v>6240</v>
      </c>
      <c r="B713" s="6" t="str">
        <f>VLOOKUP(TABLA_PRECIOS_LISTBOX[Código],LISTADO_PRODUCTOS[#All],4)</f>
        <v>PROHIBIDO SOÑAR Carlos Marianidis</v>
      </c>
      <c r="C713" s="6" t="str">
        <f>VLOOKUP(TABLA_PRECIOS_LISTBOX[Código],LISTADO_PRODUCTOS[#All],5)</f>
        <v>N/A</v>
      </c>
      <c r="D713" s="13">
        <f>VLOOKUP(TABLA_PRECIOS_LISTBOX[[#This Row],[Código]],TABLA_PRECIOS[#All],6)</f>
        <v>1</v>
      </c>
      <c r="E713" s="28">
        <f>VLOOKUP(TABLA_PRECIOS_LISTBOX[[#This Row],[Código]],TABLA_PRECIOS[#All],7)</f>
        <v>1</v>
      </c>
      <c r="F713" s="32">
        <f>VLOOKUP(TABLA_PRECIOS_LISTBOX[[#This Row],[Código]],TABLA_PRECIOS[#All],8)</f>
        <v>1</v>
      </c>
      <c r="G713" s="9">
        <f>VLOOKUP(TABLA_PRECIOS_LISTBOX[[#This Row],[Código]],TABLA_PRECIOS[#All],10)</f>
        <v>0</v>
      </c>
    </row>
    <row r="714" spans="1:7" x14ac:dyDescent="0.3">
      <c r="A714" s="4">
        <v>6251</v>
      </c>
      <c r="B714" s="6" t="str">
        <f>VLOOKUP(TABLA_PRECIOS_LISTBOX[Código],LISTADO_PRODUCTOS[#All],4)</f>
        <v>QUIEN SE ANIMA A BAJAR AL SOTANO</v>
      </c>
      <c r="C714" s="6" t="str">
        <f>VLOOKUP(TABLA_PRECIOS_LISTBOX[Código],LISTADO_PRODUCTOS[#All],5)</f>
        <v>N/A</v>
      </c>
      <c r="D714" s="13">
        <f>VLOOKUP(TABLA_PRECIOS_LISTBOX[[#This Row],[Código]],TABLA_PRECIOS[#All],6)</f>
        <v>1</v>
      </c>
      <c r="E714" s="28">
        <f>VLOOKUP(TABLA_PRECIOS_LISTBOX[[#This Row],[Código]],TABLA_PRECIOS[#All],7)</f>
        <v>1</v>
      </c>
      <c r="F714" s="32">
        <f>VLOOKUP(TABLA_PRECIOS_LISTBOX[[#This Row],[Código]],TABLA_PRECIOS[#All],8)</f>
        <v>1</v>
      </c>
      <c r="G714" s="9">
        <f>VLOOKUP(TABLA_PRECIOS_LISTBOX[[#This Row],[Código]],TABLA_PRECIOS[#All],10)</f>
        <v>0</v>
      </c>
    </row>
    <row r="715" spans="1:7" x14ac:dyDescent="0.3">
      <c r="A715" s="4">
        <v>6257</v>
      </c>
      <c r="B715" s="6" t="str">
        <f>VLOOKUP(TABLA_PRECIOS_LISTBOX[Código],LISTADO_PRODUCTOS[#All],4)</f>
        <v>LA PUERTA SECRETA</v>
      </c>
      <c r="C715" s="6" t="str">
        <f>VLOOKUP(TABLA_PRECIOS_LISTBOX[Código],LISTADO_PRODUCTOS[#All],5)</f>
        <v>N/A</v>
      </c>
      <c r="D715" s="13">
        <f>VLOOKUP(TABLA_PRECIOS_LISTBOX[[#This Row],[Código]],TABLA_PRECIOS[#All],6)</f>
        <v>1</v>
      </c>
      <c r="E715" s="28">
        <f>VLOOKUP(TABLA_PRECIOS_LISTBOX[[#This Row],[Código]],TABLA_PRECIOS[#All],7)</f>
        <v>1</v>
      </c>
      <c r="F715" s="32">
        <f>VLOOKUP(TABLA_PRECIOS_LISTBOX[[#This Row],[Código]],TABLA_PRECIOS[#All],8)</f>
        <v>1</v>
      </c>
      <c r="G715" s="9">
        <f>VLOOKUP(TABLA_PRECIOS_LISTBOX[[#This Row],[Código]],TABLA_PRECIOS[#All],10)</f>
        <v>0</v>
      </c>
    </row>
    <row r="716" spans="1:7" x14ac:dyDescent="0.3">
      <c r="A716" s="4">
        <v>6268</v>
      </c>
      <c r="B716" s="6" t="str">
        <f>VLOOKUP(TABLA_PRECIOS_LISTBOX[Código],LISTADO_PRODUCTOS[#All],4)</f>
        <v>LA FAMA ES PURO CUENTO</v>
      </c>
      <c r="C716" s="6" t="str">
        <f>VLOOKUP(TABLA_PRECIOS_LISTBOX[Código],LISTADO_PRODUCTOS[#All],5)</f>
        <v>N/A</v>
      </c>
      <c r="D716" s="13">
        <f>VLOOKUP(TABLA_PRECIOS_LISTBOX[[#This Row],[Código]],TABLA_PRECIOS[#All],6)</f>
        <v>1</v>
      </c>
      <c r="E716" s="28">
        <f>VLOOKUP(TABLA_PRECIOS_LISTBOX[[#This Row],[Código]],TABLA_PRECIOS[#All],7)</f>
        <v>1</v>
      </c>
      <c r="F716" s="32">
        <f>VLOOKUP(TABLA_PRECIOS_LISTBOX[[#This Row],[Código]],TABLA_PRECIOS[#All],8)</f>
        <v>1</v>
      </c>
      <c r="G716" s="9">
        <f>VLOOKUP(TABLA_PRECIOS_LISTBOX[[#This Row],[Código]],TABLA_PRECIOS[#All],10)</f>
        <v>0</v>
      </c>
    </row>
    <row r="717" spans="1:7" x14ac:dyDescent="0.3">
      <c r="A717" s="4">
        <v>6272</v>
      </c>
      <c r="B717" s="6" t="str">
        <f>VLOOKUP(TABLA_PRECIOS_LISTBOX[Código],LISTADO_PRODUCTOS[#All],4)</f>
        <v>Elegi el nombre para tu bebe</v>
      </c>
      <c r="C717" s="6" t="str">
        <f>VLOOKUP(TABLA_PRECIOS_LISTBOX[Código],LISTADO_PRODUCTOS[#All],5)</f>
        <v>N/A</v>
      </c>
      <c r="D717" s="13">
        <f>VLOOKUP(TABLA_PRECIOS_LISTBOX[[#This Row],[Código]],TABLA_PRECIOS[#All],6)</f>
        <v>1</v>
      </c>
      <c r="E717" s="28">
        <f>VLOOKUP(TABLA_PRECIOS_LISTBOX[[#This Row],[Código]],TABLA_PRECIOS[#All],7)</f>
        <v>1</v>
      </c>
      <c r="F717" s="32">
        <f>VLOOKUP(TABLA_PRECIOS_LISTBOX[[#This Row],[Código]],TABLA_PRECIOS[#All],8)</f>
        <v>1</v>
      </c>
      <c r="G717" s="9">
        <f>VLOOKUP(TABLA_PRECIOS_LISTBOX[[#This Row],[Código]],TABLA_PRECIOS[#All],10)</f>
        <v>0</v>
      </c>
    </row>
    <row r="718" spans="1:7" x14ac:dyDescent="0.3">
      <c r="A718" s="4">
        <v>6274</v>
      </c>
      <c r="B718" s="6" t="str">
        <f>VLOOKUP(TABLA_PRECIOS_LISTBOX[Código],LISTADO_PRODUCTOS[#All],4)</f>
        <v>Libro Busca y Encuentra</v>
      </c>
      <c r="C718" s="6" t="str">
        <f>VLOOKUP(TABLA_PRECIOS_LISTBOX[Código],LISTADO_PRODUCTOS[#All],5)</f>
        <v>N/A</v>
      </c>
      <c r="D718" s="13">
        <f>VLOOKUP(TABLA_PRECIOS_LISTBOX[[#This Row],[Código]],TABLA_PRECIOS[#All],6)</f>
        <v>1</v>
      </c>
      <c r="E718" s="28">
        <f>VLOOKUP(TABLA_PRECIOS_LISTBOX[[#This Row],[Código]],TABLA_PRECIOS[#All],7)</f>
        <v>1</v>
      </c>
      <c r="F718" s="32">
        <f>VLOOKUP(TABLA_PRECIOS_LISTBOX[[#This Row],[Código]],TABLA_PRECIOS[#All],8)</f>
        <v>1</v>
      </c>
      <c r="G718" s="9">
        <f>VLOOKUP(TABLA_PRECIOS_LISTBOX[[#This Row],[Código]],TABLA_PRECIOS[#All],10)</f>
        <v>0</v>
      </c>
    </row>
    <row r="719" spans="1:7" x14ac:dyDescent="0.3">
      <c r="A719" s="4">
        <v>6286</v>
      </c>
      <c r="B719" s="6" t="str">
        <f>VLOOKUP(TABLA_PRECIOS_LISTBOX[Código],LISTADO_PRODUCTOS[#All],4)</f>
        <v>Libro colección bilingüe latinbooks Toco y aprendo colección x 4</v>
      </c>
      <c r="C719" s="6" t="str">
        <f>VLOOKUP(TABLA_PRECIOS_LISTBOX[Código],LISTADO_PRODUCTOS[#All],5)</f>
        <v>N/A</v>
      </c>
      <c r="D719" s="13">
        <f>VLOOKUP(TABLA_PRECIOS_LISTBOX[[#This Row],[Código]],TABLA_PRECIOS[#All],6)</f>
        <v>1</v>
      </c>
      <c r="E719" s="28">
        <f>VLOOKUP(TABLA_PRECIOS_LISTBOX[[#This Row],[Código]],TABLA_PRECIOS[#All],7)</f>
        <v>1</v>
      </c>
      <c r="F719" s="32">
        <f>VLOOKUP(TABLA_PRECIOS_LISTBOX[[#This Row],[Código]],TABLA_PRECIOS[#All],8)</f>
        <v>1</v>
      </c>
      <c r="G719" s="9">
        <f>VLOOKUP(TABLA_PRECIOS_LISTBOX[[#This Row],[Código]],TABLA_PRECIOS[#All],10)</f>
        <v>0</v>
      </c>
    </row>
    <row r="720" spans="1:7" x14ac:dyDescent="0.3">
      <c r="A720" s="4">
        <v>6290</v>
      </c>
      <c r="B720" s="6" t="str">
        <f>VLOOKUP(TABLA_PRECIOS_LISTBOX[Código],LISTADO_PRODUCTOS[#All],4)</f>
        <v>Cuerpos que importan de Judith Butler</v>
      </c>
      <c r="C720" s="6" t="str">
        <f>VLOOKUP(TABLA_PRECIOS_LISTBOX[Código],LISTADO_PRODUCTOS[#All],5)</f>
        <v>N/A</v>
      </c>
      <c r="D720" s="13">
        <f>VLOOKUP(TABLA_PRECIOS_LISTBOX[[#This Row],[Código]],TABLA_PRECIOS[#All],6)</f>
        <v>1</v>
      </c>
      <c r="E720" s="28">
        <f>VLOOKUP(TABLA_PRECIOS_LISTBOX[[#This Row],[Código]],TABLA_PRECIOS[#All],7)</f>
        <v>1</v>
      </c>
      <c r="F720" s="32">
        <f>VLOOKUP(TABLA_PRECIOS_LISTBOX[[#This Row],[Código]],TABLA_PRECIOS[#All],8)</f>
        <v>1</v>
      </c>
      <c r="G720" s="9">
        <f>VLOOKUP(TABLA_PRECIOS_LISTBOX[[#This Row],[Código]],TABLA_PRECIOS[#All],10)</f>
        <v>0</v>
      </c>
    </row>
    <row r="721" spans="1:7" x14ac:dyDescent="0.3">
      <c r="A721" s="4">
        <v>7001</v>
      </c>
      <c r="B721" s="6" t="str">
        <f>VLOOKUP(TABLA_PRECIOS_LISTBOX[Código],LISTADO_PRODUCTOS[#All],4)</f>
        <v>Cuaderno FW Travel Journal Colección Feel Cuero Buffalo</v>
      </c>
      <c r="C721" s="6" t="str">
        <f>VLOOKUP(TABLA_PRECIOS_LISTBOX[Código],LISTADO_PRODUCTOS[#All],5)</f>
        <v>N/A</v>
      </c>
      <c r="D721" s="13">
        <f>VLOOKUP(TABLA_PRECIOS_LISTBOX[[#This Row],[Código]],TABLA_PRECIOS[#All],6)</f>
        <v>1</v>
      </c>
      <c r="E721" s="28">
        <f>VLOOKUP(TABLA_PRECIOS_LISTBOX[[#This Row],[Código]],TABLA_PRECIOS[#All],7)</f>
        <v>1</v>
      </c>
      <c r="F721" s="32">
        <f>VLOOKUP(TABLA_PRECIOS_LISTBOX[[#This Row],[Código]],TABLA_PRECIOS[#All],8)</f>
        <v>1</v>
      </c>
      <c r="G721" s="9">
        <f>VLOOKUP(TABLA_PRECIOS_LISTBOX[[#This Row],[Código]],TABLA_PRECIOS[#All],10)</f>
        <v>0</v>
      </c>
    </row>
    <row r="722" spans="1:7" x14ac:dyDescent="0.3">
      <c r="A722" s="4">
        <v>7002</v>
      </c>
      <c r="B722" s="6" t="str">
        <f>VLOOKUP(TABLA_PRECIOS_LISTBOX[Código],LISTADO_PRODUCTOS[#All],4)</f>
        <v>Cuaderno FW Sketch Book Colección Feel Tela Texturada</v>
      </c>
      <c r="C722" s="6" t="str">
        <f>VLOOKUP(TABLA_PRECIOS_LISTBOX[Código],LISTADO_PRODUCTOS[#All],5)</f>
        <v>N/A</v>
      </c>
      <c r="D722" s="13">
        <f>VLOOKUP(TABLA_PRECIOS_LISTBOX[[#This Row],[Código]],TABLA_PRECIOS[#All],6)</f>
        <v>1</v>
      </c>
      <c r="E722" s="28">
        <f>VLOOKUP(TABLA_PRECIOS_LISTBOX[[#This Row],[Código]],TABLA_PRECIOS[#All],7)</f>
        <v>1</v>
      </c>
      <c r="F722" s="32">
        <f>VLOOKUP(TABLA_PRECIOS_LISTBOX[[#This Row],[Código]],TABLA_PRECIOS[#All],8)</f>
        <v>1</v>
      </c>
      <c r="G722" s="9">
        <f>VLOOKUP(TABLA_PRECIOS_LISTBOX[[#This Row],[Código]],TABLA_PRECIOS[#All],10)</f>
        <v>0</v>
      </c>
    </row>
    <row r="723" spans="1:7" x14ac:dyDescent="0.3">
      <c r="A723" s="4">
        <v>7003</v>
      </c>
      <c r="B723" s="6" t="str">
        <f>VLOOKUP(TABLA_PRECIOS_LISTBOX[Código],LISTADO_PRODUCTOS[#All],4)</f>
        <v>Cuaderno Fw Love Journal Feel Tela Satinada</v>
      </c>
      <c r="C723" s="6" t="str">
        <f>VLOOKUP(TABLA_PRECIOS_LISTBOX[Código],LISTADO_PRODUCTOS[#All],5)</f>
        <v>N/A</v>
      </c>
      <c r="D723" s="13">
        <f>VLOOKUP(TABLA_PRECIOS_LISTBOX[[#This Row],[Código]],TABLA_PRECIOS[#All],6)</f>
        <v>1</v>
      </c>
      <c r="E723" s="28">
        <f>VLOOKUP(TABLA_PRECIOS_LISTBOX[[#This Row],[Código]],TABLA_PRECIOS[#All],7)</f>
        <v>1</v>
      </c>
      <c r="F723" s="32">
        <f>VLOOKUP(TABLA_PRECIOS_LISTBOX[[#This Row],[Código]],TABLA_PRECIOS[#All],8)</f>
        <v>1</v>
      </c>
      <c r="G723" s="9">
        <f>VLOOKUP(TABLA_PRECIOS_LISTBOX[[#This Row],[Código]],TABLA_PRECIOS[#All],10)</f>
        <v>0</v>
      </c>
    </row>
    <row r="724" spans="1:7" x14ac:dyDescent="0.3">
      <c r="A724" s="4">
        <v>7004</v>
      </c>
      <c r="B724" s="6" t="str">
        <f>VLOOKUP(TABLA_PRECIOS_LISTBOX[Código],LISTADO_PRODUCTOS[#All],4)</f>
        <v>Cuaderno Onix 16.21 anillado 120h T/C</v>
      </c>
      <c r="C724" s="6" t="str">
        <f>VLOOKUP(TABLA_PRECIOS_LISTBOX[Código],LISTADO_PRODUCTOS[#All],5)</f>
        <v>N/A</v>
      </c>
      <c r="D724" s="13">
        <f>VLOOKUP(TABLA_PRECIOS_LISTBOX[[#This Row],[Código]],TABLA_PRECIOS[#All],6)</f>
        <v>1</v>
      </c>
      <c r="E724" s="28">
        <f>VLOOKUP(TABLA_PRECIOS_LISTBOX[[#This Row],[Código]],TABLA_PRECIOS[#All],7)</f>
        <v>1</v>
      </c>
      <c r="F724" s="32">
        <f>VLOOKUP(TABLA_PRECIOS_LISTBOX[[#This Row],[Código]],TABLA_PRECIOS[#All],8)</f>
        <v>1</v>
      </c>
      <c r="G724" s="9">
        <f>VLOOKUP(TABLA_PRECIOS_LISTBOX[[#This Row],[Código]],TABLA_PRECIOS[#All],10)</f>
        <v>0</v>
      </c>
    </row>
    <row r="725" spans="1:7" x14ac:dyDescent="0.3">
      <c r="A725" s="4">
        <v>7005</v>
      </c>
      <c r="B725" s="6" t="str">
        <f>VLOOKUP(TABLA_PRECIOS_LISTBOX[Código],LISTADO_PRODUCTOS[#All],4)</f>
        <v>Cuaderno Onix 16.21 anillado 96hs T/C Hojas decoradas</v>
      </c>
      <c r="C725" s="6" t="str">
        <f>VLOOKUP(TABLA_PRECIOS_LISTBOX[Código],LISTADO_PRODUCTOS[#All],5)</f>
        <v>N/A</v>
      </c>
      <c r="D725" s="13">
        <f>VLOOKUP(TABLA_PRECIOS_LISTBOX[[#This Row],[Código]],TABLA_PRECIOS[#All],6)</f>
        <v>1</v>
      </c>
      <c r="E725" s="28">
        <f>VLOOKUP(TABLA_PRECIOS_LISTBOX[[#This Row],[Código]],TABLA_PRECIOS[#All],7)</f>
        <v>1</v>
      </c>
      <c r="F725" s="32">
        <f>VLOOKUP(TABLA_PRECIOS_LISTBOX[[#This Row],[Código]],TABLA_PRECIOS[#All],8)</f>
        <v>1</v>
      </c>
      <c r="G725" s="9">
        <f>VLOOKUP(TABLA_PRECIOS_LISTBOX[[#This Row],[Código]],TABLA_PRECIOS[#All],10)</f>
        <v>0</v>
      </c>
    </row>
    <row r="726" spans="1:7" x14ac:dyDescent="0.3">
      <c r="A726" s="4">
        <v>7006</v>
      </c>
      <c r="B726" s="6" t="str">
        <f>VLOOKUP(TABLA_PRECIOS_LISTBOX[Código],LISTADO_PRODUCTOS[#All],4)</f>
        <v>Cuaderno Onix 16.21 anillado 120hs T/C hojas decoradas</v>
      </c>
      <c r="C726" s="6" t="str">
        <f>VLOOKUP(TABLA_PRECIOS_LISTBOX[Código],LISTADO_PRODUCTOS[#All],5)</f>
        <v>N/A</v>
      </c>
      <c r="D726" s="13">
        <f>VLOOKUP(TABLA_PRECIOS_LISTBOX[[#This Row],[Código]],TABLA_PRECIOS[#All],6)</f>
        <v>1</v>
      </c>
      <c r="E726" s="28">
        <f>VLOOKUP(TABLA_PRECIOS_LISTBOX[[#This Row],[Código]],TABLA_PRECIOS[#All],7)</f>
        <v>1</v>
      </c>
      <c r="F726" s="32">
        <f>VLOOKUP(TABLA_PRECIOS_LISTBOX[[#This Row],[Código]],TABLA_PRECIOS[#All],8)</f>
        <v>1</v>
      </c>
      <c r="G726" s="9">
        <f>VLOOKUP(TABLA_PRECIOS_LISTBOX[[#This Row],[Código]],TABLA_PRECIOS[#All],10)</f>
        <v>0</v>
      </c>
    </row>
    <row r="727" spans="1:7" x14ac:dyDescent="0.3">
      <c r="A727" s="4">
        <v>7007</v>
      </c>
      <c r="B727" s="6" t="str">
        <f>VLOOKUP(TABLA_PRECIOS_LISTBOX[Código],LISTADO_PRODUCTOS[#All],4)</f>
        <v>Agenda FW 12x17 Diaria Linea Travel Marmol</v>
      </c>
      <c r="C727" s="6" t="str">
        <f>VLOOKUP(TABLA_PRECIOS_LISTBOX[Código],LISTADO_PRODUCTOS[#All],5)</f>
        <v>N/A</v>
      </c>
      <c r="D727" s="13">
        <f>VLOOKUP(TABLA_PRECIOS_LISTBOX[[#This Row],[Código]],TABLA_PRECIOS[#All],6)</f>
        <v>1</v>
      </c>
      <c r="E727" s="28">
        <f>VLOOKUP(TABLA_PRECIOS_LISTBOX[[#This Row],[Código]],TABLA_PRECIOS[#All],7)</f>
        <v>1</v>
      </c>
      <c r="F727" s="32">
        <f>VLOOKUP(TABLA_PRECIOS_LISTBOX[[#This Row],[Código]],TABLA_PRECIOS[#All],8)</f>
        <v>1</v>
      </c>
      <c r="G727" s="9">
        <f>VLOOKUP(TABLA_PRECIOS_LISTBOX[[#This Row],[Código]],TABLA_PRECIOS[#All],10)</f>
        <v>0</v>
      </c>
    </row>
    <row r="728" spans="1:7" x14ac:dyDescent="0.3">
      <c r="A728" s="4">
        <v>7008</v>
      </c>
      <c r="B728" s="6" t="str">
        <f>VLOOKUP(TABLA_PRECIOS_LISTBOX[Código],LISTADO_PRODUCTOS[#All],4)</f>
        <v>Agenda 12x17 dos dias x pagina Linea Universo</v>
      </c>
      <c r="C728" s="6" t="str">
        <f>VLOOKUP(TABLA_PRECIOS_LISTBOX[Código],LISTADO_PRODUCTOS[#All],5)</f>
        <v>N/A</v>
      </c>
      <c r="D728" s="13">
        <f>VLOOKUP(TABLA_PRECIOS_LISTBOX[[#This Row],[Código]],TABLA_PRECIOS[#All],6)</f>
        <v>1</v>
      </c>
      <c r="E728" s="28">
        <f>VLOOKUP(TABLA_PRECIOS_LISTBOX[[#This Row],[Código]],TABLA_PRECIOS[#All],7)</f>
        <v>1</v>
      </c>
      <c r="F728" s="32">
        <f>VLOOKUP(TABLA_PRECIOS_LISTBOX[[#This Row],[Código]],TABLA_PRECIOS[#All],8)</f>
        <v>1</v>
      </c>
      <c r="G728" s="9">
        <f>VLOOKUP(TABLA_PRECIOS_LISTBOX[[#This Row],[Código]],TABLA_PRECIOS[#All],10)</f>
        <v>0</v>
      </c>
    </row>
    <row r="729" spans="1:7" x14ac:dyDescent="0.3">
      <c r="A729" s="4">
        <v>7009</v>
      </c>
      <c r="B729" s="6" t="str">
        <f>VLOOKUP(TABLA_PRECIOS_LISTBOX[Código],LISTADO_PRODUCTOS[#All],4)</f>
        <v>Agenda Onix Batik 16 x 22 352 paginas 1dia x pag</v>
      </c>
      <c r="C729" s="6" t="str">
        <f>VLOOKUP(TABLA_PRECIOS_LISTBOX[Código],LISTADO_PRODUCTOS[#All],5)</f>
        <v>N/A</v>
      </c>
      <c r="D729" s="13">
        <f>VLOOKUP(TABLA_PRECIOS_LISTBOX[[#This Row],[Código]],TABLA_PRECIOS[#All],6)</f>
        <v>1</v>
      </c>
      <c r="E729" s="28">
        <f>VLOOKUP(TABLA_PRECIOS_LISTBOX[[#This Row],[Código]],TABLA_PRECIOS[#All],7)</f>
        <v>1</v>
      </c>
      <c r="F729" s="32">
        <f>VLOOKUP(TABLA_PRECIOS_LISTBOX[[#This Row],[Código]],TABLA_PRECIOS[#All],8)</f>
        <v>1</v>
      </c>
      <c r="G729" s="9">
        <f>VLOOKUP(TABLA_PRECIOS_LISTBOX[[#This Row],[Código]],TABLA_PRECIOS[#All],10)</f>
        <v>0</v>
      </c>
    </row>
    <row r="730" spans="1:7" x14ac:dyDescent="0.3">
      <c r="A730" s="4">
        <v>7071</v>
      </c>
      <c r="B730" s="6" t="str">
        <f>VLOOKUP(TABLA_PRECIOS_LISTBOX[Código],LISTADO_PRODUCTOS[#All],4)</f>
        <v>Cuaderno anillado Bookcel ahuesado Ediciones de la Montaña 80h 80gr</v>
      </c>
      <c r="C730" s="6" t="str">
        <f>VLOOKUP(TABLA_PRECIOS_LISTBOX[Código],LISTADO_PRODUCTOS[#All],5)</f>
        <v>N/A</v>
      </c>
      <c r="D730" s="13">
        <f>VLOOKUP(TABLA_PRECIOS_LISTBOX[[#This Row],[Código]],TABLA_PRECIOS[#All],6)</f>
        <v>1</v>
      </c>
      <c r="E730" s="28">
        <f>VLOOKUP(TABLA_PRECIOS_LISTBOX[[#This Row],[Código]],TABLA_PRECIOS[#All],7)</f>
        <v>1</v>
      </c>
      <c r="F730" s="32">
        <f>VLOOKUP(TABLA_PRECIOS_LISTBOX[[#This Row],[Código]],TABLA_PRECIOS[#All],8)</f>
        <v>1</v>
      </c>
      <c r="G730" s="9">
        <f>VLOOKUP(TABLA_PRECIOS_LISTBOX[[#This Row],[Código]],TABLA_PRECIOS[#All],10)</f>
        <v>0</v>
      </c>
    </row>
    <row r="731" spans="1:7" x14ac:dyDescent="0.3">
      <c r="A731" s="4">
        <v>7072</v>
      </c>
      <c r="B731" s="6" t="str">
        <f>VLOOKUP(TABLA_PRECIOS_LISTBOX[Código],LISTADO_PRODUCTOS[#All],4)</f>
        <v>Libreta Ediciones de la Montaña 64 hojas lisas Bookcel ahuesado 80gr</v>
      </c>
      <c r="C731" s="6" t="str">
        <f>VLOOKUP(TABLA_PRECIOS_LISTBOX[Código],LISTADO_PRODUCTOS[#All],5)</f>
        <v>N/A</v>
      </c>
      <c r="D731" s="13">
        <f>VLOOKUP(TABLA_PRECIOS_LISTBOX[[#This Row],[Código]],TABLA_PRECIOS[#All],6)</f>
        <v>1</v>
      </c>
      <c r="E731" s="28">
        <f>VLOOKUP(TABLA_PRECIOS_LISTBOX[[#This Row],[Código]],TABLA_PRECIOS[#All],7)</f>
        <v>1</v>
      </c>
      <c r="F731" s="32">
        <f>VLOOKUP(TABLA_PRECIOS_LISTBOX[[#This Row],[Código]],TABLA_PRECIOS[#All],8)</f>
        <v>1</v>
      </c>
      <c r="G731" s="9">
        <f>VLOOKUP(TABLA_PRECIOS_LISTBOX[[#This Row],[Código]],TABLA_PRECIOS[#All],10)</f>
        <v>0</v>
      </c>
    </row>
    <row r="732" spans="1:7" x14ac:dyDescent="0.3">
      <c r="A732" s="4">
        <v>7073</v>
      </c>
      <c r="B732" s="6" t="str">
        <f>VLOOKUP(TABLA_PRECIOS_LISTBOX[Código],LISTADO_PRODUCTOS[#All],4)</f>
        <v>Notepad Block de notas con imán 50h</v>
      </c>
      <c r="C732" s="6" t="str">
        <f>VLOOKUP(TABLA_PRECIOS_LISTBOX[Código],LISTADO_PRODUCTOS[#All],5)</f>
        <v>N/A</v>
      </c>
      <c r="D732" s="13">
        <f>VLOOKUP(TABLA_PRECIOS_LISTBOX[[#This Row],[Código]],TABLA_PRECIOS[#All],6)</f>
        <v>1</v>
      </c>
      <c r="E732" s="28">
        <f>VLOOKUP(TABLA_PRECIOS_LISTBOX[[#This Row],[Código]],TABLA_PRECIOS[#All],7)</f>
        <v>1</v>
      </c>
      <c r="F732" s="32">
        <f>VLOOKUP(TABLA_PRECIOS_LISTBOX[[#This Row],[Código]],TABLA_PRECIOS[#All],8)</f>
        <v>1</v>
      </c>
      <c r="G732" s="9">
        <f>VLOOKUP(TABLA_PRECIOS_LISTBOX[[#This Row],[Código]],TABLA_PRECIOS[#All],10)</f>
        <v>0</v>
      </c>
    </row>
    <row r="733" spans="1:7" x14ac:dyDescent="0.3">
      <c r="A733" s="4">
        <v>7075</v>
      </c>
      <c r="B733" s="6" t="str">
        <f>VLOOKUP(TABLA_PRECIOS_LISTBOX[Código],LISTADO_PRODUCTOS[#All],4)</f>
        <v>Libro de recetas y paisajes del sur</v>
      </c>
      <c r="C733" s="6" t="str">
        <f>VLOOKUP(TABLA_PRECIOS_LISTBOX[Código],LISTADO_PRODUCTOS[#All],5)</f>
        <v>N/A</v>
      </c>
      <c r="D733" s="13">
        <f>VLOOKUP(TABLA_PRECIOS_LISTBOX[[#This Row],[Código]],TABLA_PRECIOS[#All],6)</f>
        <v>1</v>
      </c>
      <c r="E733" s="28">
        <f>VLOOKUP(TABLA_PRECIOS_LISTBOX[[#This Row],[Código]],TABLA_PRECIOS[#All],7)</f>
        <v>1</v>
      </c>
      <c r="F733" s="32">
        <f>VLOOKUP(TABLA_PRECIOS_LISTBOX[[#This Row],[Código]],TABLA_PRECIOS[#All],8)</f>
        <v>1</v>
      </c>
      <c r="G733" s="9">
        <f>VLOOKUP(TABLA_PRECIOS_LISTBOX[[#This Row],[Código]],TABLA_PRECIOS[#All],10)</f>
        <v>0</v>
      </c>
    </row>
    <row r="734" spans="1:7" x14ac:dyDescent="0.3">
      <c r="A734" s="4">
        <v>7076</v>
      </c>
      <c r="B734" s="6" t="str">
        <f>VLOOKUP(TABLA_PRECIOS_LISTBOX[Código],LISTADO_PRODUCTOS[#All],4)</f>
        <v>Taza de Genko grande</v>
      </c>
      <c r="C734" s="6" t="str">
        <f>VLOOKUP(TABLA_PRECIOS_LISTBOX[Código],LISTADO_PRODUCTOS[#All],5)</f>
        <v>N/A</v>
      </c>
      <c r="D734" s="13">
        <f>VLOOKUP(TABLA_PRECIOS_LISTBOX[[#This Row],[Código]],TABLA_PRECIOS[#All],6)</f>
        <v>1</v>
      </c>
      <c r="E734" s="28">
        <f>VLOOKUP(TABLA_PRECIOS_LISTBOX[[#This Row],[Código]],TABLA_PRECIOS[#All],7)</f>
        <v>1</v>
      </c>
      <c r="F734" s="32">
        <f>VLOOKUP(TABLA_PRECIOS_LISTBOX[[#This Row],[Código]],TABLA_PRECIOS[#All],8)</f>
        <v>1</v>
      </c>
      <c r="G734" s="9">
        <f>VLOOKUP(TABLA_PRECIOS_LISTBOX[[#This Row],[Código]],TABLA_PRECIOS[#All],10)</f>
        <v>0</v>
      </c>
    </row>
    <row r="735" spans="1:7" x14ac:dyDescent="0.3">
      <c r="A735" s="4">
        <v>7077</v>
      </c>
      <c r="B735" s="6" t="str">
        <f>VLOOKUP(TABLA_PRECIOS_LISTBOX[Código],LISTADO_PRODUCTOS[#All],4)</f>
        <v>Taza de Genko chica</v>
      </c>
      <c r="C735" s="6" t="str">
        <f>VLOOKUP(TABLA_PRECIOS_LISTBOX[Código],LISTADO_PRODUCTOS[#All],5)</f>
        <v>N/A</v>
      </c>
      <c r="D735" s="13">
        <f>VLOOKUP(TABLA_PRECIOS_LISTBOX[[#This Row],[Código]],TABLA_PRECIOS[#All],6)</f>
        <v>1</v>
      </c>
      <c r="E735" s="28">
        <f>VLOOKUP(TABLA_PRECIOS_LISTBOX[[#This Row],[Código]],TABLA_PRECIOS[#All],7)</f>
        <v>1</v>
      </c>
      <c r="F735" s="32">
        <f>VLOOKUP(TABLA_PRECIOS_LISTBOX[[#This Row],[Código]],TABLA_PRECIOS[#All],8)</f>
        <v>1</v>
      </c>
      <c r="G735" s="9">
        <f>VLOOKUP(TABLA_PRECIOS_LISTBOX[[#This Row],[Código]],TABLA_PRECIOS[#All],10)</f>
        <v>0</v>
      </c>
    </row>
    <row r="736" spans="1:7" x14ac:dyDescent="0.3">
      <c r="A736" s="4">
        <v>7078</v>
      </c>
      <c r="B736" s="6" t="str">
        <f>VLOOKUP(TABLA_PRECIOS_LISTBOX[Código],LISTADO_PRODUCTOS[#All],4)</f>
        <v>Boligrafo Vaquita Vaca Wero</v>
      </c>
      <c r="C736" s="6" t="str">
        <f>VLOOKUP(TABLA_PRECIOS_LISTBOX[Código],LISTADO_PRODUCTOS[#All],5)</f>
        <v>N/A</v>
      </c>
      <c r="D736" s="13">
        <f>VLOOKUP(TABLA_PRECIOS_LISTBOX[[#This Row],[Código]],TABLA_PRECIOS[#All],6)</f>
        <v>1</v>
      </c>
      <c r="E736" s="28">
        <f>VLOOKUP(TABLA_PRECIOS_LISTBOX[[#This Row],[Código]],TABLA_PRECIOS[#All],7)</f>
        <v>1</v>
      </c>
      <c r="F736" s="32">
        <f>VLOOKUP(TABLA_PRECIOS_LISTBOX[[#This Row],[Código]],TABLA_PRECIOS[#All],8)</f>
        <v>1</v>
      </c>
      <c r="G736" s="9">
        <f>VLOOKUP(TABLA_PRECIOS_LISTBOX[[#This Row],[Código]],TABLA_PRECIOS[#All],10)</f>
        <v>0</v>
      </c>
    </row>
    <row r="737" spans="1:7" x14ac:dyDescent="0.3">
      <c r="A737" s="4">
        <v>7080</v>
      </c>
      <c r="B737" s="6" t="str">
        <f>VLOOKUP(TABLA_PRECIOS_LISTBOX[Código],LISTADO_PRODUCTOS[#All],4)</f>
        <v>MAPED Creativ PAT DOUGH Masas c/ extrusor</v>
      </c>
      <c r="C737" s="6" t="str">
        <f>VLOOKUP(TABLA_PRECIOS_LISTBOX[Código],LISTADO_PRODUCTOS[#All],5)</f>
        <v>N/A</v>
      </c>
      <c r="D737" s="13">
        <f>VLOOKUP(TABLA_PRECIOS_LISTBOX[[#This Row],[Código]],TABLA_PRECIOS[#All],6)</f>
        <v>1</v>
      </c>
      <c r="E737" s="28">
        <f>VLOOKUP(TABLA_PRECIOS_LISTBOX[[#This Row],[Código]],TABLA_PRECIOS[#All],7)</f>
        <v>1</v>
      </c>
      <c r="F737" s="32">
        <f>VLOOKUP(TABLA_PRECIOS_LISTBOX[[#This Row],[Código]],TABLA_PRECIOS[#All],8)</f>
        <v>1</v>
      </c>
      <c r="G737" s="9">
        <f>VLOOKUP(TABLA_PRECIOS_LISTBOX[[#This Row],[Código]],TABLA_PRECIOS[#All],10)</f>
        <v>0</v>
      </c>
    </row>
    <row r="738" spans="1:7" x14ac:dyDescent="0.3">
      <c r="A738" s="4">
        <v>7081</v>
      </c>
      <c r="B738" s="6" t="str">
        <f>VLOOKUP(TABLA_PRECIOS_LISTBOX[Código],LISTADO_PRODUCTOS[#All],4)</f>
        <v>Maped Creativ 50 Pieces Kit para colorear</v>
      </c>
      <c r="C738" s="6" t="str">
        <f>VLOOKUP(TABLA_PRECIOS_LISTBOX[Código],LISTADO_PRODUCTOS[#All],5)</f>
        <v>N/A</v>
      </c>
      <c r="D738" s="13">
        <f>VLOOKUP(TABLA_PRECIOS_LISTBOX[[#This Row],[Código]],TABLA_PRECIOS[#All],6)</f>
        <v>1</v>
      </c>
      <c r="E738" s="28">
        <f>VLOOKUP(TABLA_PRECIOS_LISTBOX[[#This Row],[Código]],TABLA_PRECIOS[#All],7)</f>
        <v>1</v>
      </c>
      <c r="F738" s="32">
        <f>VLOOKUP(TABLA_PRECIOS_LISTBOX[[#This Row],[Código]],TABLA_PRECIOS[#All],8)</f>
        <v>1</v>
      </c>
      <c r="G738" s="9">
        <f>VLOOKUP(TABLA_PRECIOS_LISTBOX[[#This Row],[Código]],TABLA_PRECIOS[#All],10)</f>
        <v>0</v>
      </c>
    </row>
    <row r="739" spans="1:7" x14ac:dyDescent="0.3">
      <c r="A739" s="4">
        <v>7082</v>
      </c>
      <c r="B739" s="6" t="str">
        <f>VLOOKUP(TABLA_PRECIOS_LISTBOX[Código],LISTADO_PRODUCTOS[#All],4)</f>
        <v>Maped Creativ VELVET MOSAICS</v>
      </c>
      <c r="C739" s="6" t="str">
        <f>VLOOKUP(TABLA_PRECIOS_LISTBOX[Código],LISTADO_PRODUCTOS[#All],5)</f>
        <v>N/A</v>
      </c>
      <c r="D739" s="13">
        <f>VLOOKUP(TABLA_PRECIOS_LISTBOX[[#This Row],[Código]],TABLA_PRECIOS[#All],6)</f>
        <v>1</v>
      </c>
      <c r="E739" s="28">
        <f>VLOOKUP(TABLA_PRECIOS_LISTBOX[[#This Row],[Código]],TABLA_PRECIOS[#All],7)</f>
        <v>1</v>
      </c>
      <c r="F739" s="32">
        <f>VLOOKUP(TABLA_PRECIOS_LISTBOX[[#This Row],[Código]],TABLA_PRECIOS[#All],8)</f>
        <v>1</v>
      </c>
      <c r="G739" s="9">
        <f>VLOOKUP(TABLA_PRECIOS_LISTBOX[[#This Row],[Código]],TABLA_PRECIOS[#All],10)</f>
        <v>0</v>
      </c>
    </row>
    <row r="740" spans="1:7" x14ac:dyDescent="0.3">
      <c r="A740" s="4">
        <v>7094</v>
      </c>
      <c r="B740" s="6" t="str">
        <f>VLOOKUP(TABLA_PRECIOS_LISTBOX[Código],LISTADO_PRODUCTOS[#All],4)</f>
        <v>Plasticlips crea sin limites 40 piezas</v>
      </c>
      <c r="C740" s="6" t="str">
        <f>VLOOKUP(TABLA_PRECIOS_LISTBOX[Código],LISTADO_PRODUCTOS[#All],5)</f>
        <v>N/A</v>
      </c>
      <c r="D740" s="13">
        <f>VLOOKUP(TABLA_PRECIOS_LISTBOX[[#This Row],[Código]],TABLA_PRECIOS[#All],6)</f>
        <v>1</v>
      </c>
      <c r="E740" s="28">
        <f>VLOOKUP(TABLA_PRECIOS_LISTBOX[[#This Row],[Código]],TABLA_PRECIOS[#All],7)</f>
        <v>1</v>
      </c>
      <c r="F740" s="32">
        <f>VLOOKUP(TABLA_PRECIOS_LISTBOX[[#This Row],[Código]],TABLA_PRECIOS[#All],8)</f>
        <v>1</v>
      </c>
      <c r="G740" s="9">
        <f>VLOOKUP(TABLA_PRECIOS_LISTBOX[[#This Row],[Código]],TABLA_PRECIOS[#All],10)</f>
        <v>0</v>
      </c>
    </row>
    <row r="741" spans="1:7" x14ac:dyDescent="0.3">
      <c r="A741" s="4">
        <v>7100</v>
      </c>
      <c r="B741" s="6" t="str">
        <f>VLOOKUP(TABLA_PRECIOS_LISTBOX[Código],LISTADO_PRODUCTOS[#All],4)</f>
        <v>Cartelito de puerta infantil colours</v>
      </c>
      <c r="C741" s="6" t="str">
        <f>VLOOKUP(TABLA_PRECIOS_LISTBOX[Código],LISTADO_PRODUCTOS[#All],5)</f>
        <v>N/A</v>
      </c>
      <c r="D741" s="13">
        <f>VLOOKUP(TABLA_PRECIOS_LISTBOX[[#This Row],[Código]],TABLA_PRECIOS[#All],6)</f>
        <v>1</v>
      </c>
      <c r="E741" s="28">
        <f>VLOOKUP(TABLA_PRECIOS_LISTBOX[[#This Row],[Código]],TABLA_PRECIOS[#All],7)</f>
        <v>1</v>
      </c>
      <c r="F741" s="32">
        <f>VLOOKUP(TABLA_PRECIOS_LISTBOX[[#This Row],[Código]],TABLA_PRECIOS[#All],8)</f>
        <v>1</v>
      </c>
      <c r="G741" s="9">
        <f>VLOOKUP(TABLA_PRECIOS_LISTBOX[[#This Row],[Código]],TABLA_PRECIOS[#All],10)</f>
        <v>0</v>
      </c>
    </row>
    <row r="742" spans="1:7" x14ac:dyDescent="0.3">
      <c r="A742" s="4">
        <v>7103</v>
      </c>
      <c r="B742" s="6" t="str">
        <f>VLOOKUP(TABLA_PRECIOS_LISTBOX[Código],LISTADO_PRODUCTOS[#All],4)</f>
        <v>Porta lapices para Cuadernos / Agendas Para 1 Lapicera FW Metal</v>
      </c>
      <c r="C742" s="6" t="str">
        <f>VLOOKUP(TABLA_PRECIOS_LISTBOX[Código],LISTADO_PRODUCTOS[#All],5)</f>
        <v>N/A</v>
      </c>
      <c r="D742" s="13">
        <f>VLOOKUP(TABLA_PRECIOS_LISTBOX[[#This Row],[Código]],TABLA_PRECIOS[#All],6)</f>
        <v>1</v>
      </c>
      <c r="E742" s="28">
        <f>VLOOKUP(TABLA_PRECIOS_LISTBOX[[#This Row],[Código]],TABLA_PRECIOS[#All],7)</f>
        <v>1</v>
      </c>
      <c r="F742" s="32">
        <f>VLOOKUP(TABLA_PRECIOS_LISTBOX[[#This Row],[Código]],TABLA_PRECIOS[#All],8)</f>
        <v>1</v>
      </c>
      <c r="G742" s="9">
        <f>VLOOKUP(TABLA_PRECIOS_LISTBOX[[#This Row],[Código]],TABLA_PRECIOS[#All],10)</f>
        <v>0</v>
      </c>
    </row>
    <row r="743" spans="1:7" x14ac:dyDescent="0.3">
      <c r="A743" s="4">
        <v>9000</v>
      </c>
      <c r="B743" s="6" t="str">
        <f>VLOOKUP(TABLA_PRECIOS_LISTBOX[Código],LISTADO_PRODUCTOS[#All],4)</f>
        <v>Masas con cortante Dido</v>
      </c>
      <c r="C743" s="6" t="str">
        <f>VLOOKUP(TABLA_PRECIOS_LISTBOX[Código],LISTADO_PRODUCTOS[#All],5)</f>
        <v>N/A</v>
      </c>
      <c r="D743" s="13">
        <f>VLOOKUP(TABLA_PRECIOS_LISTBOX[[#This Row],[Código]],TABLA_PRECIOS[#All],6)</f>
        <v>1</v>
      </c>
      <c r="E743" s="28">
        <f>VLOOKUP(TABLA_PRECIOS_LISTBOX[[#This Row],[Código]],TABLA_PRECIOS[#All],7)</f>
        <v>1</v>
      </c>
      <c r="F743" s="32">
        <f>VLOOKUP(TABLA_PRECIOS_LISTBOX[[#This Row],[Código]],TABLA_PRECIOS[#All],8)</f>
        <v>1</v>
      </c>
      <c r="G743" s="9">
        <f>VLOOKUP(TABLA_PRECIOS_LISTBOX[[#This Row],[Código]],TABLA_PRECIOS[#All],10)</f>
        <v>0</v>
      </c>
    </row>
    <row r="744" spans="1:7" x14ac:dyDescent="0.3">
      <c r="A744" s="4">
        <v>9001</v>
      </c>
      <c r="B744" s="6" t="str">
        <f>VLOOKUP(TABLA_PRECIOS_LISTBOX[Código],LISTADO_PRODUCTOS[#All],4)</f>
        <v>Masas Maped Creativ Pote x 114gr</v>
      </c>
      <c r="C744" s="6" t="str">
        <f>VLOOKUP(TABLA_PRECIOS_LISTBOX[Código],LISTADO_PRODUCTOS[#All],5)</f>
        <v>N/A</v>
      </c>
      <c r="D744" s="13">
        <f>VLOOKUP(TABLA_PRECIOS_LISTBOX[[#This Row],[Código]],TABLA_PRECIOS[#All],6)</f>
        <v>1</v>
      </c>
      <c r="E744" s="28">
        <f>VLOOKUP(TABLA_PRECIOS_LISTBOX[[#This Row],[Código]],TABLA_PRECIOS[#All],7)</f>
        <v>1</v>
      </c>
      <c r="F744" s="32">
        <f>VLOOKUP(TABLA_PRECIOS_LISTBOX[[#This Row],[Código]],TABLA_PRECIOS[#All],8)</f>
        <v>1</v>
      </c>
      <c r="G744" s="9">
        <f>VLOOKUP(TABLA_PRECIOS_LISTBOX[[#This Row],[Código]],TABLA_PRECIOS[#All],10)</f>
        <v>0</v>
      </c>
    </row>
    <row r="745" spans="1:7" x14ac:dyDescent="0.3">
      <c r="A745" s="4">
        <v>9006</v>
      </c>
      <c r="B745" s="6" t="str">
        <f>VLOOKUP(TABLA_PRECIOS_LISTBOX[Código],LISTADO_PRODUCTOS[#All],4)</f>
        <v>Cerebronia conexión mental</v>
      </c>
      <c r="C745" s="6" t="str">
        <f>VLOOKUP(TABLA_PRECIOS_LISTBOX[Código],LISTADO_PRODUCTOS[#All],5)</f>
        <v>N/A</v>
      </c>
      <c r="D745" s="13">
        <f>VLOOKUP(TABLA_PRECIOS_LISTBOX[[#This Row],[Código]],TABLA_PRECIOS[#All],6)</f>
        <v>1</v>
      </c>
      <c r="E745" s="28">
        <f>VLOOKUP(TABLA_PRECIOS_LISTBOX[[#This Row],[Código]],TABLA_PRECIOS[#All],7)</f>
        <v>1</v>
      </c>
      <c r="F745" s="32">
        <f>VLOOKUP(TABLA_PRECIOS_LISTBOX[[#This Row],[Código]],TABLA_PRECIOS[#All],8)</f>
        <v>1</v>
      </c>
      <c r="G745" s="9">
        <f>VLOOKUP(TABLA_PRECIOS_LISTBOX[[#This Row],[Código]],TABLA_PRECIOS[#All],10)</f>
        <v>0</v>
      </c>
    </row>
    <row r="746" spans="1:7" x14ac:dyDescent="0.3">
      <c r="A746" s="4">
        <v>9010</v>
      </c>
      <c r="B746" s="6" t="str">
        <f>VLOOKUP(TABLA_PRECIOS_LISTBOX[Código],LISTADO_PRODUCTOS[#All],4)</f>
        <v>Cartas Naipes Truco Habana Plastificadas x 40c</v>
      </c>
      <c r="C746" s="6" t="str">
        <f>VLOOKUP(TABLA_PRECIOS_LISTBOX[Código],LISTADO_PRODUCTOS[#All],5)</f>
        <v>N/A</v>
      </c>
      <c r="D746" s="13">
        <f>VLOOKUP(TABLA_PRECIOS_LISTBOX[[#This Row],[Código]],TABLA_PRECIOS[#All],6)</f>
        <v>1</v>
      </c>
      <c r="E746" s="28">
        <f>VLOOKUP(TABLA_PRECIOS_LISTBOX[[#This Row],[Código]],TABLA_PRECIOS[#All],7)</f>
        <v>1</v>
      </c>
      <c r="F746" s="32">
        <f>VLOOKUP(TABLA_PRECIOS_LISTBOX[[#This Row],[Código]],TABLA_PRECIOS[#All],8)</f>
        <v>1</v>
      </c>
      <c r="G746" s="9">
        <f>VLOOKUP(TABLA_PRECIOS_LISTBOX[[#This Row],[Código]],TABLA_PRECIOS[#All],10)</f>
        <v>0</v>
      </c>
    </row>
    <row r="747" spans="1:7" x14ac:dyDescent="0.3">
      <c r="A747" s="4">
        <v>9012</v>
      </c>
      <c r="B747" s="6" t="str">
        <f>VLOOKUP(TABLA_PRECIOS_LISTBOX[Código],LISTADO_PRODUCTOS[#All],4)</f>
        <v>Agenda FW Inspire Diaria Batik</v>
      </c>
      <c r="C747" s="6" t="str">
        <f>VLOOKUP(TABLA_PRECIOS_LISTBOX[Código],LISTADO_PRODUCTOS[#All],5)</f>
        <v>N/A</v>
      </c>
      <c r="D747" s="13">
        <f>VLOOKUP(TABLA_PRECIOS_LISTBOX[[#This Row],[Código]],TABLA_PRECIOS[#All],6)</f>
        <v>1</v>
      </c>
      <c r="E747" s="28">
        <f>VLOOKUP(TABLA_PRECIOS_LISTBOX[[#This Row],[Código]],TABLA_PRECIOS[#All],7)</f>
        <v>1</v>
      </c>
      <c r="F747" s="32">
        <f>VLOOKUP(TABLA_PRECIOS_LISTBOX[[#This Row],[Código]],TABLA_PRECIOS[#All],8)</f>
        <v>1</v>
      </c>
      <c r="G747" s="9">
        <f>VLOOKUP(TABLA_PRECIOS_LISTBOX[[#This Row],[Código]],TABLA_PRECIOS[#All],10)</f>
        <v>0</v>
      </c>
    </row>
    <row r="748" spans="1:7" x14ac:dyDescent="0.3">
      <c r="A748" s="4">
        <v>9014</v>
      </c>
      <c r="B748" s="6" t="str">
        <f>VLOOKUP(TABLA_PRECIOS_LISTBOX[Código],LISTADO_PRODUCTOS[#All],4)</f>
        <v>Set regadera con pala y rastrillo chico</v>
      </c>
      <c r="C748" s="6" t="str">
        <f>VLOOKUP(TABLA_PRECIOS_LISTBOX[Código],LISTADO_PRODUCTOS[#All],5)</f>
        <v>N/A</v>
      </c>
      <c r="D748" s="13">
        <f>VLOOKUP(TABLA_PRECIOS_LISTBOX[[#This Row],[Código]],TABLA_PRECIOS[#All],6)</f>
        <v>1</v>
      </c>
      <c r="E748" s="28">
        <f>VLOOKUP(TABLA_PRECIOS_LISTBOX[[#This Row],[Código]],TABLA_PRECIOS[#All],7)</f>
        <v>1</v>
      </c>
      <c r="F748" s="32">
        <f>VLOOKUP(TABLA_PRECIOS_LISTBOX[[#This Row],[Código]],TABLA_PRECIOS[#All],8)</f>
        <v>1</v>
      </c>
      <c r="G748" s="9">
        <f>VLOOKUP(TABLA_PRECIOS_LISTBOX[[#This Row],[Código]],TABLA_PRECIOS[#All],10)</f>
        <v>0</v>
      </c>
    </row>
    <row r="749" spans="1:7" x14ac:dyDescent="0.3">
      <c r="A749" s="4">
        <v>9023</v>
      </c>
      <c r="B749" s="6" t="str">
        <f>VLOOKUP(TABLA_PRECIOS_LISTBOX[Código],LISTADO_PRODUCTOS[#All],4)</f>
        <v>Set DURAVIT PALITA RASTRILLO Y MOLDES</v>
      </c>
      <c r="C749" s="6" t="str">
        <f>VLOOKUP(TABLA_PRECIOS_LISTBOX[Código],LISTADO_PRODUCTOS[#All],5)</f>
        <v>N/A</v>
      </c>
      <c r="D749" s="13">
        <f>VLOOKUP(TABLA_PRECIOS_LISTBOX[[#This Row],[Código]],TABLA_PRECIOS[#All],6)</f>
        <v>1</v>
      </c>
      <c r="E749" s="28">
        <f>VLOOKUP(TABLA_PRECIOS_LISTBOX[[#This Row],[Código]],TABLA_PRECIOS[#All],7)</f>
        <v>1</v>
      </c>
      <c r="F749" s="32">
        <f>VLOOKUP(TABLA_PRECIOS_LISTBOX[[#This Row],[Código]],TABLA_PRECIOS[#All],8)</f>
        <v>1</v>
      </c>
      <c r="G749" s="9">
        <f>VLOOKUP(TABLA_PRECIOS_LISTBOX[[#This Row],[Código]],TABLA_PRECIOS[#All],10)</f>
        <v>0</v>
      </c>
    </row>
    <row r="750" spans="1:7" x14ac:dyDescent="0.3">
      <c r="A750" s="4">
        <v>9028</v>
      </c>
      <c r="B750" s="6" t="str">
        <f>VLOOKUP(TABLA_PRECIOS_LISTBOX[Código],LISTADO_PRODUCTOS[#All],4)</f>
        <v>Juego de mesa LA GRANJA MILLONARIA 3200 RUIBAL</v>
      </c>
      <c r="C750" s="6" t="str">
        <f>VLOOKUP(TABLA_PRECIOS_LISTBOX[Código],LISTADO_PRODUCTOS[#All],5)</f>
        <v>N/A</v>
      </c>
      <c r="D750" s="13">
        <f>VLOOKUP(TABLA_PRECIOS_LISTBOX[[#This Row],[Código]],TABLA_PRECIOS[#All],6)</f>
        <v>1</v>
      </c>
      <c r="E750" s="28">
        <f>VLOOKUP(TABLA_PRECIOS_LISTBOX[[#This Row],[Código]],TABLA_PRECIOS[#All],7)</f>
        <v>1</v>
      </c>
      <c r="F750" s="32">
        <f>VLOOKUP(TABLA_PRECIOS_LISTBOX[[#This Row],[Código]],TABLA_PRECIOS[#All],8)</f>
        <v>1</v>
      </c>
      <c r="G750" s="9">
        <f>VLOOKUP(TABLA_PRECIOS_LISTBOX[[#This Row],[Código]],TABLA_PRECIOS[#All],10)</f>
        <v>0</v>
      </c>
    </row>
    <row r="751" spans="1:7" x14ac:dyDescent="0.3">
      <c r="A751" s="4">
        <v>9040</v>
      </c>
      <c r="B751" s="6" t="str">
        <f>VLOOKUP(TABLA_PRECIOS_LISTBOX[Código],LISTADO_PRODUCTOS[#All],4)</f>
        <v>Juego de mesa Conquista del Mundo</v>
      </c>
      <c r="C751" s="6" t="str">
        <f>VLOOKUP(TABLA_PRECIOS_LISTBOX[Código],LISTADO_PRODUCTOS[#All],5)</f>
        <v>N/A</v>
      </c>
      <c r="D751" s="13">
        <f>VLOOKUP(TABLA_PRECIOS_LISTBOX[[#This Row],[Código]],TABLA_PRECIOS[#All],6)</f>
        <v>1</v>
      </c>
      <c r="E751" s="28">
        <f>VLOOKUP(TABLA_PRECIOS_LISTBOX[[#This Row],[Código]],TABLA_PRECIOS[#All],7)</f>
        <v>1</v>
      </c>
      <c r="F751" s="32">
        <f>VLOOKUP(TABLA_PRECIOS_LISTBOX[[#This Row],[Código]],TABLA_PRECIOS[#All],8)</f>
        <v>1</v>
      </c>
      <c r="G751" s="9">
        <f>VLOOKUP(TABLA_PRECIOS_LISTBOX[[#This Row],[Código]],TABLA_PRECIOS[#All],10)</f>
        <v>0</v>
      </c>
    </row>
    <row r="752" spans="1:7" x14ac:dyDescent="0.3">
      <c r="A752" s="4">
        <v>9078</v>
      </c>
      <c r="B752" s="6" t="str">
        <f>VLOOKUP(TABLA_PRECIOS_LISTBOX[Código],LISTADO_PRODUCTOS[#All],4)</f>
        <v>Set balde con rastrillo y pala mediano Luni/Duravit</v>
      </c>
      <c r="C752" s="6" t="str">
        <f>VLOOKUP(TABLA_PRECIOS_LISTBOX[Código],LISTADO_PRODUCTOS[#All],5)</f>
        <v>N/A</v>
      </c>
      <c r="D752" s="13">
        <f>VLOOKUP(TABLA_PRECIOS_LISTBOX[[#This Row],[Código]],TABLA_PRECIOS[#All],6)</f>
        <v>1</v>
      </c>
      <c r="E752" s="28">
        <f>VLOOKUP(TABLA_PRECIOS_LISTBOX[[#This Row],[Código]],TABLA_PRECIOS[#All],7)</f>
        <v>1</v>
      </c>
      <c r="F752" s="32">
        <f>VLOOKUP(TABLA_PRECIOS_LISTBOX[[#This Row],[Código]],TABLA_PRECIOS[#All],8)</f>
        <v>1</v>
      </c>
      <c r="G752" s="9">
        <f>VLOOKUP(TABLA_PRECIOS_LISTBOX[[#This Row],[Código]],TABLA_PRECIOS[#All],10)</f>
        <v>0</v>
      </c>
    </row>
    <row r="753" spans="1:7" x14ac:dyDescent="0.3">
      <c r="A753" s="4">
        <v>9100</v>
      </c>
      <c r="B753" s="6" t="str">
        <f>VLOOKUP(TABLA_PRECIOS_LISTBOX[Código],LISTADO_PRODUCTOS[#All],4)</f>
        <v>Rompecabezas c/iman grande PIPI KUKU</v>
      </c>
      <c r="C753" s="6" t="str">
        <f>VLOOKUP(TABLA_PRECIOS_LISTBOX[Código],LISTADO_PRODUCTOS[#All],5)</f>
        <v>N/A</v>
      </c>
      <c r="D753" s="13">
        <f>VLOOKUP(TABLA_PRECIOS_LISTBOX[[#This Row],[Código]],TABLA_PRECIOS[#All],6)</f>
        <v>1</v>
      </c>
      <c r="E753" s="28">
        <f>VLOOKUP(TABLA_PRECIOS_LISTBOX[[#This Row],[Código]],TABLA_PRECIOS[#All],7)</f>
        <v>1</v>
      </c>
      <c r="F753" s="32">
        <f>VLOOKUP(TABLA_PRECIOS_LISTBOX[[#This Row],[Código]],TABLA_PRECIOS[#All],8)</f>
        <v>1</v>
      </c>
      <c r="G753" s="9">
        <f>VLOOKUP(TABLA_PRECIOS_LISTBOX[[#This Row],[Código]],TABLA_PRECIOS[#All],10)</f>
        <v>0</v>
      </c>
    </row>
    <row r="754" spans="1:7" x14ac:dyDescent="0.3">
      <c r="A754" s="4">
        <v>9101</v>
      </c>
      <c r="B754" s="6" t="str">
        <f>VLOOKUP(TABLA_PRECIOS_LISTBOX[Código],LISTADO_PRODUCTOS[#All],4)</f>
        <v>Rompecabezas inicial de PIPIKUKU madera c/iman 4 piezas</v>
      </c>
      <c r="C754" s="6" t="str">
        <f>VLOOKUP(TABLA_PRECIOS_LISTBOX[Código],LISTADO_PRODUCTOS[#All],5)</f>
        <v>N/A</v>
      </c>
      <c r="D754" s="13">
        <f>VLOOKUP(TABLA_PRECIOS_LISTBOX[[#This Row],[Código]],TABLA_PRECIOS[#All],6)</f>
        <v>1</v>
      </c>
      <c r="E754" s="28">
        <f>VLOOKUP(TABLA_PRECIOS_LISTBOX[[#This Row],[Código]],TABLA_PRECIOS[#All],7)</f>
        <v>1</v>
      </c>
      <c r="F754" s="32">
        <f>VLOOKUP(TABLA_PRECIOS_LISTBOX[[#This Row],[Código]],TABLA_PRECIOS[#All],8)</f>
        <v>1</v>
      </c>
      <c r="G754" s="9">
        <f>VLOOKUP(TABLA_PRECIOS_LISTBOX[[#This Row],[Código]],TABLA_PRECIOS[#All],10)</f>
        <v>0</v>
      </c>
    </row>
    <row r="755" spans="1:7" x14ac:dyDescent="0.3">
      <c r="A755" s="4">
        <v>9102</v>
      </c>
      <c r="B755" s="6" t="str">
        <f>VLOOKUP(TABLA_PRECIOS_LISTBOX[Código],LISTADO_PRODUCTOS[#All],4)</f>
        <v>Rompecabezas de en plancha de encastre PIPIU KUKU 36 piezas madera</v>
      </c>
      <c r="C755" s="6" t="str">
        <f>VLOOKUP(TABLA_PRECIOS_LISTBOX[Código],LISTADO_PRODUCTOS[#All],5)</f>
        <v>N/A</v>
      </c>
      <c r="D755" s="13">
        <f>VLOOKUP(TABLA_PRECIOS_LISTBOX[[#This Row],[Código]],TABLA_PRECIOS[#All],6)</f>
        <v>1</v>
      </c>
      <c r="E755" s="28">
        <f>VLOOKUP(TABLA_PRECIOS_LISTBOX[[#This Row],[Código]],TABLA_PRECIOS[#All],7)</f>
        <v>1</v>
      </c>
      <c r="F755" s="32">
        <f>VLOOKUP(TABLA_PRECIOS_LISTBOX[[#This Row],[Código]],TABLA_PRECIOS[#All],8)</f>
        <v>1</v>
      </c>
      <c r="G755" s="9">
        <f>VLOOKUP(TABLA_PRECIOS_LISTBOX[[#This Row],[Código]],TABLA_PRECIOS[#All],10)</f>
        <v>0</v>
      </c>
    </row>
    <row r="756" spans="1:7" x14ac:dyDescent="0.3">
      <c r="A756" s="4">
        <v>9103</v>
      </c>
      <c r="B756" s="6" t="str">
        <f>VLOOKUP(TABLA_PRECIOS_LISTBOX[Código],LISTADO_PRODUCTOS[#All],4)</f>
        <v xml:space="preserve">Arrastre madera </v>
      </c>
      <c r="C756" s="6" t="str">
        <f>VLOOKUP(TABLA_PRECIOS_LISTBOX[Código],LISTADO_PRODUCTOS[#All],5)</f>
        <v>N/A</v>
      </c>
      <c r="D756" s="13">
        <f>VLOOKUP(TABLA_PRECIOS_LISTBOX[[#This Row],[Código]],TABLA_PRECIOS[#All],6)</f>
        <v>1</v>
      </c>
      <c r="E756" s="28">
        <f>VLOOKUP(TABLA_PRECIOS_LISTBOX[[#This Row],[Código]],TABLA_PRECIOS[#All],7)</f>
        <v>1</v>
      </c>
      <c r="F756" s="32">
        <f>VLOOKUP(TABLA_PRECIOS_LISTBOX[[#This Row],[Código]],TABLA_PRECIOS[#All],8)</f>
        <v>1</v>
      </c>
      <c r="G756" s="9">
        <f>VLOOKUP(TABLA_PRECIOS_LISTBOX[[#This Row],[Código]],TABLA_PRECIOS[#All],10)</f>
        <v>0</v>
      </c>
    </row>
    <row r="757" spans="1:7" x14ac:dyDescent="0.3">
      <c r="A757" s="4">
        <v>9104</v>
      </c>
      <c r="B757" s="6" t="str">
        <f>VLOOKUP(TABLA_PRECIOS_LISTBOX[Código],LISTADO_PRODUCTOS[#All],4)</f>
        <v>Memo test madera PIPI KUKU</v>
      </c>
      <c r="C757" s="6" t="str">
        <f>VLOOKUP(TABLA_PRECIOS_LISTBOX[Código],LISTADO_PRODUCTOS[#All],5)</f>
        <v>N/A</v>
      </c>
      <c r="D757" s="13">
        <f>VLOOKUP(TABLA_PRECIOS_LISTBOX[[#This Row],[Código]],TABLA_PRECIOS[#All],6)</f>
        <v>1</v>
      </c>
      <c r="E757" s="28">
        <f>VLOOKUP(TABLA_PRECIOS_LISTBOX[[#This Row],[Código]],TABLA_PRECIOS[#All],7)</f>
        <v>1</v>
      </c>
      <c r="F757" s="32">
        <f>VLOOKUP(TABLA_PRECIOS_LISTBOX[[#This Row],[Código]],TABLA_PRECIOS[#All],8)</f>
        <v>1</v>
      </c>
      <c r="G757" s="9">
        <f>VLOOKUP(TABLA_PRECIOS_LISTBOX[[#This Row],[Código]],TABLA_PRECIOS[#All],10)</f>
        <v>0</v>
      </c>
    </row>
    <row r="758" spans="1:7" x14ac:dyDescent="0.3">
      <c r="A758" s="4">
        <v>9105</v>
      </c>
      <c r="B758" s="6" t="str">
        <f>VLOOKUP(TABLA_PRECIOS_LISTBOX[Código],LISTADO_PRODUCTOS[#All],4)</f>
        <v>Piezas de madera Aprendiendo PIPI KUKU 48 piezas</v>
      </c>
      <c r="C758" s="6" t="str">
        <f>VLOOKUP(TABLA_PRECIOS_LISTBOX[Código],LISTADO_PRODUCTOS[#All],5)</f>
        <v>N/A</v>
      </c>
      <c r="D758" s="13">
        <f>VLOOKUP(TABLA_PRECIOS_LISTBOX[[#This Row],[Código]],TABLA_PRECIOS[#All],6)</f>
        <v>1</v>
      </c>
      <c r="E758" s="28">
        <f>VLOOKUP(TABLA_PRECIOS_LISTBOX[[#This Row],[Código]],TABLA_PRECIOS[#All],7)</f>
        <v>1</v>
      </c>
      <c r="F758" s="32">
        <f>VLOOKUP(TABLA_PRECIOS_LISTBOX[[#This Row],[Código]],TABLA_PRECIOS[#All],8)</f>
        <v>1</v>
      </c>
      <c r="G758" s="9">
        <f>VLOOKUP(TABLA_PRECIOS_LISTBOX[[#This Row],[Código]],TABLA_PRECIOS[#All],10)</f>
        <v>0</v>
      </c>
    </row>
    <row r="759" spans="1:7" x14ac:dyDescent="0.3">
      <c r="A759" s="4">
        <v>9113</v>
      </c>
      <c r="B759" s="6" t="str">
        <f>VLOOKUP(TABLA_PRECIOS_LISTBOX[Código],LISTADO_PRODUCTOS[#All],4)</f>
        <v>Juego de cartas CONQUISTA DEL MUNDO</v>
      </c>
      <c r="C759" s="6" t="str">
        <f>VLOOKUP(TABLA_PRECIOS_LISTBOX[Código],LISTADO_PRODUCTOS[#All],5)</f>
        <v>N/A</v>
      </c>
      <c r="D759" s="13">
        <f>VLOOKUP(TABLA_PRECIOS_LISTBOX[[#This Row],[Código]],TABLA_PRECIOS[#All],6)</f>
        <v>1</v>
      </c>
      <c r="E759" s="28">
        <f>VLOOKUP(TABLA_PRECIOS_LISTBOX[[#This Row],[Código]],TABLA_PRECIOS[#All],7)</f>
        <v>1</v>
      </c>
      <c r="F759" s="32">
        <f>VLOOKUP(TABLA_PRECIOS_LISTBOX[[#This Row],[Código]],TABLA_PRECIOS[#All],8)</f>
        <v>1</v>
      </c>
      <c r="G759" s="9">
        <f>VLOOKUP(TABLA_PRECIOS_LISTBOX[[#This Row],[Código]],TABLA_PRECIOS[#All],10)</f>
        <v>0</v>
      </c>
    </row>
    <row r="760" spans="1:7" x14ac:dyDescent="0.3">
      <c r="A760" s="4">
        <v>9114</v>
      </c>
      <c r="B760" s="6" t="str">
        <f>VLOOKUP(TABLA_PRECIOS_LISTBOX[Código],LISTADO_PRODUCTOS[#All],4)</f>
        <v>Juego de bolsillo LA CASA DE LOS FANTASMAS 506</v>
      </c>
      <c r="C760" s="6" t="str">
        <f>VLOOKUP(TABLA_PRECIOS_LISTBOX[Código],LISTADO_PRODUCTOS[#All],5)</f>
        <v>N/A</v>
      </c>
      <c r="D760" s="13">
        <f>VLOOKUP(TABLA_PRECIOS_LISTBOX[[#This Row],[Código]],TABLA_PRECIOS[#All],6)</f>
        <v>1</v>
      </c>
      <c r="E760" s="28">
        <f>VLOOKUP(TABLA_PRECIOS_LISTBOX[[#This Row],[Código]],TABLA_PRECIOS[#All],7)</f>
        <v>1</v>
      </c>
      <c r="F760" s="32">
        <f>VLOOKUP(TABLA_PRECIOS_LISTBOX[[#This Row],[Código]],TABLA_PRECIOS[#All],8)</f>
        <v>1</v>
      </c>
      <c r="G760" s="9">
        <f>VLOOKUP(TABLA_PRECIOS_LISTBOX[[#This Row],[Código]],TABLA_PRECIOS[#All],10)</f>
        <v>0</v>
      </c>
    </row>
    <row r="761" spans="1:7" x14ac:dyDescent="0.3">
      <c r="A761" s="4">
        <v>9120</v>
      </c>
      <c r="B761" s="6" t="str">
        <f>VLOOKUP(TABLA_PRECIOS_LISTBOX[Código],LISTADO_PRODUCTOS[#All],4)</f>
        <v>Duravit</v>
      </c>
      <c r="C761" s="6" t="str">
        <f>VLOOKUP(TABLA_PRECIOS_LISTBOX[Código],LISTADO_PRODUCTOS[#All],5)</f>
        <v>N/A</v>
      </c>
      <c r="D761" s="13">
        <f>VLOOKUP(TABLA_PRECIOS_LISTBOX[[#This Row],[Código]],TABLA_PRECIOS[#All],6)</f>
        <v>1</v>
      </c>
      <c r="E761" s="28">
        <f>VLOOKUP(TABLA_PRECIOS_LISTBOX[[#This Row],[Código]],TABLA_PRECIOS[#All],7)</f>
        <v>1</v>
      </c>
      <c r="F761" s="32">
        <f>VLOOKUP(TABLA_PRECIOS_LISTBOX[[#This Row],[Código]],TABLA_PRECIOS[#All],8)</f>
        <v>1</v>
      </c>
      <c r="G761" s="9">
        <f>VLOOKUP(TABLA_PRECIOS_LISTBOX[[#This Row],[Código]],TABLA_PRECIOS[#All],10)</f>
        <v>0</v>
      </c>
    </row>
    <row r="762" spans="1:7" x14ac:dyDescent="0.3">
      <c r="A762" s="4">
        <v>9246</v>
      </c>
      <c r="B762" s="6" t="str">
        <f>VLOOKUP(TABLA_PRECIOS_LISTBOX[Código],LISTADO_PRODUCTOS[#All],4)</f>
        <v>Porta mfoto PIPI KUKU</v>
      </c>
      <c r="C762" s="6" t="str">
        <f>VLOOKUP(TABLA_PRECIOS_LISTBOX[Código],LISTADO_PRODUCTOS[#All],5)</f>
        <v>N/A</v>
      </c>
      <c r="D762" s="13">
        <f>VLOOKUP(TABLA_PRECIOS_LISTBOX[[#This Row],[Código]],TABLA_PRECIOS[#All],6)</f>
        <v>1</v>
      </c>
      <c r="E762" s="28">
        <f>VLOOKUP(TABLA_PRECIOS_LISTBOX[[#This Row],[Código]],TABLA_PRECIOS[#All],7)</f>
        <v>1</v>
      </c>
      <c r="F762" s="32">
        <f>VLOOKUP(TABLA_PRECIOS_LISTBOX[[#This Row],[Código]],TABLA_PRECIOS[#All],8)</f>
        <v>1</v>
      </c>
      <c r="G762" s="9">
        <f>VLOOKUP(TABLA_PRECIOS_LISTBOX[[#This Row],[Código]],TABLA_PRECIOS[#All],10)</f>
        <v>0</v>
      </c>
    </row>
    <row r="763" spans="1:7" x14ac:dyDescent="0.3">
      <c r="A763" s="4">
        <v>9298</v>
      </c>
      <c r="B763" s="6" t="str">
        <f>VLOOKUP(TABLA_PRECIOS_LISTBOX[Código],LISTADO_PRODUCTOS[#All],4)</f>
        <v>Trencito Feliz JNG Childy plast Art. 012193</v>
      </c>
      <c r="C763" s="6" t="str">
        <f>VLOOKUP(TABLA_PRECIOS_LISTBOX[Código],LISTADO_PRODUCTOS[#All],5)</f>
        <v>N/A</v>
      </c>
      <c r="D763" s="13">
        <f>VLOOKUP(TABLA_PRECIOS_LISTBOX[[#This Row],[Código]],TABLA_PRECIOS[#All],6)</f>
        <v>1</v>
      </c>
      <c r="E763" s="28">
        <f>VLOOKUP(TABLA_PRECIOS_LISTBOX[[#This Row],[Código]],TABLA_PRECIOS[#All],7)</f>
        <v>1</v>
      </c>
      <c r="F763" s="32">
        <f>VLOOKUP(TABLA_PRECIOS_LISTBOX[[#This Row],[Código]],TABLA_PRECIOS[#All],8)</f>
        <v>1</v>
      </c>
      <c r="G763" s="9">
        <f>VLOOKUP(TABLA_PRECIOS_LISTBOX[[#This Row],[Código]],TABLA_PRECIOS[#All],10)</f>
        <v>0</v>
      </c>
    </row>
    <row r="764" spans="1:7" x14ac:dyDescent="0.3">
      <c r="A764" s="4">
        <v>9303</v>
      </c>
      <c r="B764" s="6" t="str">
        <f>VLOOKUP(TABLA_PRECIOS_LISTBOX[Código],LISTADO_PRODUCTOS[#All],4)</f>
        <v>Masa perfumada en Pote Expresa Emocion</v>
      </c>
      <c r="C764" s="6" t="str">
        <f>VLOOKUP(TABLA_PRECIOS_LISTBOX[Código],LISTADO_PRODUCTOS[#All],5)</f>
        <v>N/A</v>
      </c>
      <c r="D764" s="13">
        <f>VLOOKUP(TABLA_PRECIOS_LISTBOX[[#This Row],[Código]],TABLA_PRECIOS[#All],6)</f>
        <v>1</v>
      </c>
      <c r="E764" s="28">
        <f>VLOOKUP(TABLA_PRECIOS_LISTBOX[[#This Row],[Código]],TABLA_PRECIOS[#All],7)</f>
        <v>1</v>
      </c>
      <c r="F764" s="32">
        <f>VLOOKUP(TABLA_PRECIOS_LISTBOX[[#This Row],[Código]],TABLA_PRECIOS[#All],8)</f>
        <v>1</v>
      </c>
      <c r="G764" s="9">
        <f>VLOOKUP(TABLA_PRECIOS_LISTBOX[[#This Row],[Código]],TABLA_PRECIOS[#All],10)</f>
        <v>0</v>
      </c>
    </row>
    <row r="765" spans="1:7" x14ac:dyDescent="0.3">
      <c r="A765" s="4">
        <v>9322</v>
      </c>
      <c r="B765" s="6" t="str">
        <f>VLOOKUP(TABLA_PRECIOS_LISTBOX[Código],LISTADO_PRODUCTOS[#All],4)</f>
        <v>Bitacora La cuadra/animalitos imantados</v>
      </c>
      <c r="C765" s="6" t="str">
        <f>VLOOKUP(TABLA_PRECIOS_LISTBOX[Código],LISTADO_PRODUCTOS[#All],5)</f>
        <v>N/A</v>
      </c>
      <c r="D765" s="13">
        <f>VLOOKUP(TABLA_PRECIOS_LISTBOX[[#This Row],[Código]],TABLA_PRECIOS[#All],6)</f>
        <v>1</v>
      </c>
      <c r="E765" s="28">
        <f>VLOOKUP(TABLA_PRECIOS_LISTBOX[[#This Row],[Código]],TABLA_PRECIOS[#All],7)</f>
        <v>1</v>
      </c>
      <c r="F765" s="32">
        <f>VLOOKUP(TABLA_PRECIOS_LISTBOX[[#This Row],[Código]],TABLA_PRECIOS[#All],8)</f>
        <v>1</v>
      </c>
      <c r="G765" s="9">
        <f>VLOOKUP(TABLA_PRECIOS_LISTBOX[[#This Row],[Código]],TABLA_PRECIOS[#All],10)</f>
        <v>0</v>
      </c>
    </row>
    <row r="766" spans="1:7" x14ac:dyDescent="0.3">
      <c r="A766" s="4">
        <v>9331</v>
      </c>
      <c r="B766" s="6" t="str">
        <f>VLOOKUP(TABLA_PRECIOS_LISTBOX[Código],LISTADO_PRODUCTOS[#All],4)</f>
        <v>Veo veo El Espacio - 50 personajes del espacio para buscarlos por el tablero</v>
      </c>
      <c r="C766" s="6" t="str">
        <f>VLOOKUP(TABLA_PRECIOS_LISTBOX[Código],LISTADO_PRODUCTOS[#All],5)</f>
        <v>N/A</v>
      </c>
      <c r="D766" s="13">
        <f>VLOOKUP(TABLA_PRECIOS_LISTBOX[[#This Row],[Código]],TABLA_PRECIOS[#All],6)</f>
        <v>1</v>
      </c>
      <c r="E766" s="28">
        <f>VLOOKUP(TABLA_PRECIOS_LISTBOX[[#This Row],[Código]],TABLA_PRECIOS[#All],7)</f>
        <v>1</v>
      </c>
      <c r="F766" s="32">
        <f>VLOOKUP(TABLA_PRECIOS_LISTBOX[[#This Row],[Código]],TABLA_PRECIOS[#All],8)</f>
        <v>1</v>
      </c>
      <c r="G766" s="9">
        <f>VLOOKUP(TABLA_PRECIOS_LISTBOX[[#This Row],[Código]],TABLA_PRECIOS[#All],10)</f>
        <v>0</v>
      </c>
    </row>
    <row r="767" spans="1:7" x14ac:dyDescent="0.3">
      <c r="A767" s="4">
        <v>9353</v>
      </c>
      <c r="B767" s="6" t="str">
        <f>VLOOKUP(TABLA_PRECIOS_LISTBOX[Código],LISTADO_PRODUCTOS[#All],4)</f>
        <v>Caja sorpresa x bolsa</v>
      </c>
      <c r="C767" s="6" t="str">
        <f>VLOOKUP(TABLA_PRECIOS_LISTBOX[Código],LISTADO_PRODUCTOS[#All],5)</f>
        <v>N/A</v>
      </c>
      <c r="D767" s="13">
        <f>VLOOKUP(TABLA_PRECIOS_LISTBOX[[#This Row],[Código]],TABLA_PRECIOS[#All],6)</f>
        <v>1</v>
      </c>
      <c r="E767" s="28">
        <f>VLOOKUP(TABLA_PRECIOS_LISTBOX[[#This Row],[Código]],TABLA_PRECIOS[#All],7)</f>
        <v>1</v>
      </c>
      <c r="F767" s="32">
        <f>VLOOKUP(TABLA_PRECIOS_LISTBOX[[#This Row],[Código]],TABLA_PRECIOS[#All],8)</f>
        <v>1</v>
      </c>
      <c r="G767" s="9">
        <f>VLOOKUP(TABLA_PRECIOS_LISTBOX[[#This Row],[Código]],TABLA_PRECIOS[#All],10)</f>
        <v>0</v>
      </c>
    </row>
    <row r="768" spans="1:7" x14ac:dyDescent="0.3">
      <c r="A768" s="4">
        <v>9358</v>
      </c>
      <c r="B768" s="6" t="str">
        <f>VLOOKUP(TABLA_PRECIOS_LISTBOX[Código],LISTADO_PRODUCTOS[#All],4)</f>
        <v>Pistola de agua Lyon Toys modelo 912-2</v>
      </c>
      <c r="C768" s="6" t="str">
        <f>VLOOKUP(TABLA_PRECIOS_LISTBOX[Código],LISTADO_PRODUCTOS[#All],5)</f>
        <v>N/A</v>
      </c>
      <c r="D768" s="13">
        <f>VLOOKUP(TABLA_PRECIOS_LISTBOX[[#This Row],[Código]],TABLA_PRECIOS[#All],6)</f>
        <v>1</v>
      </c>
      <c r="E768" s="28">
        <f>VLOOKUP(TABLA_PRECIOS_LISTBOX[[#This Row],[Código]],TABLA_PRECIOS[#All],7)</f>
        <v>1</v>
      </c>
      <c r="F768" s="32">
        <f>VLOOKUP(TABLA_PRECIOS_LISTBOX[[#This Row],[Código]],TABLA_PRECIOS[#All],8)</f>
        <v>1</v>
      </c>
      <c r="G768" s="9">
        <f>VLOOKUP(TABLA_PRECIOS_LISTBOX[[#This Row],[Código]],TABLA_PRECIOS[#All],10)</f>
        <v>0</v>
      </c>
    </row>
    <row r="769" spans="1:7" x14ac:dyDescent="0.3">
      <c r="A769" s="5">
        <v>9359</v>
      </c>
      <c r="B769" s="6">
        <f>VLOOKUP(TABLA_PRECIOS_LISTBOX[Código],LISTADO_PRODUCTOS[#All],4)</f>
        <v>0</v>
      </c>
      <c r="C769" s="6">
        <f>VLOOKUP(TABLA_PRECIOS_LISTBOX[Código],LISTADO_PRODUCTOS[#All],5)</f>
        <v>0</v>
      </c>
      <c r="D769" s="13">
        <f>VLOOKUP(TABLA_PRECIOS_LISTBOX[[#This Row],[Código]],TABLA_PRECIOS[#All],6)</f>
        <v>1</v>
      </c>
      <c r="E769" s="28">
        <f>VLOOKUP(TABLA_PRECIOS_LISTBOX[[#This Row],[Código]],TABLA_PRECIOS[#All],7)</f>
        <v>1</v>
      </c>
      <c r="F769" s="32">
        <f>VLOOKUP(TABLA_PRECIOS_LISTBOX[[#This Row],[Código]],TABLA_PRECIOS[#All],8)</f>
        <v>1</v>
      </c>
      <c r="G769" s="9">
        <f>VLOOKUP(TABLA_PRECIOS_LISTBOX[[#This Row],[Código]],TABLA_PRECIOS[#All],10)</f>
        <v>0</v>
      </c>
    </row>
    <row r="770" spans="1:7" x14ac:dyDescent="0.3">
      <c r="A770" s="5"/>
      <c r="B770" s="4"/>
      <c r="C770" s="4"/>
      <c r="D770" s="5"/>
      <c r="E770" s="7"/>
      <c r="G770" s="8"/>
    </row>
    <row r="771" spans="1:7" x14ac:dyDescent="0.3">
      <c r="A771" s="5"/>
      <c r="B771" s="4"/>
      <c r="C771" s="4"/>
      <c r="D771" s="4"/>
      <c r="E771" s="7"/>
      <c r="G771" s="8"/>
    </row>
    <row r="772" spans="1:7" x14ac:dyDescent="0.3">
      <c r="A772" s="5"/>
      <c r="B772" s="4"/>
      <c r="C772" s="4"/>
      <c r="D772" s="4"/>
      <c r="E772" s="7"/>
      <c r="G772" s="8"/>
    </row>
    <row r="773" spans="1:7" x14ac:dyDescent="0.3">
      <c r="A773" s="5"/>
      <c r="B773" s="4"/>
      <c r="C773" s="4"/>
      <c r="D773" s="4"/>
      <c r="E773" s="7"/>
      <c r="G773" s="8"/>
    </row>
    <row r="774" spans="1:7" x14ac:dyDescent="0.3">
      <c r="A774" s="5"/>
      <c r="B774" s="4"/>
      <c r="C774" s="4"/>
      <c r="D774" s="4"/>
      <c r="E774" s="7"/>
      <c r="G774" s="8"/>
    </row>
    <row r="775" spans="1:7" x14ac:dyDescent="0.3">
      <c r="A775" s="5"/>
      <c r="B775" s="4"/>
      <c r="C775" s="4"/>
      <c r="D775" s="4"/>
      <c r="E775" s="7"/>
      <c r="G775" s="8"/>
    </row>
    <row r="776" spans="1:7" x14ac:dyDescent="0.3">
      <c r="A776" s="5"/>
      <c r="B776" s="4"/>
      <c r="C776" s="4"/>
      <c r="D776" s="4"/>
      <c r="E776" s="7"/>
      <c r="G776" s="8"/>
    </row>
    <row r="777" spans="1:7" x14ac:dyDescent="0.3">
      <c r="A777" s="5"/>
      <c r="B777" s="4"/>
      <c r="C777" s="4"/>
      <c r="D777" s="4"/>
      <c r="E777" s="7"/>
      <c r="G777" s="8"/>
    </row>
    <row r="778" spans="1:7" x14ac:dyDescent="0.3">
      <c r="A778" s="5"/>
      <c r="B778" s="4"/>
      <c r="C778" s="4"/>
      <c r="D778" s="5"/>
      <c r="E778" s="23"/>
      <c r="G778" s="8"/>
    </row>
    <row r="779" spans="1:7" x14ac:dyDescent="0.3">
      <c r="A779" s="5"/>
      <c r="B779" s="4"/>
      <c r="C779" s="4"/>
      <c r="D779" s="5"/>
      <c r="E779" s="23"/>
      <c r="G779" s="8"/>
    </row>
    <row r="780" spans="1:7" x14ac:dyDescent="0.3">
      <c r="A780" s="5"/>
      <c r="B780" s="4"/>
      <c r="C780" s="4"/>
      <c r="D780" s="5"/>
      <c r="E780" s="23"/>
      <c r="G780" s="8"/>
    </row>
    <row r="781" spans="1:7" x14ac:dyDescent="0.3">
      <c r="A781" s="5"/>
      <c r="B781" s="4"/>
      <c r="C781" s="4"/>
      <c r="D781" s="5"/>
      <c r="E781" s="23"/>
      <c r="G781" s="8"/>
    </row>
    <row r="782" spans="1:7" x14ac:dyDescent="0.3">
      <c r="A782" s="5"/>
      <c r="B782" s="5"/>
      <c r="C782" s="4"/>
      <c r="D782" s="5"/>
      <c r="E782" s="23"/>
      <c r="G782" s="8"/>
    </row>
    <row r="783" spans="1:7" x14ac:dyDescent="0.3">
      <c r="A783" s="5"/>
      <c r="B783" s="5"/>
      <c r="C783" s="4"/>
      <c r="D783" s="4"/>
      <c r="E783" s="7"/>
      <c r="G783" s="8"/>
    </row>
    <row r="784" spans="1:7" x14ac:dyDescent="0.3">
      <c r="A784" s="5"/>
      <c r="B784" s="5"/>
      <c r="C784" s="4"/>
      <c r="D784" s="5"/>
      <c r="E784" s="23"/>
      <c r="G784" s="8"/>
    </row>
    <row r="785" spans="1:7" x14ac:dyDescent="0.3">
      <c r="A785" s="5"/>
      <c r="B785" s="4"/>
      <c r="C785" s="4"/>
      <c r="D785" s="5"/>
      <c r="E785" s="23"/>
      <c r="G785" s="8"/>
    </row>
    <row r="786" spans="1:7" x14ac:dyDescent="0.3">
      <c r="A786" s="5"/>
      <c r="B786" s="4"/>
      <c r="C786" s="4"/>
      <c r="D786" s="5"/>
      <c r="E786" s="23"/>
      <c r="G786" s="8"/>
    </row>
    <row r="787" spans="1:7" x14ac:dyDescent="0.3">
      <c r="A787" s="4"/>
      <c r="B787" s="4"/>
      <c r="C787" s="4"/>
      <c r="D787" s="4"/>
      <c r="E787" s="23"/>
      <c r="G787" s="8"/>
    </row>
    <row r="788" spans="1:7" x14ac:dyDescent="0.3">
      <c r="A788" s="4"/>
      <c r="B788" s="4"/>
      <c r="C788" s="4"/>
      <c r="D788" s="5"/>
      <c r="E788" s="23"/>
      <c r="G788" s="8"/>
    </row>
    <row r="789" spans="1:7" x14ac:dyDescent="0.3">
      <c r="A789" s="4"/>
      <c r="B789" s="4"/>
      <c r="C789" s="4"/>
      <c r="D789" s="5"/>
      <c r="E789" s="23"/>
      <c r="G789" s="8"/>
    </row>
    <row r="790" spans="1:7" x14ac:dyDescent="0.3">
      <c r="A790" s="4"/>
      <c r="B790" s="4"/>
      <c r="C790" s="4"/>
      <c r="D790" s="5"/>
      <c r="E790" s="23"/>
      <c r="G790" s="8"/>
    </row>
    <row r="791" spans="1:7" x14ac:dyDescent="0.3">
      <c r="A791" s="4"/>
      <c r="B791" s="4"/>
      <c r="C791" s="4"/>
      <c r="D791" s="5"/>
      <c r="E791" s="23"/>
      <c r="G791" s="8"/>
    </row>
    <row r="792" spans="1:7" x14ac:dyDescent="0.3">
      <c r="A792" s="4"/>
      <c r="B792" s="4"/>
      <c r="C792" s="4"/>
      <c r="D792" s="5"/>
      <c r="E792" s="23"/>
      <c r="G792" s="8"/>
    </row>
    <row r="793" spans="1:7" x14ac:dyDescent="0.3">
      <c r="A793" s="4"/>
      <c r="B793" s="4"/>
      <c r="C793" s="4"/>
      <c r="D793" s="5"/>
      <c r="E793" s="23"/>
      <c r="G793" s="8"/>
    </row>
    <row r="794" spans="1:7" x14ac:dyDescent="0.3">
      <c r="A794" s="4"/>
      <c r="B794" s="4"/>
      <c r="C794" s="4"/>
      <c r="D794" s="4"/>
      <c r="E794" s="23"/>
      <c r="G794" s="8"/>
    </row>
    <row r="795" spans="1:7" x14ac:dyDescent="0.3">
      <c r="A795" s="4"/>
      <c r="B795" s="4"/>
      <c r="C795" s="4"/>
      <c r="D795" s="5"/>
      <c r="E795" s="23"/>
      <c r="G795" s="8"/>
    </row>
    <row r="796" spans="1:7" x14ac:dyDescent="0.3">
      <c r="A796" s="4"/>
      <c r="B796" s="4"/>
      <c r="C796" s="4"/>
      <c r="D796" s="5"/>
      <c r="E796" s="23"/>
      <c r="G796" s="8"/>
    </row>
    <row r="797" spans="1:7" x14ac:dyDescent="0.3">
      <c r="A797" s="4"/>
      <c r="B797" s="4"/>
      <c r="C797" s="4"/>
      <c r="D797" s="5"/>
      <c r="E797" s="23"/>
      <c r="G797" s="8"/>
    </row>
    <row r="798" spans="1:7" x14ac:dyDescent="0.3">
      <c r="A798" s="4"/>
      <c r="B798" s="4"/>
      <c r="C798" s="4"/>
      <c r="D798" s="4"/>
      <c r="E798" s="23"/>
      <c r="G798" s="8"/>
    </row>
    <row r="799" spans="1:7" x14ac:dyDescent="0.3">
      <c r="A799" s="4"/>
      <c r="B799" s="4"/>
      <c r="C799" s="4"/>
      <c r="D799" s="4"/>
      <c r="E799" s="23"/>
      <c r="G799" s="8"/>
    </row>
    <row r="800" spans="1:7" x14ac:dyDescent="0.3">
      <c r="A800" s="4"/>
      <c r="B800" s="4"/>
      <c r="C800" s="4"/>
      <c r="D800" s="4"/>
      <c r="E800" s="23"/>
      <c r="G800" s="8"/>
    </row>
    <row r="801" spans="1:7" x14ac:dyDescent="0.3">
      <c r="A801" s="4"/>
      <c r="B801" s="4"/>
      <c r="C801" s="4"/>
      <c r="D801" s="4"/>
      <c r="E801" s="7"/>
      <c r="G801" s="8"/>
    </row>
    <row r="802" spans="1:7" x14ac:dyDescent="0.3">
      <c r="A802" s="4"/>
      <c r="B802" s="4"/>
      <c r="C802" s="4"/>
      <c r="D802" s="4"/>
      <c r="E802" s="7"/>
      <c r="G802" s="8"/>
    </row>
    <row r="803" spans="1:7" x14ac:dyDescent="0.3">
      <c r="A803" s="4"/>
      <c r="B803" s="4"/>
      <c r="C803" s="4"/>
      <c r="D803" s="4"/>
      <c r="E803" s="7"/>
      <c r="G803" s="8"/>
    </row>
    <row r="804" spans="1:7" x14ac:dyDescent="0.3">
      <c r="A804" s="4"/>
      <c r="B804" s="4"/>
      <c r="C804" s="4"/>
      <c r="D804" s="4"/>
      <c r="E804" s="7"/>
      <c r="G804" s="8"/>
    </row>
    <row r="805" spans="1:7" x14ac:dyDescent="0.3">
      <c r="A805" s="4"/>
      <c r="B805" s="4"/>
      <c r="C805" s="4"/>
      <c r="D805" s="4"/>
      <c r="E805" s="7"/>
      <c r="G805" s="8"/>
    </row>
    <row r="806" spans="1:7" x14ac:dyDescent="0.3">
      <c r="A806" s="4"/>
      <c r="B806" s="4"/>
      <c r="C806" s="4"/>
      <c r="D806" s="4"/>
      <c r="E806" s="7"/>
      <c r="G806" s="8"/>
    </row>
    <row r="807" spans="1:7" x14ac:dyDescent="0.3">
      <c r="A807" s="4"/>
      <c r="B807" s="4"/>
      <c r="C807" s="4"/>
      <c r="D807" s="4"/>
      <c r="E807" s="7"/>
      <c r="G807" s="8"/>
    </row>
    <row r="808" spans="1:7" x14ac:dyDescent="0.3">
      <c r="A808" s="4"/>
      <c r="B808" s="4"/>
      <c r="C808" s="4"/>
      <c r="D808" s="4"/>
      <c r="E808" s="7"/>
      <c r="G808" s="8"/>
    </row>
    <row r="809" spans="1:7" x14ac:dyDescent="0.3">
      <c r="A809" s="4"/>
      <c r="B809" s="4"/>
      <c r="C809" s="4"/>
      <c r="D809" s="4"/>
      <c r="E809" s="7"/>
      <c r="G809" s="8"/>
    </row>
    <row r="810" spans="1:7" x14ac:dyDescent="0.3">
      <c r="A810" s="4"/>
      <c r="B810" s="4"/>
      <c r="C810" s="4"/>
      <c r="D810" s="4"/>
      <c r="E810" s="7"/>
      <c r="G810" s="8"/>
    </row>
    <row r="811" spans="1:7" x14ac:dyDescent="0.3">
      <c r="A811" s="4"/>
      <c r="B811" s="4"/>
      <c r="C811" s="4"/>
      <c r="D811" s="4"/>
      <c r="E811" s="7"/>
      <c r="G811" s="8"/>
    </row>
    <row r="812" spans="1:7" x14ac:dyDescent="0.3">
      <c r="A812" s="4"/>
      <c r="B812" s="4"/>
      <c r="C812" s="4"/>
      <c r="D812" s="4"/>
      <c r="E812" s="7"/>
      <c r="G812" s="8"/>
    </row>
    <row r="813" spans="1:7" x14ac:dyDescent="0.3">
      <c r="A813" s="4"/>
      <c r="B813" s="4"/>
      <c r="C813" s="4"/>
      <c r="D813" s="4"/>
      <c r="E813" s="7"/>
      <c r="G813" s="8"/>
    </row>
    <row r="814" spans="1:7" x14ac:dyDescent="0.3">
      <c r="A814" s="4"/>
      <c r="B814" s="4"/>
      <c r="C814" s="4"/>
      <c r="D814" s="4"/>
      <c r="E814" s="7"/>
      <c r="G814" s="8"/>
    </row>
    <row r="815" spans="1:7" x14ac:dyDescent="0.3">
      <c r="A815" s="4"/>
      <c r="B815" s="4"/>
      <c r="C815" s="4"/>
      <c r="D815" s="4"/>
      <c r="E815" s="7"/>
      <c r="G815" s="8"/>
    </row>
    <row r="816" spans="1:7" x14ac:dyDescent="0.3">
      <c r="A816" s="4"/>
      <c r="B816" s="4"/>
      <c r="C816" s="4"/>
      <c r="D816" s="4"/>
      <c r="E816" s="7"/>
      <c r="G816" s="8"/>
    </row>
    <row r="817" spans="1:7" x14ac:dyDescent="0.3">
      <c r="A817" s="4"/>
      <c r="B817" s="4"/>
      <c r="C817" s="4"/>
      <c r="D817" s="4"/>
      <c r="E817" s="7"/>
      <c r="G817" s="8"/>
    </row>
    <row r="818" spans="1:7" x14ac:dyDescent="0.3">
      <c r="A818" s="4"/>
      <c r="B818" s="4"/>
      <c r="C818" s="4"/>
      <c r="D818" s="4"/>
      <c r="E818" s="7"/>
      <c r="G818" s="8"/>
    </row>
    <row r="819" spans="1:7" x14ac:dyDescent="0.3">
      <c r="A819" s="4"/>
      <c r="B819" s="4"/>
      <c r="C819" s="4"/>
      <c r="D819" s="4"/>
      <c r="E819" s="7"/>
      <c r="G819" s="8"/>
    </row>
    <row r="820" spans="1:7" x14ac:dyDescent="0.3">
      <c r="A820" s="4"/>
      <c r="B820" s="4"/>
      <c r="C820" s="4"/>
      <c r="D820" s="4"/>
      <c r="E820" s="7"/>
      <c r="G820" s="8"/>
    </row>
    <row r="821" spans="1:7" x14ac:dyDescent="0.3">
      <c r="A821" s="4"/>
      <c r="B821" s="4"/>
      <c r="C821" s="4"/>
      <c r="D821" s="4"/>
      <c r="E821" s="7"/>
      <c r="G821" s="8"/>
    </row>
    <row r="822" spans="1:7" x14ac:dyDescent="0.3">
      <c r="A822" s="4"/>
      <c r="B822" s="4"/>
      <c r="C822" s="4"/>
      <c r="D822" s="4"/>
      <c r="E822" s="7"/>
      <c r="G822" s="8"/>
    </row>
    <row r="823" spans="1:7" x14ac:dyDescent="0.3">
      <c r="A823" s="4"/>
      <c r="B823" s="4"/>
      <c r="C823" s="4"/>
      <c r="D823" s="4"/>
      <c r="E823" s="7"/>
      <c r="G823" s="8"/>
    </row>
    <row r="824" spans="1:7" x14ac:dyDescent="0.3">
      <c r="A824" s="4"/>
      <c r="B824" s="4"/>
      <c r="C824" s="4"/>
      <c r="D824" s="4"/>
      <c r="E824" s="7"/>
      <c r="G824" s="8"/>
    </row>
    <row r="825" spans="1:7" x14ac:dyDescent="0.3">
      <c r="A825" s="4"/>
      <c r="B825" s="4"/>
      <c r="C825" s="4"/>
      <c r="D825" s="4"/>
      <c r="E825" s="7"/>
      <c r="G825" s="8"/>
    </row>
    <row r="826" spans="1:7" x14ac:dyDescent="0.3">
      <c r="A826" s="4"/>
      <c r="B826" s="4"/>
      <c r="C826" s="4"/>
      <c r="D826" s="4"/>
      <c r="E826" s="7"/>
      <c r="G826" s="8"/>
    </row>
    <row r="827" spans="1:7" x14ac:dyDescent="0.3">
      <c r="A827" s="4"/>
      <c r="B827" s="4"/>
      <c r="C827" s="4"/>
      <c r="D827" s="4"/>
      <c r="E827" s="7"/>
      <c r="G827" s="8"/>
    </row>
    <row r="828" spans="1:7" x14ac:dyDescent="0.3">
      <c r="A828" s="4"/>
      <c r="B828" s="4"/>
      <c r="C828" s="4"/>
      <c r="D828" s="4"/>
      <c r="E828" s="7"/>
      <c r="G828" s="8"/>
    </row>
    <row r="829" spans="1:7" x14ac:dyDescent="0.3">
      <c r="A829" s="4"/>
      <c r="B829" s="4"/>
      <c r="C829" s="4"/>
      <c r="D829" s="4"/>
      <c r="E829" s="7"/>
      <c r="G829" s="8"/>
    </row>
    <row r="830" spans="1:7" x14ac:dyDescent="0.3">
      <c r="A830" s="4"/>
      <c r="B830" s="4"/>
      <c r="C830" s="4"/>
      <c r="D830" s="4"/>
      <c r="E830" s="7"/>
      <c r="G830" s="8"/>
    </row>
    <row r="831" spans="1:7" x14ac:dyDescent="0.3">
      <c r="A831" s="4"/>
      <c r="B831" s="4"/>
      <c r="C831" s="4"/>
      <c r="D831" s="4"/>
      <c r="E831" s="7"/>
      <c r="G831" s="8"/>
    </row>
    <row r="832" spans="1:7" x14ac:dyDescent="0.3">
      <c r="A832" s="4"/>
      <c r="B832" s="4"/>
      <c r="C832" s="4"/>
      <c r="D832" s="4"/>
      <c r="E832" s="7"/>
      <c r="G832" s="8"/>
    </row>
    <row r="833" spans="1:7" x14ac:dyDescent="0.3">
      <c r="A833" s="4"/>
      <c r="B833" s="4"/>
      <c r="C833" s="4"/>
      <c r="D833" s="4"/>
      <c r="E833" s="7"/>
      <c r="G833" s="8"/>
    </row>
    <row r="834" spans="1:7" x14ac:dyDescent="0.3">
      <c r="A834" s="4"/>
      <c r="B834" s="4"/>
      <c r="C834" s="4"/>
      <c r="D834" s="4"/>
      <c r="E834" s="7"/>
      <c r="G834" s="8"/>
    </row>
    <row r="835" spans="1:7" x14ac:dyDescent="0.3">
      <c r="A835" s="4"/>
      <c r="B835" s="4"/>
      <c r="C835" s="4"/>
      <c r="D835" s="4"/>
      <c r="E835" s="7"/>
      <c r="G835" s="8"/>
    </row>
    <row r="836" spans="1:7" x14ac:dyDescent="0.3">
      <c r="A836" s="4"/>
      <c r="B836" s="4"/>
      <c r="C836" s="4"/>
      <c r="D836" s="4"/>
      <c r="E836" s="7"/>
      <c r="G836" s="8"/>
    </row>
    <row r="837" spans="1:7" x14ac:dyDescent="0.3">
      <c r="A837" s="4"/>
      <c r="B837" s="4"/>
      <c r="C837" s="4"/>
      <c r="D837" s="4"/>
      <c r="E837" s="7"/>
      <c r="G837" s="8"/>
    </row>
    <row r="838" spans="1:7" x14ac:dyDescent="0.3">
      <c r="A838" s="4"/>
      <c r="B838" s="4"/>
      <c r="C838" s="4"/>
      <c r="D838" s="4"/>
      <c r="E838" s="7"/>
      <c r="G838" s="8"/>
    </row>
    <row r="839" spans="1:7" x14ac:dyDescent="0.3">
      <c r="A839" s="4"/>
      <c r="B839" s="4"/>
      <c r="C839" s="4"/>
      <c r="D839" s="4"/>
      <c r="E839" s="7"/>
      <c r="G839" s="8"/>
    </row>
    <row r="840" spans="1:7" x14ac:dyDescent="0.3">
      <c r="A840" s="4"/>
      <c r="B840" s="4"/>
      <c r="C840" s="4"/>
      <c r="D840" s="4"/>
      <c r="E840" s="7"/>
      <c r="G840" s="8"/>
    </row>
    <row r="841" spans="1:7" x14ac:dyDescent="0.3">
      <c r="A841" s="4"/>
      <c r="B841" s="4"/>
      <c r="C841" s="4"/>
      <c r="D841" s="4"/>
      <c r="E841" s="7"/>
      <c r="G841" s="8"/>
    </row>
    <row r="842" spans="1:7" x14ac:dyDescent="0.3">
      <c r="A842" s="4"/>
      <c r="B842" s="4"/>
      <c r="C842" s="4"/>
      <c r="D842" s="4"/>
      <c r="E842" s="7"/>
      <c r="G842" s="8"/>
    </row>
    <row r="843" spans="1:7" x14ac:dyDescent="0.3">
      <c r="A843" s="4"/>
      <c r="B843" s="4"/>
      <c r="C843" s="4"/>
      <c r="D843" s="4"/>
      <c r="E843" s="7"/>
      <c r="G843" s="8"/>
    </row>
    <row r="844" spans="1:7" x14ac:dyDescent="0.3">
      <c r="A844" s="4"/>
      <c r="B844" s="4"/>
      <c r="C844" s="4"/>
      <c r="D844" s="4"/>
      <c r="E844" s="7"/>
      <c r="G844" s="8"/>
    </row>
    <row r="845" spans="1:7" x14ac:dyDescent="0.3">
      <c r="A845" s="4"/>
      <c r="B845" s="4"/>
      <c r="C845" s="4"/>
      <c r="D845" s="4"/>
      <c r="E845" s="7"/>
      <c r="G845" s="8"/>
    </row>
    <row r="846" spans="1:7" x14ac:dyDescent="0.3">
      <c r="A846" s="4"/>
      <c r="B846" s="4"/>
      <c r="C846" s="4"/>
      <c r="D846" s="4"/>
      <c r="E846" s="7"/>
      <c r="G846" s="8"/>
    </row>
    <row r="847" spans="1:7" x14ac:dyDescent="0.3">
      <c r="A847" s="4"/>
      <c r="B847" s="4"/>
      <c r="C847" s="4"/>
      <c r="D847" s="4"/>
      <c r="E847" s="7"/>
      <c r="G847" s="8"/>
    </row>
    <row r="848" spans="1:7" x14ac:dyDescent="0.3">
      <c r="A848" s="4"/>
      <c r="B848" s="4"/>
      <c r="C848" s="4"/>
      <c r="D848" s="4"/>
      <c r="E848" s="7"/>
      <c r="G848" s="8"/>
    </row>
    <row r="849" spans="1:7" x14ac:dyDescent="0.3">
      <c r="A849" s="4"/>
      <c r="B849" s="4"/>
      <c r="C849" s="4"/>
      <c r="D849" s="4"/>
      <c r="E849" s="7"/>
      <c r="G849" s="8"/>
    </row>
    <row r="850" spans="1:7" x14ac:dyDescent="0.3">
      <c r="A850" s="4"/>
      <c r="B850" s="4"/>
      <c r="C850" s="4"/>
      <c r="D850" s="4"/>
      <c r="E850" s="7"/>
      <c r="G850" s="8"/>
    </row>
    <row r="851" spans="1:7" x14ac:dyDescent="0.3">
      <c r="A851" s="4"/>
      <c r="B851" s="4"/>
      <c r="C851" s="4"/>
      <c r="D851" s="4"/>
      <c r="E851" s="7"/>
      <c r="G851" s="8"/>
    </row>
    <row r="852" spans="1:7" x14ac:dyDescent="0.3">
      <c r="A852" s="4"/>
      <c r="B852" s="4"/>
      <c r="C852" s="4"/>
      <c r="D852" s="4"/>
      <c r="E852" s="7"/>
      <c r="G852" s="8"/>
    </row>
    <row r="853" spans="1:7" x14ac:dyDescent="0.3">
      <c r="A853" s="4"/>
      <c r="B853" s="4"/>
      <c r="C853" s="4"/>
      <c r="D853" s="4"/>
      <c r="E853" s="7"/>
      <c r="G853" s="8"/>
    </row>
    <row r="854" spans="1:7" x14ac:dyDescent="0.3">
      <c r="A854" s="4"/>
      <c r="B854" s="4"/>
      <c r="C854" s="4"/>
      <c r="D854" s="4"/>
      <c r="E854" s="7"/>
      <c r="G854" s="8"/>
    </row>
    <row r="855" spans="1:7" x14ac:dyDescent="0.3">
      <c r="A855" s="4"/>
      <c r="B855" s="4"/>
      <c r="C855" s="4"/>
      <c r="D855" s="4"/>
      <c r="E855" s="7"/>
      <c r="G855" s="8"/>
    </row>
    <row r="856" spans="1:7" x14ac:dyDescent="0.3">
      <c r="A856" s="4"/>
      <c r="B856" s="4"/>
      <c r="C856" s="4"/>
      <c r="D856" s="4"/>
      <c r="E856" s="7"/>
      <c r="G856" s="8"/>
    </row>
    <row r="857" spans="1:7" x14ac:dyDescent="0.3">
      <c r="A857" s="4"/>
      <c r="B857" s="4"/>
      <c r="C857" s="4"/>
      <c r="D857" s="4"/>
      <c r="E857" s="7"/>
      <c r="G857" s="8"/>
    </row>
    <row r="858" spans="1:7" x14ac:dyDescent="0.3">
      <c r="A858" s="4"/>
      <c r="B858" s="4"/>
      <c r="C858" s="4"/>
      <c r="D858" s="4"/>
      <c r="E858" s="7"/>
      <c r="G858" s="8"/>
    </row>
    <row r="859" spans="1:7" x14ac:dyDescent="0.3">
      <c r="A859" s="4"/>
      <c r="B859" s="4"/>
      <c r="C859" s="4"/>
      <c r="D859" s="4"/>
      <c r="E859" s="7"/>
      <c r="G859" s="8"/>
    </row>
    <row r="860" spans="1:7" x14ac:dyDescent="0.3">
      <c r="A860" s="4"/>
      <c r="B860" s="4"/>
      <c r="C860" s="4"/>
      <c r="D860" s="4"/>
      <c r="E860" s="7"/>
      <c r="G860" s="8"/>
    </row>
    <row r="861" spans="1:7" x14ac:dyDescent="0.3">
      <c r="A861" s="4"/>
      <c r="B861" s="4"/>
      <c r="C861" s="4"/>
      <c r="D861" s="4"/>
      <c r="E861" s="7"/>
      <c r="G861" s="8"/>
    </row>
    <row r="862" spans="1:7" x14ac:dyDescent="0.3">
      <c r="A862" s="4"/>
      <c r="B862" s="4"/>
      <c r="C862" s="4"/>
      <c r="D862" s="4"/>
      <c r="E862" s="7"/>
      <c r="G862" s="8"/>
    </row>
    <row r="863" spans="1:7" x14ac:dyDescent="0.3">
      <c r="A863" s="4"/>
      <c r="B863" s="4"/>
      <c r="C863" s="4"/>
      <c r="D863" s="4"/>
      <c r="E863" s="7"/>
      <c r="G863" s="8"/>
    </row>
    <row r="864" spans="1:7" x14ac:dyDescent="0.3">
      <c r="A864" s="4"/>
      <c r="B864" s="4"/>
      <c r="C864" s="4"/>
      <c r="D864" s="4"/>
      <c r="E864" s="7"/>
      <c r="G864" s="8"/>
    </row>
    <row r="865" spans="1:7" x14ac:dyDescent="0.3">
      <c r="A865" s="4"/>
      <c r="B865" s="4"/>
      <c r="C865" s="4"/>
      <c r="D865" s="4"/>
      <c r="E865" s="7"/>
      <c r="G865" s="8"/>
    </row>
    <row r="866" spans="1:7" x14ac:dyDescent="0.3">
      <c r="A866" s="4"/>
      <c r="B866" s="4"/>
      <c r="C866" s="4"/>
      <c r="D866" s="4"/>
      <c r="E866" s="7"/>
      <c r="G866" s="8"/>
    </row>
    <row r="867" spans="1:7" x14ac:dyDescent="0.3">
      <c r="A867" s="4"/>
      <c r="B867" s="4"/>
      <c r="C867" s="4"/>
      <c r="D867" s="4"/>
      <c r="E867" s="7"/>
      <c r="G867" s="8"/>
    </row>
    <row r="868" spans="1:7" x14ac:dyDescent="0.3">
      <c r="A868" s="4"/>
      <c r="B868" s="4"/>
      <c r="C868" s="4"/>
      <c r="D868" s="4"/>
      <c r="E868" s="7"/>
      <c r="G868" s="8"/>
    </row>
    <row r="869" spans="1:7" x14ac:dyDescent="0.3">
      <c r="A869" s="4"/>
      <c r="B869" s="4"/>
      <c r="C869" s="4"/>
      <c r="D869" s="4"/>
      <c r="E869" s="7"/>
      <c r="G869" s="8"/>
    </row>
    <row r="870" spans="1:7" x14ac:dyDescent="0.3">
      <c r="A870" s="4"/>
      <c r="B870" s="4"/>
      <c r="C870" s="4"/>
      <c r="D870" s="4"/>
      <c r="E870" s="7"/>
      <c r="G870" s="8"/>
    </row>
    <row r="871" spans="1:7" x14ac:dyDescent="0.3">
      <c r="A871" s="4"/>
      <c r="B871" s="4"/>
      <c r="C871" s="4"/>
      <c r="D871" s="4"/>
      <c r="E871" s="7"/>
      <c r="G871" s="8"/>
    </row>
    <row r="872" spans="1:7" x14ac:dyDescent="0.3">
      <c r="A872" s="4"/>
      <c r="B872" s="4"/>
      <c r="C872" s="4"/>
      <c r="D872" s="4"/>
      <c r="E872" s="7"/>
      <c r="G872" s="8"/>
    </row>
    <row r="873" spans="1:7" x14ac:dyDescent="0.3">
      <c r="A873" s="4"/>
      <c r="B873" s="4"/>
      <c r="C873" s="4"/>
      <c r="D873" s="4"/>
      <c r="E873" s="7"/>
      <c r="G873" s="8"/>
    </row>
    <row r="874" spans="1:7" x14ac:dyDescent="0.3">
      <c r="A874" s="4"/>
      <c r="B874" s="4"/>
      <c r="C874" s="4"/>
      <c r="D874" s="4"/>
      <c r="E874" s="7"/>
      <c r="G874" s="8"/>
    </row>
    <row r="875" spans="1:7" x14ac:dyDescent="0.3">
      <c r="A875" s="4"/>
      <c r="B875" s="4"/>
      <c r="C875" s="4"/>
      <c r="D875" s="4"/>
      <c r="E875" s="7"/>
      <c r="G875" s="8"/>
    </row>
    <row r="876" spans="1:7" x14ac:dyDescent="0.3">
      <c r="A876" s="4"/>
      <c r="B876" s="4"/>
      <c r="C876" s="4"/>
      <c r="D876" s="4"/>
      <c r="E876" s="7"/>
      <c r="G876" s="8"/>
    </row>
    <row r="877" spans="1:7" x14ac:dyDescent="0.3">
      <c r="A877" s="4"/>
      <c r="B877" s="4"/>
      <c r="C877" s="4"/>
      <c r="D877" s="4"/>
      <c r="E877" s="7"/>
      <c r="G877" s="8"/>
    </row>
    <row r="878" spans="1:7" x14ac:dyDescent="0.3">
      <c r="A878" s="4"/>
      <c r="B878" s="4"/>
      <c r="C878" s="4"/>
      <c r="D878" s="4"/>
      <c r="E878" s="7"/>
      <c r="G878" s="8"/>
    </row>
    <row r="879" spans="1:7" x14ac:dyDescent="0.3">
      <c r="A879" s="4"/>
      <c r="B879" s="4"/>
      <c r="C879" s="4"/>
      <c r="D879" s="4"/>
      <c r="E879" s="7"/>
      <c r="G879" s="8"/>
    </row>
    <row r="880" spans="1:7" x14ac:dyDescent="0.3">
      <c r="A880" s="4"/>
      <c r="B880" s="4"/>
      <c r="C880" s="4"/>
      <c r="D880" s="4"/>
      <c r="E880" s="7"/>
      <c r="G880" s="8"/>
    </row>
    <row r="881" spans="1:7" x14ac:dyDescent="0.3">
      <c r="A881" s="4"/>
      <c r="B881" s="4"/>
      <c r="C881" s="4"/>
      <c r="D881" s="4"/>
      <c r="E881" s="7"/>
      <c r="G881" s="8"/>
    </row>
    <row r="882" spans="1:7" x14ac:dyDescent="0.3">
      <c r="A882" s="4"/>
      <c r="B882" s="4"/>
      <c r="C882" s="4"/>
      <c r="D882" s="4"/>
      <c r="E882" s="7"/>
      <c r="G882" s="8"/>
    </row>
    <row r="883" spans="1:7" x14ac:dyDescent="0.3">
      <c r="A883" s="4"/>
      <c r="B883" s="4"/>
      <c r="C883" s="4"/>
      <c r="D883" s="4"/>
      <c r="E883" s="7"/>
      <c r="G883" s="8"/>
    </row>
    <row r="884" spans="1:7" x14ac:dyDescent="0.3">
      <c r="A884" s="4"/>
      <c r="B884" s="4"/>
      <c r="C884" s="4"/>
      <c r="D884" s="4"/>
      <c r="E884" s="7"/>
      <c r="G884" s="8"/>
    </row>
    <row r="885" spans="1:7" x14ac:dyDescent="0.3">
      <c r="A885" s="4"/>
      <c r="B885" s="4"/>
      <c r="C885" s="4"/>
      <c r="D885" s="4"/>
      <c r="E885" s="7"/>
      <c r="G885" s="8"/>
    </row>
    <row r="886" spans="1:7" x14ac:dyDescent="0.3">
      <c r="A886" s="4"/>
      <c r="B886" s="4"/>
      <c r="C886" s="4"/>
      <c r="D886" s="4"/>
      <c r="E886" s="7"/>
      <c r="G886" s="8"/>
    </row>
    <row r="887" spans="1:7" x14ac:dyDescent="0.3">
      <c r="A887" s="4"/>
      <c r="B887" s="4"/>
      <c r="C887" s="4"/>
      <c r="D887" s="4"/>
      <c r="E887" s="7"/>
      <c r="G887" s="8"/>
    </row>
    <row r="888" spans="1:7" x14ac:dyDescent="0.3">
      <c r="A888" s="4"/>
      <c r="B888" s="4"/>
      <c r="C888" s="4"/>
      <c r="D888" s="4"/>
      <c r="E888" s="7"/>
      <c r="G888" s="8"/>
    </row>
    <row r="889" spans="1:7" x14ac:dyDescent="0.3">
      <c r="A889" s="4"/>
      <c r="B889" s="4"/>
      <c r="C889" s="4"/>
      <c r="D889" s="4"/>
      <c r="E889" s="7"/>
      <c r="G889" s="8"/>
    </row>
    <row r="890" spans="1:7" x14ac:dyDescent="0.3">
      <c r="A890" s="4"/>
      <c r="B890" s="4"/>
      <c r="C890" s="4"/>
      <c r="D890" s="4"/>
      <c r="E890" s="7"/>
      <c r="G890" s="8"/>
    </row>
    <row r="891" spans="1:7" x14ac:dyDescent="0.3">
      <c r="A891" s="4"/>
      <c r="B891" s="4"/>
      <c r="C891" s="4"/>
      <c r="D891" s="4"/>
      <c r="E891" s="7"/>
      <c r="G891" s="8"/>
    </row>
    <row r="892" spans="1:7" x14ac:dyDescent="0.3">
      <c r="A892" s="4"/>
      <c r="B892" s="4"/>
      <c r="C892" s="4"/>
      <c r="D892" s="4"/>
      <c r="E892" s="7"/>
      <c r="G892" s="8"/>
    </row>
    <row r="893" spans="1:7" x14ac:dyDescent="0.3">
      <c r="A893" s="4"/>
      <c r="B893" s="4"/>
      <c r="C893" s="4"/>
      <c r="D893" s="4"/>
      <c r="E893" s="7"/>
      <c r="G893" s="8"/>
    </row>
    <row r="894" spans="1:7" x14ac:dyDescent="0.3">
      <c r="A894" s="4"/>
      <c r="B894" s="4"/>
      <c r="C894" s="4"/>
      <c r="D894" s="4"/>
      <c r="E894" s="7"/>
      <c r="G894" s="8"/>
    </row>
    <row r="895" spans="1:7" x14ac:dyDescent="0.3">
      <c r="A895" s="4"/>
      <c r="B895" s="4"/>
      <c r="C895" s="4"/>
      <c r="D895" s="4"/>
      <c r="E895" s="7"/>
      <c r="G895" s="8"/>
    </row>
    <row r="896" spans="1:7" x14ac:dyDescent="0.3">
      <c r="A896" s="4"/>
      <c r="B896" s="4"/>
      <c r="C896" s="4"/>
      <c r="D896" s="4"/>
      <c r="E896" s="7"/>
      <c r="G896" s="8"/>
    </row>
    <row r="897" spans="1:7" x14ac:dyDescent="0.3">
      <c r="A897" s="4"/>
      <c r="B897" s="4"/>
      <c r="C897" s="4"/>
      <c r="D897" s="4"/>
      <c r="E897" s="7"/>
      <c r="G897" s="8"/>
    </row>
    <row r="898" spans="1:7" x14ac:dyDescent="0.3">
      <c r="A898" s="4"/>
      <c r="B898" s="4"/>
      <c r="C898" s="4"/>
      <c r="D898" s="4"/>
      <c r="E898" s="7"/>
      <c r="G898" s="8"/>
    </row>
    <row r="899" spans="1:7" x14ac:dyDescent="0.3">
      <c r="A899" s="4"/>
      <c r="B899" s="4"/>
      <c r="C899" s="4"/>
      <c r="D899" s="4"/>
      <c r="E899" s="7"/>
      <c r="G899" s="8"/>
    </row>
    <row r="900" spans="1:7" x14ac:dyDescent="0.3">
      <c r="A900" s="4"/>
      <c r="B900" s="4"/>
      <c r="C900" s="4"/>
      <c r="D900" s="4"/>
      <c r="E900" s="7"/>
      <c r="G900" s="8"/>
    </row>
    <row r="901" spans="1:7" x14ac:dyDescent="0.3">
      <c r="A901" s="4"/>
      <c r="B901" s="4"/>
      <c r="C901" s="4"/>
      <c r="D901" s="4"/>
      <c r="E901" s="7"/>
      <c r="G901" s="8"/>
    </row>
    <row r="902" spans="1:7" x14ac:dyDescent="0.3">
      <c r="A902" s="4"/>
      <c r="B902" s="4"/>
      <c r="C902" s="4"/>
      <c r="D902" s="4"/>
      <c r="E902" s="7"/>
      <c r="G902" s="8"/>
    </row>
    <row r="903" spans="1:7" x14ac:dyDescent="0.3">
      <c r="A903" s="4"/>
      <c r="B903" s="4"/>
      <c r="C903" s="4"/>
      <c r="D903" s="4"/>
      <c r="E903" s="7"/>
      <c r="G903" s="8"/>
    </row>
    <row r="904" spans="1:7" x14ac:dyDescent="0.3">
      <c r="A904" s="4"/>
      <c r="B904" s="4"/>
      <c r="C904" s="4"/>
      <c r="D904" s="4"/>
      <c r="E904" s="7"/>
      <c r="G904" s="8"/>
    </row>
    <row r="905" spans="1:7" x14ac:dyDescent="0.3">
      <c r="A905" s="4"/>
      <c r="B905" s="4"/>
      <c r="C905" s="4"/>
      <c r="D905" s="4"/>
      <c r="E905" s="7"/>
      <c r="G905" s="8"/>
    </row>
    <row r="906" spans="1:7" x14ac:dyDescent="0.3">
      <c r="A906" s="4"/>
      <c r="B906" s="4"/>
      <c r="C906" s="4"/>
      <c r="D906" s="4"/>
      <c r="E906" s="7"/>
      <c r="G906" s="8"/>
    </row>
    <row r="907" spans="1:7" x14ac:dyDescent="0.3">
      <c r="A907" s="4"/>
      <c r="B907" s="4"/>
      <c r="C907" s="4"/>
      <c r="D907" s="4"/>
      <c r="E907" s="7"/>
      <c r="G907" s="8"/>
    </row>
    <row r="908" spans="1:7" x14ac:dyDescent="0.3">
      <c r="A908" s="4"/>
      <c r="B908" s="4"/>
      <c r="C908" s="4"/>
      <c r="D908" s="4"/>
      <c r="E908" s="7"/>
      <c r="G908" s="8"/>
    </row>
    <row r="909" spans="1:7" x14ac:dyDescent="0.3">
      <c r="A909" s="4"/>
      <c r="B909" s="4"/>
      <c r="C909" s="4"/>
      <c r="D909" s="4"/>
      <c r="E909" s="7"/>
      <c r="G909" s="8"/>
    </row>
    <row r="910" spans="1:7" x14ac:dyDescent="0.3">
      <c r="A910" s="4"/>
      <c r="B910" s="4"/>
      <c r="C910" s="4"/>
      <c r="D910" s="4"/>
      <c r="E910" s="7"/>
      <c r="G910" s="8"/>
    </row>
    <row r="911" spans="1:7" x14ac:dyDescent="0.3">
      <c r="A911" s="4"/>
      <c r="B911" s="4"/>
      <c r="C911" s="4"/>
      <c r="D911" s="4"/>
      <c r="E911" s="7"/>
      <c r="G911" s="8"/>
    </row>
    <row r="912" spans="1:7" x14ac:dyDescent="0.3">
      <c r="A912" s="4"/>
      <c r="B912" s="4"/>
      <c r="C912" s="4"/>
      <c r="D912" s="4"/>
      <c r="E912" s="7"/>
      <c r="G912" s="8"/>
    </row>
    <row r="913" spans="1:7" x14ac:dyDescent="0.3">
      <c r="A913" s="4"/>
      <c r="B913" s="4"/>
      <c r="C913" s="4"/>
      <c r="D913" s="4"/>
      <c r="E913" s="7"/>
      <c r="G913" s="8"/>
    </row>
    <row r="914" spans="1:7" x14ac:dyDescent="0.3">
      <c r="A914" s="4"/>
      <c r="B914" s="4"/>
      <c r="C914" s="4"/>
      <c r="D914" s="4"/>
      <c r="E914" s="7"/>
      <c r="G914" s="8"/>
    </row>
    <row r="915" spans="1:7" x14ac:dyDescent="0.3">
      <c r="A915" s="4"/>
      <c r="B915" s="4"/>
      <c r="C915" s="4"/>
      <c r="D915" s="4"/>
      <c r="E915" s="7"/>
      <c r="G915" s="8"/>
    </row>
    <row r="916" spans="1:7" x14ac:dyDescent="0.3">
      <c r="A916" s="4"/>
      <c r="B916" s="4"/>
      <c r="C916" s="4"/>
      <c r="D916" s="4"/>
      <c r="E916" s="7"/>
      <c r="G916" s="8"/>
    </row>
    <row r="917" spans="1:7" x14ac:dyDescent="0.3">
      <c r="A917" s="4"/>
      <c r="B917" s="4"/>
      <c r="C917" s="4"/>
      <c r="D917" s="4"/>
      <c r="E917" s="7"/>
      <c r="G917" s="8"/>
    </row>
    <row r="918" spans="1:7" x14ac:dyDescent="0.3">
      <c r="A918" s="4"/>
      <c r="B918" s="4"/>
      <c r="C918" s="4"/>
      <c r="D918" s="4"/>
      <c r="E918" s="7"/>
      <c r="G918" s="8"/>
    </row>
    <row r="919" spans="1:7" x14ac:dyDescent="0.3">
      <c r="A919" s="4"/>
      <c r="B919" s="4"/>
      <c r="C919" s="4"/>
      <c r="D919" s="4"/>
      <c r="E919" s="7"/>
      <c r="G919" s="8"/>
    </row>
    <row r="920" spans="1:7" x14ac:dyDescent="0.3">
      <c r="A920" s="4"/>
      <c r="B920" s="4"/>
      <c r="C920" s="4"/>
      <c r="D920" s="4"/>
      <c r="E920" s="7"/>
      <c r="G920" s="8"/>
    </row>
    <row r="921" spans="1:7" x14ac:dyDescent="0.3">
      <c r="A921" s="4"/>
      <c r="B921" s="4"/>
      <c r="C921" s="4"/>
      <c r="D921" s="4"/>
      <c r="E921" s="7"/>
      <c r="G921" s="8"/>
    </row>
    <row r="922" spans="1:7" x14ac:dyDescent="0.3">
      <c r="A922" s="4"/>
      <c r="B922" s="4"/>
      <c r="C922" s="4"/>
      <c r="D922" s="4"/>
      <c r="E922" s="7"/>
      <c r="G922" s="8"/>
    </row>
    <row r="923" spans="1:7" x14ac:dyDescent="0.3">
      <c r="A923" s="4"/>
      <c r="B923" s="4"/>
      <c r="C923" s="4"/>
      <c r="D923" s="4"/>
      <c r="E923" s="7"/>
      <c r="G923" s="8"/>
    </row>
    <row r="924" spans="1:7" x14ac:dyDescent="0.3">
      <c r="A924" s="4"/>
      <c r="B924" s="4"/>
      <c r="C924" s="4"/>
      <c r="D924" s="4"/>
      <c r="E924" s="7"/>
      <c r="G924" s="8"/>
    </row>
    <row r="925" spans="1:7" x14ac:dyDescent="0.3">
      <c r="A925" s="4"/>
      <c r="B925" s="4"/>
      <c r="C925" s="4"/>
      <c r="D925" s="4"/>
      <c r="E925" s="7"/>
      <c r="G925" s="8"/>
    </row>
    <row r="926" spans="1:7" x14ac:dyDescent="0.3">
      <c r="A926" s="4"/>
      <c r="B926" s="4"/>
      <c r="C926" s="4"/>
      <c r="D926" s="4"/>
      <c r="E926" s="7"/>
      <c r="G926" s="8"/>
    </row>
    <row r="927" spans="1:7" x14ac:dyDescent="0.3">
      <c r="A927" s="4"/>
      <c r="B927" s="4"/>
      <c r="C927" s="4"/>
      <c r="D927" s="4"/>
      <c r="E927" s="7"/>
      <c r="G927" s="8"/>
    </row>
    <row r="928" spans="1:7" x14ac:dyDescent="0.3">
      <c r="A928" s="4"/>
      <c r="B928" s="4"/>
      <c r="C928" s="4"/>
      <c r="D928" s="4"/>
      <c r="E928" s="7"/>
      <c r="G928" s="8"/>
    </row>
    <row r="929" spans="1:7" x14ac:dyDescent="0.3">
      <c r="A929" s="4"/>
      <c r="B929" s="4"/>
      <c r="C929" s="4"/>
      <c r="D929" s="4"/>
      <c r="E929" s="7"/>
      <c r="G929" s="8"/>
    </row>
    <row r="930" spans="1:7" x14ac:dyDescent="0.3">
      <c r="A930" s="4"/>
      <c r="B930" s="4"/>
      <c r="C930" s="4"/>
      <c r="D930" s="4"/>
      <c r="E930" s="7"/>
      <c r="G930" s="8"/>
    </row>
    <row r="931" spans="1:7" x14ac:dyDescent="0.3">
      <c r="A931" s="4"/>
      <c r="B931" s="4"/>
      <c r="C931" s="4"/>
      <c r="D931" s="4"/>
      <c r="E931" s="7"/>
      <c r="G931" s="8"/>
    </row>
    <row r="932" spans="1:7" x14ac:dyDescent="0.3">
      <c r="A932" s="4"/>
      <c r="B932" s="4"/>
      <c r="C932" s="4"/>
      <c r="D932" s="4"/>
      <c r="E932" s="7"/>
      <c r="G932" s="8"/>
    </row>
    <row r="933" spans="1:7" x14ac:dyDescent="0.3">
      <c r="A933" s="4"/>
      <c r="B933" s="4"/>
      <c r="C933" s="4"/>
      <c r="D933" s="4"/>
      <c r="E933" s="7"/>
      <c r="G933" s="8"/>
    </row>
    <row r="934" spans="1:7" x14ac:dyDescent="0.3">
      <c r="A934" s="4"/>
      <c r="B934" s="4"/>
      <c r="C934" s="4"/>
      <c r="D934" s="4"/>
      <c r="E934" s="7"/>
      <c r="G934" s="8"/>
    </row>
    <row r="935" spans="1:7" x14ac:dyDescent="0.3">
      <c r="A935" s="4"/>
      <c r="B935" s="4"/>
      <c r="C935" s="4"/>
      <c r="D935" s="4"/>
      <c r="E935" s="7"/>
      <c r="G935" s="8"/>
    </row>
    <row r="936" spans="1:7" x14ac:dyDescent="0.3">
      <c r="A936" s="4"/>
      <c r="B936" s="4"/>
      <c r="C936" s="4"/>
      <c r="D936" s="4"/>
      <c r="E936" s="7"/>
      <c r="G936" s="8"/>
    </row>
    <row r="937" spans="1:7" x14ac:dyDescent="0.3">
      <c r="A937" s="4"/>
      <c r="B937" s="4"/>
      <c r="C937" s="4"/>
      <c r="D937" s="4"/>
      <c r="E937" s="7"/>
      <c r="G937" s="8"/>
    </row>
    <row r="938" spans="1:7" x14ac:dyDescent="0.3">
      <c r="A938" s="4"/>
      <c r="B938" s="4"/>
      <c r="C938" s="4"/>
      <c r="D938" s="4"/>
      <c r="E938" s="7"/>
      <c r="G938" s="8"/>
    </row>
    <row r="939" spans="1:7" x14ac:dyDescent="0.3">
      <c r="A939" s="4"/>
      <c r="B939" s="4"/>
      <c r="C939" s="4"/>
      <c r="D939" s="4"/>
      <c r="E939" s="7"/>
      <c r="G939" s="8"/>
    </row>
    <row r="940" spans="1:7" x14ac:dyDescent="0.3">
      <c r="A940" s="4"/>
      <c r="B940" s="4"/>
      <c r="C940" s="4"/>
      <c r="D940" s="4"/>
      <c r="E940" s="7"/>
      <c r="G940" s="8"/>
    </row>
    <row r="941" spans="1:7" x14ac:dyDescent="0.3">
      <c r="A941" s="4"/>
      <c r="B941" s="4"/>
      <c r="C941" s="4"/>
      <c r="D941" s="4"/>
      <c r="E941" s="7"/>
      <c r="G941" s="8"/>
    </row>
    <row r="942" spans="1:7" x14ac:dyDescent="0.3">
      <c r="A942" s="4"/>
      <c r="B942" s="4"/>
      <c r="C942" s="4"/>
      <c r="D942" s="4"/>
      <c r="E942" s="7"/>
      <c r="G942" s="8"/>
    </row>
    <row r="943" spans="1:7" x14ac:dyDescent="0.3">
      <c r="A943" s="4"/>
      <c r="B943" s="4"/>
      <c r="C943" s="4"/>
      <c r="D943" s="4"/>
      <c r="E943" s="7"/>
      <c r="G943" s="8"/>
    </row>
    <row r="944" spans="1:7" x14ac:dyDescent="0.3">
      <c r="A944" s="4"/>
      <c r="B944" s="4"/>
      <c r="C944" s="4"/>
      <c r="D944" s="4"/>
      <c r="E944" s="7"/>
      <c r="G944" s="8"/>
    </row>
    <row r="945" spans="1:7" x14ac:dyDescent="0.3">
      <c r="A945" s="4"/>
      <c r="B945" s="4"/>
      <c r="C945" s="4"/>
      <c r="D945" s="4"/>
      <c r="E945" s="7"/>
      <c r="G945" s="8"/>
    </row>
    <row r="946" spans="1:7" x14ac:dyDescent="0.3">
      <c r="A946" s="4"/>
      <c r="B946" s="4"/>
      <c r="C946" s="4"/>
      <c r="D946" s="4"/>
      <c r="E946" s="7"/>
      <c r="G946" s="8"/>
    </row>
    <row r="947" spans="1:7" x14ac:dyDescent="0.3">
      <c r="A947" s="4"/>
      <c r="B947" s="4"/>
      <c r="C947" s="4"/>
      <c r="D947" s="4"/>
      <c r="E947" s="7"/>
      <c r="G947" s="8"/>
    </row>
    <row r="948" spans="1:7" x14ac:dyDescent="0.3">
      <c r="A948" s="4"/>
      <c r="B948" s="4"/>
      <c r="C948" s="4"/>
      <c r="D948" s="4"/>
      <c r="E948" s="7"/>
      <c r="G948" s="8"/>
    </row>
    <row r="949" spans="1:7" x14ac:dyDescent="0.3">
      <c r="A949" s="4"/>
      <c r="B949" s="4"/>
      <c r="C949" s="4"/>
      <c r="D949" s="4"/>
      <c r="E949" s="7"/>
      <c r="G949" s="8"/>
    </row>
    <row r="950" spans="1:7" x14ac:dyDescent="0.3">
      <c r="A950" s="4"/>
      <c r="B950" s="4"/>
      <c r="C950" s="4"/>
      <c r="D950" s="4"/>
      <c r="E950" s="7"/>
      <c r="G950" s="8"/>
    </row>
    <row r="951" spans="1:7" x14ac:dyDescent="0.3">
      <c r="A951" s="4"/>
      <c r="B951" s="4"/>
      <c r="C951" s="4"/>
      <c r="D951" s="4"/>
      <c r="E951" s="7"/>
      <c r="G951" s="8"/>
    </row>
    <row r="952" spans="1:7" x14ac:dyDescent="0.3">
      <c r="A952" s="4"/>
      <c r="B952" s="4"/>
      <c r="C952" s="4"/>
      <c r="D952" s="4"/>
      <c r="E952" s="7"/>
      <c r="G952" s="8"/>
    </row>
    <row r="953" spans="1:7" x14ac:dyDescent="0.3">
      <c r="A953" s="4"/>
      <c r="B953" s="4"/>
      <c r="C953" s="4"/>
      <c r="D953" s="4"/>
      <c r="E953" s="7"/>
      <c r="G953" s="8"/>
    </row>
    <row r="954" spans="1:7" x14ac:dyDescent="0.3">
      <c r="A954" s="4"/>
      <c r="B954" s="4"/>
      <c r="C954" s="4"/>
      <c r="D954" s="4"/>
      <c r="E954" s="7"/>
      <c r="G954" s="8"/>
    </row>
    <row r="955" spans="1:7" x14ac:dyDescent="0.3">
      <c r="A955" s="4"/>
      <c r="B955" s="4"/>
      <c r="C955" s="4"/>
      <c r="D955" s="4"/>
      <c r="E955" s="7"/>
      <c r="G955" s="8"/>
    </row>
    <row r="956" spans="1:7" x14ac:dyDescent="0.3">
      <c r="A956" s="4"/>
      <c r="B956" s="4"/>
      <c r="C956" s="4"/>
      <c r="D956" s="4"/>
      <c r="E956" s="7"/>
      <c r="G956" s="8"/>
    </row>
    <row r="957" spans="1:7" x14ac:dyDescent="0.3">
      <c r="A957" s="4"/>
      <c r="B957" s="4"/>
      <c r="C957" s="4"/>
      <c r="D957" s="4"/>
      <c r="E957" s="7"/>
      <c r="G957" s="8"/>
    </row>
    <row r="958" spans="1:7" x14ac:dyDescent="0.3">
      <c r="A958" s="4"/>
      <c r="B958" s="4"/>
      <c r="C958" s="4"/>
      <c r="D958" s="4"/>
      <c r="E958" s="7"/>
      <c r="G958" s="8"/>
    </row>
    <row r="959" spans="1:7" x14ac:dyDescent="0.3">
      <c r="A959" s="4"/>
      <c r="B959" s="4"/>
      <c r="C959" s="4"/>
      <c r="D959" s="4"/>
      <c r="E959" s="7"/>
      <c r="G959" s="8"/>
    </row>
    <row r="960" spans="1:7" x14ac:dyDescent="0.3">
      <c r="A960" s="4"/>
      <c r="B960" s="4"/>
      <c r="C960" s="4"/>
      <c r="D960" s="4"/>
      <c r="E960" s="7"/>
      <c r="G960" s="8"/>
    </row>
    <row r="961" spans="1:7" x14ac:dyDescent="0.3">
      <c r="A961" s="4"/>
      <c r="B961" s="4"/>
      <c r="C961" s="4"/>
      <c r="D961" s="4"/>
      <c r="E961" s="7"/>
      <c r="G961" s="8"/>
    </row>
    <row r="962" spans="1:7" x14ac:dyDescent="0.3">
      <c r="A962" s="4"/>
      <c r="B962" s="4"/>
      <c r="C962" s="4"/>
      <c r="D962" s="4"/>
      <c r="E962" s="7"/>
      <c r="G962" s="8"/>
    </row>
    <row r="963" spans="1:7" x14ac:dyDescent="0.3">
      <c r="A963" s="4"/>
      <c r="B963" s="4"/>
      <c r="C963" s="4"/>
      <c r="D963" s="4"/>
      <c r="E963" s="7"/>
      <c r="G963" s="8"/>
    </row>
    <row r="964" spans="1:7" x14ac:dyDescent="0.3">
      <c r="A964" s="4"/>
      <c r="B964" s="4"/>
      <c r="C964" s="4"/>
      <c r="D964" s="4"/>
      <c r="E964" s="7"/>
      <c r="G964" s="8"/>
    </row>
    <row r="965" spans="1:7" x14ac:dyDescent="0.3">
      <c r="A965" s="4"/>
      <c r="B965" s="4"/>
      <c r="C965" s="4"/>
      <c r="D965" s="4"/>
      <c r="E965" s="7"/>
      <c r="G965" s="8"/>
    </row>
    <row r="966" spans="1:7" x14ac:dyDescent="0.3">
      <c r="A966" s="4"/>
      <c r="B966" s="4"/>
      <c r="C966" s="4"/>
      <c r="D966" s="4"/>
      <c r="E966" s="7"/>
      <c r="G966" s="8"/>
    </row>
    <row r="967" spans="1:7" x14ac:dyDescent="0.3">
      <c r="A967" s="4"/>
      <c r="B967" s="4"/>
      <c r="C967" s="4"/>
      <c r="D967" s="4"/>
      <c r="E967" s="7"/>
      <c r="G967" s="8"/>
    </row>
    <row r="968" spans="1:7" x14ac:dyDescent="0.3">
      <c r="A968" s="4"/>
      <c r="B968" s="4"/>
      <c r="C968" s="4"/>
      <c r="D968" s="4"/>
      <c r="E968" s="7"/>
      <c r="G968" s="8"/>
    </row>
    <row r="969" spans="1:7" x14ac:dyDescent="0.3">
      <c r="A969" s="4"/>
      <c r="B969" s="4"/>
      <c r="C969" s="4"/>
      <c r="D969" s="4"/>
      <c r="E969" s="7"/>
      <c r="G969" s="8"/>
    </row>
    <row r="970" spans="1:7" x14ac:dyDescent="0.3">
      <c r="A970" s="4"/>
      <c r="B970" s="4"/>
      <c r="C970" s="4"/>
      <c r="D970" s="4"/>
      <c r="E970" s="7"/>
      <c r="G970" s="8"/>
    </row>
    <row r="971" spans="1:7" x14ac:dyDescent="0.3">
      <c r="A971" s="4"/>
      <c r="B971" s="4"/>
      <c r="C971" s="4"/>
      <c r="D971" s="4"/>
      <c r="E971" s="7"/>
      <c r="G971" s="8"/>
    </row>
    <row r="972" spans="1:7" x14ac:dyDescent="0.3">
      <c r="A972" s="4"/>
      <c r="B972" s="4"/>
      <c r="C972" s="4"/>
      <c r="D972" s="4"/>
      <c r="E972" s="7"/>
      <c r="G972" s="8"/>
    </row>
    <row r="973" spans="1:7" x14ac:dyDescent="0.3">
      <c r="A973" s="4"/>
      <c r="B973" s="4"/>
      <c r="C973" s="4"/>
      <c r="D973" s="4"/>
      <c r="E973" s="7"/>
      <c r="G973" s="8"/>
    </row>
    <row r="974" spans="1:7" x14ac:dyDescent="0.3">
      <c r="A974" s="4"/>
      <c r="B974" s="4"/>
      <c r="C974" s="4"/>
      <c r="D974" s="4"/>
      <c r="E974" s="7"/>
      <c r="G974" s="8"/>
    </row>
    <row r="975" spans="1:7" x14ac:dyDescent="0.3">
      <c r="A975" s="4"/>
      <c r="B975" s="4"/>
      <c r="C975" s="4"/>
      <c r="D975" s="4"/>
      <c r="E975" s="7"/>
      <c r="G975" s="8"/>
    </row>
    <row r="976" spans="1:7" x14ac:dyDescent="0.3">
      <c r="A976" s="4"/>
      <c r="B976" s="4"/>
      <c r="C976" s="4"/>
      <c r="D976" s="4"/>
      <c r="E976" s="7"/>
      <c r="G976" s="8"/>
    </row>
    <row r="977" spans="1:7" x14ac:dyDescent="0.3">
      <c r="A977" s="4"/>
      <c r="B977" s="4"/>
      <c r="C977" s="4"/>
      <c r="D977" s="4"/>
      <c r="E977" s="7"/>
      <c r="G977" s="8"/>
    </row>
    <row r="978" spans="1:7" x14ac:dyDescent="0.3">
      <c r="A978" s="4"/>
      <c r="B978" s="4"/>
      <c r="C978" s="4"/>
      <c r="D978" s="4"/>
      <c r="E978" s="7"/>
      <c r="G978" s="8"/>
    </row>
    <row r="979" spans="1:7" x14ac:dyDescent="0.3">
      <c r="A979" s="4"/>
      <c r="B979" s="4"/>
      <c r="C979" s="4"/>
      <c r="D979" s="4"/>
      <c r="E979" s="7"/>
      <c r="G979" s="8"/>
    </row>
    <row r="980" spans="1:7" x14ac:dyDescent="0.3">
      <c r="A980" s="4"/>
      <c r="B980" s="4"/>
      <c r="C980" s="4"/>
      <c r="D980" s="4"/>
      <c r="E980" s="7"/>
      <c r="G980" s="8"/>
    </row>
    <row r="981" spans="1:7" x14ac:dyDescent="0.3">
      <c r="A981" s="4"/>
      <c r="B981" s="4"/>
      <c r="C981" s="4"/>
      <c r="D981" s="4"/>
      <c r="E981" s="7"/>
      <c r="G981" s="8"/>
    </row>
    <row r="982" spans="1:7" x14ac:dyDescent="0.3">
      <c r="A982" s="4"/>
      <c r="B982" s="4"/>
      <c r="C982" s="4"/>
      <c r="D982" s="4"/>
      <c r="E982" s="7"/>
      <c r="G982" s="8"/>
    </row>
    <row r="983" spans="1:7" x14ac:dyDescent="0.3">
      <c r="A983" s="4"/>
      <c r="B983" s="4"/>
      <c r="C983" s="4"/>
      <c r="D983" s="4"/>
      <c r="E983" s="7"/>
      <c r="G983" s="8"/>
    </row>
    <row r="984" spans="1:7" x14ac:dyDescent="0.3">
      <c r="A984" s="4"/>
      <c r="B984" s="4"/>
      <c r="C984" s="4"/>
      <c r="D984" s="4"/>
      <c r="E984" s="7"/>
      <c r="G984" s="8"/>
    </row>
    <row r="985" spans="1:7" x14ac:dyDescent="0.3">
      <c r="A985" s="4"/>
      <c r="B985" s="4"/>
      <c r="C985" s="4"/>
      <c r="D985" s="4"/>
      <c r="E985" s="7"/>
      <c r="G985" s="8"/>
    </row>
    <row r="986" spans="1:7" x14ac:dyDescent="0.3">
      <c r="A986" s="4"/>
      <c r="B986" s="4"/>
      <c r="C986" s="4"/>
      <c r="D986" s="4"/>
      <c r="E986" s="7"/>
      <c r="G986" s="8"/>
    </row>
    <row r="987" spans="1:7" x14ac:dyDescent="0.3">
      <c r="A987" s="4"/>
      <c r="B987" s="4"/>
      <c r="C987" s="4"/>
      <c r="D987" s="4"/>
      <c r="E987" s="7"/>
      <c r="G987" s="8"/>
    </row>
    <row r="988" spans="1:7" x14ac:dyDescent="0.3">
      <c r="A988" s="4"/>
      <c r="B988" s="4"/>
      <c r="C988" s="4"/>
      <c r="D988" s="4"/>
      <c r="E988" s="7"/>
      <c r="G988" s="8"/>
    </row>
    <row r="989" spans="1:7" x14ac:dyDescent="0.3">
      <c r="A989" s="4"/>
      <c r="B989" s="4"/>
      <c r="C989" s="4"/>
      <c r="D989" s="4"/>
      <c r="E989" s="7"/>
      <c r="G989" s="8"/>
    </row>
    <row r="990" spans="1:7" x14ac:dyDescent="0.3">
      <c r="A990" s="4"/>
      <c r="B990" s="4"/>
      <c r="C990" s="4"/>
      <c r="D990" s="4"/>
      <c r="E990" s="7"/>
      <c r="G990" s="8"/>
    </row>
    <row r="991" spans="1:7" x14ac:dyDescent="0.3">
      <c r="A991" s="4"/>
      <c r="B991" s="4"/>
      <c r="C991" s="4"/>
      <c r="D991" s="4"/>
      <c r="E991" s="7"/>
      <c r="G991" s="8"/>
    </row>
    <row r="992" spans="1:7" x14ac:dyDescent="0.3">
      <c r="A992" s="4"/>
      <c r="B992" s="4"/>
      <c r="C992" s="4"/>
      <c r="D992" s="4"/>
      <c r="E992" s="7"/>
      <c r="G992" s="8"/>
    </row>
    <row r="993" spans="1:7" x14ac:dyDescent="0.3">
      <c r="A993" s="4"/>
      <c r="B993" s="4"/>
      <c r="C993" s="4"/>
      <c r="D993" s="4"/>
      <c r="E993" s="7"/>
      <c r="G993" s="8"/>
    </row>
    <row r="994" spans="1:7" x14ac:dyDescent="0.3">
      <c r="A994" s="4"/>
      <c r="B994" s="4"/>
      <c r="C994" s="4"/>
      <c r="D994" s="4"/>
      <c r="E994" s="7"/>
      <c r="G994" s="8"/>
    </row>
    <row r="995" spans="1:7" x14ac:dyDescent="0.3">
      <c r="A995" s="4"/>
      <c r="B995" s="4"/>
      <c r="C995" s="4"/>
      <c r="D995" s="4"/>
      <c r="E995" s="7"/>
      <c r="G995" s="8"/>
    </row>
    <row r="996" spans="1:7" x14ac:dyDescent="0.3">
      <c r="A996" s="4"/>
      <c r="B996" s="4"/>
      <c r="C996" s="4"/>
      <c r="D996" s="4"/>
      <c r="E996" s="7"/>
      <c r="G996" s="8"/>
    </row>
    <row r="997" spans="1:7" x14ac:dyDescent="0.3">
      <c r="A997" s="4"/>
      <c r="B997" s="4"/>
      <c r="C997" s="4"/>
      <c r="D997" s="4"/>
      <c r="E997" s="7"/>
      <c r="G997" s="8"/>
    </row>
    <row r="998" spans="1:7" x14ac:dyDescent="0.3">
      <c r="A998" s="4"/>
      <c r="B998" s="4"/>
      <c r="C998" s="4"/>
      <c r="D998" s="4"/>
      <c r="E998" s="7"/>
      <c r="G998" s="8"/>
    </row>
    <row r="999" spans="1:7" x14ac:dyDescent="0.3">
      <c r="A999" s="4"/>
      <c r="B999" s="4"/>
      <c r="C999" s="4"/>
      <c r="D999" s="4"/>
      <c r="E999" s="7"/>
      <c r="G999" s="8"/>
    </row>
    <row r="1000" spans="1:7" x14ac:dyDescent="0.3">
      <c r="A1000" s="4"/>
      <c r="B1000" s="4"/>
      <c r="C1000" s="4"/>
      <c r="D1000" s="4"/>
      <c r="E1000" s="7"/>
      <c r="G1000" s="8"/>
    </row>
    <row r="1001" spans="1:7" x14ac:dyDescent="0.3">
      <c r="A1001" s="4"/>
      <c r="B1001" s="4"/>
      <c r="C1001" s="4"/>
      <c r="D1001" s="4"/>
      <c r="E1001" s="7"/>
      <c r="G1001" s="8"/>
    </row>
    <row r="1002" spans="1:7" x14ac:dyDescent="0.3">
      <c r="A1002" s="4"/>
      <c r="B1002" s="4"/>
      <c r="C1002" s="4"/>
      <c r="D1002" s="4"/>
      <c r="E1002" s="7"/>
      <c r="G1002" s="8"/>
    </row>
    <row r="1003" spans="1:7" x14ac:dyDescent="0.3">
      <c r="A1003" s="4"/>
      <c r="B1003" s="4"/>
      <c r="C1003" s="4"/>
      <c r="D1003" s="4"/>
      <c r="E1003" s="7"/>
      <c r="G1003" s="8"/>
    </row>
    <row r="1004" spans="1:7" x14ac:dyDescent="0.3">
      <c r="A1004" s="4"/>
      <c r="B1004" s="4"/>
      <c r="C1004" s="4"/>
      <c r="D1004" s="4"/>
      <c r="E1004" s="7"/>
      <c r="G1004" s="8"/>
    </row>
    <row r="1005" spans="1:7" x14ac:dyDescent="0.3">
      <c r="A1005" s="4"/>
      <c r="B1005" s="4"/>
      <c r="C1005" s="4"/>
      <c r="D1005" s="4"/>
      <c r="E1005" s="7"/>
      <c r="G1005" s="8"/>
    </row>
    <row r="1006" spans="1:7" x14ac:dyDescent="0.3">
      <c r="A1006" s="4"/>
      <c r="B1006" s="4"/>
      <c r="C1006" s="4"/>
      <c r="D1006" s="4"/>
      <c r="E1006" s="7"/>
      <c r="G1006" s="8"/>
    </row>
    <row r="1007" spans="1:7" x14ac:dyDescent="0.3">
      <c r="A1007" s="4"/>
      <c r="B1007" s="4"/>
      <c r="C1007" s="4"/>
      <c r="D1007" s="4"/>
      <c r="E1007" s="7"/>
      <c r="G1007" s="8"/>
    </row>
    <row r="1008" spans="1:7" x14ac:dyDescent="0.3">
      <c r="A1008" s="4"/>
      <c r="B1008" s="4"/>
      <c r="C1008" s="4"/>
      <c r="D1008" s="4"/>
      <c r="E1008" s="7"/>
      <c r="G1008" s="8"/>
    </row>
    <row r="1009" spans="1:7" x14ac:dyDescent="0.3">
      <c r="A1009" s="4"/>
      <c r="B1009" s="4"/>
      <c r="C1009" s="4"/>
      <c r="D1009" s="4"/>
      <c r="E1009" s="7"/>
      <c r="G1009" s="8"/>
    </row>
    <row r="1010" spans="1:7" x14ac:dyDescent="0.3">
      <c r="A1010" s="4"/>
      <c r="B1010" s="4"/>
      <c r="C1010" s="4"/>
      <c r="D1010" s="4"/>
      <c r="E1010" s="7"/>
      <c r="G1010" s="8"/>
    </row>
    <row r="1011" spans="1:7" x14ac:dyDescent="0.3">
      <c r="A1011" s="4"/>
      <c r="B1011" s="4"/>
      <c r="C1011" s="4"/>
      <c r="D1011" s="4"/>
      <c r="E1011" s="7"/>
      <c r="G1011" s="8"/>
    </row>
    <row r="1012" spans="1:7" x14ac:dyDescent="0.3">
      <c r="A1012" s="4"/>
      <c r="B1012" s="4"/>
      <c r="C1012" s="4"/>
      <c r="D1012" s="4"/>
      <c r="E1012" s="7"/>
      <c r="G1012" s="8"/>
    </row>
    <row r="1013" spans="1:7" x14ac:dyDescent="0.3">
      <c r="A1013" s="4"/>
      <c r="B1013" s="4"/>
      <c r="C1013" s="4"/>
      <c r="D1013" s="4"/>
      <c r="E1013" s="7"/>
      <c r="G1013" s="8"/>
    </row>
    <row r="1014" spans="1:7" x14ac:dyDescent="0.3">
      <c r="A1014" s="4"/>
      <c r="B1014" s="4"/>
      <c r="C1014" s="4"/>
      <c r="D1014" s="4"/>
      <c r="E1014" s="7"/>
      <c r="G1014" s="8"/>
    </row>
    <row r="1015" spans="1:7" x14ac:dyDescent="0.3">
      <c r="A1015" s="4"/>
      <c r="B1015" s="4"/>
      <c r="C1015" s="4"/>
      <c r="D1015" s="4"/>
      <c r="E1015" s="7"/>
      <c r="G1015" s="8"/>
    </row>
    <row r="1016" spans="1:7" x14ac:dyDescent="0.3">
      <c r="A1016" s="4"/>
      <c r="B1016" s="4"/>
      <c r="C1016" s="4"/>
      <c r="D1016" s="4"/>
      <c r="E1016" s="7"/>
      <c r="G1016" s="8"/>
    </row>
    <row r="1017" spans="1:7" x14ac:dyDescent="0.3">
      <c r="A1017" s="4"/>
      <c r="B1017" s="4"/>
      <c r="C1017" s="4"/>
      <c r="D1017" s="4"/>
      <c r="E1017" s="7"/>
      <c r="G1017" s="8"/>
    </row>
    <row r="1018" spans="1:7" x14ac:dyDescent="0.3">
      <c r="A1018" s="4"/>
      <c r="B1018" s="4"/>
      <c r="C1018" s="4"/>
      <c r="D1018" s="4"/>
      <c r="E1018" s="7"/>
      <c r="G1018" s="8"/>
    </row>
    <row r="1019" spans="1:7" x14ac:dyDescent="0.3">
      <c r="A1019" s="4"/>
      <c r="B1019" s="4"/>
      <c r="C1019" s="4"/>
      <c r="D1019" s="4"/>
      <c r="E1019" s="7"/>
      <c r="G1019" s="8"/>
    </row>
    <row r="1020" spans="1:7" x14ac:dyDescent="0.3">
      <c r="A1020" s="4"/>
      <c r="B1020" s="4"/>
      <c r="C1020" s="4"/>
      <c r="D1020" s="4"/>
      <c r="E1020" s="7"/>
      <c r="G1020" s="8"/>
    </row>
    <row r="1021" spans="1:7" x14ac:dyDescent="0.3">
      <c r="A1021" s="4"/>
      <c r="B1021" s="4"/>
      <c r="C1021" s="4"/>
      <c r="D1021" s="4"/>
      <c r="E1021" s="7"/>
      <c r="G1021" s="8"/>
    </row>
    <row r="1022" spans="1:7" x14ac:dyDescent="0.3">
      <c r="A1022" s="4"/>
      <c r="B1022" s="4"/>
      <c r="C1022" s="4"/>
      <c r="D1022" s="4"/>
      <c r="E1022" s="7"/>
      <c r="G1022" s="8"/>
    </row>
    <row r="1023" spans="1:7" x14ac:dyDescent="0.3">
      <c r="A1023" s="4"/>
      <c r="B1023" s="4"/>
      <c r="C1023" s="4"/>
      <c r="D1023" s="4"/>
      <c r="E1023" s="7"/>
      <c r="G1023" s="8"/>
    </row>
    <row r="1024" spans="1:7" x14ac:dyDescent="0.3">
      <c r="A1024" s="4"/>
      <c r="B1024" s="4"/>
      <c r="C1024" s="4"/>
      <c r="D1024" s="4"/>
      <c r="E1024" s="7"/>
      <c r="G1024" s="8"/>
    </row>
    <row r="1025" spans="1:7" x14ac:dyDescent="0.3">
      <c r="A1025" s="4"/>
      <c r="B1025" s="4"/>
      <c r="C1025" s="4"/>
      <c r="D1025" s="4"/>
      <c r="E1025" s="7"/>
      <c r="G1025" s="8"/>
    </row>
    <row r="1026" spans="1:7" x14ac:dyDescent="0.3">
      <c r="A1026" s="4"/>
      <c r="B1026" s="4"/>
      <c r="C1026" s="4"/>
      <c r="D1026" s="4"/>
      <c r="E1026" s="7"/>
      <c r="G1026" s="8"/>
    </row>
    <row r="1027" spans="1:7" x14ac:dyDescent="0.3">
      <c r="A1027" s="4"/>
      <c r="B1027" s="4"/>
      <c r="C1027" s="4"/>
      <c r="D1027" s="4"/>
      <c r="E1027" s="7"/>
      <c r="G1027" s="8"/>
    </row>
    <row r="1028" spans="1:7" x14ac:dyDescent="0.3">
      <c r="A1028" s="4"/>
      <c r="B1028" s="4"/>
      <c r="C1028" s="4"/>
      <c r="D1028" s="4"/>
      <c r="E1028" s="7"/>
      <c r="G1028" s="8"/>
    </row>
    <row r="1029" spans="1:7" x14ac:dyDescent="0.3">
      <c r="A1029" s="4"/>
      <c r="B1029" s="4"/>
      <c r="C1029" s="4"/>
      <c r="D1029" s="4"/>
      <c r="E1029" s="7"/>
      <c r="G1029" s="8"/>
    </row>
    <row r="1030" spans="1:7" x14ac:dyDescent="0.3">
      <c r="A1030" s="4"/>
      <c r="B1030" s="4"/>
      <c r="C1030" s="4"/>
      <c r="D1030" s="4"/>
      <c r="E1030" s="7"/>
      <c r="G1030" s="8"/>
    </row>
    <row r="1031" spans="1:7" x14ac:dyDescent="0.3">
      <c r="A1031" s="4"/>
      <c r="B1031" s="4"/>
      <c r="C1031" s="4"/>
      <c r="D1031" s="4"/>
      <c r="E1031" s="7"/>
      <c r="G1031" s="8"/>
    </row>
    <row r="1032" spans="1:7" x14ac:dyDescent="0.3">
      <c r="A1032" s="4"/>
      <c r="B1032" s="4"/>
      <c r="C1032" s="4"/>
      <c r="D1032" s="4"/>
      <c r="E1032" s="7"/>
      <c r="G1032" s="8"/>
    </row>
    <row r="1033" spans="1:7" x14ac:dyDescent="0.3">
      <c r="A1033" s="4"/>
      <c r="B1033" s="4"/>
      <c r="C1033" s="4"/>
      <c r="D1033" s="4"/>
      <c r="E1033" s="7"/>
      <c r="G1033" s="8"/>
    </row>
    <row r="1034" spans="1:7" x14ac:dyDescent="0.3">
      <c r="A1034" s="4"/>
      <c r="B1034" s="4"/>
      <c r="C1034" s="4"/>
      <c r="D1034" s="4"/>
      <c r="E1034" s="7"/>
      <c r="G1034" s="8"/>
    </row>
    <row r="1035" spans="1:7" x14ac:dyDescent="0.3">
      <c r="A1035" s="4"/>
      <c r="B1035" s="4"/>
      <c r="C1035" s="4"/>
      <c r="D1035" s="4"/>
      <c r="E1035" s="7"/>
      <c r="G1035" s="8"/>
    </row>
    <row r="1036" spans="1:7" x14ac:dyDescent="0.3">
      <c r="A1036" s="4"/>
      <c r="B1036" s="4"/>
      <c r="C1036" s="4"/>
      <c r="D1036" s="4"/>
      <c r="E1036" s="7"/>
      <c r="G1036" s="8"/>
    </row>
    <row r="1037" spans="1:7" x14ac:dyDescent="0.3">
      <c r="A1037" s="4"/>
      <c r="B1037" s="4"/>
      <c r="C1037" s="4"/>
      <c r="D1037" s="4"/>
      <c r="E1037" s="7"/>
      <c r="G1037" s="8"/>
    </row>
    <row r="1038" spans="1:7" x14ac:dyDescent="0.3">
      <c r="A1038" s="4"/>
      <c r="B1038" s="4"/>
      <c r="C1038" s="4"/>
      <c r="D1038" s="4"/>
      <c r="E1038" s="7"/>
      <c r="G1038" s="8"/>
    </row>
    <row r="1039" spans="1:7" x14ac:dyDescent="0.3">
      <c r="A1039" s="4"/>
      <c r="B1039" s="4"/>
      <c r="C1039" s="4"/>
      <c r="D1039" s="4"/>
      <c r="E1039" s="7"/>
      <c r="G1039" s="8"/>
    </row>
    <row r="1040" spans="1:7" x14ac:dyDescent="0.3">
      <c r="A1040" s="4"/>
      <c r="B1040" s="4"/>
      <c r="C1040" s="4"/>
      <c r="D1040" s="4"/>
      <c r="E1040" s="7"/>
      <c r="G1040" s="8"/>
    </row>
    <row r="1041" spans="1:7" x14ac:dyDescent="0.3">
      <c r="A1041" s="4"/>
      <c r="B1041" s="4"/>
      <c r="C1041" s="4"/>
      <c r="D1041" s="4"/>
      <c r="E1041" s="7"/>
      <c r="G1041" s="8"/>
    </row>
    <row r="1042" spans="1:7" x14ac:dyDescent="0.3">
      <c r="A1042" s="4"/>
      <c r="B1042" s="4"/>
      <c r="C1042" s="4"/>
      <c r="D1042" s="4"/>
      <c r="E1042" s="7"/>
      <c r="G1042" s="8"/>
    </row>
    <row r="1043" spans="1:7" x14ac:dyDescent="0.3">
      <c r="A1043" s="4"/>
      <c r="B1043" s="4"/>
      <c r="C1043" s="4"/>
      <c r="D1043" s="4"/>
      <c r="E1043" s="7"/>
      <c r="G1043" s="8"/>
    </row>
    <row r="1044" spans="1:7" x14ac:dyDescent="0.3">
      <c r="A1044" s="4"/>
      <c r="B1044" s="4"/>
      <c r="C1044" s="4"/>
      <c r="D1044" s="4"/>
      <c r="E1044" s="7"/>
      <c r="G1044" s="8"/>
    </row>
    <row r="1045" spans="1:7" x14ac:dyDescent="0.3">
      <c r="A1045" s="4"/>
      <c r="B1045" s="4"/>
      <c r="C1045" s="4"/>
      <c r="D1045" s="4"/>
      <c r="E1045" s="7"/>
      <c r="G1045" s="8"/>
    </row>
    <row r="1046" spans="1:7" x14ac:dyDescent="0.3">
      <c r="A1046" s="4"/>
      <c r="B1046" s="4"/>
      <c r="C1046" s="4"/>
      <c r="D1046" s="4"/>
      <c r="E1046" s="7"/>
      <c r="G1046" s="8"/>
    </row>
    <row r="1047" spans="1:7" x14ac:dyDescent="0.3">
      <c r="A1047" s="4"/>
      <c r="B1047" s="4"/>
      <c r="C1047" s="4"/>
      <c r="D1047" s="4"/>
      <c r="E1047" s="7"/>
      <c r="G1047" s="8"/>
    </row>
    <row r="1048" spans="1:7" x14ac:dyDescent="0.3">
      <c r="A1048" s="4"/>
      <c r="B1048" s="4"/>
      <c r="C1048" s="4"/>
      <c r="D1048" s="4"/>
      <c r="E1048" s="7"/>
      <c r="G1048" s="8"/>
    </row>
    <row r="1049" spans="1:7" x14ac:dyDescent="0.3">
      <c r="A1049" s="4"/>
      <c r="B1049" s="4"/>
      <c r="C1049" s="4"/>
      <c r="D1049" s="4"/>
      <c r="E1049" s="7"/>
      <c r="G1049" s="8"/>
    </row>
    <row r="1050" spans="1:7" x14ac:dyDescent="0.3">
      <c r="A1050" s="4"/>
      <c r="B1050" s="4"/>
      <c r="C1050" s="4"/>
      <c r="D1050" s="4"/>
      <c r="E1050" s="7"/>
      <c r="G1050" s="8"/>
    </row>
    <row r="1051" spans="1:7" x14ac:dyDescent="0.3">
      <c r="A1051" s="4"/>
      <c r="B1051" s="4"/>
      <c r="C1051" s="4"/>
      <c r="D1051" s="4"/>
      <c r="E1051" s="7"/>
      <c r="G1051" s="8"/>
    </row>
    <row r="1052" spans="1:7" x14ac:dyDescent="0.3">
      <c r="A1052" s="4"/>
      <c r="B1052" s="4"/>
      <c r="C1052" s="4"/>
      <c r="D1052" s="4"/>
      <c r="E1052" s="7"/>
      <c r="G1052" s="8"/>
    </row>
    <row r="1053" spans="1:7" x14ac:dyDescent="0.3">
      <c r="A1053" s="4"/>
      <c r="B1053" s="4"/>
      <c r="C1053" s="4"/>
      <c r="D1053" s="4"/>
      <c r="E1053" s="7"/>
      <c r="G1053" s="8"/>
    </row>
    <row r="1054" spans="1:7" x14ac:dyDescent="0.3">
      <c r="A1054" s="4"/>
      <c r="B1054" s="4"/>
      <c r="C1054" s="4"/>
      <c r="D1054" s="4"/>
      <c r="E1054" s="7"/>
      <c r="G1054" s="8"/>
    </row>
    <row r="1055" spans="1:7" x14ac:dyDescent="0.3">
      <c r="A1055" s="4"/>
      <c r="B1055" s="4"/>
      <c r="C1055" s="4"/>
      <c r="D1055" s="4"/>
      <c r="E1055" s="7"/>
      <c r="G1055" s="8"/>
    </row>
    <row r="1056" spans="1:7" x14ac:dyDescent="0.3">
      <c r="A1056" s="4"/>
      <c r="B1056" s="4"/>
      <c r="C1056" s="4"/>
      <c r="D1056" s="4"/>
      <c r="E1056" s="7"/>
      <c r="G1056" s="8"/>
    </row>
    <row r="1057" spans="1:7" x14ac:dyDescent="0.3">
      <c r="A1057" s="4"/>
      <c r="B1057" s="4"/>
      <c r="C1057" s="4"/>
      <c r="D1057" s="4"/>
      <c r="E1057" s="7"/>
      <c r="G1057" s="8"/>
    </row>
    <row r="1058" spans="1:7" x14ac:dyDescent="0.3">
      <c r="A1058" s="4"/>
      <c r="B1058" s="4"/>
      <c r="C1058" s="4"/>
      <c r="D1058" s="4"/>
      <c r="E1058" s="7"/>
      <c r="G1058" s="8"/>
    </row>
    <row r="1059" spans="1:7" x14ac:dyDescent="0.3">
      <c r="A1059" s="4"/>
      <c r="B1059" s="4"/>
      <c r="C1059" s="4"/>
      <c r="D1059" s="4"/>
      <c r="E1059" s="7"/>
      <c r="G1059" s="8"/>
    </row>
    <row r="1060" spans="1:7" x14ac:dyDescent="0.3">
      <c r="A1060" s="4"/>
      <c r="B1060" s="4"/>
      <c r="C1060" s="4"/>
      <c r="D1060" s="4"/>
      <c r="E1060" s="7"/>
      <c r="G1060" s="8"/>
    </row>
    <row r="1061" spans="1:7" x14ac:dyDescent="0.3">
      <c r="A1061" s="4"/>
      <c r="B1061" s="4"/>
      <c r="C1061" s="4"/>
      <c r="D1061" s="4"/>
      <c r="E1061" s="7"/>
      <c r="G1061" s="8"/>
    </row>
    <row r="1062" spans="1:7" x14ac:dyDescent="0.3">
      <c r="A1062" s="4"/>
      <c r="B1062" s="4"/>
      <c r="C1062" s="4"/>
      <c r="D1062" s="4"/>
      <c r="E1062" s="7"/>
      <c r="G1062" s="8"/>
    </row>
    <row r="1063" spans="1:7" x14ac:dyDescent="0.3">
      <c r="A1063" s="4"/>
      <c r="B1063" s="4"/>
      <c r="C1063" s="4"/>
      <c r="D1063" s="4"/>
      <c r="E1063" s="7"/>
      <c r="G1063" s="8"/>
    </row>
    <row r="1064" spans="1:7" x14ac:dyDescent="0.3">
      <c r="A1064" s="4"/>
      <c r="B1064" s="4"/>
      <c r="C1064" s="4"/>
      <c r="D1064" s="4"/>
      <c r="E1064" s="7"/>
      <c r="G1064" s="8"/>
    </row>
    <row r="1065" spans="1:7" x14ac:dyDescent="0.3">
      <c r="A1065" s="4"/>
      <c r="B1065" s="4"/>
      <c r="C1065" s="4"/>
      <c r="D1065" s="4"/>
      <c r="E1065" s="7"/>
      <c r="G1065" s="8"/>
    </row>
    <row r="1066" spans="1:7" x14ac:dyDescent="0.3">
      <c r="A1066" s="4"/>
      <c r="B1066" s="4"/>
      <c r="C1066" s="4"/>
      <c r="D1066" s="4"/>
      <c r="E1066" s="7"/>
      <c r="G1066" s="8"/>
    </row>
    <row r="1067" spans="1:7" x14ac:dyDescent="0.3">
      <c r="A1067" s="5"/>
      <c r="B1067" s="4"/>
      <c r="C1067" s="4"/>
      <c r="D1067" s="4"/>
      <c r="E1067" s="7"/>
      <c r="G1067" s="8"/>
    </row>
    <row r="1068" spans="1:7" x14ac:dyDescent="0.3">
      <c r="A1068" s="4"/>
      <c r="B1068" s="4"/>
      <c r="C1068" s="4"/>
      <c r="D1068" s="4"/>
      <c r="E1068" s="7"/>
      <c r="G1068" s="8"/>
    </row>
    <row r="1069" spans="1:7" x14ac:dyDescent="0.3">
      <c r="A1069" s="4"/>
      <c r="B1069" s="4"/>
      <c r="C1069" s="4"/>
      <c r="D1069" s="4"/>
      <c r="E1069" s="7"/>
      <c r="G1069" s="8"/>
    </row>
    <row r="1070" spans="1:7" x14ac:dyDescent="0.3">
      <c r="A1070" s="4"/>
      <c r="B1070" s="4"/>
      <c r="C1070" s="4"/>
      <c r="D1070" s="4"/>
      <c r="E1070" s="7"/>
      <c r="G1070" s="8"/>
    </row>
    <row r="1071" spans="1:7" x14ac:dyDescent="0.3">
      <c r="A1071" s="4"/>
      <c r="B1071" s="4"/>
      <c r="C1071" s="4"/>
      <c r="D1071" s="4"/>
      <c r="E1071" s="7"/>
      <c r="G1071" s="8"/>
    </row>
    <row r="1072" spans="1:7" x14ac:dyDescent="0.3">
      <c r="A1072" s="4"/>
      <c r="B1072" s="4"/>
      <c r="C1072" s="4"/>
      <c r="D1072" s="4"/>
      <c r="E1072" s="7"/>
      <c r="G1072" s="8"/>
    </row>
    <row r="1073" spans="1:7" x14ac:dyDescent="0.3">
      <c r="A1073" s="4"/>
      <c r="B1073" s="4"/>
      <c r="C1073" s="4"/>
      <c r="D1073" s="4"/>
      <c r="E1073" s="7"/>
      <c r="G1073" s="8"/>
    </row>
    <row r="1074" spans="1:7" x14ac:dyDescent="0.3">
      <c r="A1074" s="4"/>
      <c r="B1074" s="4"/>
      <c r="C1074" s="4"/>
      <c r="D1074" s="4"/>
      <c r="E1074" s="7"/>
      <c r="G1074" s="8"/>
    </row>
    <row r="1075" spans="1:7" x14ac:dyDescent="0.3">
      <c r="A1075" s="4"/>
      <c r="B1075" s="4"/>
      <c r="C1075" s="4"/>
      <c r="D1075" s="4"/>
      <c r="E1075" s="7"/>
      <c r="G1075" s="8"/>
    </row>
    <row r="1076" spans="1:7" x14ac:dyDescent="0.3">
      <c r="A1076" s="4"/>
      <c r="B1076" s="4"/>
      <c r="C1076" s="4"/>
      <c r="D1076" s="4"/>
      <c r="E1076" s="7"/>
      <c r="G1076" s="8"/>
    </row>
    <row r="1077" spans="1:7" x14ac:dyDescent="0.3">
      <c r="A1077" s="4"/>
      <c r="B1077" s="4"/>
      <c r="C1077" s="4"/>
      <c r="D1077" s="4"/>
      <c r="E1077" s="7"/>
      <c r="G1077" s="8"/>
    </row>
    <row r="1078" spans="1:7" x14ac:dyDescent="0.3">
      <c r="A1078" s="4"/>
      <c r="B1078" s="4"/>
      <c r="C1078" s="4"/>
      <c r="D1078" s="4"/>
      <c r="E1078" s="7"/>
      <c r="G1078" s="8"/>
    </row>
    <row r="1079" spans="1:7" x14ac:dyDescent="0.3">
      <c r="A1079" s="4"/>
      <c r="B1079" s="4"/>
      <c r="C1079" s="4"/>
      <c r="D1079" s="4"/>
      <c r="E1079" s="7"/>
      <c r="G1079" s="8"/>
    </row>
    <row r="1080" spans="1:7" x14ac:dyDescent="0.3">
      <c r="A1080" s="4"/>
      <c r="B1080" s="4"/>
      <c r="C1080" s="4"/>
      <c r="D1080" s="4"/>
      <c r="E1080" s="7"/>
      <c r="G1080" s="8"/>
    </row>
    <row r="1081" spans="1:7" x14ac:dyDescent="0.3">
      <c r="A1081" s="4"/>
      <c r="B1081" s="4"/>
      <c r="C1081" s="4"/>
      <c r="D1081" s="4"/>
      <c r="E1081" s="23"/>
      <c r="G1081" s="8"/>
    </row>
    <row r="1082" spans="1:7" x14ac:dyDescent="0.3">
      <c r="A1082" s="4"/>
      <c r="B1082" s="4"/>
      <c r="C1082" s="4"/>
      <c r="D1082" s="4"/>
      <c r="E1082" s="7"/>
      <c r="G1082" s="8"/>
    </row>
    <row r="1083" spans="1:7" x14ac:dyDescent="0.3">
      <c r="A1083" s="4"/>
      <c r="B1083" s="4"/>
      <c r="C1083" s="4"/>
      <c r="D1083" s="4"/>
      <c r="E1083" s="7"/>
      <c r="G1083" s="8"/>
    </row>
    <row r="1084" spans="1:7" x14ac:dyDescent="0.3">
      <c r="A1084" s="4"/>
      <c r="B1084" s="4"/>
      <c r="C1084" s="4"/>
      <c r="D1084" s="4"/>
      <c r="E1084" s="7"/>
      <c r="G1084" s="8"/>
    </row>
    <row r="1085" spans="1:7" x14ac:dyDescent="0.3">
      <c r="A1085" s="4"/>
      <c r="B1085" s="4"/>
      <c r="C1085" s="4"/>
      <c r="D1085" s="4"/>
      <c r="E1085" s="7"/>
      <c r="G1085" s="8"/>
    </row>
    <row r="1086" spans="1:7" x14ac:dyDescent="0.3">
      <c r="A1086" s="4"/>
      <c r="B1086" s="4"/>
      <c r="C1086" s="4"/>
      <c r="D1086" s="4"/>
      <c r="E1086" s="7"/>
      <c r="G1086" s="8"/>
    </row>
    <row r="1087" spans="1:7" x14ac:dyDescent="0.3">
      <c r="A1087" s="4"/>
      <c r="B1087" s="4"/>
      <c r="C1087" s="4"/>
      <c r="D1087" s="4"/>
      <c r="E1087" s="7"/>
      <c r="G1087" s="8"/>
    </row>
    <row r="1088" spans="1:7" x14ac:dyDescent="0.3">
      <c r="A1088" s="4"/>
      <c r="B1088" s="4"/>
      <c r="C1088" s="4"/>
      <c r="D1088" s="4"/>
      <c r="E1088" s="7"/>
      <c r="G1088" s="8"/>
    </row>
    <row r="1089" spans="1:7" x14ac:dyDescent="0.3">
      <c r="A1089" s="4"/>
      <c r="B1089" s="4"/>
      <c r="C1089" s="4"/>
      <c r="D1089" s="4"/>
      <c r="E1089" s="7"/>
      <c r="G1089" s="8"/>
    </row>
    <row r="1090" spans="1:7" x14ac:dyDescent="0.3">
      <c r="A1090" s="4"/>
      <c r="B1090" s="4"/>
      <c r="C1090" s="4"/>
      <c r="D1090" s="4"/>
      <c r="E1090" s="7"/>
      <c r="G1090" s="8"/>
    </row>
    <row r="1091" spans="1:7" x14ac:dyDescent="0.3">
      <c r="A1091" s="4"/>
      <c r="B1091" s="4"/>
      <c r="C1091" s="4"/>
      <c r="D1091" s="4"/>
      <c r="E1091" s="7"/>
      <c r="G1091" s="8"/>
    </row>
    <row r="1092" spans="1:7" x14ac:dyDescent="0.3">
      <c r="A1092" s="4"/>
      <c r="B1092" s="4"/>
      <c r="C1092" s="4"/>
      <c r="D1092" s="4"/>
      <c r="E1092" s="7"/>
      <c r="G1092" s="8"/>
    </row>
    <row r="1093" spans="1:7" x14ac:dyDescent="0.3">
      <c r="A1093" s="4"/>
      <c r="B1093" s="4"/>
      <c r="C1093" s="4"/>
      <c r="D1093" s="4"/>
      <c r="E1093" s="7"/>
      <c r="G1093" s="8"/>
    </row>
    <row r="1094" spans="1:7" x14ac:dyDescent="0.3">
      <c r="A1094" s="4"/>
      <c r="B1094" s="4"/>
      <c r="C1094" s="4"/>
      <c r="D1094" s="4"/>
      <c r="E1094" s="7"/>
      <c r="G1094" s="8"/>
    </row>
    <row r="1095" spans="1:7" x14ac:dyDescent="0.3">
      <c r="A1095" s="4"/>
      <c r="B1095" s="4"/>
      <c r="C1095" s="4"/>
      <c r="D1095" s="4"/>
      <c r="E1095" s="7"/>
      <c r="G1095" s="8"/>
    </row>
    <row r="1096" spans="1:7" x14ac:dyDescent="0.3">
      <c r="A1096" s="4"/>
      <c r="B1096" s="4"/>
      <c r="C1096" s="4"/>
      <c r="D1096" s="4"/>
      <c r="E1096" s="7"/>
      <c r="G1096" s="8"/>
    </row>
    <row r="1097" spans="1:7" x14ac:dyDescent="0.3">
      <c r="A1097" s="4"/>
      <c r="B1097" s="4"/>
      <c r="C1097" s="4"/>
      <c r="D1097" s="4"/>
      <c r="E1097" s="7"/>
      <c r="G1097" s="8"/>
    </row>
    <row r="1098" spans="1:7" x14ac:dyDescent="0.3">
      <c r="A1098" s="4"/>
      <c r="B1098" s="4"/>
      <c r="C1098" s="4"/>
      <c r="D1098" s="4"/>
      <c r="E1098" s="7"/>
      <c r="G1098" s="8"/>
    </row>
    <row r="1099" spans="1:7" x14ac:dyDescent="0.3">
      <c r="A1099" s="4"/>
      <c r="B1099" s="4"/>
      <c r="C1099" s="4"/>
      <c r="D1099" s="4"/>
      <c r="E1099" s="7"/>
      <c r="G1099" s="8"/>
    </row>
    <row r="1100" spans="1:7" x14ac:dyDescent="0.3">
      <c r="A1100" s="4"/>
      <c r="B1100" s="4"/>
      <c r="C1100" s="4"/>
      <c r="D1100" s="4"/>
      <c r="E1100" s="7"/>
      <c r="G1100" s="8"/>
    </row>
    <row r="1101" spans="1:7" x14ac:dyDescent="0.3">
      <c r="A1101" s="4"/>
      <c r="B1101" s="4"/>
      <c r="C1101" s="4"/>
      <c r="D1101" s="4"/>
      <c r="E1101" s="7"/>
      <c r="G1101" s="8"/>
    </row>
    <row r="1102" spans="1:7" x14ac:dyDescent="0.3">
      <c r="A1102" s="4"/>
      <c r="B1102" s="4"/>
      <c r="C1102" s="4"/>
      <c r="D1102" s="4"/>
      <c r="E1102" s="7"/>
      <c r="G1102" s="8"/>
    </row>
    <row r="1103" spans="1:7" x14ac:dyDescent="0.3">
      <c r="A1103" s="4"/>
      <c r="B1103" s="4"/>
      <c r="C1103" s="4"/>
      <c r="D1103" s="4"/>
      <c r="E1103" s="7"/>
      <c r="G1103" s="8"/>
    </row>
    <row r="1104" spans="1:7" x14ac:dyDescent="0.3">
      <c r="A1104" s="4"/>
      <c r="B1104" s="4"/>
      <c r="C1104" s="4"/>
      <c r="D1104" s="4"/>
      <c r="E1104" s="7"/>
      <c r="G1104" s="8"/>
    </row>
    <row r="1105" spans="1:7" x14ac:dyDescent="0.3">
      <c r="A1105" s="4"/>
      <c r="B1105" s="4"/>
      <c r="C1105" s="4"/>
      <c r="D1105" s="4"/>
      <c r="E1105" s="7"/>
      <c r="G1105" s="8"/>
    </row>
    <row r="1106" spans="1:7" x14ac:dyDescent="0.3">
      <c r="A1106" s="4"/>
      <c r="B1106" s="4"/>
      <c r="C1106" s="4"/>
      <c r="D1106" s="4"/>
      <c r="E1106" s="7"/>
      <c r="G1106" s="8"/>
    </row>
    <row r="1107" spans="1:7" x14ac:dyDescent="0.3">
      <c r="A1107" s="4"/>
      <c r="B1107" s="4"/>
      <c r="C1107" s="4"/>
      <c r="D1107" s="4"/>
      <c r="E1107" s="7"/>
      <c r="G1107" s="8"/>
    </row>
    <row r="1108" spans="1:7" x14ac:dyDescent="0.3">
      <c r="A1108" s="4"/>
      <c r="B1108" s="4"/>
      <c r="C1108" s="4"/>
      <c r="D1108" s="4"/>
      <c r="E1108" s="7"/>
      <c r="G1108" s="8"/>
    </row>
    <row r="1109" spans="1:7" x14ac:dyDescent="0.3">
      <c r="A1109" s="4"/>
      <c r="B1109" s="4"/>
      <c r="C1109" s="4"/>
      <c r="D1109" s="4"/>
      <c r="E1109" s="7"/>
      <c r="G1109" s="8"/>
    </row>
    <row r="1110" spans="1:7" x14ac:dyDescent="0.3">
      <c r="A1110" s="4"/>
      <c r="B1110" s="4"/>
      <c r="C1110" s="4"/>
      <c r="D1110" s="4"/>
      <c r="E1110" s="7"/>
      <c r="G1110" s="8"/>
    </row>
    <row r="1111" spans="1:7" x14ac:dyDescent="0.3">
      <c r="A1111" s="4"/>
      <c r="B1111" s="4"/>
      <c r="C1111" s="4"/>
      <c r="D1111" s="4"/>
      <c r="E1111" s="7"/>
      <c r="G1111" s="8"/>
    </row>
    <row r="1112" spans="1:7" x14ac:dyDescent="0.3">
      <c r="A1112" s="4"/>
      <c r="B1112" s="4"/>
      <c r="C1112" s="4"/>
      <c r="D1112" s="4"/>
      <c r="E1112" s="7"/>
      <c r="G1112" s="8"/>
    </row>
    <row r="1113" spans="1:7" x14ac:dyDescent="0.3">
      <c r="A1113" s="4"/>
      <c r="B1113" s="4"/>
      <c r="C1113" s="4"/>
      <c r="D1113" s="4"/>
      <c r="E1113" s="7"/>
      <c r="G1113" s="8"/>
    </row>
    <row r="1114" spans="1:7" x14ac:dyDescent="0.3">
      <c r="A1114" s="4"/>
      <c r="B1114" s="4"/>
      <c r="C1114" s="4"/>
      <c r="D1114" s="4"/>
      <c r="E1114" s="7"/>
      <c r="G1114" s="8"/>
    </row>
    <row r="1115" spans="1:7" x14ac:dyDescent="0.3">
      <c r="A1115" s="4"/>
      <c r="B1115" s="4"/>
      <c r="C1115" s="4"/>
      <c r="D1115" s="4"/>
      <c r="E1115" s="7"/>
      <c r="G1115" s="8"/>
    </row>
    <row r="1116" spans="1:7" x14ac:dyDescent="0.3">
      <c r="A1116" s="4"/>
      <c r="B1116" s="4"/>
      <c r="C1116" s="4"/>
      <c r="D1116" s="4"/>
      <c r="E1116" s="7"/>
      <c r="G1116" s="8"/>
    </row>
    <row r="1117" spans="1:7" x14ac:dyDescent="0.3">
      <c r="A1117" s="4"/>
      <c r="B1117" s="4"/>
      <c r="C1117" s="4"/>
      <c r="D1117" s="4"/>
      <c r="E1117" s="7"/>
      <c r="G1117" s="8"/>
    </row>
    <row r="1118" spans="1:7" x14ac:dyDescent="0.3">
      <c r="A1118" s="4"/>
      <c r="B1118" s="4"/>
      <c r="C1118" s="4"/>
      <c r="D1118" s="4"/>
      <c r="E1118" s="7"/>
      <c r="G1118" s="8"/>
    </row>
    <row r="1119" spans="1:7" x14ac:dyDescent="0.3">
      <c r="A1119" s="4"/>
      <c r="B1119" s="4"/>
      <c r="C1119" s="4"/>
      <c r="D1119" s="4"/>
      <c r="E1119" s="7"/>
      <c r="G1119" s="8"/>
    </row>
    <row r="1120" spans="1:7" x14ac:dyDescent="0.3">
      <c r="A1120" s="4"/>
      <c r="B1120" s="4"/>
      <c r="C1120" s="4"/>
      <c r="D1120" s="4"/>
      <c r="E1120" s="7"/>
      <c r="G1120" s="8"/>
    </row>
    <row r="1121" spans="1:7" x14ac:dyDescent="0.3">
      <c r="A1121" s="4"/>
      <c r="B1121" s="4"/>
      <c r="C1121" s="4"/>
      <c r="D1121" s="4"/>
      <c r="E1121" s="7"/>
      <c r="G1121" s="8"/>
    </row>
    <row r="1122" spans="1:7" x14ac:dyDescent="0.3">
      <c r="A1122" s="4"/>
      <c r="B1122" s="4"/>
      <c r="C1122" s="4"/>
      <c r="D1122" s="4"/>
      <c r="E1122" s="7"/>
      <c r="G1122" s="8"/>
    </row>
    <row r="1123" spans="1:7" x14ac:dyDescent="0.3">
      <c r="A1123" s="4"/>
      <c r="B1123" s="4"/>
      <c r="C1123" s="4"/>
      <c r="D1123" s="4"/>
      <c r="E1123" s="7"/>
      <c r="G1123" s="8"/>
    </row>
    <row r="1124" spans="1:7" x14ac:dyDescent="0.3">
      <c r="A1124" s="4"/>
      <c r="B1124" s="4"/>
      <c r="C1124" s="4"/>
      <c r="D1124" s="4"/>
      <c r="E1124" s="7"/>
      <c r="G1124" s="8"/>
    </row>
    <row r="1125" spans="1:7" x14ac:dyDescent="0.3">
      <c r="A1125" s="4"/>
      <c r="B1125" s="4"/>
      <c r="C1125" s="4"/>
      <c r="D1125" s="4"/>
      <c r="E1125" s="7"/>
      <c r="G1125" s="8"/>
    </row>
    <row r="1126" spans="1:7" x14ac:dyDescent="0.3">
      <c r="A1126" s="4"/>
      <c r="B1126" s="4"/>
      <c r="C1126" s="4"/>
      <c r="D1126" s="4"/>
      <c r="E1126" s="7"/>
      <c r="G1126" s="8"/>
    </row>
    <row r="1127" spans="1:7" x14ac:dyDescent="0.3">
      <c r="A1127" s="4"/>
      <c r="B1127" s="4"/>
      <c r="C1127" s="4"/>
      <c r="D1127" s="4"/>
      <c r="E1127" s="7"/>
      <c r="G1127" s="8"/>
    </row>
    <row r="1128" spans="1:7" x14ac:dyDescent="0.3">
      <c r="A1128" s="4"/>
      <c r="B1128" s="4"/>
      <c r="C1128" s="4"/>
      <c r="D1128" s="4"/>
      <c r="E1128" s="7"/>
      <c r="G1128" s="8"/>
    </row>
    <row r="1129" spans="1:7" x14ac:dyDescent="0.3">
      <c r="A1129" s="4"/>
      <c r="B1129" s="4"/>
      <c r="C1129" s="4"/>
      <c r="D1129" s="4"/>
      <c r="E1129" s="7"/>
      <c r="G1129" s="8"/>
    </row>
    <row r="1130" spans="1:7" x14ac:dyDescent="0.3">
      <c r="A1130" s="4"/>
      <c r="B1130" s="4"/>
      <c r="C1130" s="4"/>
      <c r="D1130" s="4"/>
      <c r="E1130" s="23"/>
      <c r="G1130" s="8"/>
    </row>
    <row r="1131" spans="1:7" x14ac:dyDescent="0.3">
      <c r="A1131" s="4"/>
      <c r="B1131" s="4"/>
      <c r="C1131" s="4"/>
      <c r="D1131" s="4"/>
      <c r="E1131" s="23"/>
      <c r="G1131" s="8"/>
    </row>
    <row r="1132" spans="1:7" x14ac:dyDescent="0.3">
      <c r="A1132" s="4"/>
      <c r="B1132" s="4"/>
      <c r="C1132" s="4"/>
      <c r="D1132" s="4"/>
      <c r="E1132" s="23"/>
      <c r="G1132" s="8"/>
    </row>
    <row r="1133" spans="1:7" x14ac:dyDescent="0.3">
      <c r="A1133" s="4"/>
      <c r="B1133" s="4"/>
      <c r="C1133" s="4"/>
      <c r="D1133" s="4"/>
      <c r="E1133" s="23"/>
      <c r="G1133" s="8"/>
    </row>
    <row r="1134" spans="1:7" x14ac:dyDescent="0.3">
      <c r="A1134" s="4"/>
      <c r="B1134" s="4"/>
      <c r="C1134" s="4"/>
      <c r="D1134" s="4"/>
      <c r="E1134" s="23"/>
      <c r="G1134" s="8"/>
    </row>
    <row r="1135" spans="1:7" x14ac:dyDescent="0.3">
      <c r="A1135" s="4"/>
      <c r="B1135" s="4"/>
      <c r="C1135" s="4"/>
      <c r="D1135" s="4"/>
      <c r="E1135" s="23"/>
      <c r="G1135" s="8"/>
    </row>
    <row r="1136" spans="1:7" x14ac:dyDescent="0.3">
      <c r="A1136" s="4"/>
      <c r="B1136" s="4"/>
      <c r="C1136" s="4"/>
      <c r="D1136" s="4"/>
      <c r="E1136" s="23"/>
      <c r="G1136" s="8"/>
    </row>
    <row r="1137" spans="1:7" x14ac:dyDescent="0.3">
      <c r="A1137" s="4"/>
      <c r="B1137" s="4"/>
      <c r="C1137" s="4"/>
      <c r="D1137" s="4"/>
      <c r="E1137" s="23"/>
      <c r="G1137" s="8"/>
    </row>
    <row r="1138" spans="1:7" x14ac:dyDescent="0.3">
      <c r="A1138" s="4"/>
      <c r="B1138" s="4"/>
      <c r="C1138" s="4"/>
      <c r="D1138" s="4"/>
      <c r="E1138" s="23"/>
      <c r="G1138" s="8"/>
    </row>
    <row r="1139" spans="1:7" x14ac:dyDescent="0.3">
      <c r="A1139" s="4"/>
      <c r="B1139" s="4"/>
      <c r="C1139" s="4"/>
      <c r="D1139" s="4"/>
      <c r="E1139" s="23"/>
      <c r="G1139" s="8"/>
    </row>
    <row r="1140" spans="1:7" x14ac:dyDescent="0.3">
      <c r="A1140" s="4"/>
      <c r="B1140" s="4"/>
      <c r="C1140" s="4"/>
      <c r="D1140" s="4"/>
      <c r="E1140" s="23"/>
      <c r="G1140" s="8"/>
    </row>
    <row r="1141" spans="1:7" x14ac:dyDescent="0.3">
      <c r="A1141" s="4"/>
      <c r="B1141" s="4"/>
      <c r="C1141" s="4"/>
      <c r="D1141" s="4"/>
      <c r="E1141" s="23"/>
      <c r="G1141" s="8"/>
    </row>
    <row r="1142" spans="1:7" x14ac:dyDescent="0.3">
      <c r="A1142" s="4"/>
      <c r="B1142" s="4"/>
      <c r="C1142" s="4"/>
      <c r="D1142" s="4"/>
      <c r="E1142" s="23"/>
      <c r="G1142" s="8"/>
    </row>
    <row r="1143" spans="1:7" x14ac:dyDescent="0.3">
      <c r="A1143" s="4"/>
      <c r="B1143" s="4"/>
      <c r="C1143" s="4"/>
      <c r="D1143" s="4"/>
      <c r="E1143" s="23"/>
      <c r="G1143" s="8"/>
    </row>
    <row r="1144" spans="1:7" x14ac:dyDescent="0.3">
      <c r="A1144" s="4"/>
      <c r="B1144" s="4"/>
      <c r="C1144" s="4"/>
      <c r="D1144" s="4"/>
      <c r="E1144" s="23"/>
      <c r="G1144" s="8"/>
    </row>
    <row r="1145" spans="1:7" x14ac:dyDescent="0.3">
      <c r="A1145" s="4"/>
      <c r="B1145" s="4"/>
      <c r="C1145" s="4"/>
      <c r="D1145" s="4"/>
      <c r="E1145" s="23"/>
      <c r="G1145" s="8"/>
    </row>
    <row r="1146" spans="1:7" x14ac:dyDescent="0.3">
      <c r="A1146" s="4"/>
      <c r="B1146" s="4"/>
      <c r="C1146" s="4"/>
      <c r="D1146" s="4"/>
      <c r="E1146" s="23"/>
      <c r="G1146" s="8"/>
    </row>
    <row r="1147" spans="1:7" x14ac:dyDescent="0.3">
      <c r="A1147" s="4"/>
      <c r="B1147" s="4"/>
      <c r="C1147" s="4"/>
      <c r="D1147" s="4"/>
      <c r="E1147" s="23"/>
      <c r="G1147" s="8"/>
    </row>
    <row r="1148" spans="1:7" x14ac:dyDescent="0.3">
      <c r="A1148" s="4"/>
      <c r="B1148" s="4"/>
      <c r="C1148" s="4"/>
      <c r="D1148" s="4"/>
      <c r="E1148" s="23"/>
      <c r="G1148" s="8"/>
    </row>
    <row r="1149" spans="1:7" x14ac:dyDescent="0.3">
      <c r="A1149" s="4"/>
      <c r="B1149" s="4"/>
      <c r="C1149" s="4"/>
      <c r="D1149" s="4"/>
      <c r="E1149" s="23"/>
      <c r="G1149" s="8"/>
    </row>
    <row r="1150" spans="1:7" x14ac:dyDescent="0.3">
      <c r="A1150" s="4"/>
      <c r="B1150" s="4"/>
      <c r="C1150" s="4"/>
      <c r="D1150" s="4"/>
      <c r="E1150" s="23"/>
      <c r="G1150" s="8"/>
    </row>
    <row r="1151" spans="1:7" x14ac:dyDescent="0.3">
      <c r="A1151" s="4"/>
      <c r="B1151" s="4"/>
      <c r="C1151" s="4"/>
      <c r="D1151" s="4"/>
      <c r="E1151" s="23"/>
      <c r="G1151" s="8"/>
    </row>
    <row r="1152" spans="1:7" x14ac:dyDescent="0.3">
      <c r="A1152" s="4"/>
      <c r="B1152" s="4"/>
      <c r="C1152" s="4"/>
      <c r="D1152" s="4"/>
      <c r="E1152" s="23"/>
      <c r="G1152" s="8"/>
    </row>
    <row r="1153" spans="1:7" x14ac:dyDescent="0.3">
      <c r="A1153" s="4"/>
      <c r="B1153" s="4"/>
      <c r="C1153" s="4"/>
      <c r="D1153" s="4"/>
      <c r="E1153" s="23"/>
      <c r="G1153" s="8"/>
    </row>
    <row r="1154" spans="1:7" x14ac:dyDescent="0.3">
      <c r="A1154" s="4"/>
      <c r="B1154" s="4"/>
      <c r="C1154" s="4"/>
      <c r="D1154" s="4"/>
      <c r="E1154" s="23"/>
      <c r="G1154" s="8"/>
    </row>
    <row r="1155" spans="1:7" x14ac:dyDescent="0.3">
      <c r="A1155" s="4"/>
      <c r="B1155" s="4"/>
      <c r="C1155" s="4"/>
      <c r="D1155" s="4"/>
      <c r="E1155" s="23"/>
      <c r="G1155" s="8"/>
    </row>
    <row r="1156" spans="1:7" x14ac:dyDescent="0.3">
      <c r="A1156" s="4"/>
      <c r="B1156" s="4"/>
      <c r="C1156" s="4"/>
      <c r="D1156" s="4"/>
      <c r="E1156" s="23"/>
      <c r="G1156" s="8"/>
    </row>
    <row r="1157" spans="1:7" x14ac:dyDescent="0.3">
      <c r="A1157" s="4"/>
      <c r="B1157" s="4"/>
      <c r="C1157" s="4"/>
      <c r="D1157" s="4"/>
      <c r="E1157" s="23"/>
      <c r="G1157" s="8"/>
    </row>
    <row r="1158" spans="1:7" x14ac:dyDescent="0.3">
      <c r="A1158" s="4"/>
      <c r="B1158" s="4"/>
      <c r="C1158" s="4"/>
      <c r="D1158" s="4"/>
      <c r="E1158" s="23"/>
      <c r="G1158" s="8"/>
    </row>
    <row r="1159" spans="1:7" x14ac:dyDescent="0.3">
      <c r="A1159" s="4"/>
      <c r="B1159" s="4"/>
      <c r="C1159" s="4"/>
      <c r="D1159" s="4"/>
      <c r="E1159" s="23"/>
      <c r="G1159" s="8"/>
    </row>
    <row r="1160" spans="1:7" x14ac:dyDescent="0.3">
      <c r="A1160" s="4"/>
      <c r="B1160" s="4"/>
      <c r="C1160" s="4"/>
      <c r="D1160" s="4"/>
      <c r="E1160" s="23"/>
      <c r="G1160" s="8"/>
    </row>
    <row r="1161" spans="1:7" x14ac:dyDescent="0.3">
      <c r="A1161" s="4"/>
      <c r="B1161" s="4"/>
      <c r="C1161" s="4"/>
      <c r="D1161" s="4"/>
      <c r="E1161" s="23"/>
      <c r="G1161" s="8"/>
    </row>
    <row r="1162" spans="1:7" x14ac:dyDescent="0.3">
      <c r="A1162" s="4"/>
      <c r="B1162" s="4"/>
      <c r="C1162" s="4"/>
      <c r="D1162" s="4"/>
      <c r="E1162" s="23"/>
      <c r="G1162" s="8"/>
    </row>
    <row r="1163" spans="1:7" x14ac:dyDescent="0.3">
      <c r="A1163" s="4"/>
      <c r="B1163" s="4"/>
      <c r="C1163" s="4"/>
      <c r="D1163" s="4"/>
      <c r="E1163" s="23"/>
      <c r="G1163" s="8"/>
    </row>
    <row r="1164" spans="1:7" x14ac:dyDescent="0.3">
      <c r="A1164" s="4"/>
      <c r="B1164" s="4"/>
      <c r="C1164" s="4"/>
      <c r="D1164" s="4"/>
      <c r="E1164" s="23"/>
      <c r="G1164" s="8"/>
    </row>
    <row r="1165" spans="1:7" x14ac:dyDescent="0.3">
      <c r="A1165" s="4"/>
      <c r="B1165" s="4"/>
      <c r="C1165" s="4"/>
      <c r="D1165" s="4"/>
      <c r="E1165" s="7"/>
      <c r="G1165" s="8"/>
    </row>
    <row r="1166" spans="1:7" x14ac:dyDescent="0.3">
      <c r="A1166" s="4"/>
      <c r="B1166" s="4"/>
      <c r="C1166" s="4"/>
      <c r="D1166" s="4"/>
      <c r="E1166" s="23"/>
      <c r="G1166" s="8"/>
    </row>
    <row r="1167" spans="1:7" x14ac:dyDescent="0.3">
      <c r="A1167" s="4"/>
      <c r="B1167" s="4"/>
      <c r="C1167" s="4"/>
      <c r="D1167" s="4"/>
      <c r="E1167" s="23"/>
      <c r="G1167" s="8"/>
    </row>
    <row r="1168" spans="1:7" x14ac:dyDescent="0.3">
      <c r="A1168" s="4"/>
      <c r="B1168" s="4"/>
      <c r="C1168" s="4"/>
      <c r="D1168" s="4"/>
      <c r="E1168" s="23"/>
      <c r="G1168" s="8"/>
    </row>
    <row r="1169" spans="1:7" x14ac:dyDescent="0.3">
      <c r="A1169" s="4"/>
      <c r="B1169" s="4"/>
      <c r="C1169" s="4"/>
      <c r="D1169" s="4"/>
      <c r="E1169" s="23"/>
      <c r="G1169" s="8"/>
    </row>
    <row r="1170" spans="1:7" x14ac:dyDescent="0.3">
      <c r="A1170" s="4"/>
      <c r="B1170" s="4"/>
      <c r="C1170" s="4"/>
      <c r="D1170" s="4"/>
      <c r="E1170" s="23"/>
      <c r="G1170" s="8"/>
    </row>
    <row r="1171" spans="1:7" x14ac:dyDescent="0.3">
      <c r="A1171" s="4"/>
      <c r="B1171" s="4"/>
      <c r="C1171" s="4"/>
      <c r="D1171" s="4"/>
      <c r="E1171" s="23"/>
      <c r="G1171" s="8"/>
    </row>
    <row r="1172" spans="1:7" x14ac:dyDescent="0.3">
      <c r="A1172" s="4"/>
      <c r="B1172" s="4"/>
      <c r="C1172" s="4"/>
      <c r="D1172" s="4"/>
      <c r="E1172" s="23"/>
      <c r="G1172" s="8"/>
    </row>
    <row r="1173" spans="1:7" x14ac:dyDescent="0.3">
      <c r="A1173" s="4"/>
      <c r="B1173" s="4"/>
      <c r="C1173" s="4"/>
      <c r="D1173" s="4"/>
      <c r="E1173" s="23"/>
      <c r="G1173" s="8"/>
    </row>
    <row r="1174" spans="1:7" x14ac:dyDescent="0.3">
      <c r="A1174" s="4"/>
      <c r="B1174" s="4"/>
      <c r="C1174" s="4"/>
      <c r="D1174" s="4"/>
      <c r="E1174" s="23"/>
      <c r="G1174" s="8"/>
    </row>
    <row r="1175" spans="1:7" x14ac:dyDescent="0.3">
      <c r="A1175" s="4"/>
      <c r="B1175" s="4"/>
      <c r="C1175" s="4"/>
      <c r="D1175" s="4"/>
      <c r="E1175" s="23"/>
      <c r="G1175" s="8"/>
    </row>
    <row r="1176" spans="1:7" x14ac:dyDescent="0.3">
      <c r="A1176" s="4"/>
      <c r="B1176" s="4"/>
      <c r="C1176" s="4"/>
      <c r="D1176" s="4"/>
      <c r="E1176" s="23"/>
      <c r="G1176" s="8"/>
    </row>
    <row r="1177" spans="1:7" x14ac:dyDescent="0.3">
      <c r="A1177" s="4"/>
      <c r="B1177" s="4"/>
      <c r="C1177" s="4"/>
      <c r="D1177" s="4"/>
      <c r="E1177" s="23"/>
      <c r="G1177" s="8"/>
    </row>
    <row r="1178" spans="1:7" x14ac:dyDescent="0.3">
      <c r="A1178" s="4"/>
      <c r="B1178" s="4"/>
      <c r="C1178" s="4"/>
      <c r="D1178" s="4"/>
      <c r="E1178" s="23"/>
      <c r="G1178" s="8"/>
    </row>
    <row r="1179" spans="1:7" x14ac:dyDescent="0.3">
      <c r="A1179" s="4"/>
      <c r="B1179" s="4"/>
      <c r="C1179" s="4"/>
      <c r="D1179" s="4"/>
      <c r="E1179" s="23"/>
      <c r="G1179" s="8"/>
    </row>
    <row r="1180" spans="1:7" x14ac:dyDescent="0.3">
      <c r="A1180" s="4"/>
      <c r="B1180" s="4"/>
      <c r="C1180" s="4"/>
      <c r="D1180" s="4"/>
      <c r="E1180" s="23"/>
      <c r="G1180" s="8"/>
    </row>
    <row r="1181" spans="1:7" x14ac:dyDescent="0.3">
      <c r="A1181" s="4"/>
      <c r="B1181" s="4"/>
      <c r="C1181" s="4"/>
      <c r="D1181" s="4"/>
      <c r="E1181" s="23"/>
      <c r="G1181" s="8"/>
    </row>
    <row r="1182" spans="1:7" x14ac:dyDescent="0.3">
      <c r="A1182" s="4"/>
      <c r="B1182" s="4"/>
      <c r="C1182" s="4"/>
      <c r="D1182" s="4"/>
      <c r="E1182" s="23"/>
      <c r="G1182" s="8"/>
    </row>
    <row r="1183" spans="1:7" x14ac:dyDescent="0.3">
      <c r="A1183" s="4"/>
      <c r="B1183" s="4"/>
      <c r="C1183" s="4"/>
      <c r="D1183" s="4"/>
      <c r="E1183" s="23"/>
      <c r="G1183" s="8"/>
    </row>
    <row r="1184" spans="1:7" x14ac:dyDescent="0.3">
      <c r="A1184" s="4"/>
      <c r="B1184" s="4"/>
      <c r="C1184" s="4"/>
      <c r="D1184" s="4"/>
      <c r="E1184" s="23"/>
      <c r="G1184" s="8"/>
    </row>
    <row r="1185" spans="1:7" x14ac:dyDescent="0.3">
      <c r="A1185" s="4"/>
      <c r="B1185" s="4"/>
      <c r="C1185" s="4"/>
      <c r="D1185" s="4"/>
      <c r="E1185" s="23"/>
      <c r="G1185" s="8"/>
    </row>
    <row r="1186" spans="1:7" x14ac:dyDescent="0.3">
      <c r="A1186" s="4"/>
      <c r="B1186" s="4"/>
      <c r="C1186" s="4"/>
      <c r="D1186" s="4"/>
      <c r="E1186" s="23"/>
      <c r="G1186" s="8"/>
    </row>
    <row r="1187" spans="1:7" x14ac:dyDescent="0.3">
      <c r="A1187" s="4"/>
      <c r="B1187" s="4"/>
      <c r="C1187" s="4"/>
      <c r="D1187" s="4"/>
      <c r="E1187" s="23"/>
      <c r="G1187" s="8"/>
    </row>
    <row r="1188" spans="1:7" x14ac:dyDescent="0.3">
      <c r="A1188" s="4"/>
      <c r="B1188" s="4"/>
      <c r="C1188" s="4"/>
      <c r="D1188" s="4"/>
      <c r="E1188" s="23"/>
      <c r="G1188" s="8"/>
    </row>
    <row r="1189" spans="1:7" x14ac:dyDescent="0.3">
      <c r="A1189" s="4"/>
      <c r="B1189" s="4"/>
      <c r="C1189" s="4"/>
      <c r="D1189" s="4"/>
      <c r="E1189" s="23"/>
      <c r="G1189" s="8"/>
    </row>
    <row r="1190" spans="1:7" x14ac:dyDescent="0.3">
      <c r="A1190" s="4"/>
      <c r="B1190" s="4"/>
      <c r="C1190" s="4"/>
      <c r="D1190" s="4"/>
      <c r="E1190" s="23"/>
      <c r="G1190" s="8"/>
    </row>
    <row r="1191" spans="1:7" x14ac:dyDescent="0.3">
      <c r="A1191" s="4"/>
      <c r="B1191" s="4"/>
      <c r="C1191" s="4"/>
      <c r="D1191" s="4"/>
      <c r="E1191" s="23"/>
      <c r="G1191" s="8"/>
    </row>
    <row r="1192" spans="1:7" x14ac:dyDescent="0.3">
      <c r="A1192" s="4"/>
      <c r="B1192" s="4"/>
      <c r="C1192" s="4"/>
      <c r="D1192" s="4"/>
      <c r="E1192" s="23"/>
      <c r="G1192" s="8"/>
    </row>
    <row r="1193" spans="1:7" x14ac:dyDescent="0.3">
      <c r="A1193" s="4"/>
      <c r="B1193" s="4"/>
      <c r="C1193" s="4"/>
      <c r="D1193" s="4"/>
      <c r="E1193" s="23"/>
      <c r="G1193" s="8"/>
    </row>
    <row r="1194" spans="1:7" x14ac:dyDescent="0.3">
      <c r="A1194" s="4"/>
      <c r="B1194" s="4"/>
      <c r="C1194" s="4"/>
      <c r="D1194" s="4"/>
      <c r="E1194" s="23"/>
      <c r="G1194" s="8"/>
    </row>
    <row r="1195" spans="1:7" x14ac:dyDescent="0.3">
      <c r="A1195" s="4"/>
      <c r="B1195" s="4"/>
      <c r="C1195" s="4"/>
      <c r="D1195" s="4"/>
      <c r="E1195" s="23"/>
      <c r="G1195" s="8"/>
    </row>
    <row r="1196" spans="1:7" x14ac:dyDescent="0.3">
      <c r="A1196" s="4"/>
      <c r="B1196" s="4"/>
      <c r="C1196" s="4"/>
      <c r="D1196" s="4"/>
      <c r="E1196" s="23"/>
      <c r="G1196" s="8"/>
    </row>
    <row r="1197" spans="1:7" x14ac:dyDescent="0.3">
      <c r="A1197" s="4"/>
      <c r="B1197" s="4"/>
      <c r="C1197" s="4"/>
      <c r="D1197" s="4"/>
      <c r="E1197" s="23"/>
      <c r="G1197" s="8"/>
    </row>
    <row r="1198" spans="1:7" x14ac:dyDescent="0.3">
      <c r="A1198" s="4"/>
      <c r="B1198" s="4"/>
      <c r="C1198" s="4"/>
      <c r="D1198" s="4"/>
      <c r="E1198" s="23"/>
      <c r="G1198" s="8"/>
    </row>
    <row r="1199" spans="1:7" x14ac:dyDescent="0.3">
      <c r="A1199" s="4"/>
      <c r="B1199" s="4"/>
      <c r="C1199" s="4"/>
      <c r="D1199" s="4"/>
      <c r="E1199" s="23"/>
      <c r="G1199" s="8"/>
    </row>
    <row r="1200" spans="1:7" x14ac:dyDescent="0.3">
      <c r="A1200" s="4"/>
      <c r="B1200" s="4"/>
      <c r="C1200" s="4"/>
      <c r="D1200" s="4"/>
      <c r="E1200" s="23"/>
      <c r="G1200" s="8"/>
    </row>
    <row r="1201" spans="1:7" x14ac:dyDescent="0.3">
      <c r="A1201" s="4"/>
      <c r="B1201" s="4"/>
      <c r="C1201" s="4"/>
      <c r="D1201" s="4"/>
      <c r="E1201" s="23"/>
      <c r="G1201" s="8"/>
    </row>
    <row r="1202" spans="1:7" x14ac:dyDescent="0.3">
      <c r="A1202" s="4"/>
      <c r="B1202" s="4"/>
      <c r="C1202" s="4"/>
      <c r="D1202" s="4"/>
      <c r="E1202" s="23"/>
      <c r="G1202" s="8"/>
    </row>
    <row r="1203" spans="1:7" x14ac:dyDescent="0.3">
      <c r="A1203" s="4"/>
      <c r="B1203" s="4"/>
      <c r="C1203" s="4"/>
      <c r="D1203" s="4"/>
      <c r="E1203" s="23"/>
      <c r="G1203" s="8"/>
    </row>
    <row r="1204" spans="1:7" x14ac:dyDescent="0.3">
      <c r="A1204" s="4"/>
      <c r="B1204" s="4"/>
      <c r="C1204" s="4"/>
      <c r="D1204" s="4"/>
      <c r="E1204" s="23"/>
      <c r="G1204" s="8"/>
    </row>
    <row r="1205" spans="1:7" x14ac:dyDescent="0.3">
      <c r="A1205" s="4"/>
      <c r="B1205" s="4"/>
      <c r="C1205" s="4"/>
      <c r="D1205" s="4"/>
      <c r="E1205" s="23"/>
      <c r="G1205" s="8"/>
    </row>
    <row r="1206" spans="1:7" x14ac:dyDescent="0.3">
      <c r="A1206" s="4"/>
      <c r="B1206" s="4"/>
      <c r="C1206" s="4"/>
      <c r="D1206" s="4"/>
      <c r="E1206" s="23"/>
      <c r="G1206" s="8"/>
    </row>
    <row r="1207" spans="1:7" x14ac:dyDescent="0.3">
      <c r="A1207" s="4"/>
      <c r="B1207" s="4"/>
      <c r="C1207" s="4"/>
      <c r="D1207" s="4"/>
      <c r="E1207" s="23"/>
      <c r="G1207" s="8"/>
    </row>
    <row r="1208" spans="1:7" x14ac:dyDescent="0.3">
      <c r="A1208" s="4"/>
      <c r="B1208" s="4"/>
      <c r="C1208" s="4"/>
      <c r="D1208" s="4"/>
      <c r="E1208" s="23"/>
      <c r="G1208" s="8"/>
    </row>
    <row r="1209" spans="1:7" x14ac:dyDescent="0.3">
      <c r="A1209" s="4"/>
      <c r="B1209" s="4"/>
      <c r="C1209" s="4"/>
      <c r="D1209" s="4"/>
      <c r="E1209" s="23"/>
      <c r="G1209" s="8"/>
    </row>
    <row r="1210" spans="1:7" x14ac:dyDescent="0.3">
      <c r="A1210" s="4"/>
      <c r="B1210" s="4"/>
      <c r="C1210" s="4"/>
      <c r="D1210" s="4"/>
      <c r="E1210" s="23"/>
      <c r="G1210" s="8"/>
    </row>
    <row r="1211" spans="1:7" x14ac:dyDescent="0.3">
      <c r="A1211" s="4"/>
      <c r="B1211" s="4"/>
      <c r="C1211" s="4"/>
      <c r="D1211" s="4"/>
      <c r="E1211" s="23"/>
      <c r="G1211" s="8"/>
    </row>
    <row r="1212" spans="1:7" x14ac:dyDescent="0.3">
      <c r="A1212" s="4"/>
      <c r="B1212" s="4"/>
      <c r="C1212" s="4"/>
      <c r="D1212" s="4"/>
      <c r="E1212" s="23"/>
      <c r="G1212" s="8"/>
    </row>
    <row r="1213" spans="1:7" x14ac:dyDescent="0.3">
      <c r="A1213" s="4"/>
      <c r="B1213" s="4"/>
      <c r="C1213" s="4"/>
      <c r="D1213" s="4"/>
      <c r="E1213" s="23"/>
      <c r="G1213" s="8"/>
    </row>
    <row r="1214" spans="1:7" x14ac:dyDescent="0.3">
      <c r="A1214" s="4"/>
      <c r="B1214" s="4"/>
      <c r="C1214" s="4"/>
      <c r="D1214" s="4"/>
      <c r="E1214" s="23"/>
      <c r="G1214" s="8"/>
    </row>
    <row r="1215" spans="1:7" x14ac:dyDescent="0.3">
      <c r="A1215" s="4"/>
      <c r="B1215" s="4"/>
      <c r="C1215" s="4"/>
      <c r="D1215" s="4"/>
      <c r="E1215" s="23"/>
      <c r="G1215" s="8"/>
    </row>
    <row r="1216" spans="1:7" x14ac:dyDescent="0.3">
      <c r="A1216" s="4"/>
      <c r="B1216" s="4"/>
      <c r="C1216" s="4"/>
      <c r="D1216" s="4"/>
      <c r="E1216" s="23"/>
      <c r="G1216" s="8"/>
    </row>
    <row r="1217" spans="1:7" x14ac:dyDescent="0.3">
      <c r="A1217" s="4"/>
      <c r="B1217" s="4"/>
      <c r="C1217" s="4"/>
      <c r="D1217" s="4"/>
      <c r="E1217" s="23"/>
      <c r="G1217" s="8"/>
    </row>
    <row r="1218" spans="1:7" x14ac:dyDescent="0.3">
      <c r="A1218" s="4"/>
      <c r="B1218" s="4"/>
      <c r="C1218" s="4"/>
      <c r="D1218" s="4"/>
      <c r="E1218" s="23"/>
      <c r="G1218" s="8"/>
    </row>
    <row r="1219" spans="1:7" x14ac:dyDescent="0.3">
      <c r="A1219" s="4"/>
      <c r="B1219" s="4"/>
      <c r="C1219" s="4"/>
      <c r="D1219" s="4"/>
      <c r="E1219" s="23"/>
      <c r="G1219" s="8"/>
    </row>
    <row r="1220" spans="1:7" x14ac:dyDescent="0.3">
      <c r="A1220" s="4"/>
      <c r="B1220" s="4"/>
      <c r="C1220" s="4"/>
      <c r="D1220" s="4"/>
      <c r="E1220" s="23"/>
      <c r="G1220" s="8"/>
    </row>
    <row r="1221" spans="1:7" x14ac:dyDescent="0.3">
      <c r="A1221" s="4"/>
      <c r="B1221" s="4"/>
      <c r="C1221" s="4"/>
      <c r="D1221" s="4"/>
      <c r="E1221" s="23"/>
      <c r="G1221" s="8"/>
    </row>
    <row r="1222" spans="1:7" x14ac:dyDescent="0.3">
      <c r="A1222" s="4"/>
      <c r="B1222" s="4"/>
      <c r="C1222" s="4"/>
      <c r="D1222" s="4"/>
      <c r="E1222" s="23"/>
      <c r="G1222" s="8"/>
    </row>
    <row r="1223" spans="1:7" x14ac:dyDescent="0.3">
      <c r="A1223" s="4"/>
      <c r="B1223" s="4"/>
      <c r="C1223" s="4"/>
      <c r="D1223" s="4"/>
      <c r="E1223" s="23"/>
      <c r="G1223" s="8"/>
    </row>
    <row r="1224" spans="1:7" x14ac:dyDescent="0.3">
      <c r="A1224" s="4"/>
      <c r="B1224" s="4"/>
      <c r="C1224" s="4"/>
      <c r="D1224" s="4"/>
      <c r="E1224" s="23"/>
      <c r="G1224" s="8"/>
    </row>
    <row r="1225" spans="1:7" x14ac:dyDescent="0.3">
      <c r="A1225" s="4"/>
      <c r="B1225" s="4"/>
      <c r="C1225" s="4"/>
      <c r="D1225" s="4"/>
      <c r="E1225" s="23"/>
      <c r="G1225" s="8"/>
    </row>
    <row r="1226" spans="1:7" x14ac:dyDescent="0.3">
      <c r="A1226" s="4"/>
      <c r="B1226" s="4"/>
      <c r="C1226" s="4"/>
      <c r="D1226" s="4"/>
      <c r="E1226" s="23"/>
      <c r="G1226" s="8"/>
    </row>
    <row r="1227" spans="1:7" x14ac:dyDescent="0.3">
      <c r="A1227" s="4"/>
      <c r="B1227" s="4"/>
      <c r="C1227" s="4"/>
      <c r="D1227" s="4"/>
      <c r="E1227" s="23"/>
      <c r="G1227" s="8"/>
    </row>
    <row r="1228" spans="1:7" x14ac:dyDescent="0.3">
      <c r="A1228" s="4"/>
      <c r="B1228" s="4"/>
      <c r="C1228" s="4"/>
      <c r="D1228" s="4"/>
      <c r="E1228" s="23"/>
      <c r="G1228" s="8"/>
    </row>
    <row r="1229" spans="1:7" x14ac:dyDescent="0.3">
      <c r="A1229" s="4"/>
      <c r="B1229" s="4"/>
      <c r="C1229" s="4"/>
      <c r="D1229" s="4"/>
      <c r="E1229" s="23"/>
      <c r="G1229" s="8"/>
    </row>
    <row r="1230" spans="1:7" x14ac:dyDescent="0.3">
      <c r="A1230" s="4"/>
      <c r="B1230" s="4"/>
      <c r="C1230" s="4"/>
      <c r="D1230" s="4"/>
      <c r="E1230" s="7"/>
      <c r="G1230" s="8"/>
    </row>
    <row r="1231" spans="1:7" x14ac:dyDescent="0.3">
      <c r="A1231" s="4"/>
      <c r="B1231" s="4"/>
      <c r="C1231" s="4"/>
      <c r="D1231" s="4"/>
      <c r="E1231" s="23"/>
      <c r="G1231" s="8"/>
    </row>
    <row r="1232" spans="1:7" x14ac:dyDescent="0.3">
      <c r="A1232" s="4"/>
      <c r="B1232" s="4"/>
      <c r="C1232" s="4"/>
      <c r="D1232" s="4"/>
      <c r="E1232" s="23"/>
      <c r="G1232" s="8"/>
    </row>
    <row r="1233" spans="1:7" x14ac:dyDescent="0.3">
      <c r="A1233" s="4"/>
      <c r="B1233" s="4"/>
      <c r="C1233" s="4"/>
      <c r="D1233" s="4"/>
      <c r="E1233" s="23"/>
      <c r="G1233" s="8"/>
    </row>
    <row r="1234" spans="1:7" x14ac:dyDescent="0.3">
      <c r="A1234" s="4"/>
      <c r="B1234" s="4"/>
      <c r="C1234" s="4"/>
      <c r="D1234" s="4"/>
      <c r="E1234" s="23"/>
      <c r="G1234" s="8"/>
    </row>
    <row r="1235" spans="1:7" x14ac:dyDescent="0.3">
      <c r="A1235" s="4"/>
      <c r="B1235" s="4"/>
      <c r="C1235" s="4"/>
      <c r="D1235" s="4"/>
      <c r="E1235" s="23"/>
      <c r="G1235" s="8"/>
    </row>
    <row r="1236" spans="1:7" x14ac:dyDescent="0.3">
      <c r="A1236" s="4"/>
      <c r="B1236" s="4"/>
      <c r="C1236" s="4"/>
      <c r="D1236" s="4"/>
      <c r="E1236" s="23"/>
      <c r="G1236" s="8"/>
    </row>
    <row r="1237" spans="1:7" x14ac:dyDescent="0.3">
      <c r="A1237" s="4"/>
      <c r="B1237" s="4"/>
      <c r="C1237" s="4"/>
      <c r="D1237" s="4"/>
      <c r="E1237" s="23"/>
      <c r="G1237" s="8"/>
    </row>
    <row r="1238" spans="1:7" x14ac:dyDescent="0.3">
      <c r="A1238" s="4"/>
      <c r="B1238" s="4"/>
      <c r="C1238" s="4"/>
      <c r="D1238" s="4"/>
      <c r="E1238" s="23"/>
      <c r="G1238" s="8"/>
    </row>
    <row r="1239" spans="1:7" x14ac:dyDescent="0.3">
      <c r="A1239" s="4"/>
      <c r="B1239" s="4"/>
      <c r="C1239" s="4"/>
      <c r="D1239" s="4"/>
      <c r="E1239" s="23"/>
      <c r="G1239" s="8"/>
    </row>
    <row r="1240" spans="1:7" x14ac:dyDescent="0.3">
      <c r="A1240" s="4"/>
      <c r="B1240" s="4"/>
      <c r="C1240" s="4"/>
      <c r="D1240" s="4"/>
      <c r="E1240" s="23"/>
      <c r="G1240" s="8"/>
    </row>
    <row r="1241" spans="1:7" x14ac:dyDescent="0.3">
      <c r="A1241" s="4"/>
      <c r="B1241" s="4"/>
      <c r="C1241" s="4"/>
      <c r="D1241" s="4"/>
      <c r="E1241" s="23"/>
      <c r="G1241" s="8"/>
    </row>
    <row r="1242" spans="1:7" x14ac:dyDescent="0.3">
      <c r="A1242" s="4"/>
      <c r="B1242" s="4"/>
      <c r="C1242" s="4"/>
      <c r="D1242" s="4"/>
      <c r="E1242" s="23"/>
      <c r="G1242" s="8"/>
    </row>
    <row r="1243" spans="1:7" x14ac:dyDescent="0.3">
      <c r="A1243" s="4"/>
      <c r="B1243" s="4"/>
      <c r="C1243" s="4"/>
      <c r="D1243" s="4"/>
      <c r="E1243" s="23"/>
      <c r="G1243" s="8"/>
    </row>
    <row r="1244" spans="1:7" x14ac:dyDescent="0.3">
      <c r="A1244" s="4"/>
      <c r="B1244" s="4"/>
      <c r="C1244" s="4"/>
      <c r="D1244" s="4"/>
      <c r="E1244" s="23"/>
      <c r="G1244" s="8"/>
    </row>
    <row r="1245" spans="1:7" x14ac:dyDescent="0.3">
      <c r="A1245" s="4"/>
      <c r="B1245" s="4"/>
      <c r="C1245" s="4"/>
      <c r="D1245" s="4"/>
      <c r="E1245" s="23"/>
      <c r="G1245" s="8"/>
    </row>
    <row r="1246" spans="1:7" x14ac:dyDescent="0.3">
      <c r="A1246" s="4"/>
      <c r="B1246" s="4"/>
      <c r="C1246" s="4"/>
      <c r="D1246" s="4"/>
      <c r="E1246" s="23"/>
      <c r="G1246" s="8"/>
    </row>
    <row r="1247" spans="1:7" x14ac:dyDescent="0.3">
      <c r="A1247" s="4"/>
      <c r="B1247" s="4"/>
      <c r="C1247" s="4"/>
      <c r="D1247" s="4"/>
      <c r="E1247" s="23"/>
      <c r="G1247" s="8"/>
    </row>
    <row r="1248" spans="1:7" x14ac:dyDescent="0.3">
      <c r="A1248" s="4"/>
      <c r="B1248" s="4"/>
      <c r="C1248" s="4"/>
      <c r="D1248" s="4"/>
      <c r="E1248" s="23"/>
      <c r="G1248" s="8"/>
    </row>
    <row r="1249" spans="1:7" x14ac:dyDescent="0.3">
      <c r="A1249" s="4"/>
      <c r="B1249" s="4"/>
      <c r="C1249" s="4"/>
      <c r="D1249" s="4"/>
      <c r="E1249" s="23"/>
      <c r="G1249" s="8"/>
    </row>
    <row r="1250" spans="1:7" x14ac:dyDescent="0.3">
      <c r="A1250" s="4"/>
      <c r="B1250" s="4"/>
      <c r="C1250" s="4"/>
      <c r="D1250" s="4"/>
      <c r="E1250" s="23"/>
      <c r="G1250" s="8"/>
    </row>
    <row r="1251" spans="1:7" x14ac:dyDescent="0.3">
      <c r="A1251" s="4"/>
      <c r="B1251" s="4"/>
      <c r="C1251" s="4"/>
      <c r="D1251" s="4"/>
      <c r="E1251" s="23"/>
      <c r="G1251" s="8"/>
    </row>
    <row r="1252" spans="1:7" x14ac:dyDescent="0.3">
      <c r="A1252" s="4"/>
      <c r="B1252" s="4"/>
      <c r="C1252" s="4"/>
      <c r="D1252" s="4"/>
      <c r="E1252" s="23"/>
      <c r="G1252" s="8"/>
    </row>
    <row r="1253" spans="1:7" x14ac:dyDescent="0.3">
      <c r="A1253" s="4"/>
      <c r="B1253" s="4"/>
      <c r="C1253" s="4"/>
      <c r="D1253" s="4"/>
      <c r="E1253" s="23"/>
      <c r="G1253" s="8"/>
    </row>
    <row r="1254" spans="1:7" x14ac:dyDescent="0.3">
      <c r="A1254" s="4"/>
      <c r="B1254" s="4"/>
      <c r="C1254" s="4"/>
      <c r="D1254" s="4"/>
      <c r="E1254" s="23"/>
      <c r="G1254" s="8"/>
    </row>
    <row r="1255" spans="1:7" x14ac:dyDescent="0.3">
      <c r="A1255" s="4"/>
      <c r="B1255" s="4"/>
      <c r="C1255" s="4"/>
      <c r="D1255" s="4"/>
      <c r="E1255" s="23"/>
      <c r="G1255" s="8"/>
    </row>
    <row r="1256" spans="1:7" x14ac:dyDescent="0.3">
      <c r="A1256" s="4"/>
      <c r="B1256" s="4"/>
      <c r="C1256" s="4"/>
      <c r="D1256" s="4"/>
      <c r="E1256" s="23"/>
      <c r="G1256" s="8"/>
    </row>
    <row r="1257" spans="1:7" x14ac:dyDescent="0.3">
      <c r="A1257" s="4"/>
      <c r="B1257" s="4"/>
      <c r="C1257" s="4"/>
      <c r="D1257" s="4"/>
      <c r="E1257" s="23"/>
      <c r="G1257" s="8"/>
    </row>
    <row r="1258" spans="1:7" x14ac:dyDescent="0.3">
      <c r="A1258" s="4"/>
      <c r="B1258" s="4"/>
      <c r="C1258" s="4"/>
      <c r="D1258" s="4"/>
      <c r="E1258" s="23"/>
      <c r="G1258" s="8"/>
    </row>
    <row r="1259" spans="1:7" x14ac:dyDescent="0.3">
      <c r="A1259" s="4"/>
      <c r="B1259" s="4"/>
      <c r="C1259" s="4"/>
      <c r="D1259" s="4"/>
      <c r="E1259" s="23"/>
      <c r="G1259" s="8"/>
    </row>
    <row r="1260" spans="1:7" x14ac:dyDescent="0.3">
      <c r="A1260" s="4"/>
      <c r="B1260" s="4"/>
      <c r="C1260" s="4"/>
      <c r="D1260" s="4"/>
      <c r="E1260" s="23"/>
      <c r="G1260" s="8"/>
    </row>
    <row r="1261" spans="1:7" x14ac:dyDescent="0.3">
      <c r="A1261" s="4"/>
      <c r="B1261" s="4"/>
      <c r="C1261" s="4"/>
      <c r="D1261" s="4"/>
      <c r="E1261" s="23"/>
      <c r="G1261" s="8"/>
    </row>
    <row r="1262" spans="1:7" x14ac:dyDescent="0.3">
      <c r="A1262" s="4"/>
      <c r="B1262" s="4"/>
      <c r="C1262" s="4"/>
      <c r="D1262" s="4"/>
      <c r="E1262" s="23"/>
      <c r="G1262" s="8"/>
    </row>
    <row r="1263" spans="1:7" x14ac:dyDescent="0.3">
      <c r="A1263" s="4"/>
      <c r="B1263" s="4"/>
      <c r="C1263" s="4"/>
      <c r="D1263" s="4"/>
      <c r="E1263" s="23"/>
      <c r="G1263" s="8"/>
    </row>
    <row r="1264" spans="1:7" x14ac:dyDescent="0.3">
      <c r="A1264" s="4"/>
      <c r="B1264" s="4"/>
      <c r="C1264" s="4"/>
      <c r="D1264" s="4"/>
      <c r="E1264" s="23"/>
      <c r="G1264" s="8"/>
    </row>
    <row r="1265" spans="1:7" x14ac:dyDescent="0.3">
      <c r="A1265" s="4"/>
      <c r="B1265" s="4"/>
      <c r="C1265" s="4"/>
      <c r="D1265" s="4"/>
      <c r="E1265" s="23"/>
      <c r="G1265" s="8"/>
    </row>
    <row r="1266" spans="1:7" x14ac:dyDescent="0.3">
      <c r="A1266" s="4"/>
      <c r="B1266" s="4"/>
      <c r="C1266" s="4"/>
      <c r="D1266" s="4"/>
      <c r="E1266" s="23"/>
      <c r="G1266" s="8"/>
    </row>
    <row r="1267" spans="1:7" x14ac:dyDescent="0.3">
      <c r="A1267" s="4"/>
      <c r="B1267" s="4"/>
      <c r="C1267" s="4"/>
      <c r="D1267" s="4"/>
      <c r="E1267" s="23"/>
      <c r="G1267" s="8"/>
    </row>
    <row r="1268" spans="1:7" x14ac:dyDescent="0.3">
      <c r="A1268" s="4"/>
      <c r="B1268" s="4"/>
      <c r="C1268" s="4"/>
      <c r="D1268" s="4"/>
      <c r="E1268" s="23"/>
      <c r="G1268" s="8"/>
    </row>
    <row r="1269" spans="1:7" x14ac:dyDescent="0.3">
      <c r="A1269" s="4"/>
      <c r="B1269" s="4"/>
      <c r="C1269" s="4"/>
      <c r="D1269" s="4"/>
      <c r="E1269" s="23"/>
      <c r="G1269" s="8"/>
    </row>
    <row r="1270" spans="1:7" x14ac:dyDescent="0.3">
      <c r="A1270" s="4"/>
      <c r="B1270" s="4"/>
      <c r="C1270" s="4"/>
      <c r="D1270" s="4"/>
      <c r="E1270" s="23"/>
      <c r="G1270" s="8"/>
    </row>
    <row r="1271" spans="1:7" x14ac:dyDescent="0.3">
      <c r="A1271" s="4"/>
      <c r="B1271" s="4"/>
      <c r="C1271" s="4"/>
      <c r="D1271" s="4"/>
      <c r="E1271" s="23"/>
      <c r="G1271" s="8"/>
    </row>
    <row r="1272" spans="1:7" x14ac:dyDescent="0.3">
      <c r="A1272" s="4"/>
      <c r="B1272" s="4"/>
      <c r="C1272" s="4"/>
      <c r="D1272" s="4"/>
      <c r="E1272" s="23"/>
      <c r="G1272" s="8"/>
    </row>
    <row r="1273" spans="1:7" x14ac:dyDescent="0.3">
      <c r="A1273" s="4"/>
      <c r="B1273" s="4"/>
      <c r="C1273" s="4"/>
      <c r="D1273" s="4"/>
      <c r="E1273" s="23"/>
      <c r="G1273" s="8"/>
    </row>
    <row r="1274" spans="1:7" x14ac:dyDescent="0.3">
      <c r="A1274" s="4"/>
      <c r="B1274" s="4"/>
      <c r="C1274" s="4"/>
      <c r="D1274" s="4"/>
      <c r="E1274" s="23"/>
      <c r="G1274" s="8"/>
    </row>
    <row r="1275" spans="1:7" x14ac:dyDescent="0.3">
      <c r="A1275" s="4"/>
      <c r="B1275" s="4"/>
      <c r="C1275" s="4"/>
      <c r="D1275" s="4"/>
      <c r="E1275" s="23"/>
      <c r="G1275" s="8"/>
    </row>
    <row r="1276" spans="1:7" x14ac:dyDescent="0.3">
      <c r="A1276" s="4"/>
      <c r="B1276" s="4"/>
      <c r="C1276" s="4"/>
      <c r="D1276" s="4"/>
      <c r="E1276" s="23"/>
      <c r="G1276" s="8"/>
    </row>
    <row r="1277" spans="1:7" x14ac:dyDescent="0.3">
      <c r="A1277" s="4"/>
      <c r="B1277" s="4"/>
      <c r="C1277" s="4"/>
      <c r="D1277" s="4"/>
      <c r="E1277" s="23"/>
      <c r="G1277" s="8"/>
    </row>
    <row r="1278" spans="1:7" x14ac:dyDescent="0.3">
      <c r="A1278" s="4"/>
      <c r="B1278" s="4"/>
      <c r="C1278" s="4"/>
      <c r="D1278" s="4"/>
      <c r="E1278" s="7"/>
      <c r="G1278" s="8"/>
    </row>
    <row r="1279" spans="1:7" x14ac:dyDescent="0.3">
      <c r="A1279" s="4"/>
      <c r="B1279" s="4"/>
      <c r="C1279" s="4"/>
      <c r="D1279" s="4"/>
      <c r="E1279" s="7"/>
      <c r="G1279" s="8"/>
    </row>
    <row r="1280" spans="1:7" x14ac:dyDescent="0.3">
      <c r="A1280" s="4"/>
      <c r="B1280" s="4"/>
      <c r="C1280" s="4"/>
      <c r="D1280" s="4"/>
      <c r="E1280" s="7"/>
      <c r="G1280" s="8"/>
    </row>
    <row r="1281" spans="1:7" x14ac:dyDescent="0.3">
      <c r="A1281" s="4"/>
      <c r="B1281" s="4"/>
      <c r="C1281" s="4"/>
      <c r="D1281" s="4"/>
      <c r="E1281" s="7"/>
      <c r="G1281" s="8"/>
    </row>
    <row r="1282" spans="1:7" x14ac:dyDescent="0.3">
      <c r="A1282" s="4"/>
      <c r="B1282" s="4"/>
      <c r="C1282" s="4"/>
      <c r="D1282" s="4"/>
      <c r="E1282" s="7"/>
      <c r="G1282" s="8"/>
    </row>
    <row r="1283" spans="1:7" x14ac:dyDescent="0.3">
      <c r="A1283" s="4"/>
      <c r="B1283" s="4"/>
      <c r="C1283" s="4"/>
      <c r="D1283" s="4"/>
      <c r="E1283" s="23"/>
      <c r="G1283" s="8"/>
    </row>
    <row r="1284" spans="1:7" x14ac:dyDescent="0.3">
      <c r="A1284" s="4"/>
      <c r="B1284" s="4"/>
      <c r="C1284" s="4"/>
      <c r="D1284" s="4"/>
      <c r="E1284" s="23"/>
      <c r="G1284" s="8"/>
    </row>
    <row r="1285" spans="1:7" x14ac:dyDescent="0.3">
      <c r="A1285" s="4"/>
      <c r="B1285" s="4"/>
      <c r="C1285" s="4"/>
      <c r="D1285" s="4"/>
      <c r="E1285" s="7"/>
      <c r="G1285" s="8"/>
    </row>
    <row r="1286" spans="1:7" x14ac:dyDescent="0.3">
      <c r="A1286" s="4"/>
      <c r="B1286" s="4"/>
      <c r="C1286" s="4"/>
      <c r="D1286" s="4"/>
      <c r="E1286" s="23"/>
      <c r="G1286" s="8"/>
    </row>
    <row r="1287" spans="1:7" x14ac:dyDescent="0.3">
      <c r="A1287" s="4"/>
      <c r="B1287" s="4"/>
      <c r="C1287" s="4"/>
      <c r="D1287" s="4"/>
      <c r="E1287" s="7"/>
      <c r="G1287" s="8"/>
    </row>
    <row r="1288" spans="1:7" x14ac:dyDescent="0.3">
      <c r="A1288" s="4"/>
      <c r="B1288" s="4"/>
      <c r="C1288" s="4"/>
      <c r="D1288" s="4"/>
      <c r="E1288" s="7"/>
      <c r="G1288" s="8"/>
    </row>
    <row r="1289" spans="1:7" x14ac:dyDescent="0.3">
      <c r="A1289" s="4"/>
      <c r="B1289" s="4"/>
      <c r="C1289" s="4"/>
      <c r="D1289" s="4"/>
      <c r="E1289" s="7"/>
      <c r="G1289" s="8"/>
    </row>
    <row r="1290" spans="1:7" x14ac:dyDescent="0.3">
      <c r="A1290" s="4"/>
      <c r="B1290" s="4"/>
      <c r="C1290" s="4"/>
      <c r="D1290" s="4"/>
      <c r="E1290" s="7"/>
      <c r="G1290" s="8"/>
    </row>
    <row r="1291" spans="1:7" x14ac:dyDescent="0.3">
      <c r="A1291" s="4"/>
      <c r="B1291" s="4"/>
      <c r="C1291" s="4"/>
      <c r="D1291" s="4"/>
      <c r="E1291" s="7"/>
      <c r="G1291" s="8"/>
    </row>
    <row r="1292" spans="1:7" x14ac:dyDescent="0.3">
      <c r="A1292" s="4"/>
      <c r="B1292" s="4"/>
      <c r="C1292" s="4"/>
      <c r="D1292" s="4"/>
      <c r="E1292" s="23"/>
      <c r="G1292" s="8"/>
    </row>
    <row r="1293" spans="1:7" x14ac:dyDescent="0.3">
      <c r="A1293" s="4"/>
      <c r="B1293" s="4"/>
      <c r="C1293" s="4"/>
      <c r="D1293" s="4"/>
      <c r="E1293" s="7"/>
      <c r="G1293" s="8"/>
    </row>
    <row r="1294" spans="1:7" x14ac:dyDescent="0.3">
      <c r="A1294" s="4"/>
      <c r="B1294" s="4"/>
      <c r="C1294" s="4"/>
      <c r="D1294" s="4"/>
      <c r="E1294" s="7"/>
      <c r="G1294" s="8"/>
    </row>
    <row r="1295" spans="1:7" x14ac:dyDescent="0.3">
      <c r="A1295" s="4"/>
      <c r="B1295" s="4"/>
      <c r="C1295" s="4"/>
      <c r="D1295" s="4"/>
      <c r="E1295" s="7"/>
      <c r="G1295" s="8"/>
    </row>
    <row r="1296" spans="1:7" x14ac:dyDescent="0.3">
      <c r="A1296" s="4"/>
      <c r="B1296" s="4"/>
      <c r="C1296" s="4"/>
      <c r="D1296" s="4"/>
      <c r="E1296" s="7"/>
      <c r="G1296" s="8"/>
    </row>
    <row r="1297" spans="1:7" x14ac:dyDescent="0.3">
      <c r="A1297" s="4"/>
      <c r="B1297" s="4"/>
      <c r="C1297" s="4"/>
      <c r="D1297" s="4"/>
      <c r="E1297" s="7"/>
      <c r="G1297" s="8"/>
    </row>
    <row r="1298" spans="1:7" x14ac:dyDescent="0.3">
      <c r="A1298" s="4"/>
      <c r="B1298" s="4"/>
      <c r="C1298" s="4"/>
      <c r="D1298" s="4"/>
      <c r="E1298" s="7"/>
      <c r="G1298" s="8"/>
    </row>
    <row r="1299" spans="1:7" x14ac:dyDescent="0.3">
      <c r="A1299" s="4"/>
      <c r="B1299" s="4"/>
      <c r="C1299" s="4"/>
      <c r="D1299" s="4"/>
      <c r="E1299" s="7"/>
      <c r="G1299" s="8"/>
    </row>
    <row r="1300" spans="1:7" x14ac:dyDescent="0.3">
      <c r="A1300" s="4"/>
      <c r="B1300" s="4"/>
      <c r="C1300" s="4"/>
      <c r="D1300" s="4"/>
      <c r="E1300" s="7"/>
      <c r="G1300" s="8"/>
    </row>
    <row r="1301" spans="1:7" x14ac:dyDescent="0.3">
      <c r="A1301" s="4"/>
      <c r="B1301" s="4"/>
      <c r="C1301" s="4"/>
      <c r="D1301" s="4"/>
      <c r="E1301" s="7"/>
      <c r="G1301" s="8"/>
    </row>
    <row r="1302" spans="1:7" x14ac:dyDescent="0.3">
      <c r="A1302" s="4"/>
      <c r="B1302" s="4"/>
      <c r="C1302" s="4"/>
      <c r="D1302" s="4"/>
      <c r="E1302" s="7"/>
      <c r="G1302" s="8"/>
    </row>
    <row r="1303" spans="1:7" x14ac:dyDescent="0.3">
      <c r="A1303" s="4"/>
      <c r="B1303" s="4"/>
      <c r="C1303" s="4"/>
      <c r="D1303" s="4"/>
      <c r="E1303" s="7"/>
      <c r="G1303" s="8"/>
    </row>
    <row r="1304" spans="1:7" x14ac:dyDescent="0.3">
      <c r="A1304" s="4"/>
      <c r="B1304" s="4"/>
      <c r="C1304" s="4"/>
      <c r="D1304" s="4"/>
      <c r="E1304" s="7"/>
      <c r="G1304" s="8"/>
    </row>
    <row r="1305" spans="1:7" x14ac:dyDescent="0.3">
      <c r="A1305" s="4"/>
      <c r="B1305" s="4"/>
      <c r="C1305" s="4"/>
      <c r="D1305" s="4"/>
      <c r="E1305" s="7"/>
      <c r="G1305" s="8"/>
    </row>
    <row r="1306" spans="1:7" x14ac:dyDescent="0.3">
      <c r="A1306" s="4"/>
      <c r="B1306" s="4"/>
      <c r="C1306" s="4"/>
      <c r="D1306" s="4"/>
      <c r="E1306" s="7"/>
      <c r="G1306" s="8"/>
    </row>
    <row r="1307" spans="1:7" x14ac:dyDescent="0.3">
      <c r="A1307" s="4"/>
      <c r="B1307" s="4"/>
      <c r="C1307" s="4"/>
      <c r="D1307" s="4"/>
      <c r="E1307" s="7"/>
      <c r="G1307" s="8"/>
    </row>
    <row r="1308" spans="1:7" x14ac:dyDescent="0.3">
      <c r="A1308" s="4"/>
      <c r="B1308" s="4"/>
      <c r="C1308" s="4"/>
      <c r="D1308" s="4"/>
      <c r="E1308" s="7"/>
      <c r="G1308" s="8"/>
    </row>
    <row r="1309" spans="1:7" x14ac:dyDescent="0.3">
      <c r="A1309" s="4"/>
      <c r="B1309" s="4"/>
      <c r="C1309" s="4"/>
      <c r="D1309" s="4"/>
      <c r="E1309" s="7"/>
      <c r="G1309" s="8"/>
    </row>
    <row r="1310" spans="1:7" x14ac:dyDescent="0.3">
      <c r="A1310" s="4"/>
      <c r="B1310" s="4"/>
      <c r="C1310" s="4"/>
      <c r="D1310" s="4"/>
      <c r="E1310" s="7"/>
      <c r="G1310" s="8"/>
    </row>
    <row r="1311" spans="1:7" x14ac:dyDescent="0.3">
      <c r="A1311" s="4"/>
      <c r="B1311" s="4"/>
      <c r="C1311" s="4"/>
      <c r="D1311" s="4"/>
      <c r="E1311" s="7"/>
      <c r="G1311" s="8"/>
    </row>
    <row r="1312" spans="1:7" x14ac:dyDescent="0.3">
      <c r="A1312" s="4"/>
      <c r="B1312" s="4"/>
      <c r="C1312" s="4"/>
      <c r="D1312" s="4"/>
      <c r="E1312" s="7"/>
      <c r="G1312" s="8"/>
    </row>
    <row r="1313" spans="1:7" x14ac:dyDescent="0.3">
      <c r="A1313" s="4"/>
      <c r="B1313" s="4"/>
      <c r="C1313" s="4"/>
      <c r="D1313" s="4"/>
      <c r="E1313" s="7"/>
      <c r="G1313" s="8"/>
    </row>
    <row r="1314" spans="1:7" x14ac:dyDescent="0.3">
      <c r="A1314" s="4"/>
      <c r="B1314" s="4"/>
      <c r="C1314" s="4"/>
      <c r="D1314" s="4"/>
      <c r="E1314" s="7"/>
      <c r="G1314" s="8"/>
    </row>
    <row r="1315" spans="1:7" x14ac:dyDescent="0.3">
      <c r="A1315" s="4"/>
      <c r="B1315" s="4"/>
      <c r="C1315" s="4"/>
      <c r="D1315" s="4"/>
      <c r="E1315" s="7"/>
      <c r="G1315" s="8"/>
    </row>
    <row r="1316" spans="1:7" x14ac:dyDescent="0.3">
      <c r="A1316" s="4"/>
      <c r="B1316" s="4"/>
      <c r="C1316" s="4"/>
      <c r="D1316" s="4"/>
      <c r="E1316" s="7"/>
      <c r="G1316" s="8"/>
    </row>
    <row r="1317" spans="1:7" x14ac:dyDescent="0.3">
      <c r="A1317" s="4"/>
      <c r="B1317" s="4"/>
      <c r="C1317" s="4"/>
      <c r="D1317" s="4"/>
      <c r="E1317" s="7"/>
      <c r="G1317" s="8"/>
    </row>
    <row r="1318" spans="1:7" x14ac:dyDescent="0.3">
      <c r="A1318" s="4"/>
      <c r="B1318" s="4"/>
      <c r="C1318" s="4"/>
      <c r="D1318" s="4"/>
      <c r="E1318" s="7"/>
      <c r="G1318" s="8"/>
    </row>
    <row r="1319" spans="1:7" x14ac:dyDescent="0.3">
      <c r="A1319" s="4"/>
      <c r="B1319" s="4"/>
      <c r="C1319" s="4"/>
      <c r="D1319" s="4"/>
      <c r="E1319" s="7"/>
      <c r="G1319" s="8"/>
    </row>
    <row r="1320" spans="1:7" x14ac:dyDescent="0.3">
      <c r="A1320" s="4"/>
      <c r="B1320" s="4"/>
      <c r="C1320" s="4"/>
      <c r="D1320" s="4"/>
      <c r="E1320" s="7"/>
      <c r="G1320" s="8"/>
    </row>
    <row r="1321" spans="1:7" x14ac:dyDescent="0.3">
      <c r="A1321" s="4"/>
      <c r="B1321" s="4"/>
      <c r="C1321" s="4"/>
      <c r="D1321" s="4"/>
      <c r="E1321" s="7"/>
      <c r="G1321" s="8"/>
    </row>
    <row r="1322" spans="1:7" x14ac:dyDescent="0.3">
      <c r="A1322" s="4"/>
      <c r="B1322" s="4"/>
      <c r="C1322" s="4"/>
      <c r="D1322" s="4"/>
      <c r="E1322" s="7"/>
      <c r="G1322" s="8"/>
    </row>
    <row r="1323" spans="1:7" x14ac:dyDescent="0.3">
      <c r="A1323" s="4"/>
      <c r="B1323" s="4"/>
      <c r="C1323" s="4"/>
      <c r="D1323" s="4"/>
      <c r="E1323" s="7"/>
      <c r="G1323" s="8"/>
    </row>
    <row r="1324" spans="1:7" x14ac:dyDescent="0.3">
      <c r="A1324" s="4"/>
      <c r="B1324" s="4"/>
      <c r="C1324" s="4"/>
      <c r="D1324" s="4"/>
      <c r="E1324" s="7"/>
      <c r="G1324" s="8"/>
    </row>
    <row r="1325" spans="1:7" x14ac:dyDescent="0.3">
      <c r="A1325" s="4"/>
      <c r="B1325" s="4"/>
      <c r="C1325" s="4"/>
      <c r="D1325" s="4"/>
      <c r="E1325" s="7"/>
      <c r="G1325" s="8"/>
    </row>
    <row r="1326" spans="1:7" x14ac:dyDescent="0.3">
      <c r="A1326" s="4"/>
      <c r="B1326" s="4"/>
      <c r="C1326" s="4"/>
      <c r="D1326" s="4"/>
      <c r="E1326" s="7"/>
      <c r="G1326" s="8"/>
    </row>
    <row r="1327" spans="1:7" x14ac:dyDescent="0.3">
      <c r="A1327" s="4"/>
      <c r="B1327" s="4"/>
      <c r="C1327" s="4"/>
      <c r="D1327" s="4"/>
      <c r="E1327" s="7"/>
      <c r="G1327" s="8"/>
    </row>
    <row r="1328" spans="1:7" x14ac:dyDescent="0.3">
      <c r="A1328" s="4"/>
      <c r="B1328" s="4"/>
      <c r="C1328" s="4"/>
      <c r="D1328" s="4"/>
      <c r="E1328" s="7"/>
      <c r="G1328" s="8"/>
    </row>
    <row r="1329" spans="1:7" x14ac:dyDescent="0.3">
      <c r="A1329" s="4"/>
      <c r="B1329" s="4"/>
      <c r="C1329" s="4"/>
      <c r="D1329" s="4"/>
      <c r="E1329" s="7"/>
      <c r="G1329" s="8"/>
    </row>
    <row r="1330" spans="1:7" x14ac:dyDescent="0.3">
      <c r="A1330" s="4"/>
      <c r="B1330" s="4"/>
      <c r="C1330" s="4"/>
      <c r="D1330" s="4"/>
      <c r="E1330" s="7"/>
      <c r="G1330" s="8"/>
    </row>
    <row r="1331" spans="1:7" x14ac:dyDescent="0.3">
      <c r="A1331" s="4"/>
      <c r="B1331" s="4"/>
      <c r="C1331" s="4"/>
      <c r="D1331" s="4"/>
      <c r="E1331" s="7"/>
      <c r="G1331" s="8"/>
    </row>
    <row r="1332" spans="1:7" x14ac:dyDescent="0.3">
      <c r="A1332" s="4"/>
      <c r="B1332" s="4"/>
      <c r="C1332" s="4"/>
      <c r="D1332" s="4"/>
      <c r="E1332" s="7"/>
      <c r="G1332" s="8"/>
    </row>
    <row r="1333" spans="1:7" x14ac:dyDescent="0.3">
      <c r="A1333" s="4"/>
      <c r="B1333" s="4"/>
      <c r="C1333" s="4"/>
      <c r="D1333" s="4"/>
      <c r="E1333" s="7"/>
      <c r="G1333" s="8"/>
    </row>
    <row r="1334" spans="1:7" x14ac:dyDescent="0.3">
      <c r="A1334" s="4"/>
      <c r="B1334" s="4"/>
      <c r="C1334" s="4"/>
      <c r="D1334" s="4"/>
      <c r="E1334" s="7"/>
      <c r="G1334" s="8"/>
    </row>
    <row r="1335" spans="1:7" x14ac:dyDescent="0.3">
      <c r="A1335" s="4"/>
      <c r="B1335" s="4"/>
      <c r="C1335" s="4"/>
      <c r="D1335" s="4"/>
      <c r="E1335" s="7"/>
      <c r="G1335" s="8"/>
    </row>
    <row r="1336" spans="1:7" x14ac:dyDescent="0.3">
      <c r="A1336" s="4"/>
      <c r="B1336" s="4"/>
      <c r="C1336" s="4"/>
      <c r="D1336" s="4"/>
      <c r="E1336" s="7"/>
      <c r="G1336" s="8"/>
    </row>
    <row r="1337" spans="1:7" x14ac:dyDescent="0.3">
      <c r="A1337" s="4"/>
      <c r="B1337" s="4"/>
      <c r="C1337" s="4"/>
      <c r="D1337" s="4"/>
      <c r="E1337" s="7"/>
      <c r="G1337" s="8"/>
    </row>
    <row r="1338" spans="1:7" x14ac:dyDescent="0.3">
      <c r="A1338" s="4"/>
      <c r="B1338" s="4"/>
      <c r="C1338" s="4"/>
      <c r="D1338" s="4"/>
      <c r="E1338" s="7"/>
      <c r="G1338" s="8"/>
    </row>
    <row r="1339" spans="1:7" x14ac:dyDescent="0.3">
      <c r="A1339" s="4"/>
      <c r="B1339" s="4"/>
      <c r="C1339" s="4"/>
      <c r="D1339" s="4"/>
      <c r="E1339" s="7"/>
      <c r="G1339" s="8"/>
    </row>
    <row r="1340" spans="1:7" x14ac:dyDescent="0.3">
      <c r="A1340" s="4"/>
      <c r="B1340" s="4"/>
      <c r="C1340" s="4"/>
      <c r="D1340" s="4"/>
      <c r="E1340" s="7"/>
      <c r="G1340" s="8"/>
    </row>
    <row r="1341" spans="1:7" x14ac:dyDescent="0.3">
      <c r="A1341" s="4"/>
      <c r="B1341" s="4"/>
      <c r="C1341" s="4"/>
      <c r="D1341" s="4"/>
      <c r="E1341" s="7"/>
      <c r="G1341" s="8"/>
    </row>
    <row r="1342" spans="1:7" x14ac:dyDescent="0.3">
      <c r="A1342" s="4"/>
      <c r="B1342" s="4"/>
      <c r="C1342" s="4"/>
      <c r="D1342" s="4"/>
      <c r="E1342" s="7"/>
      <c r="G1342" s="8"/>
    </row>
    <row r="1343" spans="1:7" x14ac:dyDescent="0.3">
      <c r="A1343" s="4"/>
      <c r="B1343" s="4"/>
      <c r="C1343" s="4"/>
      <c r="D1343" s="4"/>
      <c r="E1343" s="7"/>
      <c r="G1343" s="8"/>
    </row>
    <row r="1344" spans="1:7" x14ac:dyDescent="0.3">
      <c r="A1344" s="4"/>
      <c r="B1344" s="4"/>
      <c r="C1344" s="4"/>
      <c r="D1344" s="4"/>
      <c r="E1344" s="7"/>
      <c r="G1344" s="8"/>
    </row>
    <row r="1345" spans="1:7" x14ac:dyDescent="0.3">
      <c r="A1345" s="4"/>
      <c r="B1345" s="4"/>
      <c r="C1345" s="4"/>
      <c r="D1345" s="4"/>
      <c r="E1345" s="7"/>
      <c r="G1345" s="8"/>
    </row>
    <row r="1346" spans="1:7" x14ac:dyDescent="0.3">
      <c r="A1346" s="4"/>
      <c r="B1346" s="4"/>
      <c r="C1346" s="4"/>
      <c r="D1346" s="4"/>
      <c r="E1346" s="7"/>
      <c r="G1346" s="8"/>
    </row>
    <row r="1347" spans="1:7" x14ac:dyDescent="0.3">
      <c r="A1347" s="4"/>
      <c r="B1347" s="4"/>
      <c r="C1347" s="4"/>
      <c r="D1347" s="4"/>
      <c r="E1347" s="7"/>
      <c r="G1347" s="8"/>
    </row>
    <row r="1348" spans="1:7" x14ac:dyDescent="0.3">
      <c r="A1348" s="4"/>
      <c r="B1348" s="4"/>
      <c r="C1348" s="4"/>
      <c r="D1348" s="4"/>
      <c r="E1348" s="7"/>
      <c r="G1348" s="8"/>
    </row>
    <row r="1349" spans="1:7" x14ac:dyDescent="0.3">
      <c r="A1349" s="4"/>
      <c r="B1349" s="4"/>
      <c r="C1349" s="4"/>
      <c r="D1349" s="4"/>
      <c r="E1349" s="7"/>
      <c r="G1349" s="8"/>
    </row>
    <row r="1350" spans="1:7" x14ac:dyDescent="0.3">
      <c r="A1350" s="4"/>
      <c r="B1350" s="4"/>
      <c r="C1350" s="4"/>
      <c r="D1350" s="4"/>
      <c r="E1350" s="7"/>
      <c r="G1350" s="8"/>
    </row>
    <row r="1351" spans="1:7" x14ac:dyDescent="0.3">
      <c r="A1351" s="4"/>
      <c r="B1351" s="4"/>
      <c r="C1351" s="4"/>
      <c r="D1351" s="4"/>
      <c r="E1351" s="7"/>
      <c r="G1351" s="8"/>
    </row>
    <row r="1352" spans="1:7" x14ac:dyDescent="0.3">
      <c r="A1352" s="4"/>
      <c r="B1352" s="4"/>
      <c r="C1352" s="4"/>
      <c r="D1352" s="4"/>
      <c r="E1352" s="7"/>
      <c r="G1352" s="8"/>
    </row>
    <row r="1353" spans="1:7" x14ac:dyDescent="0.3">
      <c r="A1353" s="4"/>
      <c r="B1353" s="4"/>
      <c r="C1353" s="4"/>
      <c r="D1353" s="4"/>
      <c r="E1353" s="7"/>
      <c r="G1353" s="8"/>
    </row>
    <row r="1354" spans="1:7" x14ac:dyDescent="0.3">
      <c r="A1354" s="4"/>
      <c r="B1354" s="4"/>
      <c r="C1354" s="4"/>
      <c r="D1354" s="4"/>
      <c r="E1354" s="7"/>
      <c r="G1354" s="8"/>
    </row>
    <row r="1355" spans="1:7" x14ac:dyDescent="0.3">
      <c r="A1355" s="4"/>
      <c r="B1355" s="4"/>
      <c r="C1355" s="4"/>
      <c r="D1355" s="4"/>
      <c r="E1355" s="7"/>
      <c r="G1355" s="8"/>
    </row>
    <row r="1356" spans="1:7" x14ac:dyDescent="0.3">
      <c r="A1356" s="4"/>
      <c r="B1356" s="4"/>
      <c r="C1356" s="4"/>
      <c r="D1356" s="4"/>
      <c r="E1356" s="7"/>
      <c r="G1356" s="8"/>
    </row>
    <row r="1357" spans="1:7" x14ac:dyDescent="0.3">
      <c r="A1357" s="4"/>
      <c r="B1357" s="4"/>
      <c r="C1357" s="4"/>
      <c r="D1357" s="4"/>
      <c r="E1357" s="7"/>
      <c r="G1357" s="8"/>
    </row>
    <row r="1358" spans="1:7" x14ac:dyDescent="0.3">
      <c r="A1358" s="4"/>
      <c r="B1358" s="4"/>
      <c r="C1358" s="4"/>
      <c r="D1358" s="4"/>
      <c r="E1358" s="7"/>
      <c r="G1358" s="8"/>
    </row>
    <row r="1359" spans="1:7" x14ac:dyDescent="0.3">
      <c r="A1359" s="4"/>
      <c r="B1359" s="4"/>
      <c r="C1359" s="4"/>
      <c r="D1359" s="4"/>
      <c r="E1359" s="7"/>
      <c r="G1359" s="8"/>
    </row>
    <row r="1360" spans="1:7" x14ac:dyDescent="0.3">
      <c r="A1360" s="4"/>
      <c r="B1360" s="4"/>
      <c r="C1360" s="4"/>
      <c r="D1360" s="4"/>
      <c r="E1360" s="7"/>
      <c r="G1360" s="8"/>
    </row>
    <row r="1361" spans="1:7" x14ac:dyDescent="0.3">
      <c r="A1361" s="4"/>
      <c r="B1361" s="4"/>
      <c r="C1361" s="4"/>
      <c r="D1361" s="4"/>
      <c r="E1361" s="7"/>
      <c r="G1361" s="8"/>
    </row>
    <row r="1362" spans="1:7" x14ac:dyDescent="0.3">
      <c r="A1362" s="4"/>
      <c r="B1362" s="4"/>
      <c r="C1362" s="4"/>
      <c r="D1362" s="4"/>
      <c r="E1362" s="7"/>
      <c r="G1362" s="8"/>
    </row>
    <row r="1363" spans="1:7" x14ac:dyDescent="0.3">
      <c r="A1363" s="4"/>
      <c r="B1363" s="4"/>
      <c r="C1363" s="4"/>
      <c r="D1363" s="4"/>
      <c r="E1363" s="7"/>
      <c r="G1363" s="8"/>
    </row>
    <row r="1364" spans="1:7" x14ac:dyDescent="0.3">
      <c r="A1364" s="4"/>
      <c r="B1364" s="4"/>
      <c r="C1364" s="4"/>
      <c r="D1364" s="4"/>
      <c r="E1364" s="7"/>
      <c r="G1364" s="8"/>
    </row>
    <row r="1365" spans="1:7" x14ac:dyDescent="0.3">
      <c r="A1365" s="4"/>
      <c r="B1365" s="4"/>
      <c r="C1365" s="4"/>
      <c r="D1365" s="4"/>
      <c r="E1365" s="7"/>
      <c r="G1365" s="8"/>
    </row>
    <row r="1366" spans="1:7" x14ac:dyDescent="0.3">
      <c r="A1366" s="4"/>
      <c r="B1366" s="4"/>
      <c r="C1366" s="4"/>
      <c r="D1366" s="4"/>
      <c r="E1366" s="7"/>
      <c r="G1366" s="8"/>
    </row>
    <row r="1367" spans="1:7" x14ac:dyDescent="0.3">
      <c r="A1367" s="4"/>
      <c r="B1367" s="4"/>
      <c r="C1367" s="4"/>
      <c r="D1367" s="4"/>
      <c r="E1367" s="7"/>
      <c r="G1367" s="8"/>
    </row>
    <row r="1368" spans="1:7" x14ac:dyDescent="0.3">
      <c r="A1368" s="4"/>
      <c r="B1368" s="4"/>
      <c r="C1368" s="4"/>
      <c r="D1368" s="4"/>
      <c r="E1368" s="7"/>
      <c r="G1368" s="8"/>
    </row>
    <row r="1369" spans="1:7" x14ac:dyDescent="0.3">
      <c r="A1369" s="4"/>
      <c r="B1369" s="4"/>
      <c r="C1369" s="4"/>
      <c r="D1369" s="4"/>
      <c r="E1369" s="7"/>
      <c r="G1369" s="8"/>
    </row>
    <row r="1370" spans="1:7" x14ac:dyDescent="0.3">
      <c r="A1370" s="4"/>
      <c r="B1370" s="4"/>
      <c r="C1370" s="4"/>
      <c r="D1370" s="4"/>
      <c r="E1370" s="7"/>
      <c r="G1370" s="8"/>
    </row>
    <row r="1371" spans="1:7" x14ac:dyDescent="0.3">
      <c r="A1371" s="4"/>
      <c r="B1371" s="4"/>
      <c r="C1371" s="4"/>
      <c r="D1371" s="4"/>
      <c r="E1371" s="7"/>
      <c r="G1371" s="8"/>
    </row>
    <row r="1372" spans="1:7" x14ac:dyDescent="0.3">
      <c r="A1372" s="4"/>
      <c r="B1372" s="4"/>
      <c r="C1372" s="4"/>
      <c r="D1372" s="4"/>
      <c r="E1372" s="7"/>
      <c r="G1372" s="8"/>
    </row>
    <row r="1373" spans="1:7" x14ac:dyDescent="0.3">
      <c r="A1373" s="4"/>
      <c r="B1373" s="4"/>
      <c r="C1373" s="4"/>
      <c r="D1373" s="4"/>
      <c r="E1373" s="7"/>
      <c r="G1373" s="8"/>
    </row>
    <row r="1374" spans="1:7" x14ac:dyDescent="0.3">
      <c r="A1374" s="4"/>
      <c r="B1374" s="4"/>
      <c r="C1374" s="4"/>
      <c r="D1374" s="4"/>
      <c r="E1374" s="7"/>
      <c r="G1374" s="8"/>
    </row>
    <row r="1375" spans="1:7" x14ac:dyDescent="0.3">
      <c r="A1375" s="4"/>
      <c r="B1375" s="4"/>
      <c r="C1375" s="4"/>
      <c r="D1375" s="4"/>
      <c r="E1375" s="7"/>
      <c r="G1375" s="8"/>
    </row>
    <row r="1376" spans="1:7" x14ac:dyDescent="0.3">
      <c r="A1376" s="4"/>
      <c r="B1376" s="4"/>
      <c r="C1376" s="4"/>
      <c r="D1376" s="4"/>
      <c r="E1376" s="7"/>
      <c r="G1376" s="8"/>
    </row>
    <row r="1377" spans="1:7" x14ac:dyDescent="0.3">
      <c r="A1377" s="4"/>
      <c r="B1377" s="4"/>
      <c r="C1377" s="4"/>
      <c r="D1377" s="4"/>
      <c r="E1377" s="7"/>
      <c r="G1377" s="8"/>
    </row>
    <row r="1378" spans="1:7" x14ac:dyDescent="0.3">
      <c r="A1378" s="4"/>
      <c r="B1378" s="4"/>
      <c r="C1378" s="4"/>
      <c r="D1378" s="4"/>
      <c r="E1378" s="7"/>
      <c r="G1378" s="8"/>
    </row>
    <row r="1379" spans="1:7" x14ac:dyDescent="0.3">
      <c r="A1379" s="4"/>
      <c r="B1379" s="4"/>
      <c r="C1379" s="4"/>
      <c r="D1379" s="4"/>
      <c r="E1379" s="7"/>
      <c r="G1379" s="8"/>
    </row>
    <row r="1380" spans="1:7" x14ac:dyDescent="0.3">
      <c r="A1380" s="4"/>
      <c r="B1380" s="4"/>
      <c r="C1380" s="4"/>
      <c r="D1380" s="4"/>
      <c r="E1380" s="7"/>
      <c r="G1380" s="8"/>
    </row>
    <row r="1381" spans="1:7" x14ac:dyDescent="0.3">
      <c r="A1381" s="4"/>
      <c r="B1381" s="4"/>
      <c r="C1381" s="4"/>
      <c r="D1381" s="4"/>
      <c r="E1381" s="7"/>
      <c r="G1381" s="8"/>
    </row>
    <row r="1382" spans="1:7" x14ac:dyDescent="0.3">
      <c r="A1382" s="4"/>
      <c r="B1382" s="4"/>
      <c r="C1382" s="4"/>
      <c r="D1382" s="4"/>
      <c r="E1382" s="7"/>
      <c r="G1382" s="8"/>
    </row>
    <row r="1383" spans="1:7" x14ac:dyDescent="0.3">
      <c r="A1383" s="4"/>
      <c r="B1383" s="4"/>
      <c r="C1383" s="4"/>
      <c r="D1383" s="4"/>
      <c r="E1383" s="7"/>
      <c r="G1383" s="8"/>
    </row>
    <row r="1384" spans="1:7" x14ac:dyDescent="0.3">
      <c r="A1384" s="4"/>
      <c r="B1384" s="4"/>
      <c r="C1384" s="4"/>
      <c r="D1384" s="4"/>
      <c r="E1384" s="7"/>
      <c r="G1384" s="8"/>
    </row>
    <row r="1385" spans="1:7" x14ac:dyDescent="0.3">
      <c r="A1385" s="4"/>
      <c r="B1385" s="4"/>
      <c r="C1385" s="4"/>
      <c r="D1385" s="4"/>
      <c r="E1385" s="7"/>
      <c r="G1385" s="8"/>
    </row>
    <row r="1386" spans="1:7" x14ac:dyDescent="0.3">
      <c r="A1386" s="4"/>
      <c r="B1386" s="4"/>
      <c r="C1386" s="4"/>
      <c r="D1386" s="4"/>
      <c r="E1386" s="7"/>
      <c r="G1386" s="8"/>
    </row>
    <row r="1387" spans="1:7" x14ac:dyDescent="0.3">
      <c r="A1387" s="4"/>
      <c r="B1387" s="4"/>
      <c r="C1387" s="4"/>
      <c r="D1387" s="4"/>
      <c r="E1387" s="7"/>
      <c r="G1387" s="8"/>
    </row>
    <row r="1388" spans="1:7" x14ac:dyDescent="0.3">
      <c r="A1388" s="4"/>
      <c r="B1388" s="4"/>
      <c r="C1388" s="4"/>
      <c r="D1388" s="4"/>
      <c r="E1388" s="7"/>
      <c r="G1388" s="8"/>
    </row>
    <row r="1389" spans="1:7" x14ac:dyDescent="0.3">
      <c r="A1389" s="4"/>
      <c r="B1389" s="4"/>
      <c r="C1389" s="4"/>
      <c r="D1389" s="4"/>
      <c r="E1389" s="7"/>
      <c r="G1389" s="8"/>
    </row>
    <row r="1390" spans="1:7" x14ac:dyDescent="0.3">
      <c r="A1390" s="4"/>
      <c r="B1390" s="4"/>
      <c r="C1390" s="4"/>
      <c r="D1390" s="4"/>
      <c r="E1390" s="7"/>
      <c r="G1390" s="8"/>
    </row>
    <row r="1391" spans="1:7" x14ac:dyDescent="0.3">
      <c r="A1391" s="4"/>
      <c r="B1391" s="4"/>
      <c r="C1391" s="4"/>
      <c r="D1391" s="4"/>
      <c r="E1391" s="7"/>
      <c r="G1391" s="8"/>
    </row>
    <row r="1392" spans="1:7" x14ac:dyDescent="0.3">
      <c r="A1392" s="4"/>
      <c r="B1392" s="4"/>
      <c r="C1392" s="4"/>
      <c r="D1392" s="4"/>
      <c r="E1392" s="7"/>
      <c r="G1392" s="8"/>
    </row>
    <row r="1393" spans="1:7" x14ac:dyDescent="0.3">
      <c r="A1393" s="4"/>
      <c r="B1393" s="4"/>
      <c r="C1393" s="4"/>
      <c r="D1393" s="4"/>
      <c r="E1393" s="7"/>
      <c r="G1393" s="8"/>
    </row>
    <row r="1394" spans="1:7" x14ac:dyDescent="0.3">
      <c r="A1394" s="4"/>
      <c r="B1394" s="4"/>
      <c r="C1394" s="4"/>
      <c r="D1394" s="4"/>
      <c r="E1394" s="7"/>
      <c r="G1394" s="8"/>
    </row>
    <row r="1395" spans="1:7" x14ac:dyDescent="0.3">
      <c r="A1395" s="4"/>
      <c r="B1395" s="4"/>
      <c r="C1395" s="4"/>
      <c r="D1395" s="4"/>
      <c r="E1395" s="7"/>
      <c r="G1395" s="8"/>
    </row>
    <row r="1396" spans="1:7" x14ac:dyDescent="0.3">
      <c r="A1396" s="4"/>
      <c r="B1396" s="4"/>
      <c r="C1396" s="4"/>
      <c r="D1396" s="4"/>
      <c r="E1396" s="7"/>
      <c r="G1396" s="8"/>
    </row>
    <row r="1397" spans="1:7" x14ac:dyDescent="0.3">
      <c r="A1397" s="4"/>
      <c r="B1397" s="4"/>
      <c r="C1397" s="4"/>
      <c r="D1397" s="4"/>
      <c r="E1397" s="7"/>
      <c r="G1397" s="8"/>
    </row>
    <row r="1398" spans="1:7" x14ac:dyDescent="0.3">
      <c r="A1398" s="4"/>
      <c r="B1398" s="4"/>
      <c r="C1398" s="4"/>
      <c r="D1398" s="4"/>
      <c r="E1398" s="7"/>
      <c r="G1398" s="8"/>
    </row>
    <row r="1399" spans="1:7" x14ac:dyDescent="0.3">
      <c r="A1399" s="4"/>
      <c r="B1399" s="4"/>
      <c r="C1399" s="4"/>
      <c r="D1399" s="4"/>
      <c r="E1399" s="7"/>
      <c r="G1399" s="8"/>
    </row>
    <row r="1400" spans="1:7" x14ac:dyDescent="0.3">
      <c r="A1400" s="4"/>
      <c r="B1400" s="4"/>
      <c r="C1400" s="4"/>
      <c r="D1400" s="4"/>
      <c r="E1400" s="7"/>
      <c r="G1400" s="8"/>
    </row>
    <row r="1401" spans="1:7" x14ac:dyDescent="0.3">
      <c r="A1401" s="4"/>
      <c r="B1401" s="4"/>
      <c r="C1401" s="4"/>
      <c r="D1401" s="4"/>
      <c r="E1401" s="7"/>
      <c r="G1401" s="8"/>
    </row>
    <row r="1402" spans="1:7" x14ac:dyDescent="0.3">
      <c r="A1402" s="4"/>
      <c r="B1402" s="4"/>
      <c r="C1402" s="4"/>
      <c r="D1402" s="4"/>
      <c r="E1402" s="7"/>
      <c r="G1402" s="8"/>
    </row>
    <row r="1403" spans="1:7" x14ac:dyDescent="0.3">
      <c r="A1403" s="4"/>
      <c r="B1403" s="4"/>
      <c r="C1403" s="4"/>
      <c r="D1403" s="4"/>
      <c r="E1403" s="7"/>
      <c r="G1403" s="8"/>
    </row>
    <row r="1404" spans="1:7" x14ac:dyDescent="0.3">
      <c r="A1404" s="4"/>
      <c r="B1404" s="4"/>
      <c r="C1404" s="4"/>
      <c r="D1404" s="4"/>
      <c r="E1404" s="7"/>
      <c r="G1404" s="8"/>
    </row>
    <row r="1405" spans="1:7" x14ac:dyDescent="0.3">
      <c r="A1405" s="4"/>
      <c r="B1405" s="4"/>
      <c r="C1405" s="4"/>
      <c r="D1405" s="4"/>
      <c r="E1405" s="7"/>
      <c r="G1405" s="8"/>
    </row>
    <row r="1406" spans="1:7" x14ac:dyDescent="0.3">
      <c r="A1406" s="4"/>
      <c r="B1406" s="4"/>
      <c r="C1406" s="4"/>
      <c r="D1406" s="4"/>
      <c r="E1406" s="7"/>
      <c r="G1406" s="8"/>
    </row>
    <row r="1407" spans="1:7" x14ac:dyDescent="0.3">
      <c r="A1407" s="4"/>
      <c r="B1407" s="4"/>
      <c r="C1407" s="4"/>
      <c r="D1407" s="4"/>
      <c r="E1407" s="7"/>
      <c r="G1407" s="8"/>
    </row>
    <row r="1408" spans="1:7" x14ac:dyDescent="0.3">
      <c r="A1408" s="4"/>
      <c r="B1408" s="4"/>
      <c r="C1408" s="4"/>
      <c r="D1408" s="4"/>
      <c r="E1408" s="7"/>
      <c r="G1408" s="8"/>
    </row>
    <row r="1409" spans="1:7" x14ac:dyDescent="0.3">
      <c r="A1409" s="4"/>
      <c r="B1409" s="4"/>
      <c r="C1409" s="4"/>
      <c r="D1409" s="4"/>
      <c r="E1409" s="7"/>
      <c r="G1409" s="8"/>
    </row>
    <row r="1410" spans="1:7" x14ac:dyDescent="0.3">
      <c r="A1410" s="4"/>
      <c r="B1410" s="4"/>
      <c r="C1410" s="4"/>
      <c r="D1410" s="4"/>
      <c r="E1410" s="7"/>
      <c r="G1410" s="8"/>
    </row>
    <row r="1411" spans="1:7" x14ac:dyDescent="0.3">
      <c r="A1411" s="4"/>
      <c r="B1411" s="4"/>
      <c r="C1411" s="4"/>
      <c r="D1411" s="4"/>
      <c r="E1411" s="7"/>
      <c r="G1411" s="8"/>
    </row>
    <row r="1412" spans="1:7" x14ac:dyDescent="0.3">
      <c r="A1412" s="4"/>
      <c r="B1412" s="4"/>
      <c r="C1412" s="4"/>
      <c r="D1412" s="4"/>
      <c r="E1412" s="7"/>
      <c r="G1412" s="8"/>
    </row>
    <row r="1413" spans="1:7" x14ac:dyDescent="0.3">
      <c r="A1413" s="4"/>
      <c r="B1413" s="4"/>
      <c r="C1413" s="4"/>
      <c r="D1413" s="4"/>
      <c r="E1413" s="7"/>
      <c r="G1413" s="8"/>
    </row>
    <row r="1414" spans="1:7" x14ac:dyDescent="0.3">
      <c r="A1414" s="4"/>
      <c r="B1414" s="4"/>
      <c r="C1414" s="4"/>
      <c r="D1414" s="4"/>
      <c r="E1414" s="7"/>
      <c r="G1414" s="8"/>
    </row>
    <row r="1415" spans="1:7" x14ac:dyDescent="0.3">
      <c r="A1415" s="4"/>
      <c r="B1415" s="4"/>
      <c r="C1415" s="4"/>
      <c r="D1415" s="4"/>
      <c r="E1415" s="7"/>
      <c r="G1415" s="8"/>
    </row>
    <row r="1416" spans="1:7" x14ac:dyDescent="0.3">
      <c r="A1416" s="4"/>
      <c r="B1416" s="4"/>
      <c r="C1416" s="4"/>
      <c r="D1416" s="4"/>
      <c r="E1416" s="7"/>
      <c r="G1416" s="8"/>
    </row>
    <row r="1417" spans="1:7" x14ac:dyDescent="0.3">
      <c r="A1417" s="4"/>
      <c r="B1417" s="4"/>
      <c r="C1417" s="4"/>
      <c r="D1417" s="4"/>
      <c r="E1417" s="7"/>
      <c r="G1417" s="8"/>
    </row>
    <row r="1418" spans="1:7" x14ac:dyDescent="0.3">
      <c r="A1418" s="4"/>
      <c r="B1418" s="4"/>
      <c r="C1418" s="4"/>
      <c r="D1418" s="4"/>
      <c r="E1418" s="7"/>
      <c r="G1418" s="8"/>
    </row>
    <row r="1419" spans="1:7" x14ac:dyDescent="0.3">
      <c r="A1419" s="4"/>
      <c r="B1419" s="4"/>
      <c r="C1419" s="4"/>
      <c r="D1419" s="4"/>
      <c r="E1419" s="7"/>
      <c r="G1419" s="8"/>
    </row>
    <row r="1420" spans="1:7" x14ac:dyDescent="0.3">
      <c r="A1420" s="4"/>
      <c r="B1420" s="4"/>
      <c r="C1420" s="4"/>
      <c r="D1420" s="4"/>
      <c r="E1420" s="7"/>
      <c r="G1420" s="8"/>
    </row>
    <row r="1421" spans="1:7" x14ac:dyDescent="0.3">
      <c r="A1421" s="4"/>
      <c r="B1421" s="4"/>
      <c r="C1421" s="4"/>
      <c r="D1421" s="4"/>
      <c r="E1421" s="7"/>
      <c r="G1421" s="8"/>
    </row>
    <row r="1422" spans="1:7" x14ac:dyDescent="0.3">
      <c r="A1422" s="4"/>
      <c r="B1422" s="4"/>
      <c r="C1422" s="4"/>
      <c r="D1422" s="4"/>
      <c r="E1422" s="7"/>
      <c r="G1422" s="8"/>
    </row>
    <row r="1423" spans="1:7" x14ac:dyDescent="0.3">
      <c r="A1423" s="4"/>
      <c r="B1423" s="4"/>
      <c r="C1423" s="4"/>
      <c r="D1423" s="4"/>
      <c r="E1423" s="7"/>
      <c r="G1423" s="8"/>
    </row>
    <row r="1424" spans="1:7" x14ac:dyDescent="0.3">
      <c r="A1424" s="4"/>
      <c r="B1424" s="4"/>
      <c r="C1424" s="4"/>
      <c r="D1424" s="4"/>
      <c r="E1424" s="7"/>
      <c r="G1424" s="8"/>
    </row>
    <row r="1425" spans="1:7" x14ac:dyDescent="0.3">
      <c r="A1425" s="4"/>
      <c r="B1425" s="4"/>
      <c r="C1425" s="4"/>
      <c r="D1425" s="4"/>
      <c r="E1425" s="7"/>
      <c r="G1425" s="8"/>
    </row>
    <row r="1426" spans="1:7" x14ac:dyDescent="0.3">
      <c r="A1426" s="4"/>
      <c r="B1426" s="4"/>
      <c r="C1426" s="4"/>
      <c r="D1426" s="4"/>
      <c r="E1426" s="7"/>
      <c r="G1426" s="8"/>
    </row>
    <row r="1427" spans="1:7" x14ac:dyDescent="0.3">
      <c r="A1427" s="4"/>
      <c r="B1427" s="4"/>
      <c r="C1427" s="4"/>
      <c r="D1427" s="4"/>
      <c r="E1427" s="7"/>
      <c r="G1427" s="8"/>
    </row>
    <row r="1428" spans="1:7" x14ac:dyDescent="0.3">
      <c r="A1428" s="4"/>
      <c r="B1428" s="4"/>
      <c r="C1428" s="4"/>
      <c r="D1428" s="4"/>
      <c r="E1428" s="7"/>
      <c r="G1428" s="8"/>
    </row>
    <row r="1429" spans="1:7" x14ac:dyDescent="0.3">
      <c r="A1429" s="4"/>
      <c r="B1429" s="4"/>
      <c r="C1429" s="4"/>
      <c r="D1429" s="4"/>
      <c r="E1429" s="7"/>
      <c r="G1429" s="8"/>
    </row>
    <row r="1430" spans="1:7" x14ac:dyDescent="0.3">
      <c r="A1430" s="4"/>
      <c r="B1430" s="4"/>
      <c r="C1430" s="4"/>
      <c r="D1430" s="4"/>
      <c r="E1430" s="7"/>
      <c r="G1430" s="8"/>
    </row>
    <row r="1431" spans="1:7" x14ac:dyDescent="0.3">
      <c r="A1431" s="4"/>
      <c r="B1431" s="4"/>
      <c r="C1431" s="4"/>
      <c r="D1431" s="4"/>
      <c r="E1431" s="7"/>
      <c r="G1431" s="8"/>
    </row>
    <row r="1432" spans="1:7" x14ac:dyDescent="0.3">
      <c r="A1432" s="4"/>
      <c r="B1432" s="4"/>
      <c r="C1432" s="4"/>
      <c r="D1432" s="4"/>
      <c r="E1432" s="7"/>
      <c r="G1432" s="8"/>
    </row>
    <row r="1433" spans="1:7" x14ac:dyDescent="0.3">
      <c r="A1433" s="4"/>
      <c r="B1433" s="4"/>
      <c r="C1433" s="4"/>
      <c r="D1433" s="4"/>
      <c r="E1433" s="7"/>
      <c r="G1433" s="8"/>
    </row>
    <row r="1434" spans="1:7" x14ac:dyDescent="0.3">
      <c r="A1434" s="4"/>
      <c r="B1434" s="4"/>
      <c r="C1434" s="4"/>
      <c r="D1434" s="4"/>
      <c r="E1434" s="7"/>
      <c r="G1434" s="8"/>
    </row>
    <row r="1435" spans="1:7" x14ac:dyDescent="0.3">
      <c r="A1435" s="4"/>
      <c r="B1435" s="4"/>
      <c r="C1435" s="4"/>
      <c r="D1435" s="4"/>
      <c r="E1435" s="7"/>
      <c r="G1435" s="8"/>
    </row>
    <row r="1436" spans="1:7" x14ac:dyDescent="0.3">
      <c r="A1436" s="4"/>
      <c r="B1436" s="4"/>
      <c r="C1436" s="4"/>
      <c r="D1436" s="4"/>
      <c r="E1436" s="7"/>
      <c r="G1436" s="8"/>
    </row>
    <row r="1437" spans="1:7" x14ac:dyDescent="0.3">
      <c r="A1437" s="4"/>
      <c r="B1437" s="4"/>
      <c r="C1437" s="4"/>
      <c r="D1437" s="4"/>
      <c r="E1437" s="7"/>
      <c r="G1437" s="8"/>
    </row>
    <row r="1438" spans="1:7" x14ac:dyDescent="0.3">
      <c r="A1438" s="4"/>
      <c r="B1438" s="4"/>
      <c r="C1438" s="4"/>
      <c r="D1438" s="4"/>
      <c r="E1438" s="7"/>
      <c r="G1438" s="8"/>
    </row>
    <row r="1439" spans="1:7" x14ac:dyDescent="0.3">
      <c r="A1439" s="4"/>
      <c r="B1439" s="4"/>
      <c r="C1439" s="4"/>
      <c r="D1439" s="4"/>
      <c r="E1439" s="7"/>
      <c r="G1439" s="8"/>
    </row>
    <row r="1440" spans="1:7" x14ac:dyDescent="0.3">
      <c r="A1440" s="4"/>
      <c r="B1440" s="4"/>
      <c r="C1440" s="4"/>
      <c r="D1440" s="4"/>
      <c r="E1440" s="7"/>
      <c r="G1440" s="8"/>
    </row>
    <row r="1441" spans="1:7" x14ac:dyDescent="0.3">
      <c r="A1441" s="4"/>
      <c r="B1441" s="4"/>
      <c r="C1441" s="4"/>
      <c r="D1441" s="4"/>
      <c r="E1441" s="7"/>
      <c r="G1441" s="8"/>
    </row>
    <row r="1442" spans="1:7" x14ac:dyDescent="0.3">
      <c r="A1442" s="4"/>
      <c r="B1442" s="4"/>
      <c r="C1442" s="4"/>
      <c r="D1442" s="4"/>
      <c r="E1442" s="7"/>
      <c r="G1442" s="8"/>
    </row>
    <row r="1443" spans="1:7" x14ac:dyDescent="0.3">
      <c r="A1443" s="4"/>
      <c r="B1443" s="4"/>
      <c r="C1443" s="4"/>
      <c r="D1443" s="4"/>
      <c r="E1443" s="7"/>
      <c r="G1443" s="8"/>
    </row>
    <row r="1444" spans="1:7" x14ac:dyDescent="0.3">
      <c r="A1444" s="4"/>
      <c r="B1444" s="4"/>
      <c r="C1444" s="4"/>
      <c r="D1444" s="4"/>
      <c r="E1444" s="7"/>
      <c r="G1444" s="8"/>
    </row>
    <row r="1445" spans="1:7" x14ac:dyDescent="0.3">
      <c r="A1445" s="4"/>
      <c r="B1445" s="4"/>
      <c r="C1445" s="4"/>
      <c r="D1445" s="4"/>
      <c r="E1445" s="7"/>
      <c r="G1445" s="8"/>
    </row>
    <row r="1446" spans="1:7" x14ac:dyDescent="0.3">
      <c r="A1446" s="4"/>
      <c r="B1446" s="4"/>
      <c r="C1446" s="4"/>
      <c r="D1446" s="4"/>
      <c r="E1446" s="7"/>
      <c r="G1446" s="8"/>
    </row>
    <row r="1447" spans="1:7" x14ac:dyDescent="0.3">
      <c r="A1447" s="4"/>
      <c r="B1447" s="4"/>
      <c r="C1447" s="4"/>
      <c r="D1447" s="4"/>
      <c r="E1447" s="7"/>
      <c r="G1447" s="8"/>
    </row>
    <row r="1448" spans="1:7" x14ac:dyDescent="0.3">
      <c r="A1448" s="4"/>
      <c r="B1448" s="4"/>
      <c r="C1448" s="4"/>
      <c r="D1448" s="4"/>
      <c r="E1448" s="7"/>
      <c r="G1448" s="8"/>
    </row>
    <row r="1449" spans="1:7" x14ac:dyDescent="0.3">
      <c r="A1449" s="4"/>
      <c r="B1449" s="4"/>
      <c r="C1449" s="4"/>
      <c r="D1449" s="4"/>
      <c r="E1449" s="7"/>
      <c r="G1449" s="8"/>
    </row>
    <row r="1450" spans="1:7" x14ac:dyDescent="0.3">
      <c r="A1450" s="4"/>
      <c r="B1450" s="4"/>
      <c r="C1450" s="4"/>
      <c r="D1450" s="4"/>
      <c r="E1450" s="7"/>
      <c r="G1450" s="8"/>
    </row>
    <row r="1451" spans="1:7" x14ac:dyDescent="0.3">
      <c r="A1451" s="4"/>
      <c r="B1451" s="4"/>
      <c r="C1451" s="4"/>
      <c r="D1451" s="4"/>
      <c r="E1451" s="7"/>
      <c r="G1451" s="8"/>
    </row>
    <row r="1452" spans="1:7" x14ac:dyDescent="0.3">
      <c r="A1452" s="4"/>
      <c r="B1452" s="4"/>
      <c r="C1452" s="4"/>
      <c r="D1452" s="4"/>
      <c r="E1452" s="7"/>
      <c r="G1452" s="8"/>
    </row>
    <row r="1453" spans="1:7" x14ac:dyDescent="0.3">
      <c r="A1453" s="4"/>
      <c r="B1453" s="4"/>
      <c r="C1453" s="4"/>
      <c r="D1453" s="4"/>
      <c r="E1453" s="7"/>
      <c r="G1453" s="8"/>
    </row>
    <row r="1454" spans="1:7" x14ac:dyDescent="0.3">
      <c r="A1454" s="4"/>
      <c r="B1454" s="4"/>
      <c r="C1454" s="4"/>
      <c r="D1454" s="4"/>
      <c r="E1454" s="7"/>
      <c r="G1454" s="8"/>
    </row>
    <row r="1455" spans="1:7" x14ac:dyDescent="0.3">
      <c r="A1455" s="4"/>
      <c r="B1455" s="4"/>
      <c r="C1455" s="4"/>
      <c r="D1455" s="4"/>
      <c r="E1455" s="7"/>
      <c r="G1455" s="8"/>
    </row>
    <row r="1456" spans="1:7" x14ac:dyDescent="0.3">
      <c r="A1456" s="4"/>
      <c r="B1456" s="4"/>
      <c r="C1456" s="4"/>
      <c r="D1456" s="4"/>
      <c r="E1456" s="7"/>
      <c r="G1456" s="8"/>
    </row>
    <row r="1457" spans="1:7" x14ac:dyDescent="0.3">
      <c r="A1457" s="4"/>
      <c r="B1457" s="4"/>
      <c r="C1457" s="4"/>
      <c r="D1457" s="4"/>
      <c r="E1457" s="7"/>
      <c r="G1457" s="8"/>
    </row>
    <row r="1458" spans="1:7" x14ac:dyDescent="0.3">
      <c r="A1458" s="4"/>
      <c r="B1458" s="4"/>
      <c r="C1458" s="4"/>
      <c r="D1458" s="4"/>
      <c r="E1458" s="7"/>
      <c r="G1458" s="8"/>
    </row>
    <row r="1459" spans="1:7" x14ac:dyDescent="0.3">
      <c r="A1459" s="4"/>
      <c r="B1459" s="4"/>
      <c r="C1459" s="4"/>
      <c r="D1459" s="4"/>
      <c r="E1459" s="7"/>
      <c r="G1459" s="8"/>
    </row>
    <row r="1460" spans="1:7" x14ac:dyDescent="0.3">
      <c r="A1460" s="4"/>
      <c r="B1460" s="4"/>
      <c r="C1460" s="4"/>
      <c r="D1460" s="4"/>
      <c r="E1460" s="7"/>
      <c r="G1460" s="8"/>
    </row>
    <row r="1461" spans="1:7" x14ac:dyDescent="0.3">
      <c r="A1461" s="4"/>
      <c r="B1461" s="4"/>
      <c r="C1461" s="4"/>
      <c r="D1461" s="4"/>
      <c r="E1461" s="7"/>
      <c r="G1461" s="8"/>
    </row>
    <row r="1462" spans="1:7" x14ac:dyDescent="0.3">
      <c r="A1462" s="4"/>
      <c r="B1462" s="4"/>
      <c r="C1462" s="4"/>
      <c r="D1462" s="4"/>
      <c r="E1462" s="7"/>
      <c r="G1462" s="8"/>
    </row>
    <row r="1463" spans="1:7" x14ac:dyDescent="0.3">
      <c r="A1463" s="4"/>
      <c r="B1463" s="4"/>
      <c r="C1463" s="4"/>
      <c r="D1463" s="4"/>
      <c r="E1463" s="7"/>
      <c r="G1463" s="8"/>
    </row>
    <row r="1464" spans="1:7" x14ac:dyDescent="0.3">
      <c r="A1464" s="4"/>
      <c r="B1464" s="4"/>
      <c r="C1464" s="4"/>
      <c r="D1464" s="4"/>
      <c r="E1464" s="7"/>
      <c r="G1464" s="8"/>
    </row>
    <row r="1465" spans="1:7" x14ac:dyDescent="0.3">
      <c r="A1465" s="4"/>
      <c r="B1465" s="4"/>
      <c r="C1465" s="4"/>
      <c r="D1465" s="4"/>
      <c r="E1465" s="7"/>
      <c r="G1465" s="8"/>
    </row>
    <row r="1466" spans="1:7" x14ac:dyDescent="0.3">
      <c r="A1466" s="4"/>
      <c r="B1466" s="4"/>
      <c r="C1466" s="4"/>
      <c r="D1466" s="4"/>
      <c r="E1466" s="7"/>
      <c r="G1466" s="8"/>
    </row>
    <row r="1467" spans="1:7" x14ac:dyDescent="0.3">
      <c r="A1467" s="4"/>
      <c r="B1467" s="4"/>
      <c r="C1467" s="4"/>
      <c r="D1467" s="4"/>
      <c r="E1467" s="7"/>
      <c r="G1467" s="8"/>
    </row>
    <row r="1468" spans="1:7" x14ac:dyDescent="0.3">
      <c r="A1468" s="4"/>
      <c r="B1468" s="4"/>
      <c r="C1468" s="4"/>
      <c r="D1468" s="4"/>
      <c r="E1468" s="7"/>
      <c r="G1468" s="8"/>
    </row>
    <row r="1469" spans="1:7" x14ac:dyDescent="0.3">
      <c r="A1469" s="4"/>
      <c r="B1469" s="4"/>
      <c r="C1469" s="4"/>
      <c r="D1469" s="4"/>
      <c r="E1469" s="7"/>
      <c r="G1469" s="8"/>
    </row>
    <row r="1470" spans="1:7" x14ac:dyDescent="0.3">
      <c r="A1470" s="4"/>
      <c r="B1470" s="4"/>
      <c r="C1470" s="4"/>
      <c r="D1470" s="4"/>
      <c r="E1470" s="7"/>
      <c r="G1470" s="8"/>
    </row>
    <row r="1471" spans="1:7" x14ac:dyDescent="0.3">
      <c r="A1471" s="4"/>
      <c r="B1471" s="4"/>
      <c r="C1471" s="4"/>
      <c r="D1471" s="4"/>
      <c r="E1471" s="7"/>
      <c r="G1471" s="8"/>
    </row>
    <row r="1472" spans="1:7" x14ac:dyDescent="0.3">
      <c r="A1472" s="4"/>
      <c r="B1472" s="4"/>
      <c r="C1472" s="4"/>
      <c r="D1472" s="4"/>
      <c r="E1472" s="7"/>
      <c r="G1472" s="8"/>
    </row>
    <row r="1473" spans="1:7" x14ac:dyDescent="0.3">
      <c r="A1473" s="4"/>
      <c r="B1473" s="4"/>
      <c r="C1473" s="4"/>
      <c r="D1473" s="4"/>
      <c r="E1473" s="7"/>
      <c r="G1473" s="8"/>
    </row>
    <row r="1474" spans="1:7" x14ac:dyDescent="0.3">
      <c r="A1474" s="4"/>
      <c r="B1474" s="4"/>
      <c r="C1474" s="4"/>
      <c r="D1474" s="4"/>
      <c r="E1474" s="7"/>
      <c r="G1474" s="8"/>
    </row>
    <row r="1475" spans="1:7" x14ac:dyDescent="0.3">
      <c r="A1475" s="4"/>
      <c r="B1475" s="4"/>
      <c r="C1475" s="4"/>
      <c r="D1475" s="4"/>
      <c r="E1475" s="7"/>
      <c r="G1475" s="8"/>
    </row>
    <row r="1476" spans="1:7" x14ac:dyDescent="0.3">
      <c r="A1476" s="4"/>
      <c r="B1476" s="4"/>
      <c r="C1476" s="4"/>
      <c r="D1476" s="4"/>
      <c r="E1476" s="7"/>
      <c r="G1476" s="8"/>
    </row>
    <row r="1477" spans="1:7" x14ac:dyDescent="0.3">
      <c r="A1477" s="4"/>
      <c r="B1477" s="4"/>
      <c r="C1477" s="4"/>
      <c r="D1477" s="4"/>
      <c r="E1477" s="7"/>
      <c r="G1477" s="8"/>
    </row>
    <row r="1478" spans="1:7" x14ac:dyDescent="0.3">
      <c r="A1478" s="4"/>
      <c r="B1478" s="4"/>
      <c r="C1478" s="4"/>
      <c r="D1478" s="4"/>
      <c r="E1478" s="7"/>
      <c r="G1478" s="8"/>
    </row>
    <row r="1479" spans="1:7" x14ac:dyDescent="0.3">
      <c r="A1479" s="4"/>
      <c r="B1479" s="4"/>
      <c r="C1479" s="4"/>
      <c r="D1479" s="4"/>
      <c r="E1479" s="7"/>
      <c r="G1479" s="8"/>
    </row>
    <row r="1480" spans="1:7" x14ac:dyDescent="0.3">
      <c r="A1480" s="4"/>
      <c r="B1480" s="4"/>
      <c r="C1480" s="4"/>
      <c r="D1480" s="4"/>
      <c r="E1480" s="7"/>
      <c r="G1480" s="8"/>
    </row>
    <row r="1481" spans="1:7" x14ac:dyDescent="0.3">
      <c r="A1481" s="4"/>
      <c r="B1481" s="4"/>
      <c r="C1481" s="4"/>
      <c r="D1481" s="4"/>
      <c r="E1481" s="7"/>
      <c r="G1481" s="8"/>
    </row>
    <row r="1482" spans="1:7" x14ac:dyDescent="0.3">
      <c r="A1482" s="4"/>
      <c r="B1482" s="4"/>
      <c r="C1482" s="4"/>
      <c r="D1482" s="4"/>
      <c r="E1482" s="7"/>
      <c r="G1482" s="8"/>
    </row>
    <row r="1483" spans="1:7" x14ac:dyDescent="0.3">
      <c r="A1483" s="4"/>
      <c r="B1483" s="4"/>
      <c r="C1483" s="4"/>
      <c r="D1483" s="4"/>
      <c r="E1483" s="7"/>
      <c r="G1483" s="8"/>
    </row>
    <row r="1484" spans="1:7" x14ac:dyDescent="0.3">
      <c r="A1484" s="4"/>
      <c r="B1484" s="4"/>
      <c r="C1484" s="4"/>
      <c r="D1484" s="4"/>
      <c r="E1484" s="7"/>
      <c r="G1484" s="8"/>
    </row>
    <row r="1485" spans="1:7" x14ac:dyDescent="0.3">
      <c r="A1485" s="4"/>
      <c r="B1485" s="4"/>
      <c r="C1485" s="4"/>
      <c r="D1485" s="4"/>
      <c r="E1485" s="7"/>
      <c r="G1485" s="8"/>
    </row>
    <row r="1486" spans="1:7" x14ac:dyDescent="0.3">
      <c r="A1486" s="4"/>
      <c r="B1486" s="4"/>
      <c r="C1486" s="4"/>
      <c r="D1486" s="4"/>
      <c r="E1486" s="7"/>
      <c r="G1486" s="8"/>
    </row>
    <row r="1487" spans="1:7" x14ac:dyDescent="0.3">
      <c r="A1487" s="4"/>
      <c r="B1487" s="4"/>
      <c r="C1487" s="4"/>
      <c r="D1487" s="4"/>
      <c r="E1487" s="7"/>
      <c r="G1487" s="8"/>
    </row>
    <row r="1488" spans="1:7" x14ac:dyDescent="0.3">
      <c r="A1488" s="4"/>
      <c r="B1488" s="4"/>
      <c r="C1488" s="4"/>
      <c r="D1488" s="4"/>
      <c r="E1488" s="7"/>
      <c r="G1488" s="8"/>
    </row>
    <row r="1489" spans="1:7" x14ac:dyDescent="0.3">
      <c r="A1489" s="4"/>
      <c r="B1489" s="4"/>
      <c r="C1489" s="4"/>
      <c r="D1489" s="4"/>
      <c r="E1489" s="7"/>
      <c r="G1489" s="8"/>
    </row>
    <row r="1490" spans="1:7" x14ac:dyDescent="0.3">
      <c r="A1490" s="4"/>
      <c r="B1490" s="4"/>
      <c r="C1490" s="4"/>
      <c r="D1490" s="4"/>
      <c r="E1490" s="7"/>
      <c r="G1490" s="8"/>
    </row>
    <row r="1491" spans="1:7" x14ac:dyDescent="0.3">
      <c r="A1491" s="4"/>
      <c r="B1491" s="4"/>
      <c r="C1491" s="4"/>
      <c r="D1491" s="4"/>
      <c r="E1491" s="7"/>
      <c r="G1491" s="8"/>
    </row>
    <row r="1492" spans="1:7" x14ac:dyDescent="0.3">
      <c r="A1492" s="4"/>
      <c r="B1492" s="4"/>
      <c r="C1492" s="4"/>
      <c r="D1492" s="4"/>
      <c r="E1492" s="7"/>
      <c r="G1492" s="8"/>
    </row>
    <row r="1493" spans="1:7" x14ac:dyDescent="0.3">
      <c r="A1493" s="4"/>
      <c r="B1493" s="4"/>
      <c r="C1493" s="4"/>
      <c r="D1493" s="4"/>
      <c r="E1493" s="7"/>
      <c r="G1493" s="8"/>
    </row>
    <row r="1494" spans="1:7" x14ac:dyDescent="0.3">
      <c r="A1494" s="4"/>
      <c r="B1494" s="4"/>
      <c r="C1494" s="4"/>
      <c r="D1494" s="4"/>
      <c r="E1494" s="7"/>
      <c r="G1494" s="8"/>
    </row>
    <row r="1495" spans="1:7" x14ac:dyDescent="0.3">
      <c r="A1495" s="4"/>
      <c r="B1495" s="4"/>
      <c r="C1495" s="4"/>
      <c r="D1495" s="4"/>
      <c r="E1495" s="7"/>
      <c r="G1495" s="8"/>
    </row>
    <row r="1496" spans="1:7" x14ac:dyDescent="0.3">
      <c r="A1496" s="4"/>
      <c r="B1496" s="4"/>
      <c r="C1496" s="4"/>
      <c r="D1496" s="4"/>
      <c r="E1496" s="7"/>
      <c r="G1496" s="8"/>
    </row>
    <row r="1497" spans="1:7" x14ac:dyDescent="0.3">
      <c r="A1497" s="4"/>
      <c r="B1497" s="4"/>
      <c r="C1497" s="4"/>
      <c r="D1497" s="4"/>
      <c r="E1497" s="7"/>
      <c r="G1497" s="8"/>
    </row>
    <row r="1498" spans="1:7" x14ac:dyDescent="0.3">
      <c r="A1498" s="4"/>
      <c r="B1498" s="4"/>
      <c r="C1498" s="4"/>
      <c r="D1498" s="4"/>
      <c r="E1498" s="7"/>
      <c r="G1498" s="8"/>
    </row>
    <row r="1499" spans="1:7" x14ac:dyDescent="0.3">
      <c r="A1499" s="4"/>
      <c r="B1499" s="4"/>
      <c r="C1499" s="4"/>
      <c r="D1499" s="4"/>
      <c r="E1499" s="7"/>
      <c r="G1499" s="8"/>
    </row>
    <row r="1500" spans="1:7" x14ac:dyDescent="0.3">
      <c r="A1500" s="4"/>
      <c r="B1500" s="4"/>
      <c r="C1500" s="4"/>
      <c r="D1500" s="4"/>
      <c r="E1500" s="7"/>
      <c r="G1500" s="8"/>
    </row>
    <row r="1501" spans="1:7" x14ac:dyDescent="0.3">
      <c r="A1501" s="4"/>
      <c r="B1501" s="4"/>
      <c r="C1501" s="4"/>
      <c r="D1501" s="4"/>
      <c r="E1501" s="7"/>
      <c r="G1501" s="8"/>
    </row>
    <row r="1502" spans="1:7" x14ac:dyDescent="0.3">
      <c r="A1502" s="4"/>
      <c r="B1502" s="4"/>
      <c r="C1502" s="4"/>
      <c r="D1502" s="4"/>
      <c r="E1502" s="7"/>
      <c r="G1502" s="8"/>
    </row>
    <row r="1503" spans="1:7" x14ac:dyDescent="0.3">
      <c r="A1503" s="4"/>
      <c r="B1503" s="4"/>
      <c r="C1503" s="4"/>
      <c r="D1503" s="4"/>
      <c r="E1503" s="7"/>
      <c r="G1503" s="8"/>
    </row>
    <row r="1504" spans="1:7" x14ac:dyDescent="0.3">
      <c r="A1504" s="4"/>
      <c r="B1504" s="4"/>
      <c r="C1504" s="4"/>
      <c r="D1504" s="4"/>
      <c r="E1504" s="7"/>
      <c r="G1504" s="8"/>
    </row>
    <row r="1505" spans="1:7" x14ac:dyDescent="0.3">
      <c r="A1505" s="4"/>
      <c r="B1505" s="4"/>
      <c r="C1505" s="4"/>
      <c r="D1505" s="4"/>
      <c r="E1505" s="7"/>
      <c r="G1505" s="8"/>
    </row>
    <row r="1506" spans="1:7" x14ac:dyDescent="0.3">
      <c r="A1506" s="4"/>
      <c r="B1506" s="4"/>
      <c r="C1506" s="4"/>
      <c r="D1506" s="4"/>
      <c r="E1506" s="7"/>
      <c r="G1506" s="8"/>
    </row>
    <row r="1507" spans="1:7" x14ac:dyDescent="0.3">
      <c r="A1507" s="4"/>
      <c r="B1507" s="4"/>
      <c r="C1507" s="4"/>
      <c r="D1507" s="4"/>
      <c r="E1507" s="7"/>
      <c r="G1507" s="8"/>
    </row>
    <row r="1508" spans="1:7" x14ac:dyDescent="0.3">
      <c r="A1508" s="4"/>
      <c r="B1508" s="4"/>
      <c r="C1508" s="4"/>
      <c r="D1508" s="4"/>
      <c r="E1508" s="7"/>
      <c r="G1508" s="8"/>
    </row>
    <row r="1509" spans="1:7" x14ac:dyDescent="0.3">
      <c r="A1509" s="4"/>
      <c r="B1509" s="4"/>
      <c r="C1509" s="4"/>
      <c r="D1509" s="4"/>
      <c r="E1509" s="7"/>
      <c r="G1509" s="8"/>
    </row>
    <row r="1510" spans="1:7" x14ac:dyDescent="0.3">
      <c r="A1510" s="4"/>
      <c r="B1510" s="4"/>
      <c r="C1510" s="4"/>
      <c r="D1510" s="4"/>
      <c r="E1510" s="7"/>
      <c r="G1510" s="8"/>
    </row>
    <row r="1511" spans="1:7" x14ac:dyDescent="0.3">
      <c r="A1511" s="4"/>
      <c r="B1511" s="4"/>
      <c r="C1511" s="4"/>
      <c r="D1511" s="4"/>
      <c r="E1511" s="7"/>
      <c r="G1511" s="8"/>
    </row>
    <row r="1512" spans="1:7" x14ac:dyDescent="0.3">
      <c r="A1512" s="4"/>
      <c r="B1512" s="4"/>
      <c r="C1512" s="4"/>
      <c r="D1512" s="4"/>
      <c r="E1512" s="7"/>
      <c r="G1512" s="8"/>
    </row>
    <row r="1513" spans="1:7" x14ac:dyDescent="0.3">
      <c r="A1513" s="4"/>
      <c r="B1513" s="4"/>
      <c r="C1513" s="4"/>
      <c r="D1513" s="4"/>
      <c r="E1513" s="7"/>
      <c r="G1513" s="8"/>
    </row>
    <row r="1514" spans="1:7" x14ac:dyDescent="0.3">
      <c r="A1514" s="4"/>
      <c r="B1514" s="4"/>
      <c r="C1514" s="4"/>
      <c r="D1514" s="4"/>
      <c r="E1514" s="7"/>
      <c r="G1514" s="8"/>
    </row>
    <row r="1515" spans="1:7" x14ac:dyDescent="0.3">
      <c r="A1515" s="4"/>
      <c r="B1515" s="4"/>
      <c r="C1515" s="4"/>
      <c r="D1515" s="4"/>
      <c r="E1515" s="7"/>
      <c r="G1515" s="8"/>
    </row>
    <row r="1516" spans="1:7" x14ac:dyDescent="0.3">
      <c r="A1516" s="4"/>
      <c r="B1516" s="4"/>
      <c r="C1516" s="4"/>
      <c r="D1516" s="4"/>
      <c r="E1516" s="7"/>
      <c r="G1516" s="8"/>
    </row>
    <row r="1517" spans="1:7" x14ac:dyDescent="0.3">
      <c r="A1517" s="4"/>
      <c r="B1517" s="4"/>
      <c r="C1517" s="4"/>
      <c r="D1517" s="4"/>
      <c r="E1517" s="7"/>
      <c r="G1517" s="8"/>
    </row>
    <row r="1518" spans="1:7" x14ac:dyDescent="0.3">
      <c r="A1518" s="4"/>
      <c r="B1518" s="4"/>
      <c r="C1518" s="4"/>
      <c r="D1518" s="4"/>
      <c r="E1518" s="7"/>
      <c r="G1518" s="8"/>
    </row>
    <row r="1519" spans="1:7" x14ac:dyDescent="0.3">
      <c r="A1519" s="4"/>
      <c r="B1519" s="4"/>
      <c r="C1519" s="4"/>
      <c r="D1519" s="4"/>
      <c r="E1519" s="7"/>
      <c r="G1519" s="8"/>
    </row>
    <row r="1520" spans="1:7" x14ac:dyDescent="0.3">
      <c r="A1520" s="4"/>
      <c r="B1520" s="4"/>
      <c r="C1520" s="4"/>
      <c r="D1520" s="4"/>
      <c r="E1520" s="7"/>
      <c r="G1520" s="8"/>
    </row>
    <row r="1521" spans="1:7" x14ac:dyDescent="0.3">
      <c r="A1521" s="4"/>
      <c r="B1521" s="4"/>
      <c r="C1521" s="4"/>
      <c r="D1521" s="4"/>
      <c r="E1521" s="7"/>
      <c r="G1521" s="8"/>
    </row>
    <row r="1522" spans="1:7" x14ac:dyDescent="0.3">
      <c r="A1522" s="4"/>
      <c r="B1522" s="4"/>
      <c r="C1522" s="4"/>
      <c r="D1522" s="4"/>
      <c r="E1522" s="7"/>
      <c r="G1522" s="8"/>
    </row>
    <row r="1523" spans="1:7" x14ac:dyDescent="0.3">
      <c r="A1523" s="4"/>
      <c r="B1523" s="4"/>
      <c r="C1523" s="4"/>
      <c r="D1523" s="4"/>
      <c r="E1523" s="7"/>
      <c r="G1523" s="8"/>
    </row>
    <row r="1524" spans="1:7" x14ac:dyDescent="0.3">
      <c r="A1524" s="4"/>
      <c r="B1524" s="4"/>
      <c r="C1524" s="4"/>
      <c r="D1524" s="4"/>
      <c r="E1524" s="7"/>
      <c r="G1524" s="8"/>
    </row>
    <row r="1525" spans="1:7" x14ac:dyDescent="0.3">
      <c r="A1525" s="4"/>
      <c r="B1525" s="4"/>
      <c r="C1525" s="4"/>
      <c r="D1525" s="4"/>
      <c r="E1525" s="7"/>
      <c r="G1525" s="8"/>
    </row>
    <row r="1526" spans="1:7" x14ac:dyDescent="0.3">
      <c r="A1526" s="4"/>
      <c r="B1526" s="4"/>
      <c r="C1526" s="4"/>
      <c r="D1526" s="4"/>
      <c r="E1526" s="7"/>
      <c r="G1526" s="8"/>
    </row>
    <row r="1527" spans="1:7" x14ac:dyDescent="0.3">
      <c r="A1527" s="4"/>
      <c r="B1527" s="4"/>
      <c r="C1527" s="4"/>
      <c r="D1527" s="4"/>
      <c r="E1527" s="7"/>
      <c r="G1527" s="8"/>
    </row>
    <row r="1528" spans="1:7" x14ac:dyDescent="0.3">
      <c r="A1528" s="4"/>
      <c r="B1528" s="4"/>
      <c r="C1528" s="4"/>
      <c r="D1528" s="4"/>
      <c r="E1528" s="7"/>
      <c r="G1528" s="8"/>
    </row>
    <row r="1529" spans="1:7" x14ac:dyDescent="0.3">
      <c r="A1529" s="4"/>
      <c r="B1529" s="4"/>
      <c r="C1529" s="4"/>
      <c r="D1529" s="4"/>
      <c r="E1529" s="7"/>
      <c r="G1529" s="8"/>
    </row>
    <row r="1530" spans="1:7" x14ac:dyDescent="0.3">
      <c r="A1530" s="4"/>
      <c r="B1530" s="4"/>
      <c r="C1530" s="4"/>
      <c r="D1530" s="4"/>
      <c r="E1530" s="7"/>
      <c r="G1530" s="8"/>
    </row>
    <row r="1531" spans="1:7" x14ac:dyDescent="0.3">
      <c r="A1531" s="4"/>
      <c r="B1531" s="4"/>
      <c r="C1531" s="4"/>
      <c r="D1531" s="4"/>
      <c r="E1531" s="7"/>
      <c r="G1531" s="8"/>
    </row>
    <row r="1532" spans="1:7" x14ac:dyDescent="0.3">
      <c r="A1532" s="4"/>
      <c r="B1532" s="4"/>
      <c r="C1532" s="4"/>
      <c r="D1532" s="4"/>
      <c r="E1532" s="7"/>
      <c r="G1532" s="8"/>
    </row>
    <row r="1533" spans="1:7" x14ac:dyDescent="0.3">
      <c r="A1533" s="4"/>
      <c r="B1533" s="4"/>
      <c r="C1533" s="4"/>
      <c r="D1533" s="4"/>
      <c r="E1533" s="7"/>
      <c r="G1533" s="8"/>
    </row>
    <row r="1534" spans="1:7" x14ac:dyDescent="0.3">
      <c r="A1534" s="4"/>
      <c r="B1534" s="4"/>
      <c r="C1534" s="4"/>
      <c r="D1534" s="4"/>
      <c r="E1534" s="7"/>
      <c r="G1534" s="8"/>
    </row>
    <row r="1535" spans="1:7" x14ac:dyDescent="0.3">
      <c r="A1535" s="4"/>
      <c r="B1535" s="4"/>
      <c r="C1535" s="4"/>
      <c r="D1535" s="4"/>
      <c r="E1535" s="7"/>
      <c r="G1535" s="8"/>
    </row>
    <row r="1536" spans="1:7" x14ac:dyDescent="0.3">
      <c r="A1536" s="4"/>
      <c r="B1536" s="4"/>
      <c r="C1536" s="4"/>
      <c r="D1536" s="4"/>
      <c r="E1536" s="7"/>
      <c r="G1536" s="8"/>
    </row>
    <row r="1537" spans="1:7" x14ac:dyDescent="0.3">
      <c r="A1537" s="4"/>
      <c r="B1537" s="4"/>
      <c r="C1537" s="4"/>
      <c r="D1537" s="4"/>
      <c r="E1537" s="7"/>
      <c r="G1537" s="8"/>
    </row>
    <row r="1538" spans="1:7" x14ac:dyDescent="0.3">
      <c r="A1538" s="4"/>
      <c r="B1538" s="4"/>
      <c r="C1538" s="4"/>
      <c r="D1538" s="4"/>
      <c r="E1538" s="7"/>
      <c r="G1538" s="8"/>
    </row>
    <row r="1539" spans="1:7" x14ac:dyDescent="0.3">
      <c r="A1539" s="4"/>
      <c r="B1539" s="4"/>
      <c r="C1539" s="4"/>
      <c r="D1539" s="4"/>
      <c r="E1539" s="7"/>
      <c r="G1539" s="8"/>
    </row>
    <row r="1540" spans="1:7" x14ac:dyDescent="0.3">
      <c r="A1540" s="4"/>
      <c r="B1540" s="4"/>
      <c r="C1540" s="4"/>
      <c r="D1540" s="4"/>
      <c r="E1540" s="7"/>
      <c r="G1540" s="8"/>
    </row>
    <row r="1541" spans="1:7" x14ac:dyDescent="0.3">
      <c r="A1541" s="4"/>
      <c r="B1541" s="4"/>
      <c r="C1541" s="4"/>
      <c r="D1541" s="4"/>
      <c r="E1541" s="7"/>
      <c r="G1541" s="8"/>
    </row>
    <row r="1542" spans="1:7" x14ac:dyDescent="0.3">
      <c r="A1542" s="4"/>
      <c r="B1542" s="4"/>
      <c r="C1542" s="4"/>
      <c r="D1542" s="4"/>
      <c r="E1542" s="7"/>
      <c r="G1542" s="8"/>
    </row>
    <row r="1543" spans="1:7" x14ac:dyDescent="0.3">
      <c r="A1543" s="4"/>
      <c r="B1543" s="4"/>
      <c r="C1543" s="4"/>
      <c r="D1543" s="4"/>
      <c r="E1543" s="7"/>
      <c r="G1543" s="8"/>
    </row>
    <row r="1544" spans="1:7" x14ac:dyDescent="0.3">
      <c r="A1544" s="4"/>
      <c r="B1544" s="4"/>
      <c r="C1544" s="4"/>
      <c r="D1544" s="4"/>
      <c r="E1544" s="7"/>
      <c r="G1544" s="8"/>
    </row>
    <row r="1545" spans="1:7" x14ac:dyDescent="0.3">
      <c r="A1545" s="4"/>
      <c r="B1545" s="4"/>
      <c r="C1545" s="4"/>
      <c r="D1545" s="4"/>
      <c r="E1545" s="7"/>
      <c r="G1545" s="8"/>
    </row>
    <row r="1546" spans="1:7" x14ac:dyDescent="0.3">
      <c r="A1546" s="4"/>
      <c r="B1546" s="4"/>
      <c r="C1546" s="4"/>
      <c r="D1546" s="4"/>
      <c r="E1546" s="7"/>
      <c r="G1546" s="8"/>
    </row>
    <row r="1547" spans="1:7" x14ac:dyDescent="0.3">
      <c r="A1547" s="4"/>
      <c r="B1547" s="4"/>
      <c r="C1547" s="4"/>
      <c r="D1547" s="4"/>
      <c r="E1547" s="7"/>
      <c r="G1547" s="8"/>
    </row>
    <row r="1548" spans="1:7" x14ac:dyDescent="0.3">
      <c r="A1548" s="4"/>
      <c r="B1548" s="4"/>
      <c r="C1548" s="4"/>
      <c r="D1548" s="4"/>
      <c r="E1548" s="7"/>
      <c r="G1548" s="8"/>
    </row>
    <row r="1549" spans="1:7" x14ac:dyDescent="0.3">
      <c r="A1549" s="4"/>
      <c r="B1549" s="4"/>
      <c r="C1549" s="4"/>
      <c r="D1549" s="4"/>
      <c r="E1549" s="7"/>
      <c r="G1549" s="8"/>
    </row>
    <row r="1550" spans="1:7" x14ac:dyDescent="0.3">
      <c r="A1550" s="4"/>
      <c r="B1550" s="4"/>
      <c r="C1550" s="4"/>
      <c r="D1550" s="4"/>
      <c r="E1550" s="7"/>
      <c r="G1550" s="8"/>
    </row>
    <row r="1551" spans="1:7" x14ac:dyDescent="0.3">
      <c r="A1551" s="4"/>
      <c r="B1551" s="4"/>
      <c r="C1551" s="4"/>
      <c r="D1551" s="4"/>
      <c r="E1551" s="7"/>
      <c r="G1551" s="8"/>
    </row>
    <row r="1552" spans="1:7" x14ac:dyDescent="0.3">
      <c r="A1552" s="4"/>
      <c r="B1552" s="4"/>
      <c r="C1552" s="4"/>
      <c r="D1552" s="4"/>
      <c r="E1552" s="7"/>
      <c r="G1552" s="8"/>
    </row>
    <row r="1553" spans="1:7" x14ac:dyDescent="0.3">
      <c r="A1553" s="4"/>
      <c r="B1553" s="4"/>
      <c r="C1553" s="4"/>
      <c r="D1553" s="4"/>
      <c r="E1553" s="7"/>
      <c r="G1553" s="8"/>
    </row>
    <row r="1554" spans="1:7" x14ac:dyDescent="0.3">
      <c r="A1554" s="4"/>
      <c r="B1554" s="4"/>
      <c r="C1554" s="4"/>
      <c r="D1554" s="4"/>
      <c r="E1554" s="7"/>
      <c r="G1554" s="8"/>
    </row>
    <row r="1555" spans="1:7" x14ac:dyDescent="0.3">
      <c r="A1555" s="4"/>
      <c r="B1555" s="4"/>
      <c r="C1555" s="4"/>
      <c r="D1555" s="4"/>
      <c r="E1555" s="7"/>
      <c r="G1555" s="8"/>
    </row>
    <row r="1556" spans="1:7" x14ac:dyDescent="0.3">
      <c r="A1556" s="4"/>
      <c r="B1556" s="4"/>
      <c r="C1556" s="4"/>
      <c r="D1556" s="4"/>
      <c r="E1556" s="7"/>
      <c r="G1556" s="8"/>
    </row>
    <row r="1557" spans="1:7" x14ac:dyDescent="0.3">
      <c r="A1557" s="4"/>
      <c r="B1557" s="4"/>
      <c r="C1557" s="4"/>
      <c r="D1557" s="4"/>
      <c r="E1557" s="7"/>
      <c r="G1557" s="8"/>
    </row>
    <row r="1558" spans="1:7" x14ac:dyDescent="0.3">
      <c r="A1558" s="4"/>
      <c r="B1558" s="4"/>
      <c r="C1558" s="4"/>
      <c r="D1558" s="4"/>
      <c r="E1558" s="7"/>
      <c r="G1558" s="8"/>
    </row>
    <row r="1559" spans="1:7" x14ac:dyDescent="0.3">
      <c r="A1559" s="4"/>
      <c r="B1559" s="4"/>
      <c r="C1559" s="4"/>
      <c r="D1559" s="4"/>
      <c r="E1559" s="7"/>
      <c r="G1559" s="8"/>
    </row>
    <row r="1560" spans="1:7" x14ac:dyDescent="0.3">
      <c r="A1560" s="4"/>
      <c r="B1560" s="4"/>
      <c r="C1560" s="4"/>
      <c r="D1560" s="4"/>
      <c r="E1560" s="7"/>
      <c r="G1560" s="8"/>
    </row>
    <row r="1561" spans="1:7" x14ac:dyDescent="0.3">
      <c r="A1561" s="4"/>
      <c r="B1561" s="4"/>
      <c r="C1561" s="4"/>
      <c r="D1561" s="4"/>
      <c r="E1561" s="7"/>
      <c r="G1561" s="8"/>
    </row>
    <row r="1562" spans="1:7" x14ac:dyDescent="0.3">
      <c r="A1562" s="4"/>
      <c r="B1562" s="4"/>
      <c r="C1562" s="4"/>
      <c r="D1562" s="4"/>
      <c r="E1562" s="7"/>
      <c r="G1562" s="8"/>
    </row>
    <row r="1563" spans="1:7" x14ac:dyDescent="0.3">
      <c r="A1563" s="4"/>
      <c r="B1563" s="4"/>
      <c r="C1563" s="4"/>
      <c r="D1563" s="4"/>
      <c r="E1563" s="7"/>
      <c r="G1563" s="8"/>
    </row>
    <row r="1564" spans="1:7" x14ac:dyDescent="0.3">
      <c r="A1564" s="4"/>
      <c r="B1564" s="4"/>
      <c r="C1564" s="4"/>
      <c r="D1564" s="4"/>
      <c r="E1564" s="7"/>
      <c r="G1564" s="8"/>
    </row>
    <row r="1565" spans="1:7" x14ac:dyDescent="0.3">
      <c r="A1565" s="4"/>
      <c r="B1565" s="4"/>
      <c r="C1565" s="4"/>
      <c r="D1565" s="4"/>
      <c r="E1565" s="7"/>
      <c r="G1565" s="8"/>
    </row>
    <row r="1566" spans="1:7" x14ac:dyDescent="0.3">
      <c r="A1566" s="4"/>
      <c r="B1566" s="4"/>
      <c r="C1566" s="4"/>
      <c r="D1566" s="4"/>
      <c r="E1566" s="7"/>
      <c r="G1566" s="8"/>
    </row>
    <row r="1567" spans="1:7" x14ac:dyDescent="0.3">
      <c r="A1567" s="4"/>
      <c r="B1567" s="4"/>
      <c r="C1567" s="4"/>
      <c r="D1567" s="4"/>
      <c r="E1567" s="7"/>
      <c r="G1567" s="8"/>
    </row>
    <row r="1568" spans="1:7" x14ac:dyDescent="0.3">
      <c r="A1568" s="4"/>
      <c r="B1568" s="4"/>
      <c r="C1568" s="4"/>
      <c r="D1568" s="4"/>
      <c r="E1568" s="7"/>
      <c r="G1568" s="8"/>
    </row>
    <row r="1569" spans="1:7" x14ac:dyDescent="0.3">
      <c r="A1569" s="4"/>
      <c r="B1569" s="4"/>
      <c r="C1569" s="4"/>
      <c r="D1569" s="4"/>
      <c r="E1569" s="7"/>
      <c r="G1569" s="8"/>
    </row>
    <row r="1570" spans="1:7" x14ac:dyDescent="0.3">
      <c r="A1570" s="4"/>
      <c r="B1570" s="4"/>
      <c r="C1570" s="4"/>
      <c r="D1570" s="4"/>
      <c r="E1570" s="7"/>
      <c r="G1570" s="8"/>
    </row>
    <row r="1571" spans="1:7" x14ac:dyDescent="0.3">
      <c r="A1571" s="4"/>
      <c r="B1571" s="4"/>
      <c r="C1571" s="4"/>
      <c r="D1571" s="4"/>
      <c r="E1571" s="7"/>
      <c r="G1571" s="8"/>
    </row>
    <row r="1572" spans="1:7" x14ac:dyDescent="0.3">
      <c r="A1572" s="4"/>
      <c r="B1572" s="4"/>
      <c r="C1572" s="4"/>
      <c r="D1572" s="4"/>
      <c r="E1572" s="7"/>
      <c r="G1572" s="8"/>
    </row>
    <row r="1573" spans="1:7" x14ac:dyDescent="0.3">
      <c r="A1573" s="4"/>
      <c r="B1573" s="4"/>
      <c r="C1573" s="4"/>
      <c r="D1573" s="4"/>
      <c r="E1573" s="7"/>
      <c r="G1573" s="8"/>
    </row>
    <row r="1574" spans="1:7" x14ac:dyDescent="0.3">
      <c r="A1574" s="4"/>
      <c r="B1574" s="4"/>
      <c r="C1574" s="4"/>
      <c r="D1574" s="4"/>
      <c r="E1574" s="7"/>
      <c r="G1574" s="8"/>
    </row>
    <row r="1575" spans="1:7" x14ac:dyDescent="0.3">
      <c r="A1575" s="4"/>
      <c r="B1575" s="4"/>
      <c r="C1575" s="4"/>
      <c r="D1575" s="4"/>
      <c r="E1575" s="7"/>
      <c r="G1575" s="8"/>
    </row>
    <row r="1576" spans="1:7" x14ac:dyDescent="0.3">
      <c r="A1576" s="4"/>
      <c r="B1576" s="4"/>
      <c r="C1576" s="4"/>
      <c r="D1576" s="4"/>
      <c r="E1576" s="7"/>
      <c r="G1576" s="8"/>
    </row>
    <row r="1577" spans="1:7" x14ac:dyDescent="0.3">
      <c r="A1577" s="4"/>
      <c r="B1577" s="4"/>
      <c r="C1577" s="4"/>
      <c r="D1577" s="4"/>
      <c r="E1577" s="7"/>
      <c r="G1577" s="8"/>
    </row>
    <row r="1578" spans="1:7" x14ac:dyDescent="0.3">
      <c r="A1578" s="4"/>
      <c r="B1578" s="4"/>
      <c r="C1578" s="4"/>
      <c r="D1578" s="4"/>
      <c r="E1578" s="7"/>
      <c r="G1578" s="8"/>
    </row>
    <row r="1579" spans="1:7" x14ac:dyDescent="0.3">
      <c r="A1579" s="4"/>
      <c r="B1579" s="4"/>
      <c r="C1579" s="4"/>
      <c r="D1579" s="4"/>
      <c r="E1579" s="7"/>
      <c r="G1579" s="8"/>
    </row>
    <row r="1580" spans="1:7" x14ac:dyDescent="0.3">
      <c r="A1580" s="4"/>
      <c r="B1580" s="4"/>
      <c r="C1580" s="4"/>
      <c r="D1580" s="4"/>
      <c r="E1580" s="7"/>
      <c r="G1580" s="8"/>
    </row>
    <row r="1581" spans="1:7" x14ac:dyDescent="0.3">
      <c r="A1581" s="4"/>
      <c r="B1581" s="4"/>
      <c r="C1581" s="4"/>
      <c r="D1581" s="4"/>
      <c r="E1581" s="7"/>
      <c r="G1581" s="8"/>
    </row>
    <row r="1582" spans="1:7" x14ac:dyDescent="0.3">
      <c r="A1582" s="4"/>
      <c r="B1582" s="4"/>
      <c r="C1582" s="4"/>
      <c r="D1582" s="4"/>
      <c r="E1582" s="7"/>
      <c r="G1582" s="8"/>
    </row>
    <row r="1583" spans="1:7" x14ac:dyDescent="0.3">
      <c r="A1583" s="4"/>
      <c r="B1583" s="4"/>
      <c r="C1583" s="4"/>
      <c r="D1583" s="4"/>
      <c r="E1583" s="7"/>
      <c r="G1583" s="8"/>
    </row>
    <row r="1584" spans="1:7" x14ac:dyDescent="0.3">
      <c r="A1584" s="4"/>
      <c r="B1584" s="4"/>
      <c r="C1584" s="4"/>
      <c r="D1584" s="4"/>
      <c r="E1584" s="7"/>
      <c r="G1584" s="8"/>
    </row>
    <row r="1585" spans="1:7" x14ac:dyDescent="0.3">
      <c r="A1585" s="4"/>
      <c r="B1585" s="4"/>
      <c r="C1585" s="4"/>
      <c r="D1585" s="4"/>
      <c r="E1585" s="7"/>
      <c r="G1585" s="8"/>
    </row>
    <row r="1586" spans="1:7" x14ac:dyDescent="0.3">
      <c r="A1586" s="4"/>
      <c r="B1586" s="4"/>
      <c r="C1586" s="4"/>
      <c r="D1586" s="4"/>
      <c r="E1586" s="7"/>
      <c r="G1586" s="8"/>
    </row>
    <row r="1587" spans="1:7" x14ac:dyDescent="0.3">
      <c r="A1587" s="4"/>
      <c r="B1587" s="4"/>
      <c r="C1587" s="4"/>
      <c r="D1587" s="4"/>
      <c r="E1587" s="7"/>
      <c r="G1587" s="8"/>
    </row>
    <row r="1588" spans="1:7" x14ac:dyDescent="0.3">
      <c r="A1588" s="4"/>
      <c r="B1588" s="4"/>
      <c r="C1588" s="4"/>
      <c r="D1588" s="4"/>
      <c r="E1588" s="7"/>
      <c r="G1588" s="8"/>
    </row>
    <row r="1589" spans="1:7" x14ac:dyDescent="0.3">
      <c r="A1589" s="4"/>
      <c r="B1589" s="4"/>
      <c r="C1589" s="4"/>
      <c r="D1589" s="4"/>
      <c r="E1589" s="7"/>
      <c r="G1589" s="8"/>
    </row>
    <row r="1590" spans="1:7" x14ac:dyDescent="0.3">
      <c r="A1590" s="4"/>
      <c r="B1590" s="4"/>
      <c r="C1590" s="4"/>
      <c r="D1590" s="4"/>
      <c r="E1590" s="7"/>
      <c r="G1590" s="8"/>
    </row>
    <row r="1591" spans="1:7" x14ac:dyDescent="0.3">
      <c r="A1591" s="4"/>
      <c r="B1591" s="4"/>
      <c r="C1591" s="4"/>
      <c r="D1591" s="4"/>
      <c r="E1591" s="7"/>
      <c r="G1591" s="8"/>
    </row>
    <row r="1592" spans="1:7" x14ac:dyDescent="0.3">
      <c r="A1592" s="4"/>
      <c r="B1592" s="4"/>
      <c r="C1592" s="4"/>
      <c r="D1592" s="4"/>
      <c r="E1592" s="7"/>
      <c r="G1592" s="8"/>
    </row>
    <row r="1593" spans="1:7" x14ac:dyDescent="0.3">
      <c r="A1593" s="4"/>
      <c r="B1593" s="4"/>
      <c r="C1593" s="4"/>
      <c r="D1593" s="4"/>
      <c r="E1593" s="7"/>
      <c r="G1593" s="8"/>
    </row>
    <row r="1594" spans="1:7" x14ac:dyDescent="0.3">
      <c r="A1594" s="4"/>
      <c r="B1594" s="4"/>
      <c r="C1594" s="4"/>
      <c r="D1594" s="4"/>
      <c r="E1594" s="7"/>
      <c r="G1594" s="8"/>
    </row>
    <row r="1595" spans="1:7" x14ac:dyDescent="0.3">
      <c r="A1595" s="4"/>
      <c r="B1595" s="4"/>
      <c r="C1595" s="4"/>
      <c r="D1595" s="4"/>
      <c r="E1595" s="7"/>
      <c r="G1595" s="8"/>
    </row>
    <row r="1596" spans="1:7" x14ac:dyDescent="0.3">
      <c r="A1596" s="4"/>
      <c r="B1596" s="4"/>
      <c r="C1596" s="4"/>
      <c r="D1596" s="4"/>
      <c r="E1596" s="7"/>
      <c r="G1596" s="8"/>
    </row>
    <row r="1597" spans="1:7" x14ac:dyDescent="0.3">
      <c r="A1597" s="4"/>
      <c r="B1597" s="4"/>
      <c r="C1597" s="4"/>
      <c r="D1597" s="4"/>
      <c r="E1597" s="7"/>
      <c r="G1597" s="8"/>
    </row>
    <row r="1598" spans="1:7" x14ac:dyDescent="0.3">
      <c r="A1598" s="4"/>
      <c r="B1598" s="4"/>
      <c r="C1598" s="4"/>
      <c r="D1598" s="4"/>
      <c r="E1598" s="7"/>
      <c r="G1598" s="8"/>
    </row>
    <row r="1599" spans="1:7" x14ac:dyDescent="0.3">
      <c r="A1599" s="4"/>
      <c r="B1599" s="4"/>
      <c r="C1599" s="4"/>
      <c r="D1599" s="4"/>
      <c r="E1599" s="7"/>
      <c r="G1599" s="8"/>
    </row>
    <row r="1600" spans="1:7" x14ac:dyDescent="0.3">
      <c r="A1600" s="4"/>
      <c r="B1600" s="4"/>
      <c r="C1600" s="4"/>
      <c r="D1600" s="4"/>
      <c r="E1600" s="7"/>
      <c r="G1600" s="8"/>
    </row>
    <row r="1601" spans="1:7" x14ac:dyDescent="0.3">
      <c r="A1601" s="4"/>
      <c r="B1601" s="4"/>
      <c r="C1601" s="4"/>
      <c r="D1601" s="4"/>
      <c r="E1601" s="7"/>
      <c r="G1601" s="8"/>
    </row>
    <row r="1602" spans="1:7" x14ac:dyDescent="0.3">
      <c r="A1602" s="4"/>
      <c r="B1602" s="4"/>
      <c r="C1602" s="4"/>
      <c r="D1602" s="4"/>
      <c r="E1602" s="7"/>
      <c r="G1602" s="8"/>
    </row>
    <row r="1603" spans="1:7" x14ac:dyDescent="0.3">
      <c r="A1603" s="4"/>
      <c r="B1603" s="4"/>
      <c r="C1603" s="4"/>
      <c r="D1603" s="4"/>
      <c r="E1603" s="7"/>
      <c r="G1603" s="8"/>
    </row>
    <row r="1604" spans="1:7" x14ac:dyDescent="0.3">
      <c r="A1604" s="4"/>
      <c r="B1604" s="4"/>
      <c r="C1604" s="4"/>
      <c r="D1604" s="4"/>
      <c r="E1604" s="7"/>
      <c r="G1604" s="8"/>
    </row>
    <row r="1605" spans="1:7" x14ac:dyDescent="0.3">
      <c r="A1605" s="4"/>
      <c r="B1605" s="4"/>
      <c r="C1605" s="4"/>
      <c r="D1605" s="4"/>
      <c r="E1605" s="7"/>
      <c r="G1605" s="8"/>
    </row>
    <row r="1606" spans="1:7" x14ac:dyDescent="0.3">
      <c r="A1606" s="4"/>
      <c r="B1606" s="4"/>
      <c r="C1606" s="4"/>
      <c r="D1606" s="4"/>
      <c r="E1606" s="7"/>
      <c r="G1606" s="8"/>
    </row>
    <row r="1607" spans="1:7" x14ac:dyDescent="0.3">
      <c r="A1607" s="4"/>
      <c r="B1607" s="4"/>
      <c r="C1607" s="4"/>
      <c r="D1607" s="4"/>
      <c r="E1607" s="7"/>
      <c r="G1607" s="8"/>
    </row>
    <row r="1608" spans="1:7" x14ac:dyDescent="0.3">
      <c r="A1608" s="4"/>
      <c r="B1608" s="4"/>
      <c r="C1608" s="4"/>
      <c r="D1608" s="4"/>
      <c r="E1608" s="7"/>
      <c r="G1608" s="8"/>
    </row>
    <row r="1609" spans="1:7" x14ac:dyDescent="0.3">
      <c r="A1609" s="4"/>
      <c r="B1609" s="4"/>
      <c r="C1609" s="4"/>
      <c r="D1609" s="4"/>
      <c r="E1609" s="7"/>
      <c r="G1609" s="8"/>
    </row>
    <row r="1610" spans="1:7" x14ac:dyDescent="0.3">
      <c r="A1610" s="4"/>
      <c r="B1610" s="4"/>
      <c r="C1610" s="4"/>
      <c r="D1610" s="4"/>
      <c r="E1610" s="7"/>
      <c r="G1610" s="8"/>
    </row>
    <row r="1611" spans="1:7" x14ac:dyDescent="0.3">
      <c r="A1611" s="4"/>
      <c r="B1611" s="4"/>
      <c r="C1611" s="4"/>
      <c r="D1611" s="4"/>
      <c r="E1611" s="7"/>
      <c r="G1611" s="8"/>
    </row>
    <row r="1612" spans="1:7" x14ac:dyDescent="0.3">
      <c r="A1612" s="4"/>
      <c r="B1612" s="4"/>
      <c r="C1612" s="4"/>
      <c r="D1612" s="4"/>
      <c r="E1612" s="7"/>
      <c r="G1612" s="8"/>
    </row>
    <row r="1613" spans="1:7" x14ac:dyDescent="0.3">
      <c r="A1613" s="4"/>
      <c r="B1613" s="4"/>
      <c r="C1613" s="4"/>
      <c r="D1613" s="4"/>
      <c r="E1613" s="7"/>
      <c r="G1613" s="8"/>
    </row>
    <row r="1614" spans="1:7" x14ac:dyDescent="0.3">
      <c r="A1614" s="4"/>
      <c r="B1614" s="4"/>
      <c r="C1614" s="4"/>
      <c r="D1614" s="4"/>
      <c r="E1614" s="7"/>
      <c r="G1614" s="8"/>
    </row>
    <row r="1615" spans="1:7" x14ac:dyDescent="0.3">
      <c r="A1615" s="4"/>
      <c r="B1615" s="4"/>
      <c r="C1615" s="4"/>
      <c r="D1615" s="4"/>
      <c r="E1615" s="7"/>
      <c r="G1615" s="8"/>
    </row>
    <row r="1616" spans="1:7" x14ac:dyDescent="0.3">
      <c r="A1616" s="4"/>
      <c r="B1616" s="4"/>
      <c r="C1616" s="4"/>
      <c r="D1616" s="4"/>
      <c r="E1616" s="7"/>
      <c r="G1616" s="8"/>
    </row>
    <row r="1617" spans="1:7" x14ac:dyDescent="0.3">
      <c r="A1617" s="4"/>
      <c r="B1617" s="4"/>
      <c r="C1617" s="4"/>
      <c r="D1617" s="4"/>
      <c r="E1617" s="7"/>
      <c r="G1617" s="8"/>
    </row>
    <row r="1618" spans="1:7" x14ac:dyDescent="0.3">
      <c r="A1618" s="4"/>
      <c r="B1618" s="4"/>
      <c r="C1618" s="4"/>
      <c r="D1618" s="4"/>
      <c r="E1618" s="7"/>
      <c r="G1618" s="8"/>
    </row>
    <row r="1619" spans="1:7" x14ac:dyDescent="0.3">
      <c r="A1619" s="4"/>
      <c r="B1619" s="4"/>
      <c r="C1619" s="4"/>
      <c r="D1619" s="4"/>
      <c r="E1619" s="7"/>
      <c r="G1619" s="8"/>
    </row>
    <row r="1620" spans="1:7" x14ac:dyDescent="0.3">
      <c r="A1620" s="4"/>
      <c r="B1620" s="4"/>
      <c r="C1620" s="4"/>
      <c r="D1620" s="4"/>
      <c r="E1620" s="7"/>
      <c r="G1620" s="8"/>
    </row>
    <row r="1621" spans="1:7" x14ac:dyDescent="0.3">
      <c r="A1621" s="4"/>
      <c r="B1621" s="4"/>
      <c r="C1621" s="4"/>
      <c r="D1621" s="4"/>
      <c r="E1621" s="7"/>
      <c r="G1621" s="8"/>
    </row>
    <row r="1622" spans="1:7" x14ac:dyDescent="0.3">
      <c r="A1622" s="4"/>
      <c r="B1622" s="4"/>
      <c r="C1622" s="4"/>
      <c r="D1622" s="4"/>
      <c r="E1622" s="7"/>
      <c r="G1622" s="8"/>
    </row>
    <row r="1623" spans="1:7" x14ac:dyDescent="0.3">
      <c r="A1623" s="4"/>
      <c r="B1623" s="4"/>
      <c r="C1623" s="4"/>
      <c r="D1623" s="4"/>
      <c r="E1623" s="7"/>
      <c r="G1623" s="8"/>
    </row>
    <row r="1624" spans="1:7" x14ac:dyDescent="0.3">
      <c r="A1624" s="4"/>
      <c r="B1624" s="4"/>
      <c r="C1624" s="4"/>
      <c r="D1624" s="4"/>
      <c r="E1624" s="7"/>
      <c r="G1624" s="8"/>
    </row>
    <row r="1625" spans="1:7" x14ac:dyDescent="0.3">
      <c r="A1625" s="4"/>
      <c r="B1625" s="4"/>
      <c r="C1625" s="4"/>
      <c r="D1625" s="4"/>
      <c r="E1625" s="7"/>
      <c r="G1625" s="8"/>
    </row>
    <row r="1626" spans="1:7" x14ac:dyDescent="0.3">
      <c r="A1626" s="4"/>
      <c r="B1626" s="4"/>
      <c r="C1626" s="4"/>
      <c r="D1626" s="4"/>
      <c r="E1626" s="7"/>
      <c r="G1626" s="8"/>
    </row>
    <row r="1627" spans="1:7" x14ac:dyDescent="0.3">
      <c r="A1627" s="4"/>
      <c r="B1627" s="4"/>
      <c r="C1627" s="4"/>
      <c r="D1627" s="4"/>
      <c r="E1627" s="7"/>
      <c r="G1627" s="8"/>
    </row>
    <row r="1628" spans="1:7" x14ac:dyDescent="0.3">
      <c r="A1628" s="4"/>
      <c r="B1628" s="4"/>
      <c r="C1628" s="4"/>
      <c r="D1628" s="4"/>
      <c r="E1628" s="7"/>
      <c r="G1628" s="8"/>
    </row>
    <row r="1629" spans="1:7" x14ac:dyDescent="0.3">
      <c r="A1629" s="4"/>
      <c r="B1629" s="4"/>
      <c r="C1629" s="4"/>
      <c r="D1629" s="4"/>
      <c r="E1629" s="7"/>
      <c r="G1629" s="8"/>
    </row>
    <row r="1630" spans="1:7" x14ac:dyDescent="0.3">
      <c r="A1630" s="4"/>
      <c r="B1630" s="4"/>
      <c r="C1630" s="4"/>
      <c r="D1630" s="4"/>
      <c r="E1630" s="7"/>
      <c r="G1630" s="8"/>
    </row>
    <row r="1631" spans="1:7" x14ac:dyDescent="0.3">
      <c r="A1631" s="4"/>
      <c r="B1631" s="4"/>
      <c r="C1631" s="4"/>
      <c r="D1631" s="4"/>
      <c r="E1631" s="7"/>
      <c r="G1631" s="8"/>
    </row>
    <row r="1632" spans="1:7" x14ac:dyDescent="0.3">
      <c r="A1632" s="4"/>
      <c r="B1632" s="4"/>
      <c r="C1632" s="4"/>
      <c r="D1632" s="4"/>
      <c r="E1632" s="7"/>
      <c r="G1632" s="8"/>
    </row>
    <row r="1633" spans="1:7" x14ac:dyDescent="0.3">
      <c r="A1633" s="4"/>
      <c r="B1633" s="4"/>
      <c r="C1633" s="4"/>
      <c r="D1633" s="4"/>
      <c r="E1633" s="7"/>
      <c r="G1633" s="8"/>
    </row>
    <row r="1634" spans="1:7" x14ac:dyDescent="0.3">
      <c r="A1634" s="4"/>
      <c r="B1634" s="4"/>
      <c r="C1634" s="4"/>
      <c r="D1634" s="4"/>
      <c r="E1634" s="7"/>
      <c r="G1634" s="8"/>
    </row>
    <row r="1635" spans="1:7" x14ac:dyDescent="0.3">
      <c r="A1635" s="4"/>
      <c r="B1635" s="4"/>
      <c r="C1635" s="4"/>
      <c r="D1635" s="4"/>
      <c r="E1635" s="7"/>
      <c r="G1635" s="8"/>
    </row>
    <row r="1636" spans="1:7" x14ac:dyDescent="0.3">
      <c r="A1636" s="4"/>
      <c r="B1636" s="4"/>
      <c r="C1636" s="4"/>
      <c r="D1636" s="4"/>
      <c r="E1636" s="7"/>
      <c r="G1636" s="8"/>
    </row>
    <row r="1637" spans="1:7" x14ac:dyDescent="0.3">
      <c r="A1637" s="4"/>
      <c r="B1637" s="4"/>
      <c r="C1637" s="4"/>
      <c r="D1637" s="4"/>
      <c r="E1637" s="7"/>
      <c r="G1637" s="8"/>
    </row>
    <row r="1638" spans="1:7" x14ac:dyDescent="0.3">
      <c r="A1638" s="4"/>
      <c r="B1638" s="4"/>
      <c r="C1638" s="4"/>
      <c r="D1638" s="4"/>
      <c r="E1638" s="7"/>
      <c r="G1638" s="8"/>
    </row>
    <row r="1639" spans="1:7" x14ac:dyDescent="0.3">
      <c r="A1639" s="4"/>
      <c r="B1639" s="4"/>
      <c r="C1639" s="4"/>
      <c r="D1639" s="4"/>
      <c r="E1639" s="7"/>
      <c r="G1639" s="8"/>
    </row>
    <row r="1640" spans="1:7" x14ac:dyDescent="0.3">
      <c r="A1640" s="4"/>
      <c r="B1640" s="4"/>
      <c r="C1640" s="4"/>
      <c r="D1640" s="4"/>
      <c r="E1640" s="7"/>
      <c r="G1640" s="8"/>
    </row>
    <row r="1641" spans="1:7" x14ac:dyDescent="0.3">
      <c r="A1641" s="4"/>
      <c r="B1641" s="4"/>
      <c r="C1641" s="4"/>
      <c r="D1641" s="4"/>
      <c r="E1641" s="7"/>
      <c r="G1641" s="8"/>
    </row>
    <row r="1642" spans="1:7" x14ac:dyDescent="0.3">
      <c r="A1642" s="4"/>
      <c r="B1642" s="4"/>
      <c r="C1642" s="4"/>
      <c r="D1642" s="4"/>
      <c r="E1642" s="7"/>
      <c r="G1642" s="8"/>
    </row>
    <row r="1643" spans="1:7" x14ac:dyDescent="0.3">
      <c r="A1643" s="4"/>
      <c r="B1643" s="4"/>
      <c r="C1643" s="4"/>
      <c r="D1643" s="4"/>
      <c r="E1643" s="7"/>
      <c r="G1643" s="8"/>
    </row>
    <row r="1644" spans="1:7" x14ac:dyDescent="0.3">
      <c r="A1644" s="4"/>
      <c r="B1644" s="4"/>
      <c r="C1644" s="4"/>
      <c r="D1644" s="4"/>
      <c r="E1644" s="7"/>
      <c r="G1644" s="8"/>
    </row>
    <row r="1645" spans="1:7" x14ac:dyDescent="0.3">
      <c r="A1645" s="4"/>
      <c r="B1645" s="4"/>
      <c r="C1645" s="4"/>
      <c r="D1645" s="4"/>
      <c r="E1645" s="7"/>
      <c r="G1645" s="8"/>
    </row>
    <row r="1646" spans="1:7" x14ac:dyDescent="0.3">
      <c r="A1646" s="4"/>
      <c r="B1646" s="4"/>
      <c r="C1646" s="4"/>
      <c r="D1646" s="4"/>
      <c r="E1646" s="7"/>
      <c r="G1646" s="8"/>
    </row>
    <row r="1647" spans="1:7" x14ac:dyDescent="0.3">
      <c r="A1647" s="4"/>
      <c r="B1647" s="4"/>
      <c r="C1647" s="4"/>
      <c r="D1647" s="4"/>
      <c r="E1647" s="7"/>
      <c r="G1647" s="8"/>
    </row>
    <row r="1648" spans="1:7" x14ac:dyDescent="0.3">
      <c r="A1648" s="4"/>
      <c r="B1648" s="4"/>
      <c r="C1648" s="4"/>
      <c r="D1648" s="4"/>
      <c r="E1648" s="7"/>
      <c r="G1648" s="8"/>
    </row>
    <row r="1649" spans="1:7" x14ac:dyDescent="0.3">
      <c r="A1649" s="4"/>
      <c r="B1649" s="4"/>
      <c r="C1649" s="4"/>
      <c r="D1649" s="4"/>
      <c r="E1649" s="7"/>
      <c r="G1649" s="8"/>
    </row>
    <row r="1650" spans="1:7" x14ac:dyDescent="0.3">
      <c r="A1650" s="4"/>
      <c r="B1650" s="4"/>
      <c r="C1650" s="4"/>
      <c r="D1650" s="4"/>
      <c r="E1650" s="7"/>
      <c r="G1650" s="8"/>
    </row>
    <row r="1651" spans="1:7" x14ac:dyDescent="0.3">
      <c r="A1651" s="4"/>
      <c r="B1651" s="4"/>
      <c r="C1651" s="4"/>
      <c r="D1651" s="4"/>
      <c r="E1651" s="7"/>
      <c r="G1651" s="8"/>
    </row>
    <row r="1652" spans="1:7" x14ac:dyDescent="0.3">
      <c r="A1652" s="4"/>
      <c r="B1652" s="4"/>
      <c r="C1652" s="4"/>
      <c r="D1652" s="4"/>
      <c r="E1652" s="7"/>
      <c r="G1652" s="8"/>
    </row>
    <row r="1653" spans="1:7" x14ac:dyDescent="0.3">
      <c r="A1653" s="4"/>
      <c r="B1653" s="4"/>
      <c r="C1653" s="4"/>
      <c r="D1653" s="4"/>
      <c r="E1653" s="7"/>
      <c r="G1653" s="8"/>
    </row>
    <row r="1654" spans="1:7" x14ac:dyDescent="0.3">
      <c r="A1654" s="4"/>
      <c r="B1654" s="4"/>
      <c r="C1654" s="4"/>
      <c r="D1654" s="4"/>
      <c r="E1654" s="7"/>
      <c r="G1654" s="8"/>
    </row>
    <row r="1655" spans="1:7" x14ac:dyDescent="0.3">
      <c r="A1655" s="4"/>
      <c r="B1655" s="4"/>
      <c r="C1655" s="4"/>
      <c r="D1655" s="4"/>
      <c r="E1655" s="7"/>
      <c r="G1655" s="8"/>
    </row>
    <row r="1656" spans="1:7" x14ac:dyDescent="0.3">
      <c r="A1656" s="4"/>
      <c r="B1656" s="4"/>
      <c r="C1656" s="4"/>
      <c r="D1656" s="4"/>
      <c r="E1656" s="7"/>
      <c r="G1656" s="8"/>
    </row>
    <row r="1657" spans="1:7" x14ac:dyDescent="0.3">
      <c r="A1657" s="4"/>
      <c r="B1657" s="4"/>
      <c r="C1657" s="4"/>
      <c r="D1657" s="4"/>
      <c r="E1657" s="7"/>
      <c r="G1657" s="8"/>
    </row>
    <row r="1658" spans="1:7" x14ac:dyDescent="0.3">
      <c r="A1658" s="4"/>
      <c r="B1658" s="4"/>
      <c r="C1658" s="4"/>
      <c r="D1658" s="4"/>
      <c r="E1658" s="7"/>
      <c r="G1658" s="8"/>
    </row>
    <row r="1659" spans="1:7" x14ac:dyDescent="0.3">
      <c r="A1659" s="4"/>
      <c r="B1659" s="4"/>
      <c r="C1659" s="4"/>
      <c r="D1659" s="4"/>
      <c r="E1659" s="7"/>
      <c r="G1659" s="8"/>
    </row>
    <row r="1660" spans="1:7" x14ac:dyDescent="0.3">
      <c r="A1660" s="4"/>
      <c r="B1660" s="4"/>
      <c r="C1660" s="4"/>
      <c r="D1660" s="4"/>
      <c r="E1660" s="7"/>
      <c r="G1660" s="8"/>
    </row>
    <row r="1661" spans="1:7" x14ac:dyDescent="0.3">
      <c r="A1661" s="4"/>
      <c r="B1661" s="4"/>
      <c r="C1661" s="4"/>
      <c r="D1661" s="4"/>
      <c r="E1661" s="7"/>
      <c r="G1661" s="8"/>
    </row>
    <row r="1662" spans="1:7" x14ac:dyDescent="0.3">
      <c r="A1662" s="4"/>
      <c r="B1662" s="4"/>
      <c r="C1662" s="4"/>
      <c r="D1662" s="4"/>
      <c r="E1662" s="7"/>
      <c r="G1662" s="8"/>
    </row>
    <row r="1663" spans="1:7" x14ac:dyDescent="0.3">
      <c r="A1663" s="4"/>
      <c r="B1663" s="4"/>
      <c r="C1663" s="4"/>
      <c r="D1663" s="4"/>
      <c r="E1663" s="7"/>
      <c r="G1663" s="8"/>
    </row>
    <row r="1664" spans="1:7" x14ac:dyDescent="0.3">
      <c r="A1664" s="4"/>
      <c r="B1664" s="4"/>
      <c r="C1664" s="4"/>
      <c r="D1664" s="4"/>
      <c r="E1664" s="7"/>
      <c r="G1664" s="8"/>
    </row>
    <row r="1665" spans="1:7" x14ac:dyDescent="0.3">
      <c r="A1665" s="4"/>
      <c r="B1665" s="4"/>
      <c r="C1665" s="4"/>
      <c r="D1665" s="4"/>
      <c r="E1665" s="7"/>
      <c r="G1665" s="8"/>
    </row>
    <row r="1666" spans="1:7" x14ac:dyDescent="0.3">
      <c r="A1666" s="4"/>
      <c r="B1666" s="4"/>
      <c r="C1666" s="4"/>
      <c r="D1666" s="4"/>
      <c r="E1666" s="7"/>
      <c r="G1666" s="8"/>
    </row>
    <row r="1667" spans="1:7" x14ac:dyDescent="0.3">
      <c r="A1667" s="4"/>
      <c r="B1667" s="4"/>
      <c r="C1667" s="4"/>
      <c r="D1667" s="4"/>
      <c r="E1667" s="7"/>
      <c r="G1667" s="8"/>
    </row>
    <row r="1668" spans="1:7" x14ac:dyDescent="0.3">
      <c r="A1668" s="4"/>
      <c r="B1668" s="4"/>
      <c r="C1668" s="4"/>
      <c r="D1668" s="4"/>
      <c r="E1668" s="7"/>
      <c r="G1668" s="8"/>
    </row>
    <row r="1669" spans="1:7" x14ac:dyDescent="0.3">
      <c r="A1669" s="4"/>
      <c r="B1669" s="4"/>
      <c r="C1669" s="4"/>
      <c r="D1669" s="4"/>
      <c r="E1669" s="7"/>
      <c r="G1669" s="8"/>
    </row>
    <row r="1670" spans="1:7" x14ac:dyDescent="0.3">
      <c r="A1670" s="4"/>
      <c r="B1670" s="4"/>
      <c r="C1670" s="4"/>
      <c r="D1670" s="4"/>
      <c r="E1670" s="7"/>
      <c r="G1670" s="8"/>
    </row>
    <row r="1671" spans="1:7" x14ac:dyDescent="0.3">
      <c r="A1671" s="4"/>
      <c r="B1671" s="4"/>
      <c r="C1671" s="4"/>
      <c r="D1671" s="4"/>
      <c r="E1671" s="7"/>
      <c r="G1671" s="8"/>
    </row>
    <row r="1672" spans="1:7" x14ac:dyDescent="0.3">
      <c r="A1672" s="4"/>
      <c r="B1672" s="4"/>
      <c r="C1672" s="4"/>
      <c r="D1672" s="4"/>
      <c r="E1672" s="7"/>
      <c r="G1672" s="8"/>
    </row>
    <row r="1673" spans="1:7" x14ac:dyDescent="0.3">
      <c r="A1673" s="4"/>
      <c r="B1673" s="4"/>
      <c r="C1673" s="4"/>
      <c r="D1673" s="4"/>
      <c r="E1673" s="7"/>
      <c r="G1673" s="8"/>
    </row>
    <row r="1674" spans="1:7" x14ac:dyDescent="0.3">
      <c r="A1674" s="4"/>
      <c r="B1674" s="4"/>
      <c r="C1674" s="4"/>
      <c r="D1674" s="4"/>
      <c r="E1674" s="7"/>
      <c r="G1674" s="8"/>
    </row>
    <row r="1675" spans="1:7" x14ac:dyDescent="0.3">
      <c r="A1675" s="4"/>
      <c r="B1675" s="4"/>
      <c r="C1675" s="4"/>
      <c r="D1675" s="4"/>
      <c r="E1675" s="7"/>
      <c r="G1675" s="8"/>
    </row>
    <row r="1676" spans="1:7" x14ac:dyDescent="0.3">
      <c r="A1676" s="4"/>
      <c r="B1676" s="4"/>
      <c r="C1676" s="4"/>
      <c r="D1676" s="4"/>
      <c r="E1676" s="7"/>
      <c r="G1676" s="8"/>
    </row>
    <row r="1677" spans="1:7" x14ac:dyDescent="0.3">
      <c r="A1677" s="4"/>
      <c r="B1677" s="4"/>
      <c r="C1677" s="4"/>
      <c r="D1677" s="4"/>
      <c r="E1677" s="7"/>
      <c r="G1677" s="8"/>
    </row>
    <row r="1678" spans="1:7" x14ac:dyDescent="0.3">
      <c r="A1678" s="4"/>
      <c r="B1678" s="4"/>
      <c r="C1678" s="4"/>
      <c r="D1678" s="4"/>
      <c r="E1678" s="7"/>
      <c r="G1678" s="8"/>
    </row>
    <row r="1679" spans="1:7" x14ac:dyDescent="0.3">
      <c r="A1679" s="4"/>
      <c r="B1679" s="4"/>
      <c r="C1679" s="4"/>
      <c r="D1679" s="4"/>
      <c r="E1679" s="7"/>
      <c r="G1679" s="8"/>
    </row>
    <row r="1680" spans="1:7" x14ac:dyDescent="0.3">
      <c r="A1680" s="4"/>
      <c r="B1680" s="4"/>
      <c r="C1680" s="4"/>
      <c r="D1680" s="4"/>
      <c r="E1680" s="7"/>
      <c r="G1680" s="8"/>
    </row>
    <row r="1681" spans="1:7" x14ac:dyDescent="0.3">
      <c r="A1681" s="4"/>
      <c r="B1681" s="4"/>
      <c r="C1681" s="4"/>
      <c r="D1681" s="4"/>
      <c r="E1681" s="7"/>
      <c r="G1681" s="8"/>
    </row>
    <row r="1682" spans="1:7" x14ac:dyDescent="0.3">
      <c r="A1682" s="4"/>
      <c r="B1682" s="4"/>
      <c r="C1682" s="4"/>
      <c r="D1682" s="4"/>
      <c r="E1682" s="7"/>
      <c r="G1682" s="8"/>
    </row>
    <row r="1683" spans="1:7" x14ac:dyDescent="0.3">
      <c r="A1683" s="4"/>
      <c r="B1683" s="4"/>
      <c r="C1683" s="4"/>
      <c r="D1683" s="4"/>
      <c r="E1683" s="7"/>
      <c r="G1683" s="8"/>
    </row>
    <row r="1684" spans="1:7" x14ac:dyDescent="0.3">
      <c r="A1684" s="4"/>
      <c r="B1684" s="4"/>
      <c r="C1684" s="4"/>
      <c r="D1684" s="4"/>
      <c r="E1684" s="7"/>
      <c r="G1684" s="8"/>
    </row>
    <row r="1685" spans="1:7" x14ac:dyDescent="0.3">
      <c r="A1685" s="4"/>
      <c r="B1685" s="4"/>
      <c r="C1685" s="4"/>
      <c r="D1685" s="4"/>
      <c r="E1685" s="7"/>
      <c r="G1685" s="8"/>
    </row>
    <row r="1686" spans="1:7" x14ac:dyDescent="0.3">
      <c r="A1686" s="4"/>
      <c r="B1686" s="4"/>
      <c r="C1686" s="4"/>
      <c r="D1686" s="4"/>
      <c r="E1686" s="7"/>
      <c r="G1686" s="8"/>
    </row>
    <row r="1687" spans="1:7" x14ac:dyDescent="0.3">
      <c r="A1687" s="4"/>
      <c r="B1687" s="4"/>
      <c r="C1687" s="4"/>
      <c r="D1687" s="4"/>
      <c r="E1687" s="7"/>
      <c r="G1687" s="8"/>
    </row>
    <row r="1688" spans="1:7" x14ac:dyDescent="0.3">
      <c r="A1688" s="4"/>
      <c r="B1688" s="4"/>
      <c r="C1688" s="4"/>
      <c r="D1688" s="4"/>
      <c r="E1688" s="7"/>
      <c r="G1688" s="8"/>
    </row>
    <row r="1689" spans="1:7" x14ac:dyDescent="0.3">
      <c r="A1689" s="4"/>
      <c r="B1689" s="4"/>
      <c r="C1689" s="4"/>
      <c r="D1689" s="4"/>
      <c r="E1689" s="7"/>
      <c r="G1689" s="8"/>
    </row>
    <row r="1690" spans="1:7" x14ac:dyDescent="0.3">
      <c r="A1690" s="4"/>
      <c r="B1690" s="4"/>
      <c r="C1690" s="4"/>
      <c r="D1690" s="4"/>
      <c r="E1690" s="7"/>
      <c r="G1690" s="8"/>
    </row>
    <row r="1691" spans="1:7" x14ac:dyDescent="0.3">
      <c r="A1691" s="4"/>
      <c r="B1691" s="4"/>
      <c r="C1691" s="4"/>
      <c r="D1691" s="4"/>
      <c r="E1691" s="7"/>
      <c r="G1691" s="8"/>
    </row>
    <row r="1692" spans="1:7" x14ac:dyDescent="0.3">
      <c r="A1692" s="4"/>
      <c r="B1692" s="4"/>
      <c r="C1692" s="4"/>
      <c r="D1692" s="4"/>
      <c r="E1692" s="7"/>
      <c r="G1692" s="8"/>
    </row>
    <row r="1693" spans="1:7" x14ac:dyDescent="0.3">
      <c r="A1693" s="4"/>
      <c r="B1693" s="4"/>
      <c r="C1693" s="4"/>
      <c r="D1693" s="4"/>
      <c r="E1693" s="7"/>
      <c r="G1693" s="8"/>
    </row>
    <row r="1694" spans="1:7" x14ac:dyDescent="0.3">
      <c r="A1694" s="4"/>
      <c r="B1694" s="4"/>
      <c r="C1694" s="4"/>
      <c r="D1694" s="4"/>
      <c r="E1694" s="7"/>
      <c r="G1694" s="8"/>
    </row>
    <row r="1695" spans="1:7" x14ac:dyDescent="0.3">
      <c r="A1695" s="4"/>
      <c r="B1695" s="4"/>
      <c r="C1695" s="4"/>
      <c r="D1695" s="4"/>
      <c r="E1695" s="7"/>
      <c r="G1695" s="8"/>
    </row>
    <row r="1696" spans="1:7" x14ac:dyDescent="0.3">
      <c r="A1696" s="4"/>
      <c r="B1696" s="4"/>
      <c r="C1696" s="4"/>
      <c r="D1696" s="4"/>
      <c r="E1696" s="7"/>
      <c r="G1696" s="8"/>
    </row>
    <row r="1697" spans="1:7" x14ac:dyDescent="0.3">
      <c r="A1697" s="4"/>
      <c r="B1697" s="4"/>
      <c r="C1697" s="4"/>
      <c r="D1697" s="4"/>
      <c r="E1697" s="7"/>
      <c r="G1697" s="8"/>
    </row>
    <row r="1698" spans="1:7" x14ac:dyDescent="0.3">
      <c r="A1698" s="4"/>
      <c r="B1698" s="4"/>
      <c r="C1698" s="4"/>
      <c r="D1698" s="4"/>
      <c r="E1698" s="7"/>
      <c r="G1698" s="8"/>
    </row>
    <row r="1699" spans="1:7" x14ac:dyDescent="0.3">
      <c r="A1699" s="4"/>
      <c r="B1699" s="4"/>
      <c r="C1699" s="4"/>
      <c r="D1699" s="4"/>
      <c r="E1699" s="7"/>
      <c r="G1699" s="8"/>
    </row>
    <row r="1700" spans="1:7" x14ac:dyDescent="0.3">
      <c r="A1700" s="4"/>
      <c r="B1700" s="4"/>
      <c r="C1700" s="4"/>
      <c r="D1700" s="4"/>
      <c r="E1700" s="7"/>
      <c r="G1700" s="8"/>
    </row>
    <row r="1701" spans="1:7" x14ac:dyDescent="0.3">
      <c r="A1701" s="4"/>
      <c r="B1701" s="4"/>
      <c r="C1701" s="4"/>
      <c r="D1701" s="4"/>
      <c r="E1701" s="7"/>
      <c r="G1701" s="8"/>
    </row>
    <row r="1702" spans="1:7" x14ac:dyDescent="0.3">
      <c r="A1702" s="4"/>
      <c r="B1702" s="4"/>
      <c r="C1702" s="4"/>
      <c r="D1702" s="4"/>
      <c r="E1702" s="7"/>
      <c r="G1702" s="8"/>
    </row>
    <row r="1703" spans="1:7" x14ac:dyDescent="0.3">
      <c r="A1703" s="4"/>
      <c r="B1703" s="4"/>
      <c r="C1703" s="4"/>
      <c r="D1703" s="4"/>
      <c r="E1703" s="7"/>
      <c r="G1703" s="8"/>
    </row>
    <row r="1704" spans="1:7" x14ac:dyDescent="0.3">
      <c r="A1704" s="4"/>
      <c r="B1704" s="4"/>
      <c r="C1704" s="4"/>
      <c r="D1704" s="4"/>
      <c r="E1704" s="7"/>
      <c r="G1704" s="8"/>
    </row>
    <row r="1705" spans="1:7" x14ac:dyDescent="0.3">
      <c r="A1705" s="4"/>
      <c r="B1705" s="4"/>
      <c r="C1705" s="4"/>
      <c r="D1705" s="4"/>
      <c r="E1705" s="7"/>
      <c r="G1705" s="8"/>
    </row>
    <row r="1706" spans="1:7" x14ac:dyDescent="0.3">
      <c r="A1706" s="4"/>
      <c r="B1706" s="4"/>
      <c r="C1706" s="4"/>
      <c r="D1706" s="4"/>
      <c r="E1706" s="7"/>
      <c r="G1706" s="8"/>
    </row>
    <row r="1707" spans="1:7" x14ac:dyDescent="0.3">
      <c r="A1707" s="4"/>
      <c r="B1707" s="4"/>
      <c r="C1707" s="4"/>
      <c r="D1707" s="4"/>
      <c r="E1707" s="7"/>
      <c r="G1707" s="8"/>
    </row>
    <row r="1708" spans="1:7" x14ac:dyDescent="0.3">
      <c r="A1708" s="4"/>
      <c r="B1708" s="4"/>
      <c r="C1708" s="4"/>
      <c r="D1708" s="4"/>
      <c r="E1708" s="7"/>
      <c r="G1708" s="8"/>
    </row>
    <row r="1709" spans="1:7" x14ac:dyDescent="0.3">
      <c r="A1709" s="4"/>
      <c r="B1709" s="4"/>
      <c r="C1709" s="4"/>
      <c r="D1709" s="4"/>
      <c r="E1709" s="7"/>
      <c r="G1709" s="8"/>
    </row>
    <row r="1710" spans="1:7" x14ac:dyDescent="0.3">
      <c r="A1710" s="4"/>
      <c r="B1710" s="4"/>
      <c r="C1710" s="4"/>
      <c r="D1710" s="4"/>
      <c r="E1710" s="7"/>
      <c r="G1710" s="8"/>
    </row>
    <row r="1711" spans="1:7" x14ac:dyDescent="0.3">
      <c r="A1711" s="4"/>
      <c r="B1711" s="4"/>
      <c r="C1711" s="4"/>
      <c r="D1711" s="4"/>
      <c r="E1711" s="7"/>
      <c r="G1711" s="8"/>
    </row>
    <row r="1712" spans="1:7" x14ac:dyDescent="0.3">
      <c r="A1712" s="4"/>
      <c r="B1712" s="4"/>
      <c r="C1712" s="4"/>
      <c r="D1712" s="4"/>
      <c r="E1712" s="7"/>
      <c r="G1712" s="8"/>
    </row>
    <row r="1713" spans="1:7" x14ac:dyDescent="0.3">
      <c r="A1713" s="4"/>
      <c r="B1713" s="4"/>
      <c r="C1713" s="4"/>
      <c r="D1713" s="4"/>
      <c r="E1713" s="7"/>
      <c r="G1713" s="8"/>
    </row>
    <row r="1714" spans="1:7" x14ac:dyDescent="0.3">
      <c r="A1714" s="4"/>
      <c r="B1714" s="4"/>
      <c r="C1714" s="4"/>
      <c r="D1714" s="4"/>
      <c r="E1714" s="7"/>
      <c r="G1714" s="8"/>
    </row>
    <row r="1715" spans="1:7" x14ac:dyDescent="0.3">
      <c r="A1715" s="4"/>
      <c r="B1715" s="4"/>
      <c r="C1715" s="4"/>
      <c r="D1715" s="4"/>
      <c r="E1715" s="7"/>
      <c r="G1715" s="8"/>
    </row>
    <row r="1716" spans="1:7" x14ac:dyDescent="0.3">
      <c r="A1716" s="4"/>
      <c r="B1716" s="4"/>
      <c r="C1716" s="4"/>
      <c r="D1716" s="4"/>
      <c r="E1716" s="7"/>
      <c r="G1716" s="8"/>
    </row>
    <row r="1717" spans="1:7" x14ac:dyDescent="0.3">
      <c r="A1717" s="4"/>
      <c r="B1717" s="4"/>
      <c r="C1717" s="4"/>
      <c r="D1717" s="4"/>
      <c r="E1717" s="7"/>
      <c r="G1717" s="8"/>
    </row>
    <row r="1718" spans="1:7" x14ac:dyDescent="0.3">
      <c r="A1718" s="4"/>
      <c r="B1718" s="4"/>
      <c r="C1718" s="4"/>
      <c r="D1718" s="4"/>
      <c r="E1718" s="7"/>
      <c r="G1718" s="8"/>
    </row>
    <row r="1719" spans="1:7" x14ac:dyDescent="0.3">
      <c r="A1719" s="4"/>
      <c r="B1719" s="4"/>
      <c r="C1719" s="4"/>
      <c r="D1719" s="4"/>
      <c r="E1719" s="7"/>
      <c r="G1719" s="8"/>
    </row>
    <row r="1720" spans="1:7" x14ac:dyDescent="0.3">
      <c r="A1720" s="4"/>
      <c r="B1720" s="4"/>
      <c r="C1720" s="4"/>
      <c r="D1720" s="4"/>
      <c r="E1720" s="7"/>
      <c r="G1720" s="8"/>
    </row>
    <row r="1721" spans="1:7" x14ac:dyDescent="0.3">
      <c r="A1721" s="4"/>
      <c r="B1721" s="4"/>
      <c r="C1721" s="4"/>
      <c r="D1721" s="4"/>
      <c r="E1721" s="7"/>
      <c r="G1721" s="8"/>
    </row>
    <row r="1722" spans="1:7" x14ac:dyDescent="0.3">
      <c r="A1722" s="4"/>
      <c r="B1722" s="4"/>
      <c r="C1722" s="4"/>
      <c r="D1722" s="4"/>
      <c r="E1722" s="7"/>
      <c r="G1722" s="8"/>
    </row>
    <row r="1723" spans="1:7" x14ac:dyDescent="0.3">
      <c r="A1723" s="4"/>
      <c r="B1723" s="4"/>
      <c r="C1723" s="4"/>
      <c r="D1723" s="4"/>
      <c r="E1723" s="7"/>
      <c r="G1723" s="8"/>
    </row>
    <row r="1724" spans="1:7" x14ac:dyDescent="0.3">
      <c r="A1724" s="4"/>
      <c r="B1724" s="4"/>
      <c r="C1724" s="4"/>
      <c r="D1724" s="4"/>
      <c r="E1724" s="7"/>
      <c r="G1724" s="8"/>
    </row>
    <row r="1725" spans="1:7" x14ac:dyDescent="0.3">
      <c r="A1725" s="4"/>
      <c r="B1725" s="4"/>
      <c r="C1725" s="4"/>
      <c r="D1725" s="4"/>
      <c r="E1725" s="7"/>
      <c r="G1725" s="8"/>
    </row>
    <row r="1726" spans="1:7" x14ac:dyDescent="0.3">
      <c r="A1726" s="4"/>
      <c r="B1726" s="4"/>
      <c r="C1726" s="4"/>
      <c r="D1726" s="4"/>
      <c r="E1726" s="7"/>
      <c r="G1726" s="8"/>
    </row>
    <row r="1727" spans="1:7" x14ac:dyDescent="0.3">
      <c r="A1727" s="4"/>
      <c r="B1727" s="4"/>
      <c r="C1727" s="4"/>
      <c r="D1727" s="4"/>
      <c r="E1727" s="7"/>
      <c r="G1727" s="8"/>
    </row>
    <row r="1728" spans="1:7" x14ac:dyDescent="0.3">
      <c r="A1728" s="4"/>
      <c r="B1728" s="4"/>
      <c r="C1728" s="4"/>
      <c r="D1728" s="4"/>
      <c r="E1728" s="7"/>
      <c r="G1728" s="8"/>
    </row>
    <row r="1729" spans="1:7" x14ac:dyDescent="0.3">
      <c r="A1729" s="4"/>
      <c r="B1729" s="4"/>
      <c r="C1729" s="4"/>
      <c r="D1729" s="4"/>
      <c r="E1729" s="7"/>
      <c r="G1729" s="8"/>
    </row>
    <row r="1730" spans="1:7" x14ac:dyDescent="0.3">
      <c r="A1730" s="4"/>
      <c r="B1730" s="4"/>
      <c r="C1730" s="4"/>
      <c r="D1730" s="4"/>
      <c r="E1730" s="7"/>
      <c r="G1730" s="8"/>
    </row>
    <row r="1731" spans="1:7" x14ac:dyDescent="0.3">
      <c r="A1731" s="4"/>
      <c r="B1731" s="4"/>
      <c r="C1731" s="4"/>
      <c r="D1731" s="4"/>
      <c r="E1731" s="7"/>
      <c r="G1731" s="8"/>
    </row>
    <row r="1732" spans="1:7" x14ac:dyDescent="0.3">
      <c r="A1732" s="4"/>
      <c r="B1732" s="4"/>
      <c r="C1732" s="4"/>
      <c r="D1732" s="4"/>
      <c r="E1732" s="7"/>
      <c r="G1732" s="8"/>
    </row>
    <row r="1733" spans="1:7" x14ac:dyDescent="0.3">
      <c r="A1733" s="4"/>
      <c r="B1733" s="4"/>
      <c r="C1733" s="4"/>
      <c r="D1733" s="4"/>
      <c r="E1733" s="7"/>
      <c r="G1733" s="8"/>
    </row>
    <row r="1734" spans="1:7" x14ac:dyDescent="0.3">
      <c r="A1734" s="4"/>
      <c r="B1734" s="4"/>
      <c r="C1734" s="4"/>
      <c r="D1734" s="4"/>
      <c r="E1734" s="7"/>
      <c r="G1734" s="8"/>
    </row>
    <row r="1735" spans="1:7" x14ac:dyDescent="0.3">
      <c r="A1735" s="4"/>
      <c r="B1735" s="4"/>
      <c r="C1735" s="4"/>
      <c r="D1735" s="4"/>
      <c r="E1735" s="7"/>
      <c r="G1735" s="8"/>
    </row>
    <row r="1736" spans="1:7" x14ac:dyDescent="0.3">
      <c r="A1736" s="4"/>
      <c r="B1736" s="4"/>
      <c r="C1736" s="4"/>
      <c r="D1736" s="4"/>
      <c r="E1736" s="7"/>
      <c r="G1736" s="8"/>
    </row>
    <row r="1737" spans="1:7" x14ac:dyDescent="0.3">
      <c r="A1737" s="4"/>
      <c r="B1737" s="4"/>
      <c r="C1737" s="4"/>
      <c r="D1737" s="4"/>
      <c r="E1737" s="7"/>
      <c r="G1737" s="8"/>
    </row>
    <row r="1738" spans="1:7" x14ac:dyDescent="0.3">
      <c r="A1738" s="4"/>
      <c r="B1738" s="4"/>
      <c r="C1738" s="4"/>
      <c r="D1738" s="4"/>
      <c r="E1738" s="7"/>
      <c r="G1738" s="8"/>
    </row>
    <row r="1739" spans="1:7" x14ac:dyDescent="0.3">
      <c r="A1739" s="4"/>
      <c r="B1739" s="4"/>
      <c r="C1739" s="4"/>
      <c r="D1739" s="4"/>
      <c r="E1739" s="7"/>
      <c r="G1739" s="8"/>
    </row>
    <row r="1740" spans="1:7" x14ac:dyDescent="0.3">
      <c r="A1740" s="4"/>
      <c r="B1740" s="4"/>
      <c r="C1740" s="4"/>
      <c r="D1740" s="4"/>
      <c r="E1740" s="7"/>
      <c r="G1740" s="8"/>
    </row>
    <row r="1741" spans="1:7" x14ac:dyDescent="0.3">
      <c r="A1741" s="4"/>
      <c r="B1741" s="4"/>
      <c r="C1741" s="4"/>
      <c r="D1741" s="4"/>
      <c r="E1741" s="7"/>
      <c r="G1741" s="8"/>
    </row>
    <row r="1742" spans="1:7" x14ac:dyDescent="0.3">
      <c r="A1742" s="4"/>
      <c r="B1742" s="4"/>
      <c r="C1742" s="4"/>
      <c r="D1742" s="4"/>
      <c r="E1742" s="7"/>
      <c r="G1742" s="8"/>
    </row>
    <row r="1743" spans="1:7" x14ac:dyDescent="0.3">
      <c r="A1743" s="4"/>
      <c r="B1743" s="4"/>
      <c r="C1743" s="4"/>
      <c r="D1743" s="4"/>
      <c r="E1743" s="7"/>
      <c r="G1743" s="8"/>
    </row>
    <row r="1744" spans="1:7" x14ac:dyDescent="0.3">
      <c r="A1744" s="4"/>
      <c r="B1744" s="4"/>
      <c r="C1744" s="4"/>
      <c r="D1744" s="4"/>
      <c r="E1744" s="7"/>
      <c r="G1744" s="8"/>
    </row>
    <row r="1745" spans="1:7" x14ac:dyDescent="0.3">
      <c r="A1745" s="4"/>
      <c r="B1745" s="4"/>
      <c r="C1745" s="4"/>
      <c r="D1745" s="4"/>
      <c r="E1745" s="7"/>
      <c r="G1745" s="8"/>
    </row>
    <row r="1746" spans="1:7" x14ac:dyDescent="0.3">
      <c r="A1746" s="4"/>
      <c r="B1746" s="4"/>
      <c r="C1746" s="4"/>
      <c r="D1746" s="4"/>
      <c r="E1746" s="7"/>
      <c r="G1746" s="8"/>
    </row>
    <row r="1747" spans="1:7" x14ac:dyDescent="0.3">
      <c r="A1747" s="4"/>
      <c r="B1747" s="4"/>
      <c r="C1747" s="4"/>
      <c r="D1747" s="4"/>
      <c r="E1747" s="7"/>
      <c r="G1747" s="8"/>
    </row>
    <row r="1748" spans="1:7" x14ac:dyDescent="0.3">
      <c r="A1748" s="4"/>
      <c r="B1748" s="4"/>
      <c r="C1748" s="4"/>
      <c r="D1748" s="4"/>
      <c r="E1748" s="7"/>
      <c r="G1748" s="8"/>
    </row>
    <row r="1749" spans="1:7" x14ac:dyDescent="0.3">
      <c r="A1749" s="4"/>
      <c r="B1749" s="4"/>
      <c r="C1749" s="4"/>
      <c r="D1749" s="4"/>
      <c r="E1749" s="7"/>
      <c r="G1749" s="8"/>
    </row>
    <row r="1750" spans="1:7" x14ac:dyDescent="0.3">
      <c r="A1750" s="4"/>
      <c r="B1750" s="4"/>
      <c r="C1750" s="4"/>
      <c r="D1750" s="4"/>
      <c r="E1750" s="7"/>
      <c r="G1750" s="8"/>
    </row>
    <row r="1751" spans="1:7" x14ac:dyDescent="0.3">
      <c r="A1751" s="4"/>
      <c r="B1751" s="4"/>
      <c r="C1751" s="4"/>
      <c r="D1751" s="4"/>
      <c r="E1751" s="7"/>
      <c r="G1751" s="8"/>
    </row>
    <row r="1752" spans="1:7" x14ac:dyDescent="0.3">
      <c r="A1752" s="4"/>
      <c r="B1752" s="4"/>
      <c r="C1752" s="4"/>
      <c r="D1752" s="4"/>
      <c r="E1752" s="7"/>
      <c r="G1752" s="8"/>
    </row>
    <row r="1753" spans="1:7" x14ac:dyDescent="0.3">
      <c r="A1753" s="4"/>
      <c r="B1753" s="4"/>
      <c r="C1753" s="4"/>
      <c r="D1753" s="4"/>
      <c r="E1753" s="7"/>
      <c r="G1753" s="8"/>
    </row>
    <row r="1754" spans="1:7" x14ac:dyDescent="0.3">
      <c r="A1754" s="4"/>
      <c r="B1754" s="4"/>
      <c r="C1754" s="4"/>
      <c r="D1754" s="4"/>
      <c r="E1754" s="7"/>
      <c r="G1754" s="8"/>
    </row>
    <row r="1755" spans="1:7" x14ac:dyDescent="0.3">
      <c r="A1755" s="4"/>
      <c r="B1755" s="4"/>
      <c r="C1755" s="4"/>
      <c r="D1755" s="4"/>
      <c r="E1755" s="7"/>
      <c r="G1755" s="8"/>
    </row>
    <row r="1756" spans="1:7" x14ac:dyDescent="0.3">
      <c r="A1756" s="4"/>
      <c r="B1756" s="4"/>
      <c r="C1756" s="4"/>
      <c r="D1756" s="4"/>
      <c r="E1756" s="7"/>
      <c r="G1756" s="8"/>
    </row>
    <row r="1757" spans="1:7" x14ac:dyDescent="0.3">
      <c r="A1757" s="4"/>
      <c r="B1757" s="4"/>
      <c r="C1757" s="4"/>
      <c r="D1757" s="4"/>
      <c r="E1757" s="7"/>
      <c r="G1757" s="8"/>
    </row>
    <row r="1758" spans="1:7" x14ac:dyDescent="0.3">
      <c r="A1758" s="4"/>
      <c r="B1758" s="4"/>
      <c r="C1758" s="4"/>
      <c r="D1758" s="4"/>
      <c r="E1758" s="7"/>
      <c r="G1758" s="8"/>
    </row>
    <row r="1759" spans="1:7" x14ac:dyDescent="0.3">
      <c r="A1759" s="4"/>
      <c r="B1759" s="4"/>
      <c r="C1759" s="4"/>
      <c r="D1759" s="4"/>
      <c r="E1759" s="7"/>
      <c r="G1759" s="8"/>
    </row>
    <row r="1760" spans="1:7" x14ac:dyDescent="0.3">
      <c r="A1760" s="4"/>
      <c r="B1760" s="4"/>
      <c r="C1760" s="4"/>
      <c r="D1760" s="4"/>
      <c r="E1760" s="7"/>
      <c r="G1760" s="8"/>
    </row>
    <row r="1761" spans="1:7" x14ac:dyDescent="0.3">
      <c r="A1761" s="4"/>
      <c r="B1761" s="4"/>
      <c r="C1761" s="4"/>
      <c r="D1761" s="4"/>
      <c r="E1761" s="7"/>
      <c r="G1761" s="8"/>
    </row>
    <row r="1762" spans="1:7" x14ac:dyDescent="0.3">
      <c r="A1762" s="4"/>
      <c r="B1762" s="4"/>
      <c r="C1762" s="4"/>
      <c r="D1762" s="4"/>
      <c r="E1762" s="7"/>
      <c r="G1762" s="8"/>
    </row>
    <row r="1763" spans="1:7" x14ac:dyDescent="0.3">
      <c r="A1763" s="4"/>
      <c r="B1763" s="4"/>
      <c r="C1763" s="4"/>
      <c r="D1763" s="4"/>
      <c r="E1763" s="7"/>
      <c r="G1763" s="8"/>
    </row>
    <row r="1764" spans="1:7" x14ac:dyDescent="0.3">
      <c r="A1764" s="4"/>
      <c r="B1764" s="4"/>
      <c r="C1764" s="4"/>
      <c r="D1764" s="4"/>
      <c r="E1764" s="7"/>
      <c r="G1764" s="8"/>
    </row>
    <row r="1765" spans="1:7" x14ac:dyDescent="0.3">
      <c r="A1765" s="4"/>
      <c r="B1765" s="4"/>
      <c r="C1765" s="4"/>
      <c r="D1765" s="4"/>
      <c r="E1765" s="7"/>
      <c r="G1765" s="8"/>
    </row>
    <row r="1766" spans="1:7" x14ac:dyDescent="0.3">
      <c r="A1766" s="4"/>
      <c r="B1766" s="4"/>
      <c r="C1766" s="4"/>
      <c r="D1766" s="4"/>
      <c r="E1766" s="7"/>
      <c r="G1766" s="8"/>
    </row>
    <row r="1767" spans="1:7" x14ac:dyDescent="0.3">
      <c r="A1767" s="4"/>
      <c r="B1767" s="4"/>
      <c r="C1767" s="4"/>
      <c r="D1767" s="4"/>
      <c r="E1767" s="7"/>
      <c r="G1767" s="8"/>
    </row>
    <row r="1768" spans="1:7" x14ac:dyDescent="0.3">
      <c r="A1768" s="4"/>
      <c r="B1768" s="4"/>
      <c r="C1768" s="4"/>
      <c r="D1768" s="4"/>
      <c r="E1768" s="7"/>
      <c r="G1768" s="8"/>
    </row>
    <row r="1769" spans="1:7" x14ac:dyDescent="0.3">
      <c r="A1769" s="4"/>
      <c r="B1769" s="4"/>
      <c r="C1769" s="4"/>
      <c r="D1769" s="4"/>
      <c r="E1769" s="7"/>
      <c r="G1769" s="8"/>
    </row>
    <row r="1770" spans="1:7" x14ac:dyDescent="0.3">
      <c r="A1770" s="4"/>
      <c r="B1770" s="4"/>
      <c r="C1770" s="4"/>
      <c r="D1770" s="4"/>
      <c r="E1770" s="7"/>
      <c r="G1770" s="8"/>
    </row>
    <row r="1771" spans="1:7" x14ac:dyDescent="0.3">
      <c r="A1771" s="4"/>
      <c r="B1771" s="4"/>
      <c r="C1771" s="4"/>
      <c r="D1771" s="4"/>
      <c r="E1771" s="7"/>
      <c r="G1771" s="8"/>
    </row>
    <row r="1772" spans="1:7" x14ac:dyDescent="0.3">
      <c r="A1772" s="4"/>
      <c r="B1772" s="4"/>
      <c r="C1772" s="4"/>
      <c r="D1772" s="4"/>
      <c r="E1772" s="7"/>
      <c r="G1772" s="8"/>
    </row>
    <row r="1773" spans="1:7" x14ac:dyDescent="0.3">
      <c r="A1773" s="4"/>
      <c r="B1773" s="4"/>
      <c r="C1773" s="4"/>
      <c r="D1773" s="4"/>
      <c r="E1773" s="7"/>
      <c r="G1773" s="8"/>
    </row>
    <row r="1774" spans="1:7" x14ac:dyDescent="0.3">
      <c r="A1774" s="4"/>
      <c r="B1774" s="4"/>
      <c r="C1774" s="4"/>
      <c r="D1774" s="4"/>
      <c r="E1774" s="7"/>
      <c r="G1774" s="8"/>
    </row>
    <row r="1775" spans="1:7" x14ac:dyDescent="0.3">
      <c r="A1775" s="4"/>
      <c r="B1775" s="4"/>
      <c r="C1775" s="4"/>
      <c r="D1775" s="4"/>
      <c r="E1775" s="7"/>
      <c r="G1775" s="8"/>
    </row>
    <row r="1776" spans="1:7" x14ac:dyDescent="0.3">
      <c r="A1776" s="4"/>
      <c r="B1776" s="4"/>
      <c r="C1776" s="4"/>
      <c r="D1776" s="4"/>
      <c r="E1776" s="7"/>
      <c r="G1776" s="8"/>
    </row>
    <row r="1777" spans="1:7" x14ac:dyDescent="0.3">
      <c r="A1777" s="4"/>
      <c r="B1777" s="4"/>
      <c r="C1777" s="4"/>
      <c r="D1777" s="4"/>
      <c r="E1777" s="7"/>
      <c r="G1777" s="8"/>
    </row>
    <row r="1778" spans="1:7" x14ac:dyDescent="0.3">
      <c r="A1778" s="4"/>
      <c r="B1778" s="4"/>
      <c r="C1778" s="4"/>
      <c r="D1778" s="4"/>
      <c r="E1778" s="7"/>
      <c r="G1778" s="8"/>
    </row>
    <row r="1779" spans="1:7" x14ac:dyDescent="0.3">
      <c r="A1779" s="4"/>
      <c r="B1779" s="4"/>
      <c r="C1779" s="4"/>
      <c r="D1779" s="4"/>
      <c r="E1779" s="7"/>
      <c r="G1779" s="8"/>
    </row>
    <row r="1780" spans="1:7" x14ac:dyDescent="0.3">
      <c r="A1780" s="4"/>
      <c r="B1780" s="4"/>
      <c r="C1780" s="4"/>
      <c r="D1780" s="4"/>
      <c r="E1780" s="7"/>
      <c r="G1780" s="8"/>
    </row>
    <row r="1781" spans="1:7" x14ac:dyDescent="0.3">
      <c r="A1781" s="4"/>
      <c r="B1781" s="4"/>
      <c r="C1781" s="4"/>
      <c r="D1781" s="4"/>
      <c r="E1781" s="7"/>
      <c r="G1781" s="8"/>
    </row>
    <row r="1782" spans="1:7" x14ac:dyDescent="0.3">
      <c r="A1782" s="4"/>
      <c r="B1782" s="4"/>
      <c r="C1782" s="4"/>
      <c r="D1782" s="4"/>
      <c r="E1782" s="7"/>
      <c r="G1782" s="8"/>
    </row>
    <row r="1783" spans="1:7" x14ac:dyDescent="0.3">
      <c r="A1783" s="4"/>
      <c r="B1783" s="4"/>
      <c r="C1783" s="4"/>
      <c r="D1783" s="4"/>
      <c r="E1783" s="7"/>
      <c r="G1783" s="8"/>
    </row>
    <row r="1784" spans="1:7" x14ac:dyDescent="0.3">
      <c r="A1784" s="4"/>
      <c r="B1784" s="4"/>
      <c r="C1784" s="4"/>
      <c r="D1784" s="4"/>
      <c r="E1784" s="7"/>
      <c r="G1784" s="8"/>
    </row>
    <row r="1785" spans="1:7" x14ac:dyDescent="0.3">
      <c r="A1785" s="4"/>
      <c r="B1785" s="4"/>
      <c r="C1785" s="4"/>
      <c r="D1785" s="4"/>
      <c r="E1785" s="7"/>
      <c r="G1785" s="8"/>
    </row>
    <row r="1786" spans="1:7" x14ac:dyDescent="0.3">
      <c r="A1786" s="4"/>
      <c r="B1786" s="4"/>
      <c r="C1786" s="4"/>
      <c r="D1786" s="4"/>
      <c r="E1786" s="7"/>
      <c r="G1786" s="8"/>
    </row>
    <row r="1787" spans="1:7" x14ac:dyDescent="0.3">
      <c r="A1787" s="4"/>
      <c r="B1787" s="4"/>
      <c r="C1787" s="4"/>
      <c r="D1787" s="4"/>
      <c r="E1787" s="7"/>
      <c r="G1787" s="8"/>
    </row>
    <row r="1788" spans="1:7" x14ac:dyDescent="0.3">
      <c r="A1788" s="4"/>
      <c r="B1788" s="4"/>
      <c r="C1788" s="4"/>
      <c r="D1788" s="4"/>
      <c r="E1788" s="7"/>
      <c r="G1788" s="8"/>
    </row>
    <row r="1789" spans="1:7" x14ac:dyDescent="0.3">
      <c r="A1789" s="4"/>
      <c r="B1789" s="4"/>
      <c r="C1789" s="4"/>
      <c r="D1789" s="4"/>
      <c r="E1789" s="7"/>
      <c r="G1789" s="8"/>
    </row>
    <row r="1790" spans="1:7" x14ac:dyDescent="0.3">
      <c r="A1790" s="4"/>
      <c r="B1790" s="4"/>
      <c r="C1790" s="4"/>
      <c r="D1790" s="4"/>
      <c r="E1790" s="7"/>
      <c r="G1790" s="8"/>
    </row>
    <row r="1791" spans="1:7" x14ac:dyDescent="0.3">
      <c r="A1791" s="4"/>
      <c r="B1791" s="4"/>
      <c r="C1791" s="4"/>
      <c r="D1791" s="4"/>
      <c r="E1791" s="7"/>
      <c r="G1791" s="8"/>
    </row>
    <row r="1792" spans="1:7" x14ac:dyDescent="0.3">
      <c r="A1792" s="4"/>
      <c r="B1792" s="4"/>
      <c r="C1792" s="4"/>
      <c r="D1792" s="4"/>
      <c r="E1792" s="7"/>
      <c r="G1792" s="8"/>
    </row>
    <row r="1793" spans="1:7" x14ac:dyDescent="0.3">
      <c r="A1793" s="4"/>
      <c r="B1793" s="4"/>
      <c r="C1793" s="4"/>
      <c r="D1793" s="4"/>
      <c r="E1793" s="7"/>
      <c r="G1793" s="8"/>
    </row>
    <row r="1794" spans="1:7" x14ac:dyDescent="0.3">
      <c r="A1794" s="4"/>
      <c r="B1794" s="4"/>
      <c r="C1794" s="4"/>
      <c r="D1794" s="4"/>
      <c r="E1794" s="7"/>
      <c r="G1794" s="8"/>
    </row>
    <row r="1795" spans="1:7" x14ac:dyDescent="0.3">
      <c r="A1795" s="4"/>
      <c r="B1795" s="4"/>
      <c r="C1795" s="4"/>
      <c r="D1795" s="4"/>
      <c r="E1795" s="7"/>
      <c r="G1795" s="8"/>
    </row>
    <row r="1796" spans="1:7" x14ac:dyDescent="0.3">
      <c r="A1796" s="4"/>
      <c r="B1796" s="4"/>
      <c r="C1796" s="4"/>
      <c r="D1796" s="4"/>
      <c r="E1796" s="7"/>
      <c r="G1796" s="8"/>
    </row>
    <row r="1797" spans="1:7" x14ac:dyDescent="0.3">
      <c r="A1797" s="4"/>
      <c r="B1797" s="4"/>
      <c r="C1797" s="4"/>
      <c r="D1797" s="4"/>
      <c r="E1797" s="7"/>
      <c r="G1797" s="8"/>
    </row>
    <row r="1798" spans="1:7" x14ac:dyDescent="0.3">
      <c r="A1798" s="4"/>
      <c r="B1798" s="4"/>
      <c r="C1798" s="4"/>
      <c r="D1798" s="4"/>
      <c r="E1798" s="7"/>
      <c r="G1798" s="8"/>
    </row>
    <row r="1799" spans="1:7" x14ac:dyDescent="0.3">
      <c r="A1799" s="4"/>
      <c r="B1799" s="4"/>
      <c r="C1799" s="4"/>
      <c r="D1799" s="4"/>
      <c r="E1799" s="7"/>
      <c r="G1799" s="8"/>
    </row>
    <row r="1800" spans="1:7" x14ac:dyDescent="0.3">
      <c r="A1800" s="4"/>
      <c r="B1800" s="4"/>
      <c r="C1800" s="4"/>
      <c r="D1800" s="4"/>
      <c r="E1800" s="7"/>
      <c r="G1800" s="8"/>
    </row>
    <row r="1801" spans="1:7" x14ac:dyDescent="0.3">
      <c r="A1801" s="4"/>
      <c r="B1801" s="4"/>
      <c r="C1801" s="4"/>
      <c r="D1801" s="4"/>
      <c r="E1801" s="7"/>
      <c r="G1801" s="8"/>
    </row>
    <row r="1802" spans="1:7" x14ac:dyDescent="0.3">
      <c r="A1802" s="4"/>
      <c r="B1802" s="4"/>
      <c r="C1802" s="4"/>
      <c r="D1802" s="4"/>
      <c r="E1802" s="7"/>
      <c r="G1802" s="8"/>
    </row>
    <row r="1803" spans="1:7" x14ac:dyDescent="0.3">
      <c r="A1803" s="4"/>
      <c r="B1803" s="4"/>
      <c r="C1803" s="4"/>
      <c r="D1803" s="4"/>
      <c r="E1803" s="7"/>
      <c r="G1803" s="8"/>
    </row>
    <row r="1804" spans="1:7" x14ac:dyDescent="0.3">
      <c r="A1804" s="4"/>
      <c r="B1804" s="4"/>
      <c r="C1804" s="4"/>
      <c r="D1804" s="4"/>
      <c r="E1804" s="7"/>
      <c r="G1804" s="8"/>
    </row>
    <row r="1805" spans="1:7" x14ac:dyDescent="0.3">
      <c r="A1805" s="4"/>
      <c r="B1805" s="4"/>
      <c r="C1805" s="4"/>
      <c r="D1805" s="4"/>
      <c r="E1805" s="7"/>
      <c r="G1805" s="8"/>
    </row>
    <row r="1806" spans="1:7" x14ac:dyDescent="0.3">
      <c r="A1806" s="4"/>
      <c r="B1806" s="4"/>
      <c r="C1806" s="4"/>
      <c r="D1806" s="4"/>
      <c r="E1806" s="7"/>
      <c r="G1806" s="8"/>
    </row>
    <row r="1807" spans="1:7" x14ac:dyDescent="0.3">
      <c r="A1807" s="4"/>
      <c r="B1807" s="4"/>
      <c r="C1807" s="4"/>
      <c r="D1807" s="4"/>
      <c r="E1807" s="7"/>
      <c r="G1807" s="8"/>
    </row>
    <row r="1808" spans="1:7" x14ac:dyDescent="0.3">
      <c r="A1808" s="4"/>
      <c r="B1808" s="4"/>
      <c r="C1808" s="4"/>
      <c r="D1808" s="4"/>
      <c r="E1808" s="7"/>
      <c r="G1808" s="8"/>
    </row>
    <row r="1809" spans="1:7" x14ac:dyDescent="0.3">
      <c r="A1809" s="4"/>
      <c r="B1809" s="4"/>
      <c r="C1809" s="4"/>
      <c r="D1809" s="4"/>
      <c r="E1809" s="7"/>
      <c r="G1809" s="8"/>
    </row>
    <row r="1810" spans="1:7" x14ac:dyDescent="0.3">
      <c r="A1810" s="4"/>
      <c r="B1810" s="4"/>
      <c r="C1810" s="4"/>
      <c r="D1810" s="4"/>
      <c r="E1810" s="7"/>
      <c r="G1810" s="8"/>
    </row>
    <row r="1811" spans="1:7" x14ac:dyDescent="0.3">
      <c r="A1811" s="4"/>
      <c r="B1811" s="4"/>
      <c r="C1811" s="4"/>
      <c r="D1811" s="4"/>
      <c r="E1811" s="7"/>
      <c r="G1811" s="8"/>
    </row>
    <row r="1812" spans="1:7" x14ac:dyDescent="0.3">
      <c r="A1812" s="4"/>
      <c r="B1812" s="4"/>
      <c r="C1812" s="4"/>
      <c r="D1812" s="4"/>
      <c r="E1812" s="7"/>
      <c r="G1812" s="8"/>
    </row>
    <row r="1813" spans="1:7" x14ac:dyDescent="0.3">
      <c r="A1813" s="4"/>
      <c r="B1813" s="4"/>
      <c r="C1813" s="4"/>
      <c r="D1813" s="4"/>
      <c r="E1813" s="7"/>
      <c r="G1813" s="8"/>
    </row>
    <row r="1814" spans="1:7" x14ac:dyDescent="0.3">
      <c r="A1814" s="4"/>
      <c r="B1814" s="4"/>
      <c r="C1814" s="4"/>
      <c r="D1814" s="4"/>
      <c r="E1814" s="7"/>
      <c r="G1814" s="8"/>
    </row>
    <row r="1815" spans="1:7" x14ac:dyDescent="0.3">
      <c r="A1815" s="4"/>
      <c r="B1815" s="4"/>
      <c r="C1815" s="4"/>
      <c r="D1815" s="4"/>
      <c r="E1815" s="7"/>
      <c r="G1815" s="8"/>
    </row>
    <row r="1816" spans="1:7" x14ac:dyDescent="0.3">
      <c r="A1816" s="4"/>
      <c r="B1816" s="4"/>
      <c r="C1816" s="4"/>
      <c r="D1816" s="4"/>
      <c r="E1816" s="7"/>
      <c r="G1816" s="8"/>
    </row>
    <row r="1817" spans="1:7" x14ac:dyDescent="0.3">
      <c r="A1817" s="4"/>
      <c r="B1817" s="4"/>
      <c r="C1817" s="4"/>
      <c r="D1817" s="4"/>
      <c r="E1817" s="7"/>
      <c r="G1817" s="8"/>
    </row>
    <row r="1818" spans="1:7" x14ac:dyDescent="0.3">
      <c r="A1818" s="4"/>
      <c r="B1818" s="4"/>
      <c r="C1818" s="4"/>
      <c r="D1818" s="4"/>
      <c r="E1818" s="7"/>
      <c r="G1818" s="8"/>
    </row>
    <row r="1819" spans="1:7" x14ac:dyDescent="0.3">
      <c r="A1819" s="4"/>
      <c r="B1819" s="4"/>
      <c r="C1819" s="4"/>
      <c r="D1819" s="4"/>
      <c r="E1819" s="7"/>
      <c r="G1819" s="8"/>
    </row>
    <row r="1820" spans="1:7" x14ac:dyDescent="0.3">
      <c r="A1820" s="4"/>
      <c r="B1820" s="4"/>
      <c r="C1820" s="4"/>
      <c r="D1820" s="4"/>
      <c r="E1820" s="7"/>
      <c r="G1820" s="8"/>
    </row>
    <row r="1821" spans="1:7" x14ac:dyDescent="0.3">
      <c r="A1821" s="4"/>
      <c r="B1821" s="4"/>
      <c r="C1821" s="4"/>
      <c r="D1821" s="4"/>
      <c r="E1821" s="7"/>
      <c r="G1821" s="8"/>
    </row>
    <row r="1822" spans="1:7" x14ac:dyDescent="0.3">
      <c r="A1822" s="4"/>
      <c r="B1822" s="4"/>
      <c r="C1822" s="4"/>
      <c r="D1822" s="4"/>
      <c r="E1822" s="7"/>
      <c r="G1822" s="8"/>
    </row>
    <row r="1823" spans="1:7" x14ac:dyDescent="0.3">
      <c r="A1823" s="4"/>
      <c r="B1823" s="4"/>
      <c r="C1823" s="4"/>
      <c r="D1823" s="4"/>
      <c r="E1823" s="7"/>
      <c r="G1823" s="8"/>
    </row>
    <row r="1824" spans="1:7" x14ac:dyDescent="0.3">
      <c r="A1824" s="4"/>
      <c r="B1824" s="4"/>
      <c r="C1824" s="4"/>
      <c r="D1824" s="4"/>
      <c r="E1824" s="7"/>
      <c r="G1824" s="8"/>
    </row>
    <row r="1825" spans="1:7" x14ac:dyDescent="0.3">
      <c r="A1825" s="4"/>
      <c r="B1825" s="4"/>
      <c r="C1825" s="4"/>
      <c r="D1825" s="4"/>
      <c r="E1825" s="7"/>
      <c r="G1825" s="8"/>
    </row>
    <row r="1826" spans="1:7" x14ac:dyDescent="0.3">
      <c r="A1826" s="4"/>
      <c r="B1826" s="4"/>
      <c r="C1826" s="4"/>
      <c r="D1826" s="4"/>
      <c r="E1826" s="7"/>
      <c r="G1826" s="8"/>
    </row>
    <row r="1827" spans="1:7" x14ac:dyDescent="0.3">
      <c r="A1827" s="4"/>
      <c r="B1827" s="4"/>
      <c r="C1827" s="4"/>
      <c r="D1827" s="4"/>
      <c r="E1827" s="7"/>
      <c r="G1827" s="8"/>
    </row>
    <row r="1828" spans="1:7" x14ac:dyDescent="0.3">
      <c r="A1828" s="4"/>
      <c r="B1828" s="4"/>
      <c r="C1828" s="4"/>
      <c r="D1828" s="4"/>
      <c r="E1828" s="7"/>
      <c r="G1828" s="8"/>
    </row>
    <row r="1829" spans="1:7" x14ac:dyDescent="0.3">
      <c r="A1829" s="4"/>
      <c r="B1829" s="4"/>
      <c r="C1829" s="4"/>
      <c r="D1829" s="4"/>
      <c r="E1829" s="7"/>
      <c r="G1829" s="8"/>
    </row>
    <row r="1830" spans="1:7" x14ac:dyDescent="0.3">
      <c r="A1830" s="4"/>
      <c r="B1830" s="4"/>
      <c r="C1830" s="4"/>
      <c r="D1830" s="4"/>
      <c r="E1830" s="7"/>
      <c r="G1830" s="8"/>
    </row>
    <row r="1831" spans="1:7" x14ac:dyDescent="0.3">
      <c r="A1831" s="4"/>
      <c r="B1831" s="4"/>
      <c r="C1831" s="4"/>
      <c r="D1831" s="4"/>
      <c r="E1831" s="7"/>
      <c r="G1831" s="8"/>
    </row>
    <row r="1832" spans="1:7" x14ac:dyDescent="0.3">
      <c r="A1832" s="4"/>
      <c r="B1832" s="4"/>
      <c r="C1832" s="4"/>
      <c r="D1832" s="4"/>
      <c r="E1832" s="7"/>
      <c r="G1832" s="8"/>
    </row>
    <row r="1833" spans="1:7" x14ac:dyDescent="0.3">
      <c r="A1833" s="4"/>
      <c r="B1833" s="4"/>
      <c r="C1833" s="4"/>
      <c r="D1833" s="4"/>
      <c r="E1833" s="7"/>
      <c r="G1833" s="8"/>
    </row>
    <row r="1834" spans="1:7" x14ac:dyDescent="0.3">
      <c r="A1834" s="4"/>
      <c r="B1834" s="4"/>
      <c r="C1834" s="4"/>
      <c r="D1834" s="4"/>
      <c r="E1834" s="7"/>
      <c r="G1834" s="8"/>
    </row>
    <row r="1835" spans="1:7" x14ac:dyDescent="0.3">
      <c r="A1835" s="4"/>
      <c r="B1835" s="4"/>
      <c r="C1835" s="4"/>
      <c r="D1835" s="4"/>
      <c r="E1835" s="7"/>
      <c r="G1835" s="8"/>
    </row>
    <row r="1836" spans="1:7" x14ac:dyDescent="0.3">
      <c r="A1836" s="4"/>
      <c r="B1836" s="4"/>
      <c r="C1836" s="4"/>
      <c r="D1836" s="4"/>
      <c r="E1836" s="7"/>
      <c r="G1836" s="8"/>
    </row>
    <row r="1837" spans="1:7" x14ac:dyDescent="0.3">
      <c r="A1837" s="4"/>
      <c r="B1837" s="4"/>
      <c r="C1837" s="4"/>
      <c r="D1837" s="4"/>
      <c r="E1837" s="7"/>
      <c r="G1837" s="8"/>
    </row>
    <row r="1838" spans="1:7" x14ac:dyDescent="0.3">
      <c r="A1838" s="4"/>
      <c r="B1838" s="4"/>
      <c r="C1838" s="4"/>
      <c r="D1838" s="4"/>
      <c r="E1838" s="7"/>
      <c r="G1838" s="8"/>
    </row>
    <row r="1839" spans="1:7" x14ac:dyDescent="0.3">
      <c r="A1839" s="4"/>
      <c r="B1839" s="4"/>
      <c r="C1839" s="4"/>
      <c r="D1839" s="4"/>
      <c r="E1839" s="7"/>
      <c r="G1839" s="8"/>
    </row>
    <row r="1840" spans="1:7" x14ac:dyDescent="0.3">
      <c r="A1840" s="4"/>
      <c r="B1840" s="4"/>
      <c r="C1840" s="4"/>
      <c r="D1840" s="4"/>
      <c r="E1840" s="7"/>
      <c r="G1840" s="8"/>
    </row>
    <row r="1841" spans="1:7" x14ac:dyDescent="0.3">
      <c r="A1841" s="4"/>
      <c r="B1841" s="4"/>
      <c r="C1841" s="4"/>
      <c r="D1841" s="4"/>
      <c r="E1841" s="7"/>
      <c r="G1841" s="8"/>
    </row>
    <row r="1842" spans="1:7" x14ac:dyDescent="0.3">
      <c r="A1842" s="4"/>
      <c r="B1842" s="4"/>
      <c r="C1842" s="4"/>
      <c r="D1842" s="4"/>
      <c r="E1842" s="7"/>
      <c r="G1842" s="8"/>
    </row>
    <row r="1843" spans="1:7" x14ac:dyDescent="0.3">
      <c r="A1843" s="4"/>
      <c r="B1843" s="4"/>
      <c r="C1843" s="4"/>
      <c r="D1843" s="4"/>
      <c r="E1843" s="7"/>
      <c r="G1843" s="8"/>
    </row>
    <row r="1844" spans="1:7" x14ac:dyDescent="0.3">
      <c r="A1844" s="4"/>
      <c r="B1844" s="4"/>
      <c r="C1844" s="4"/>
      <c r="D1844" s="4"/>
      <c r="E1844" s="7"/>
      <c r="G1844" s="8"/>
    </row>
    <row r="1845" spans="1:7" x14ac:dyDescent="0.3">
      <c r="A1845" s="4"/>
      <c r="B1845" s="4"/>
      <c r="C1845" s="4"/>
      <c r="D1845" s="4"/>
      <c r="E1845" s="7"/>
      <c r="G1845" s="8"/>
    </row>
    <row r="1846" spans="1:7" x14ac:dyDescent="0.3">
      <c r="A1846" s="4"/>
      <c r="B1846" s="4"/>
      <c r="C1846" s="4"/>
      <c r="D1846" s="4"/>
      <c r="E1846" s="7"/>
      <c r="G1846" s="8"/>
    </row>
    <row r="1847" spans="1:7" x14ac:dyDescent="0.3">
      <c r="A1847" s="4"/>
      <c r="B1847" s="4"/>
      <c r="C1847" s="4"/>
      <c r="D1847" s="4"/>
      <c r="E1847" s="7"/>
      <c r="G1847" s="8"/>
    </row>
    <row r="1848" spans="1:7" x14ac:dyDescent="0.3">
      <c r="A1848" s="4"/>
      <c r="B1848" s="4"/>
      <c r="C1848" s="4"/>
      <c r="D1848" s="4"/>
      <c r="E1848" s="7"/>
      <c r="G1848" s="8"/>
    </row>
    <row r="1849" spans="1:7" x14ac:dyDescent="0.3">
      <c r="A1849" s="4"/>
      <c r="B1849" s="4"/>
      <c r="C1849" s="4"/>
      <c r="D1849" s="4"/>
      <c r="E1849" s="7"/>
      <c r="G1849" s="8"/>
    </row>
    <row r="1850" spans="1:7" x14ac:dyDescent="0.3">
      <c r="A1850" s="4"/>
      <c r="B1850" s="4"/>
      <c r="C1850" s="4"/>
      <c r="D1850" s="4"/>
      <c r="E1850" s="7"/>
      <c r="G1850" s="8"/>
    </row>
    <row r="1851" spans="1:7" x14ac:dyDescent="0.3">
      <c r="A1851" s="4"/>
      <c r="B1851" s="4"/>
      <c r="C1851" s="4"/>
      <c r="D1851" s="4"/>
      <c r="E1851" s="7"/>
      <c r="G1851" s="8"/>
    </row>
    <row r="1852" spans="1:7" x14ac:dyDescent="0.3">
      <c r="A1852" s="4"/>
      <c r="B1852" s="4"/>
      <c r="C1852" s="4"/>
      <c r="D1852" s="4"/>
      <c r="E1852" s="7"/>
      <c r="G1852" s="8"/>
    </row>
    <row r="1853" spans="1:7" x14ac:dyDescent="0.3">
      <c r="A1853" s="4"/>
      <c r="B1853" s="4"/>
      <c r="C1853" s="4"/>
      <c r="D1853" s="4"/>
      <c r="E1853" s="7"/>
      <c r="G1853" s="8"/>
    </row>
    <row r="1854" spans="1:7" x14ac:dyDescent="0.3">
      <c r="A1854" s="4"/>
      <c r="B1854" s="4"/>
      <c r="C1854" s="4"/>
      <c r="D1854" s="4"/>
      <c r="E1854" s="7"/>
      <c r="G1854" s="8"/>
    </row>
    <row r="1855" spans="1:7" x14ac:dyDescent="0.3">
      <c r="A1855" s="4"/>
      <c r="B1855" s="4"/>
      <c r="C1855" s="4"/>
      <c r="D1855" s="4"/>
      <c r="E1855" s="7"/>
      <c r="G1855" s="8"/>
    </row>
    <row r="1856" spans="1:7" x14ac:dyDescent="0.3">
      <c r="A1856" s="4"/>
      <c r="B1856" s="4"/>
      <c r="C1856" s="4"/>
      <c r="D1856" s="4"/>
      <c r="E1856" s="7"/>
      <c r="G1856" s="8"/>
    </row>
    <row r="1857" spans="1:7" x14ac:dyDescent="0.3">
      <c r="A1857" s="4"/>
      <c r="B1857" s="4"/>
      <c r="C1857" s="4"/>
      <c r="D1857" s="4"/>
      <c r="E1857" s="7"/>
      <c r="G1857" s="8"/>
    </row>
    <row r="1858" spans="1:7" x14ac:dyDescent="0.3">
      <c r="A1858" s="4"/>
      <c r="B1858" s="4"/>
      <c r="C1858" s="4"/>
      <c r="D1858" s="4"/>
      <c r="E1858" s="7"/>
      <c r="G1858" s="8"/>
    </row>
    <row r="1859" spans="1:7" x14ac:dyDescent="0.3">
      <c r="A1859" s="4"/>
      <c r="B1859" s="4"/>
      <c r="C1859" s="4"/>
      <c r="D1859" s="4"/>
      <c r="E1859" s="7"/>
      <c r="G1859" s="8"/>
    </row>
    <row r="1860" spans="1:7" x14ac:dyDescent="0.3">
      <c r="A1860" s="4"/>
      <c r="B1860" s="4"/>
      <c r="C1860" s="4"/>
      <c r="D1860" s="4"/>
      <c r="E1860" s="7"/>
      <c r="G1860" s="8"/>
    </row>
    <row r="1861" spans="1:7" x14ac:dyDescent="0.3">
      <c r="A1861" s="4"/>
      <c r="B1861" s="4"/>
      <c r="C1861" s="4"/>
      <c r="D1861" s="4"/>
      <c r="E1861" s="24"/>
      <c r="G1861" s="8"/>
    </row>
    <row r="1862" spans="1:7" x14ac:dyDescent="0.3">
      <c r="A1862" s="4"/>
      <c r="B1862" s="4"/>
      <c r="C1862" s="4"/>
      <c r="D1862" s="4"/>
      <c r="E1862" s="7"/>
      <c r="G1862" s="8"/>
    </row>
    <row r="1863" spans="1:7" x14ac:dyDescent="0.3">
      <c r="A1863" s="4"/>
      <c r="B1863" s="4"/>
      <c r="C1863" s="4"/>
      <c r="D1863" s="4"/>
      <c r="E1863" s="7"/>
      <c r="G1863" s="8"/>
    </row>
    <row r="1864" spans="1:7" x14ac:dyDescent="0.3">
      <c r="A1864" s="4"/>
      <c r="B1864" s="4"/>
      <c r="C1864" s="4"/>
      <c r="D1864" s="4"/>
      <c r="E1864" s="7"/>
      <c r="G1864" s="8"/>
    </row>
    <row r="1865" spans="1:7" x14ac:dyDescent="0.3">
      <c r="A1865" s="4"/>
      <c r="B1865" s="4"/>
      <c r="C1865" s="4"/>
      <c r="D1865" s="4"/>
      <c r="E1865" s="7"/>
      <c r="G1865" s="8"/>
    </row>
    <row r="1866" spans="1:7" x14ac:dyDescent="0.3">
      <c r="A1866" s="4"/>
      <c r="B1866" s="4"/>
      <c r="C1866" s="4"/>
      <c r="D1866" s="4"/>
      <c r="E1866" s="7"/>
      <c r="G1866" s="8"/>
    </row>
    <row r="1867" spans="1:7" x14ac:dyDescent="0.3">
      <c r="A1867" s="4"/>
      <c r="B1867" s="4"/>
      <c r="C1867" s="4"/>
      <c r="D1867" s="4"/>
      <c r="E1867" s="7"/>
      <c r="G1867" s="8"/>
    </row>
    <row r="1868" spans="1:7" x14ac:dyDescent="0.3">
      <c r="A1868" s="4"/>
      <c r="B1868" s="4"/>
      <c r="C1868" s="4"/>
      <c r="D1868" s="4"/>
      <c r="E1868" s="7"/>
      <c r="G1868" s="8"/>
    </row>
    <row r="1869" spans="1:7" x14ac:dyDescent="0.3">
      <c r="A1869" s="4"/>
      <c r="B1869" s="4"/>
      <c r="C1869" s="4"/>
      <c r="D1869" s="4"/>
      <c r="E1869" s="7"/>
      <c r="G1869" s="8"/>
    </row>
    <row r="1870" spans="1:7" x14ac:dyDescent="0.3">
      <c r="A1870" s="4"/>
      <c r="B1870" s="4"/>
      <c r="C1870" s="4"/>
      <c r="D1870" s="4"/>
      <c r="E1870" s="7"/>
      <c r="G1870" s="8"/>
    </row>
    <row r="1871" spans="1:7" x14ac:dyDescent="0.3">
      <c r="A1871" s="4"/>
      <c r="B1871" s="4"/>
      <c r="C1871" s="4"/>
      <c r="D1871" s="4"/>
      <c r="E1871" s="7"/>
      <c r="G1871" s="8"/>
    </row>
    <row r="1872" spans="1:7" x14ac:dyDescent="0.3">
      <c r="A1872" s="4"/>
      <c r="B1872" s="4"/>
      <c r="C1872" s="4"/>
      <c r="D1872" s="4"/>
      <c r="E1872" s="7"/>
      <c r="G1872" s="8"/>
    </row>
    <row r="1873" spans="1:7" x14ac:dyDescent="0.3">
      <c r="A1873" s="4"/>
      <c r="B1873" s="4"/>
      <c r="C1873" s="4"/>
      <c r="D1873" s="4"/>
      <c r="E1873" s="7"/>
      <c r="G1873" s="8"/>
    </row>
    <row r="1874" spans="1:7" x14ac:dyDescent="0.3">
      <c r="A1874" s="4"/>
      <c r="B1874" s="4"/>
      <c r="C1874" s="4"/>
      <c r="D1874" s="4"/>
      <c r="E1874" s="7"/>
      <c r="G1874" s="8"/>
    </row>
    <row r="1875" spans="1:7" x14ac:dyDescent="0.3">
      <c r="A1875" s="4"/>
      <c r="B1875" s="4"/>
      <c r="C1875" s="4"/>
      <c r="D1875" s="4"/>
      <c r="E1875" s="7"/>
      <c r="G1875" s="8"/>
    </row>
    <row r="1876" spans="1:7" x14ac:dyDescent="0.3">
      <c r="A1876" s="4"/>
      <c r="B1876" s="4"/>
      <c r="C1876" s="4"/>
      <c r="D1876" s="4"/>
      <c r="E1876" s="7"/>
      <c r="G1876" s="8"/>
    </row>
    <row r="1877" spans="1:7" x14ac:dyDescent="0.3">
      <c r="A1877" s="4"/>
      <c r="B1877" s="4"/>
      <c r="C1877" s="4"/>
      <c r="D1877" s="4"/>
      <c r="E1877" s="7"/>
      <c r="G1877" s="8"/>
    </row>
    <row r="1878" spans="1:7" x14ac:dyDescent="0.3">
      <c r="A1878" s="4"/>
      <c r="B1878" s="4"/>
      <c r="C1878" s="4"/>
      <c r="D1878" s="4"/>
      <c r="E1878" s="7"/>
      <c r="G1878" s="8"/>
    </row>
    <row r="1879" spans="1:7" x14ac:dyDescent="0.3">
      <c r="A1879" s="4"/>
      <c r="B1879" s="4"/>
      <c r="C1879" s="4"/>
      <c r="D1879" s="4"/>
      <c r="E1879" s="7"/>
      <c r="G1879" s="8"/>
    </row>
    <row r="1880" spans="1:7" x14ac:dyDescent="0.3">
      <c r="A1880" s="4"/>
      <c r="B1880" s="4"/>
      <c r="C1880" s="4"/>
      <c r="D1880" s="4"/>
      <c r="E1880" s="7"/>
      <c r="G1880" s="8"/>
    </row>
    <row r="1881" spans="1:7" x14ac:dyDescent="0.3">
      <c r="A1881" s="4"/>
      <c r="B1881" s="4"/>
      <c r="C1881" s="4"/>
      <c r="D1881" s="4"/>
      <c r="E1881" s="7"/>
      <c r="G1881" s="8"/>
    </row>
    <row r="1882" spans="1:7" x14ac:dyDescent="0.3">
      <c r="A1882" s="4"/>
      <c r="B1882" s="4"/>
      <c r="C1882" s="4"/>
      <c r="D1882" s="4"/>
      <c r="E1882" s="7"/>
      <c r="G1882" s="8"/>
    </row>
    <row r="1883" spans="1:7" x14ac:dyDescent="0.3">
      <c r="A1883" s="4"/>
      <c r="B1883" s="4"/>
      <c r="C1883" s="4"/>
      <c r="D1883" s="4"/>
      <c r="E1883" s="7"/>
      <c r="G1883" s="8"/>
    </row>
    <row r="1884" spans="1:7" x14ac:dyDescent="0.3">
      <c r="A1884" s="4"/>
      <c r="B1884" s="4"/>
      <c r="C1884" s="4"/>
      <c r="D1884" s="4"/>
      <c r="E1884" s="7"/>
      <c r="G1884" s="8"/>
    </row>
    <row r="1885" spans="1:7" x14ac:dyDescent="0.3">
      <c r="A1885" s="4"/>
      <c r="B1885" s="4"/>
      <c r="C1885" s="4"/>
      <c r="D1885" s="4"/>
      <c r="E1885" s="7"/>
      <c r="G1885" s="8"/>
    </row>
    <row r="1886" spans="1:7" x14ac:dyDescent="0.3">
      <c r="A1886" s="4"/>
      <c r="B1886" s="4"/>
      <c r="C1886" s="4"/>
      <c r="D1886" s="4"/>
      <c r="E1886" s="7"/>
      <c r="G1886" s="8"/>
    </row>
    <row r="1887" spans="1:7" x14ac:dyDescent="0.3">
      <c r="A1887" s="4"/>
      <c r="B1887" s="4"/>
      <c r="C1887" s="4"/>
      <c r="D1887" s="4"/>
      <c r="E1887" s="7"/>
      <c r="G1887" s="8"/>
    </row>
    <row r="1888" spans="1:7" x14ac:dyDescent="0.3">
      <c r="A1888" s="4"/>
      <c r="B1888" s="4"/>
      <c r="C1888" s="4"/>
      <c r="D1888" s="4"/>
      <c r="E1888" s="7"/>
      <c r="G1888" s="8"/>
    </row>
    <row r="1889" spans="1:7" x14ac:dyDescent="0.3">
      <c r="A1889" s="4"/>
      <c r="B1889" s="4"/>
      <c r="C1889" s="4"/>
      <c r="D1889" s="4"/>
      <c r="E1889" s="7"/>
      <c r="G1889" s="8"/>
    </row>
    <row r="1890" spans="1:7" x14ac:dyDescent="0.3">
      <c r="A1890" s="4"/>
      <c r="B1890" s="4"/>
      <c r="C1890" s="4"/>
      <c r="D1890" s="4"/>
      <c r="E1890" s="7"/>
      <c r="G1890" s="8"/>
    </row>
    <row r="1891" spans="1:7" x14ac:dyDescent="0.3">
      <c r="A1891" s="4"/>
      <c r="B1891" s="4"/>
      <c r="C1891" s="4"/>
      <c r="D1891" s="4"/>
      <c r="E1891" s="7"/>
      <c r="G1891" s="8"/>
    </row>
    <row r="1892" spans="1:7" x14ac:dyDescent="0.3">
      <c r="A1892" s="4"/>
      <c r="B1892" s="4"/>
      <c r="C1892" s="4"/>
      <c r="D1892" s="4"/>
      <c r="E1892" s="7"/>
      <c r="G1892" s="8"/>
    </row>
    <row r="1893" spans="1:7" x14ac:dyDescent="0.3">
      <c r="A1893" s="4"/>
      <c r="B1893" s="4"/>
      <c r="C1893" s="4"/>
      <c r="D1893" s="4"/>
      <c r="E1893" s="7"/>
      <c r="G1893" s="8"/>
    </row>
    <row r="1894" spans="1:7" x14ac:dyDescent="0.3">
      <c r="A1894" s="4"/>
      <c r="B1894" s="4"/>
      <c r="C1894" s="4"/>
      <c r="D1894" s="4"/>
      <c r="E1894" s="7"/>
      <c r="G1894" s="8"/>
    </row>
    <row r="1895" spans="1:7" x14ac:dyDescent="0.3">
      <c r="A1895" s="4"/>
      <c r="B1895" s="4"/>
      <c r="C1895" s="4"/>
      <c r="D1895" s="4"/>
      <c r="E1895" s="7"/>
      <c r="G1895" s="8"/>
    </row>
    <row r="1896" spans="1:7" x14ac:dyDescent="0.3">
      <c r="A1896" s="4"/>
      <c r="B1896" s="4"/>
      <c r="C1896" s="4"/>
      <c r="D1896" s="4"/>
      <c r="E1896" s="7"/>
      <c r="G1896" s="8"/>
    </row>
    <row r="1897" spans="1:7" x14ac:dyDescent="0.3">
      <c r="A1897" s="4"/>
      <c r="B1897" s="4"/>
      <c r="C1897" s="4"/>
      <c r="D1897" s="4"/>
      <c r="E1897" s="7"/>
      <c r="G1897" s="8"/>
    </row>
    <row r="1898" spans="1:7" x14ac:dyDescent="0.3">
      <c r="A1898" s="4"/>
      <c r="B1898" s="4"/>
      <c r="C1898" s="4"/>
      <c r="D1898" s="4"/>
      <c r="E1898" s="7"/>
      <c r="G1898" s="8"/>
    </row>
    <row r="1899" spans="1:7" x14ac:dyDescent="0.3">
      <c r="A1899" s="4"/>
      <c r="B1899" s="4"/>
      <c r="C1899" s="4"/>
      <c r="D1899" s="4"/>
      <c r="E1899" s="7"/>
      <c r="G1899" s="8"/>
    </row>
    <row r="1900" spans="1:7" x14ac:dyDescent="0.3">
      <c r="A1900" s="4"/>
      <c r="B1900" s="4"/>
      <c r="C1900" s="4"/>
      <c r="D1900" s="4"/>
      <c r="E1900" s="7"/>
      <c r="G1900" s="8"/>
    </row>
    <row r="1901" spans="1:7" x14ac:dyDescent="0.3">
      <c r="A1901" s="4"/>
      <c r="B1901" s="4"/>
      <c r="C1901" s="4"/>
      <c r="D1901" s="4"/>
      <c r="E1901" s="7"/>
      <c r="G1901" s="8"/>
    </row>
    <row r="1902" spans="1:7" x14ac:dyDescent="0.3">
      <c r="A1902" s="4"/>
      <c r="B1902" s="4"/>
      <c r="C1902" s="4"/>
      <c r="D1902" s="4"/>
      <c r="E1902" s="7"/>
      <c r="G1902" s="8"/>
    </row>
    <row r="1903" spans="1:7" x14ac:dyDescent="0.3">
      <c r="A1903" s="4"/>
      <c r="B1903" s="4"/>
      <c r="C1903" s="4"/>
      <c r="D1903" s="4"/>
      <c r="E1903" s="7"/>
      <c r="G1903" s="8"/>
    </row>
    <row r="1904" spans="1:7" x14ac:dyDescent="0.3">
      <c r="A1904" s="4"/>
      <c r="B1904" s="4"/>
      <c r="C1904" s="4"/>
      <c r="D1904" s="4"/>
      <c r="E1904" s="7"/>
      <c r="G1904" s="8"/>
    </row>
    <row r="1905" spans="1:7" x14ac:dyDescent="0.3">
      <c r="A1905" s="4"/>
      <c r="B1905" s="4"/>
      <c r="C1905" s="4"/>
      <c r="D1905" s="4"/>
      <c r="E1905" s="7"/>
      <c r="G1905" s="8"/>
    </row>
    <row r="1906" spans="1:7" x14ac:dyDescent="0.3">
      <c r="A1906" s="4"/>
      <c r="B1906" s="4"/>
      <c r="C1906" s="4"/>
      <c r="D1906" s="4"/>
      <c r="E1906" s="7"/>
      <c r="G1906" s="8"/>
    </row>
    <row r="1907" spans="1:7" x14ac:dyDescent="0.3">
      <c r="A1907" s="4"/>
      <c r="B1907" s="4"/>
      <c r="C1907" s="4"/>
      <c r="D1907" s="4"/>
      <c r="E1907" s="7"/>
      <c r="G1907" s="8"/>
    </row>
    <row r="1908" spans="1:7" x14ac:dyDescent="0.3">
      <c r="A1908" s="4"/>
      <c r="B1908" s="4"/>
      <c r="C1908" s="4"/>
      <c r="D1908" s="4"/>
      <c r="E1908" s="7"/>
      <c r="G1908" s="8"/>
    </row>
    <row r="1909" spans="1:7" x14ac:dyDescent="0.3">
      <c r="A1909" s="4"/>
      <c r="B1909" s="4"/>
      <c r="C1909" s="4"/>
      <c r="D1909" s="4"/>
      <c r="E1909" s="7"/>
      <c r="G1909" s="8"/>
    </row>
    <row r="1910" spans="1:7" x14ac:dyDescent="0.3">
      <c r="A1910" s="4"/>
      <c r="B1910" s="4"/>
      <c r="C1910" s="4"/>
      <c r="D1910" s="4"/>
      <c r="E1910" s="7"/>
      <c r="G1910" s="8"/>
    </row>
    <row r="1911" spans="1:7" x14ac:dyDescent="0.3">
      <c r="A1911" s="4"/>
      <c r="B1911" s="4"/>
      <c r="C1911" s="4"/>
      <c r="D1911" s="4"/>
      <c r="E1911" s="7"/>
      <c r="G1911" s="8"/>
    </row>
    <row r="1912" spans="1:7" x14ac:dyDescent="0.3">
      <c r="A1912" s="4"/>
      <c r="B1912" s="4"/>
      <c r="C1912" s="4"/>
      <c r="D1912" s="4"/>
      <c r="E1912" s="7"/>
      <c r="G1912" s="8"/>
    </row>
    <row r="1913" spans="1:7" x14ac:dyDescent="0.3">
      <c r="A1913" s="4"/>
      <c r="B1913" s="4"/>
      <c r="C1913" s="4"/>
      <c r="D1913" s="4"/>
      <c r="E1913" s="7"/>
      <c r="G1913" s="8"/>
    </row>
    <row r="1914" spans="1:7" x14ac:dyDescent="0.3">
      <c r="A1914" s="4"/>
      <c r="B1914" s="4"/>
      <c r="C1914" s="4"/>
      <c r="D1914" s="4"/>
      <c r="E1914" s="7"/>
      <c r="G1914" s="8"/>
    </row>
    <row r="1915" spans="1:7" x14ac:dyDescent="0.3">
      <c r="A1915" s="4"/>
      <c r="B1915" s="4"/>
      <c r="C1915" s="4"/>
      <c r="D1915" s="4"/>
      <c r="E1915" s="7"/>
      <c r="G1915" s="8"/>
    </row>
    <row r="1916" spans="1:7" x14ac:dyDescent="0.3">
      <c r="A1916" s="4"/>
      <c r="B1916" s="4"/>
      <c r="C1916" s="4"/>
      <c r="D1916" s="4"/>
      <c r="E1916" s="7"/>
      <c r="G1916" s="8"/>
    </row>
    <row r="1917" spans="1:7" x14ac:dyDescent="0.3">
      <c r="A1917" s="4"/>
      <c r="B1917" s="4"/>
      <c r="C1917" s="4"/>
      <c r="D1917" s="4"/>
      <c r="E1917" s="7"/>
      <c r="G1917" s="8"/>
    </row>
    <row r="1918" spans="1:7" x14ac:dyDescent="0.3">
      <c r="A1918" s="4"/>
      <c r="B1918" s="4"/>
      <c r="C1918" s="4"/>
      <c r="D1918" s="4"/>
      <c r="E1918" s="7"/>
      <c r="G1918" s="8"/>
    </row>
    <row r="1919" spans="1:7" x14ac:dyDescent="0.3">
      <c r="A1919" s="4"/>
      <c r="B1919" s="4"/>
      <c r="C1919" s="4"/>
      <c r="D1919" s="4"/>
      <c r="E1919" s="7"/>
      <c r="G1919" s="8"/>
    </row>
    <row r="1920" spans="1:7" x14ac:dyDescent="0.3">
      <c r="A1920" s="4"/>
      <c r="B1920" s="4"/>
      <c r="C1920" s="4"/>
      <c r="D1920" s="4"/>
      <c r="E1920" s="7"/>
      <c r="G1920" s="8"/>
    </row>
    <row r="1921" spans="1:7" x14ac:dyDescent="0.3">
      <c r="A1921" s="4"/>
      <c r="B1921" s="4"/>
      <c r="C1921" s="4"/>
      <c r="D1921" s="4"/>
      <c r="E1921" s="7"/>
      <c r="G1921" s="8"/>
    </row>
    <row r="1922" spans="1:7" x14ac:dyDescent="0.3">
      <c r="A1922" s="4"/>
      <c r="B1922" s="4"/>
      <c r="C1922" s="4"/>
      <c r="D1922" s="4"/>
      <c r="E1922" s="7"/>
      <c r="G1922" s="8"/>
    </row>
    <row r="1923" spans="1:7" x14ac:dyDescent="0.3">
      <c r="A1923" s="4"/>
      <c r="B1923" s="4"/>
      <c r="C1923" s="4"/>
      <c r="D1923" s="4"/>
      <c r="E1923" s="7"/>
      <c r="G1923" s="8"/>
    </row>
    <row r="1924" spans="1:7" x14ac:dyDescent="0.3">
      <c r="A1924" s="4"/>
      <c r="B1924" s="4"/>
      <c r="C1924" s="4"/>
      <c r="D1924" s="4"/>
      <c r="E1924" s="7"/>
      <c r="G1924" s="8"/>
    </row>
    <row r="1925" spans="1:7" x14ac:dyDescent="0.3">
      <c r="A1925" s="4"/>
      <c r="B1925" s="4"/>
      <c r="C1925" s="4"/>
      <c r="D1925" s="4"/>
      <c r="E1925" s="7"/>
      <c r="G1925" s="8"/>
    </row>
    <row r="1926" spans="1:7" x14ac:dyDescent="0.3">
      <c r="A1926" s="4"/>
      <c r="B1926" s="4"/>
      <c r="C1926" s="4"/>
      <c r="D1926" s="4"/>
      <c r="E1926" s="7"/>
      <c r="G1926" s="8"/>
    </row>
    <row r="1927" spans="1:7" x14ac:dyDescent="0.3">
      <c r="A1927" s="4"/>
      <c r="B1927" s="4"/>
      <c r="C1927" s="4"/>
      <c r="D1927" s="4"/>
      <c r="E1927" s="7"/>
      <c r="G1927" s="8"/>
    </row>
    <row r="1928" spans="1:7" x14ac:dyDescent="0.3">
      <c r="A1928" s="4"/>
      <c r="B1928" s="4"/>
      <c r="C1928" s="4"/>
      <c r="D1928" s="4"/>
      <c r="E1928" s="7"/>
      <c r="G1928" s="8"/>
    </row>
    <row r="1929" spans="1:7" x14ac:dyDescent="0.3">
      <c r="A1929" s="4"/>
      <c r="B1929" s="4"/>
      <c r="C1929" s="4"/>
      <c r="D1929" s="4"/>
      <c r="E1929" s="7"/>
      <c r="G1929" s="8"/>
    </row>
    <row r="1930" spans="1:7" x14ac:dyDescent="0.3">
      <c r="A1930" s="4"/>
      <c r="B1930" s="4"/>
      <c r="C1930" s="4"/>
      <c r="D1930" s="4"/>
      <c r="E1930" s="7"/>
      <c r="G1930" s="8"/>
    </row>
    <row r="1931" spans="1:7" x14ac:dyDescent="0.3">
      <c r="A1931" s="4"/>
      <c r="B1931" s="4"/>
      <c r="C1931" s="4"/>
      <c r="D1931" s="4"/>
      <c r="E1931" s="7"/>
      <c r="G1931" s="8"/>
    </row>
    <row r="1932" spans="1:7" x14ac:dyDescent="0.3">
      <c r="A1932" s="4"/>
      <c r="B1932" s="4"/>
      <c r="C1932" s="4"/>
      <c r="D1932" s="4"/>
      <c r="E1932" s="7"/>
      <c r="G1932" s="8"/>
    </row>
    <row r="1933" spans="1:7" x14ac:dyDescent="0.3">
      <c r="A1933" s="4"/>
      <c r="B1933" s="4"/>
      <c r="C1933" s="4"/>
      <c r="D1933" s="4"/>
      <c r="E1933" s="7"/>
      <c r="G1933" s="8"/>
    </row>
    <row r="1934" spans="1:7" x14ac:dyDescent="0.3">
      <c r="A1934" s="4"/>
      <c r="B1934" s="4"/>
      <c r="C1934" s="4"/>
      <c r="D1934" s="4"/>
      <c r="E1934" s="7"/>
      <c r="G1934" s="8"/>
    </row>
    <row r="1935" spans="1:7" x14ac:dyDescent="0.3">
      <c r="A1935" s="4"/>
      <c r="B1935" s="4"/>
      <c r="C1935" s="4"/>
      <c r="D1935" s="4"/>
      <c r="E1935" s="7"/>
      <c r="G1935" s="8"/>
    </row>
    <row r="1936" spans="1:7" x14ac:dyDescent="0.3">
      <c r="A1936" s="4"/>
      <c r="B1936" s="4"/>
      <c r="C1936" s="4"/>
      <c r="D1936" s="4"/>
      <c r="E1936" s="7"/>
      <c r="G1936" s="8"/>
    </row>
    <row r="1937" spans="1:7" x14ac:dyDescent="0.3">
      <c r="A1937" s="4"/>
      <c r="B1937" s="4"/>
      <c r="C1937" s="4"/>
      <c r="D1937" s="4"/>
      <c r="E1937" s="7"/>
      <c r="G1937" s="8"/>
    </row>
    <row r="1938" spans="1:7" x14ac:dyDescent="0.3">
      <c r="A1938" s="4"/>
      <c r="B1938" s="4"/>
      <c r="C1938" s="4"/>
      <c r="D1938" s="4"/>
      <c r="E1938" s="7"/>
      <c r="G1938" s="8"/>
    </row>
    <row r="1939" spans="1:7" x14ac:dyDescent="0.3">
      <c r="A1939" s="4"/>
      <c r="B1939" s="4"/>
      <c r="C1939" s="4"/>
      <c r="D1939" s="4"/>
      <c r="E1939" s="7"/>
      <c r="G1939" s="8"/>
    </row>
    <row r="1940" spans="1:7" x14ac:dyDescent="0.3">
      <c r="A1940" s="4"/>
      <c r="B1940" s="4"/>
      <c r="C1940" s="4"/>
      <c r="D1940" s="4"/>
      <c r="E1940" s="7"/>
      <c r="G1940" s="8"/>
    </row>
    <row r="1941" spans="1:7" x14ac:dyDescent="0.3">
      <c r="A1941" s="4"/>
      <c r="B1941" s="4"/>
      <c r="C1941" s="4"/>
      <c r="D1941" s="4"/>
      <c r="E1941" s="7"/>
      <c r="G1941" s="8"/>
    </row>
    <row r="1942" spans="1:7" x14ac:dyDescent="0.3">
      <c r="A1942" s="4"/>
      <c r="B1942" s="4"/>
      <c r="C1942" s="4"/>
      <c r="D1942" s="4"/>
      <c r="E1942" s="7"/>
      <c r="G1942" s="8"/>
    </row>
    <row r="1943" spans="1:7" x14ac:dyDescent="0.3">
      <c r="A1943" s="4"/>
      <c r="B1943" s="4"/>
      <c r="C1943" s="4"/>
      <c r="D1943" s="4"/>
      <c r="E1943" s="7"/>
      <c r="G1943" s="8"/>
    </row>
    <row r="1944" spans="1:7" x14ac:dyDescent="0.3">
      <c r="A1944" s="4"/>
      <c r="B1944" s="4"/>
      <c r="C1944" s="4"/>
      <c r="D1944" s="4"/>
      <c r="E1944" s="7"/>
      <c r="G1944" s="8"/>
    </row>
    <row r="1945" spans="1:7" x14ac:dyDescent="0.3">
      <c r="A1945" s="4"/>
      <c r="B1945" s="4"/>
      <c r="C1945" s="4"/>
      <c r="D1945" s="4"/>
      <c r="E1945" s="7"/>
      <c r="G1945" s="8"/>
    </row>
    <row r="1946" spans="1:7" x14ac:dyDescent="0.3">
      <c r="A1946" s="4"/>
      <c r="B1946" s="4"/>
      <c r="C1946" s="4"/>
      <c r="D1946" s="4"/>
      <c r="E1946" s="7"/>
      <c r="G1946" s="8"/>
    </row>
    <row r="1947" spans="1:7" x14ac:dyDescent="0.3">
      <c r="A1947" s="4"/>
      <c r="B1947" s="4"/>
      <c r="C1947" s="4"/>
      <c r="D1947" s="4"/>
      <c r="E1947" s="7"/>
      <c r="G1947" s="8"/>
    </row>
    <row r="1948" spans="1:7" x14ac:dyDescent="0.3">
      <c r="A1948" s="4"/>
      <c r="B1948" s="4"/>
      <c r="C1948" s="4"/>
      <c r="D1948" s="4"/>
      <c r="E1948" s="7"/>
      <c r="G1948" s="8"/>
    </row>
    <row r="1949" spans="1:7" x14ac:dyDescent="0.3">
      <c r="A1949" s="4"/>
      <c r="B1949" s="4"/>
      <c r="C1949" s="4"/>
      <c r="D1949" s="4"/>
      <c r="E1949" s="7"/>
      <c r="G1949" s="8"/>
    </row>
    <row r="1950" spans="1:7" x14ac:dyDescent="0.3">
      <c r="A1950" s="4"/>
      <c r="B1950" s="4"/>
      <c r="C1950" s="4"/>
      <c r="D1950" s="4"/>
      <c r="E1950" s="7"/>
      <c r="G1950" s="8"/>
    </row>
    <row r="1951" spans="1:7" x14ac:dyDescent="0.3">
      <c r="A1951" s="4"/>
      <c r="B1951" s="4"/>
      <c r="C1951" s="4"/>
      <c r="D1951" s="4"/>
      <c r="E1951" s="7"/>
      <c r="G1951" s="8"/>
    </row>
    <row r="1952" spans="1:7" x14ac:dyDescent="0.3">
      <c r="A1952" s="4"/>
      <c r="B1952" s="4"/>
      <c r="C1952" s="4"/>
      <c r="D1952" s="4"/>
      <c r="E1952" s="7"/>
      <c r="G1952" s="8"/>
    </row>
    <row r="1953" spans="1:7" x14ac:dyDescent="0.3">
      <c r="A1953" s="4"/>
      <c r="B1953" s="4"/>
      <c r="C1953" s="4"/>
      <c r="D1953" s="4"/>
      <c r="E1953" s="7"/>
      <c r="G1953" s="8"/>
    </row>
    <row r="1954" spans="1:7" x14ac:dyDescent="0.3">
      <c r="A1954" s="4"/>
      <c r="B1954" s="4"/>
      <c r="C1954" s="4"/>
      <c r="D1954" s="4"/>
      <c r="E1954" s="7"/>
      <c r="G1954" s="8"/>
    </row>
    <row r="1955" spans="1:7" x14ac:dyDescent="0.3">
      <c r="A1955" s="4"/>
      <c r="B1955" s="4"/>
      <c r="C1955" s="4"/>
      <c r="D1955" s="4"/>
      <c r="E1955" s="7"/>
      <c r="G1955" s="8"/>
    </row>
    <row r="1956" spans="1:7" x14ac:dyDescent="0.3">
      <c r="A1956" s="4"/>
      <c r="B1956" s="4"/>
      <c r="C1956" s="4"/>
      <c r="D1956" s="4"/>
      <c r="E1956" s="7"/>
      <c r="G1956" s="8"/>
    </row>
    <row r="1957" spans="1:7" x14ac:dyDescent="0.3">
      <c r="A1957" s="4"/>
      <c r="B1957" s="4"/>
      <c r="C1957" s="4"/>
      <c r="D1957" s="4"/>
      <c r="E1957" s="7"/>
      <c r="G1957" s="8"/>
    </row>
    <row r="1958" spans="1:7" x14ac:dyDescent="0.3">
      <c r="A1958" s="4"/>
      <c r="B1958" s="4"/>
      <c r="C1958" s="4"/>
      <c r="D1958" s="4"/>
      <c r="E1958" s="7"/>
      <c r="G1958" s="8"/>
    </row>
    <row r="1959" spans="1:7" x14ac:dyDescent="0.3">
      <c r="A1959" s="4"/>
      <c r="B1959" s="4"/>
      <c r="C1959" s="4"/>
      <c r="D1959" s="4"/>
      <c r="E1959" s="7"/>
      <c r="G1959" s="8"/>
    </row>
    <row r="1960" spans="1:7" x14ac:dyDescent="0.3">
      <c r="A1960" s="4"/>
      <c r="B1960" s="4"/>
      <c r="C1960" s="4"/>
      <c r="D1960" s="4"/>
      <c r="E1960" s="7"/>
      <c r="G1960" s="8"/>
    </row>
    <row r="1961" spans="1:7" x14ac:dyDescent="0.3">
      <c r="A1961" s="4"/>
      <c r="B1961" s="4"/>
      <c r="C1961" s="4"/>
      <c r="D1961" s="4"/>
      <c r="E1961" s="7"/>
      <c r="G1961" s="8"/>
    </row>
    <row r="1962" spans="1:7" x14ac:dyDescent="0.3">
      <c r="A1962" s="4"/>
      <c r="B1962" s="4"/>
      <c r="C1962" s="4"/>
      <c r="D1962" s="4"/>
      <c r="E1962" s="7"/>
      <c r="G1962" s="8"/>
    </row>
    <row r="1963" spans="1:7" x14ac:dyDescent="0.3">
      <c r="A1963" s="4"/>
      <c r="B1963" s="4"/>
      <c r="C1963" s="4"/>
      <c r="D1963" s="4"/>
      <c r="E1963" s="7"/>
      <c r="G1963" s="8"/>
    </row>
    <row r="1964" spans="1:7" x14ac:dyDescent="0.3">
      <c r="A1964" s="4"/>
      <c r="B1964" s="4"/>
      <c r="C1964" s="4"/>
      <c r="D1964" s="4"/>
      <c r="E1964" s="7"/>
      <c r="G1964" s="8"/>
    </row>
    <row r="1965" spans="1:7" x14ac:dyDescent="0.3">
      <c r="A1965" s="4"/>
      <c r="B1965" s="4"/>
      <c r="C1965" s="4"/>
      <c r="D1965" s="4"/>
      <c r="E1965" s="7"/>
      <c r="G1965" s="8"/>
    </row>
    <row r="1966" spans="1:7" x14ac:dyDescent="0.3">
      <c r="A1966" s="4"/>
      <c r="B1966" s="4"/>
      <c r="C1966" s="4"/>
      <c r="D1966" s="4"/>
      <c r="E1966" s="7"/>
      <c r="G1966" s="8"/>
    </row>
    <row r="1967" spans="1:7" x14ac:dyDescent="0.3">
      <c r="A1967" s="4"/>
      <c r="B1967" s="4"/>
      <c r="C1967" s="4"/>
      <c r="D1967" s="4"/>
      <c r="E1967" s="7"/>
      <c r="G1967" s="8"/>
    </row>
    <row r="1968" spans="1:7" x14ac:dyDescent="0.3">
      <c r="A1968" s="4"/>
      <c r="B1968" s="4"/>
      <c r="C1968" s="4"/>
      <c r="D1968" s="4"/>
      <c r="E1968" s="7"/>
      <c r="G1968" s="8"/>
    </row>
    <row r="1969" spans="1:7" x14ac:dyDescent="0.3">
      <c r="A1969" s="4"/>
      <c r="B1969" s="4"/>
      <c r="C1969" s="4"/>
      <c r="D1969" s="4"/>
      <c r="E1969" s="7"/>
      <c r="G1969" s="8"/>
    </row>
    <row r="1970" spans="1:7" x14ac:dyDescent="0.3">
      <c r="A1970" s="4"/>
      <c r="B1970" s="4"/>
      <c r="C1970" s="4"/>
      <c r="D1970" s="4"/>
      <c r="E1970" s="7"/>
      <c r="G1970" s="8"/>
    </row>
    <row r="1971" spans="1:7" x14ac:dyDescent="0.3">
      <c r="A1971" s="4"/>
      <c r="B1971" s="4"/>
      <c r="C1971" s="4"/>
      <c r="D1971" s="4"/>
      <c r="E1971" s="7"/>
      <c r="G1971" s="8"/>
    </row>
    <row r="1972" spans="1:7" x14ac:dyDescent="0.3">
      <c r="A1972" s="4"/>
      <c r="B1972" s="4"/>
      <c r="C1972" s="4"/>
      <c r="D1972" s="4"/>
      <c r="E1972" s="7"/>
      <c r="G1972" s="8"/>
    </row>
    <row r="1973" spans="1:7" x14ac:dyDescent="0.3">
      <c r="A1973" s="4"/>
      <c r="B1973" s="4"/>
      <c r="C1973" s="4"/>
      <c r="D1973" s="4"/>
      <c r="E1973" s="7"/>
      <c r="G1973" s="8"/>
    </row>
    <row r="1974" spans="1:7" x14ac:dyDescent="0.3">
      <c r="A1974" s="4"/>
      <c r="B1974" s="4"/>
      <c r="C1974" s="4"/>
      <c r="D1974" s="4"/>
      <c r="E1974" s="7"/>
      <c r="G1974" s="8"/>
    </row>
    <row r="1975" spans="1:7" x14ac:dyDescent="0.3">
      <c r="A1975" s="4"/>
      <c r="B1975" s="4"/>
      <c r="C1975" s="4"/>
      <c r="D1975" s="4"/>
      <c r="E1975" s="7"/>
      <c r="G1975" s="8"/>
    </row>
    <row r="1976" spans="1:7" x14ac:dyDescent="0.3">
      <c r="A1976" s="4"/>
      <c r="B1976" s="4"/>
      <c r="C1976" s="4"/>
      <c r="D1976" s="4"/>
      <c r="E1976" s="7"/>
      <c r="G1976" s="8"/>
    </row>
    <row r="1977" spans="1:7" x14ac:dyDescent="0.3">
      <c r="A1977" s="4"/>
      <c r="B1977" s="4"/>
      <c r="C1977" s="4"/>
      <c r="D1977" s="4"/>
      <c r="E1977" s="7"/>
      <c r="G1977" s="8"/>
    </row>
    <row r="1978" spans="1:7" x14ac:dyDescent="0.3">
      <c r="A1978" s="4"/>
      <c r="B1978" s="4"/>
      <c r="C1978" s="4"/>
      <c r="D1978" s="4"/>
      <c r="E1978" s="7"/>
      <c r="G1978" s="8"/>
    </row>
    <row r="1979" spans="1:7" x14ac:dyDescent="0.3">
      <c r="A1979" s="4"/>
      <c r="B1979" s="4"/>
      <c r="C1979" s="4"/>
      <c r="D1979" s="4"/>
      <c r="E1979" s="7"/>
      <c r="G1979" s="8"/>
    </row>
    <row r="1980" spans="1:7" x14ac:dyDescent="0.3">
      <c r="A1980" s="4"/>
      <c r="B1980" s="4"/>
      <c r="C1980" s="4"/>
      <c r="D1980" s="4"/>
      <c r="E1980" s="7"/>
      <c r="G1980" s="8"/>
    </row>
    <row r="1981" spans="1:7" x14ac:dyDescent="0.3">
      <c r="A1981" s="4"/>
      <c r="B1981" s="4"/>
      <c r="C1981" s="4"/>
      <c r="D1981" s="4"/>
      <c r="E1981" s="7"/>
      <c r="G1981" s="8"/>
    </row>
    <row r="1982" spans="1:7" x14ac:dyDescent="0.3">
      <c r="A1982" s="4"/>
      <c r="B1982" s="4"/>
      <c r="C1982" s="4"/>
      <c r="D1982" s="4"/>
      <c r="E1982" s="7"/>
      <c r="G1982" s="8"/>
    </row>
    <row r="1983" spans="1:7" x14ac:dyDescent="0.3">
      <c r="A1983" s="4"/>
      <c r="B1983" s="4"/>
      <c r="C1983" s="4"/>
      <c r="D1983" s="4"/>
      <c r="E1983" s="7"/>
      <c r="G1983" s="8"/>
    </row>
    <row r="1984" spans="1:7" x14ac:dyDescent="0.3">
      <c r="A1984" s="4"/>
      <c r="B1984" s="4"/>
      <c r="C1984" s="4"/>
      <c r="D1984" s="4"/>
      <c r="E1984" s="7"/>
      <c r="G1984" s="8"/>
    </row>
    <row r="1985" spans="1:7" x14ac:dyDescent="0.3">
      <c r="A1985" s="4"/>
      <c r="B1985" s="4"/>
      <c r="C1985" s="4"/>
      <c r="D1985" s="4"/>
      <c r="E1985" s="7"/>
      <c r="G1985" s="8"/>
    </row>
    <row r="1986" spans="1:7" x14ac:dyDescent="0.3">
      <c r="A1986" s="4"/>
      <c r="B1986" s="4"/>
      <c r="C1986" s="4"/>
      <c r="D1986" s="4"/>
      <c r="E1986" s="7"/>
      <c r="G1986" s="8"/>
    </row>
    <row r="1987" spans="1:7" x14ac:dyDescent="0.3">
      <c r="A1987" s="4"/>
      <c r="B1987" s="4"/>
      <c r="C1987" s="4"/>
      <c r="D1987" s="4"/>
      <c r="E1987" s="7"/>
      <c r="G1987" s="8"/>
    </row>
    <row r="1988" spans="1:7" x14ac:dyDescent="0.3">
      <c r="A1988" s="4"/>
      <c r="B1988" s="4"/>
      <c r="C1988" s="4"/>
      <c r="D1988" s="4"/>
      <c r="E1988" s="7"/>
      <c r="G1988" s="8"/>
    </row>
    <row r="1989" spans="1:7" x14ac:dyDescent="0.3">
      <c r="A1989" s="4"/>
      <c r="B1989" s="4"/>
      <c r="C1989" s="4"/>
      <c r="D1989" s="4"/>
      <c r="E1989" s="7"/>
      <c r="G1989" s="8"/>
    </row>
    <row r="1990" spans="1:7" x14ac:dyDescent="0.3">
      <c r="A1990" s="4"/>
      <c r="B1990" s="4"/>
      <c r="C1990" s="4"/>
      <c r="D1990" s="4"/>
      <c r="E1990" s="7"/>
      <c r="G1990" s="8"/>
    </row>
    <row r="1991" spans="1:7" x14ac:dyDescent="0.3">
      <c r="A1991" s="4"/>
      <c r="B1991" s="4"/>
      <c r="C1991" s="4"/>
      <c r="D1991" s="4"/>
      <c r="E1991" s="7"/>
      <c r="G1991" s="8"/>
    </row>
    <row r="1992" spans="1:7" x14ac:dyDescent="0.3">
      <c r="A1992" s="4"/>
      <c r="B1992" s="4"/>
      <c r="C1992" s="4"/>
      <c r="D1992" s="4"/>
      <c r="E1992" s="7"/>
      <c r="G1992" s="8"/>
    </row>
    <row r="1993" spans="1:7" x14ac:dyDescent="0.3">
      <c r="A1993" s="4"/>
      <c r="B1993" s="4"/>
      <c r="C1993" s="4"/>
      <c r="D1993" s="4"/>
      <c r="E1993" s="7"/>
      <c r="G1993" s="8"/>
    </row>
    <row r="1994" spans="1:7" x14ac:dyDescent="0.3">
      <c r="A1994" s="4"/>
      <c r="B1994" s="4"/>
      <c r="C1994" s="4"/>
      <c r="D1994" s="4"/>
      <c r="E1994" s="7"/>
      <c r="G1994" s="8"/>
    </row>
    <row r="1995" spans="1:7" x14ac:dyDescent="0.3">
      <c r="A1995" s="4"/>
      <c r="B1995" s="4"/>
      <c r="C1995" s="4"/>
      <c r="D1995" s="4"/>
      <c r="E1995" s="7"/>
      <c r="G1995" s="8"/>
    </row>
    <row r="1996" spans="1:7" x14ac:dyDescent="0.3">
      <c r="A1996" s="4"/>
      <c r="B1996" s="4"/>
      <c r="C1996" s="4"/>
      <c r="D1996" s="4"/>
      <c r="E1996" s="7"/>
      <c r="G1996" s="8"/>
    </row>
    <row r="1997" spans="1:7" x14ac:dyDescent="0.3">
      <c r="A1997" s="4"/>
      <c r="B1997" s="4"/>
      <c r="C1997" s="4"/>
      <c r="D1997" s="4"/>
      <c r="E1997" s="7"/>
      <c r="G1997" s="8"/>
    </row>
    <row r="1998" spans="1:7" x14ac:dyDescent="0.3">
      <c r="A1998" s="4"/>
      <c r="B1998" s="4"/>
      <c r="C1998" s="4"/>
      <c r="D1998" s="4"/>
      <c r="E1998" s="7"/>
      <c r="G1998" s="8"/>
    </row>
    <row r="1999" spans="1:7" x14ac:dyDescent="0.3">
      <c r="A1999" s="4"/>
      <c r="B1999" s="4"/>
      <c r="C1999" s="4"/>
      <c r="D1999" s="4"/>
      <c r="E1999" s="7"/>
      <c r="G1999" s="8"/>
    </row>
    <row r="2000" spans="1:7" x14ac:dyDescent="0.3">
      <c r="A2000" s="4"/>
      <c r="B2000" s="4"/>
      <c r="C2000" s="4"/>
      <c r="D2000" s="4"/>
      <c r="E2000" s="7"/>
      <c r="G2000" s="8"/>
    </row>
    <row r="2001" spans="1:7" x14ac:dyDescent="0.3">
      <c r="A2001" s="4"/>
      <c r="B2001" s="4"/>
      <c r="C2001" s="4"/>
      <c r="D2001" s="4"/>
      <c r="E2001" s="7"/>
      <c r="G2001" s="8"/>
    </row>
    <row r="2002" spans="1:7" x14ac:dyDescent="0.3">
      <c r="A2002" s="4"/>
      <c r="B2002" s="4"/>
      <c r="C2002" s="4"/>
      <c r="D2002" s="4"/>
      <c r="E2002" s="7"/>
      <c r="G2002" s="8"/>
    </row>
    <row r="2003" spans="1:7" x14ac:dyDescent="0.3">
      <c r="A2003" s="4"/>
      <c r="B2003" s="4"/>
      <c r="C2003" s="4"/>
      <c r="D2003" s="4"/>
      <c r="E2003" s="7"/>
      <c r="G2003" s="8"/>
    </row>
    <row r="2004" spans="1:7" x14ac:dyDescent="0.3">
      <c r="A2004" s="4"/>
      <c r="B2004" s="4"/>
      <c r="C2004" s="4"/>
      <c r="D2004" s="4"/>
      <c r="E2004" s="7"/>
      <c r="G2004" s="8"/>
    </row>
    <row r="2005" spans="1:7" x14ac:dyDescent="0.3">
      <c r="A2005" s="4"/>
      <c r="B2005" s="4"/>
      <c r="C2005" s="4"/>
      <c r="D2005" s="4"/>
      <c r="E2005" s="7"/>
      <c r="G2005" s="8"/>
    </row>
    <row r="2006" spans="1:7" x14ac:dyDescent="0.3">
      <c r="A2006" s="4"/>
      <c r="B2006" s="4"/>
      <c r="C2006" s="4"/>
      <c r="D2006" s="4"/>
      <c r="E2006" s="7"/>
      <c r="G2006" s="8"/>
    </row>
    <row r="2007" spans="1:7" x14ac:dyDescent="0.3">
      <c r="A2007" s="4"/>
      <c r="B2007" s="4"/>
      <c r="C2007" s="4"/>
      <c r="D2007" s="4"/>
      <c r="E2007" s="7"/>
      <c r="G2007" s="8"/>
    </row>
    <row r="2008" spans="1:7" x14ac:dyDescent="0.3">
      <c r="A2008" s="4"/>
      <c r="B2008" s="4"/>
      <c r="C2008" s="4"/>
      <c r="D2008" s="4"/>
      <c r="E2008" s="7"/>
      <c r="G2008" s="8"/>
    </row>
    <row r="2009" spans="1:7" x14ac:dyDescent="0.3">
      <c r="A2009" s="4"/>
      <c r="B2009" s="4"/>
      <c r="C2009" s="4"/>
      <c r="D2009" s="4"/>
      <c r="E2009" s="7"/>
      <c r="G2009" s="8"/>
    </row>
    <row r="2010" spans="1:7" x14ac:dyDescent="0.3">
      <c r="A2010" s="4"/>
      <c r="B2010" s="4"/>
      <c r="C2010" s="4"/>
      <c r="D2010" s="4"/>
      <c r="E2010" s="7"/>
      <c r="G2010" s="8"/>
    </row>
    <row r="2011" spans="1:7" x14ac:dyDescent="0.3">
      <c r="A2011" s="4"/>
      <c r="B2011" s="4"/>
      <c r="C2011" s="4"/>
      <c r="D2011" s="4"/>
      <c r="E2011" s="7"/>
      <c r="G2011" s="8"/>
    </row>
    <row r="2012" spans="1:7" x14ac:dyDescent="0.3">
      <c r="A2012" s="4"/>
      <c r="B2012" s="4"/>
      <c r="C2012" s="4"/>
      <c r="D2012" s="4"/>
      <c r="E2012" s="7"/>
      <c r="G2012" s="8"/>
    </row>
    <row r="2013" spans="1:7" x14ac:dyDescent="0.3">
      <c r="A2013" s="4"/>
      <c r="B2013" s="4"/>
      <c r="C2013" s="4"/>
      <c r="D2013" s="4"/>
      <c r="E2013" s="7"/>
      <c r="G2013" s="8"/>
    </row>
    <row r="2014" spans="1:7" x14ac:dyDescent="0.3">
      <c r="A2014" s="4"/>
      <c r="B2014" s="4"/>
      <c r="C2014" s="4"/>
      <c r="D2014" s="4"/>
      <c r="E2014" s="7"/>
      <c r="G2014" s="8"/>
    </row>
    <row r="2015" spans="1:7" x14ac:dyDescent="0.3">
      <c r="A2015" s="4"/>
      <c r="B2015" s="4"/>
      <c r="C2015" s="4"/>
      <c r="D2015" s="4"/>
      <c r="E2015" s="7"/>
      <c r="G2015" s="8"/>
    </row>
    <row r="2016" spans="1:7" x14ac:dyDescent="0.3">
      <c r="A2016" s="4"/>
      <c r="B2016" s="4"/>
      <c r="C2016" s="4"/>
      <c r="D2016" s="4"/>
      <c r="E2016" s="7"/>
      <c r="G2016" s="8"/>
    </row>
    <row r="2017" spans="1:7" x14ac:dyDescent="0.3">
      <c r="A2017" s="4"/>
      <c r="B2017" s="4"/>
      <c r="C2017" s="4"/>
      <c r="D2017" s="4"/>
      <c r="E2017" s="7"/>
      <c r="G2017" s="8"/>
    </row>
    <row r="2018" spans="1:7" x14ac:dyDescent="0.3">
      <c r="A2018" s="4"/>
      <c r="B2018" s="4"/>
      <c r="C2018" s="4"/>
      <c r="D2018" s="4"/>
      <c r="E2018" s="7"/>
      <c r="G2018" s="8"/>
    </row>
    <row r="2019" spans="1:7" x14ac:dyDescent="0.3">
      <c r="A2019" s="4"/>
      <c r="B2019" s="4"/>
      <c r="C2019" s="4"/>
      <c r="D2019" s="4"/>
      <c r="E2019" s="7"/>
      <c r="G2019" s="8"/>
    </row>
    <row r="2020" spans="1:7" x14ac:dyDescent="0.3">
      <c r="A2020" s="4"/>
      <c r="B2020" s="4"/>
      <c r="C2020" s="4"/>
      <c r="D2020" s="4"/>
      <c r="E2020" s="7"/>
      <c r="G2020" s="8"/>
    </row>
    <row r="2021" spans="1:7" x14ac:dyDescent="0.3">
      <c r="A2021" s="4"/>
      <c r="B2021" s="4"/>
      <c r="C2021" s="4"/>
      <c r="D2021" s="4"/>
      <c r="E2021" s="7"/>
      <c r="G2021" s="8"/>
    </row>
    <row r="2022" spans="1:7" x14ac:dyDescent="0.3">
      <c r="A2022" s="4"/>
      <c r="B2022" s="4"/>
      <c r="C2022" s="4"/>
      <c r="D2022" s="4"/>
      <c r="E2022" s="7"/>
      <c r="G2022" s="8"/>
    </row>
    <row r="2023" spans="1:7" x14ac:dyDescent="0.3">
      <c r="A2023" s="4"/>
      <c r="B2023" s="4"/>
      <c r="C2023" s="4"/>
      <c r="D2023" s="4"/>
      <c r="E2023" s="7"/>
      <c r="G2023" s="8"/>
    </row>
    <row r="2024" spans="1:7" x14ac:dyDescent="0.3">
      <c r="A2024" s="4"/>
      <c r="B2024" s="4"/>
      <c r="C2024" s="4"/>
      <c r="D2024" s="4"/>
      <c r="E2024" s="7"/>
      <c r="G2024" s="8"/>
    </row>
    <row r="2025" spans="1:7" x14ac:dyDescent="0.3">
      <c r="A2025" s="4"/>
      <c r="B2025" s="4"/>
      <c r="C2025" s="4"/>
      <c r="D2025" s="4"/>
      <c r="E2025" s="7"/>
      <c r="G2025" s="8"/>
    </row>
    <row r="2026" spans="1:7" x14ac:dyDescent="0.3">
      <c r="A2026" s="4"/>
      <c r="B2026" s="4"/>
      <c r="C2026" s="4"/>
      <c r="D2026" s="4"/>
      <c r="E2026" s="7"/>
      <c r="G2026" s="8"/>
    </row>
    <row r="2027" spans="1:7" x14ac:dyDescent="0.3">
      <c r="A2027" s="4"/>
      <c r="B2027" s="4"/>
      <c r="C2027" s="4"/>
      <c r="D2027" s="4"/>
      <c r="E2027" s="7"/>
      <c r="G2027" s="8"/>
    </row>
    <row r="2028" spans="1:7" x14ac:dyDescent="0.3">
      <c r="A2028" s="4"/>
      <c r="B2028" s="4"/>
      <c r="C2028" s="4"/>
      <c r="D2028" s="4"/>
      <c r="E2028" s="7"/>
      <c r="G2028" s="8"/>
    </row>
    <row r="2029" spans="1:7" x14ac:dyDescent="0.3">
      <c r="A2029" s="4"/>
      <c r="B2029" s="4"/>
      <c r="C2029" s="4"/>
      <c r="D2029" s="4"/>
      <c r="E2029" s="7"/>
      <c r="G2029" s="8"/>
    </row>
    <row r="2030" spans="1:7" x14ac:dyDescent="0.3">
      <c r="A2030" s="4"/>
      <c r="B2030" s="4"/>
      <c r="C2030" s="4"/>
      <c r="D2030" s="4"/>
      <c r="E2030" s="7"/>
      <c r="G2030" s="8"/>
    </row>
    <row r="2031" spans="1:7" x14ac:dyDescent="0.3">
      <c r="A2031" s="4"/>
      <c r="B2031" s="4"/>
      <c r="C2031" s="4"/>
      <c r="D2031" s="4"/>
      <c r="E2031" s="7"/>
      <c r="G2031" s="8"/>
    </row>
    <row r="2032" spans="1:7" x14ac:dyDescent="0.3">
      <c r="A2032" s="4"/>
      <c r="B2032" s="4"/>
      <c r="C2032" s="4"/>
      <c r="D2032" s="4"/>
      <c r="E2032" s="7"/>
      <c r="G2032" s="8"/>
    </row>
    <row r="2033" spans="1:7" x14ac:dyDescent="0.3">
      <c r="A2033" s="4"/>
      <c r="B2033" s="4"/>
      <c r="C2033" s="4"/>
      <c r="D2033" s="4"/>
      <c r="E2033" s="7"/>
      <c r="G2033" s="8"/>
    </row>
    <row r="2034" spans="1:7" x14ac:dyDescent="0.3">
      <c r="A2034" s="4"/>
      <c r="B2034" s="4"/>
      <c r="C2034" s="4"/>
      <c r="D2034" s="4"/>
      <c r="E2034" s="7"/>
      <c r="G2034" s="8"/>
    </row>
    <row r="2035" spans="1:7" x14ac:dyDescent="0.3">
      <c r="A2035" s="4"/>
      <c r="B2035" s="4"/>
      <c r="C2035" s="4"/>
      <c r="D2035" s="4"/>
      <c r="E2035" s="7"/>
      <c r="G2035" s="8"/>
    </row>
    <row r="2036" spans="1:7" x14ac:dyDescent="0.3">
      <c r="A2036" s="4"/>
      <c r="B2036" s="4"/>
      <c r="C2036" s="4"/>
      <c r="D2036" s="4"/>
      <c r="E2036" s="7"/>
      <c r="G2036" s="8"/>
    </row>
    <row r="2037" spans="1:7" x14ac:dyDescent="0.3">
      <c r="A2037" s="4"/>
      <c r="B2037" s="4"/>
      <c r="C2037" s="4"/>
      <c r="D2037" s="4"/>
      <c r="E2037" s="7"/>
      <c r="G2037" s="8"/>
    </row>
    <row r="2038" spans="1:7" x14ac:dyDescent="0.3">
      <c r="A2038" s="4"/>
      <c r="B2038" s="4"/>
      <c r="C2038" s="4"/>
      <c r="D2038" s="4"/>
      <c r="E2038" s="7"/>
      <c r="G2038" s="8"/>
    </row>
    <row r="2039" spans="1:7" x14ac:dyDescent="0.3">
      <c r="A2039" s="4"/>
      <c r="B2039" s="4"/>
      <c r="C2039" s="4"/>
      <c r="D2039" s="4"/>
      <c r="E2039" s="7"/>
      <c r="G2039" s="8"/>
    </row>
    <row r="2040" spans="1:7" x14ac:dyDescent="0.3">
      <c r="A2040" s="4"/>
      <c r="B2040" s="4"/>
      <c r="C2040" s="4"/>
      <c r="D2040" s="4"/>
      <c r="E2040" s="7"/>
      <c r="G2040" s="8"/>
    </row>
    <row r="2041" spans="1:7" x14ac:dyDescent="0.3">
      <c r="A2041" s="4"/>
      <c r="B2041" s="4"/>
      <c r="C2041" s="4"/>
      <c r="D2041" s="4"/>
      <c r="E2041" s="7"/>
      <c r="G2041" s="8"/>
    </row>
    <row r="2042" spans="1:7" x14ac:dyDescent="0.3">
      <c r="A2042" s="4"/>
      <c r="B2042" s="4"/>
      <c r="C2042" s="4"/>
      <c r="D2042" s="4"/>
      <c r="E2042" s="7"/>
      <c r="G2042" s="8"/>
    </row>
    <row r="2043" spans="1:7" x14ac:dyDescent="0.3">
      <c r="A2043" s="4"/>
      <c r="B2043" s="4"/>
      <c r="C2043" s="4"/>
      <c r="D2043" s="4"/>
      <c r="E2043" s="7"/>
      <c r="G2043" s="8"/>
    </row>
    <row r="2044" spans="1:7" x14ac:dyDescent="0.3">
      <c r="A2044" s="4"/>
      <c r="B2044" s="4"/>
      <c r="C2044" s="4"/>
      <c r="D2044" s="4"/>
      <c r="E2044" s="7"/>
      <c r="G2044" s="8"/>
    </row>
    <row r="2045" spans="1:7" x14ac:dyDescent="0.3">
      <c r="A2045" s="4"/>
      <c r="B2045" s="4"/>
      <c r="C2045" s="4"/>
      <c r="D2045" s="4"/>
      <c r="E2045" s="7"/>
      <c r="G2045" s="8"/>
    </row>
    <row r="2046" spans="1:7" x14ac:dyDescent="0.3">
      <c r="A2046" s="4"/>
      <c r="B2046" s="4"/>
      <c r="C2046" s="4"/>
      <c r="D2046" s="4"/>
      <c r="E2046" s="24"/>
      <c r="G2046" s="8"/>
    </row>
    <row r="2047" spans="1:7" x14ac:dyDescent="0.3">
      <c r="A2047" s="4"/>
      <c r="B2047" s="4"/>
      <c r="C2047" s="4"/>
      <c r="D2047" s="4"/>
      <c r="E2047" s="7"/>
      <c r="G2047" s="8"/>
    </row>
    <row r="2048" spans="1:7" x14ac:dyDescent="0.3">
      <c r="A2048" s="4"/>
      <c r="B2048" s="4"/>
      <c r="C2048" s="4"/>
      <c r="D2048" s="4"/>
      <c r="E2048" s="7"/>
      <c r="G2048" s="8"/>
    </row>
    <row r="2049" spans="1:7" x14ac:dyDescent="0.3">
      <c r="A2049" s="4"/>
      <c r="B2049" s="4"/>
      <c r="C2049" s="4"/>
      <c r="D2049" s="4"/>
      <c r="E2049" s="7"/>
      <c r="G2049" s="8"/>
    </row>
    <row r="2050" spans="1:7" x14ac:dyDescent="0.3">
      <c r="A2050" s="4"/>
      <c r="B2050" s="4"/>
      <c r="C2050" s="4"/>
      <c r="D2050" s="4"/>
      <c r="E2050" s="7"/>
      <c r="G2050" s="8"/>
    </row>
    <row r="2051" spans="1:7" x14ac:dyDescent="0.3">
      <c r="A2051" s="4"/>
      <c r="B2051" s="4"/>
      <c r="C2051" s="4"/>
      <c r="D2051" s="4"/>
      <c r="E2051" s="7"/>
      <c r="G2051" s="8"/>
    </row>
    <row r="2052" spans="1:7" x14ac:dyDescent="0.3">
      <c r="A2052" s="4"/>
      <c r="B2052" s="4"/>
      <c r="C2052" s="4"/>
      <c r="D2052" s="4"/>
      <c r="E2052" s="7"/>
      <c r="G2052" s="8"/>
    </row>
    <row r="2053" spans="1:7" x14ac:dyDescent="0.3">
      <c r="A2053" s="4"/>
      <c r="B2053" s="4"/>
      <c r="C2053" s="4"/>
      <c r="D2053" s="4"/>
      <c r="E2053" s="7"/>
      <c r="G2053" s="8"/>
    </row>
    <row r="2054" spans="1:7" x14ac:dyDescent="0.3">
      <c r="A2054" s="4"/>
      <c r="B2054" s="4"/>
      <c r="C2054" s="4"/>
      <c r="D2054" s="4"/>
      <c r="E2054" s="7"/>
      <c r="G2054" s="8"/>
    </row>
    <row r="2055" spans="1:7" x14ac:dyDescent="0.3">
      <c r="A2055" s="4"/>
      <c r="B2055" s="4"/>
      <c r="C2055" s="4"/>
      <c r="D2055" s="4"/>
      <c r="E2055" s="7"/>
      <c r="G2055" s="8"/>
    </row>
    <row r="2056" spans="1:7" x14ac:dyDescent="0.3">
      <c r="A2056" s="4"/>
      <c r="B2056" s="4"/>
      <c r="C2056" s="4"/>
      <c r="D2056" s="4"/>
      <c r="E2056" s="7"/>
      <c r="G2056" s="8"/>
    </row>
    <row r="2057" spans="1:7" x14ac:dyDescent="0.3">
      <c r="A2057" s="4"/>
      <c r="B2057" s="4"/>
      <c r="C2057" s="4"/>
      <c r="D2057" s="4"/>
      <c r="E2057" s="7"/>
      <c r="G2057" s="8"/>
    </row>
    <row r="2058" spans="1:7" x14ac:dyDescent="0.3">
      <c r="A2058" s="4"/>
      <c r="B2058" s="4"/>
      <c r="C2058" s="4"/>
      <c r="D2058" s="4"/>
      <c r="E2058" s="7"/>
      <c r="G2058" s="8"/>
    </row>
    <row r="2059" spans="1:7" x14ac:dyDescent="0.3">
      <c r="A2059" s="4"/>
      <c r="B2059" s="4"/>
      <c r="C2059" s="4"/>
      <c r="D2059" s="4"/>
      <c r="E2059" s="7"/>
      <c r="G2059" s="8"/>
    </row>
    <row r="2060" spans="1:7" x14ac:dyDescent="0.3">
      <c r="A2060" s="4"/>
      <c r="B2060" s="4"/>
      <c r="C2060" s="4"/>
      <c r="D2060" s="4"/>
      <c r="E2060" s="7"/>
      <c r="G2060" s="8"/>
    </row>
    <row r="2061" spans="1:7" x14ac:dyDescent="0.3">
      <c r="A2061" s="4"/>
      <c r="B2061" s="4"/>
      <c r="C2061" s="4"/>
      <c r="D2061" s="4"/>
      <c r="E2061" s="7"/>
      <c r="G2061" s="8"/>
    </row>
    <row r="2062" spans="1:7" x14ac:dyDescent="0.3">
      <c r="A2062" s="4"/>
      <c r="B2062" s="4"/>
      <c r="C2062" s="4"/>
      <c r="D2062" s="4"/>
      <c r="E2062" s="7"/>
      <c r="G2062" s="8"/>
    </row>
    <row r="2063" spans="1:7" x14ac:dyDescent="0.3">
      <c r="A2063" s="4"/>
      <c r="B2063" s="4"/>
      <c r="C2063" s="4"/>
      <c r="D2063" s="4"/>
      <c r="E2063" s="7"/>
      <c r="G2063" s="8"/>
    </row>
    <row r="2064" spans="1:7" x14ac:dyDescent="0.3">
      <c r="A2064" s="4"/>
      <c r="B2064" s="4"/>
      <c r="C2064" s="4"/>
      <c r="D2064" s="4"/>
      <c r="E2064" s="7"/>
      <c r="G2064" s="8"/>
    </row>
    <row r="2065" spans="1:7" x14ac:dyDescent="0.3">
      <c r="A2065" s="4"/>
      <c r="B2065" s="4"/>
      <c r="C2065" s="4"/>
      <c r="D2065" s="4"/>
      <c r="E2065" s="7"/>
      <c r="G2065" s="8"/>
    </row>
    <row r="2066" spans="1:7" x14ac:dyDescent="0.3">
      <c r="A2066" s="4"/>
      <c r="B2066" s="4"/>
      <c r="C2066" s="4"/>
      <c r="D2066" s="4"/>
      <c r="E2066" s="7"/>
      <c r="G2066" s="8"/>
    </row>
    <row r="2067" spans="1:7" x14ac:dyDescent="0.3">
      <c r="A2067" s="4"/>
      <c r="B2067" s="4"/>
      <c r="C2067" s="4"/>
      <c r="D2067" s="4"/>
      <c r="E2067" s="7"/>
      <c r="G2067" s="8"/>
    </row>
    <row r="2068" spans="1:7" x14ac:dyDescent="0.3">
      <c r="A2068" s="4"/>
      <c r="B2068" s="4"/>
      <c r="C2068" s="4"/>
      <c r="D2068" s="4"/>
      <c r="E2068" s="7"/>
      <c r="G2068" s="8"/>
    </row>
    <row r="2069" spans="1:7" x14ac:dyDescent="0.3">
      <c r="A2069" s="4"/>
      <c r="B2069" s="4"/>
      <c r="C2069" s="4"/>
      <c r="D2069" s="4"/>
      <c r="E2069" s="7"/>
      <c r="G2069" s="8"/>
    </row>
    <row r="2070" spans="1:7" x14ac:dyDescent="0.3">
      <c r="A2070" s="4"/>
      <c r="B2070" s="4"/>
      <c r="C2070" s="4"/>
      <c r="D2070" s="4"/>
      <c r="E2070" s="7"/>
      <c r="G2070" s="8"/>
    </row>
    <row r="2071" spans="1:7" x14ac:dyDescent="0.3">
      <c r="A2071" s="4"/>
      <c r="B2071" s="4"/>
      <c r="C2071" s="4"/>
      <c r="D2071" s="4"/>
      <c r="E2071" s="7"/>
      <c r="G2071" s="8"/>
    </row>
    <row r="2072" spans="1:7" x14ac:dyDescent="0.3">
      <c r="A2072" s="4"/>
      <c r="B2072" s="4"/>
      <c r="C2072" s="4"/>
      <c r="D2072" s="4"/>
      <c r="E2072" s="7"/>
      <c r="G2072" s="8"/>
    </row>
    <row r="2073" spans="1:7" x14ac:dyDescent="0.3">
      <c r="A2073" s="4"/>
      <c r="B2073" s="4"/>
      <c r="C2073" s="4"/>
      <c r="D2073" s="4"/>
      <c r="E2073" s="7"/>
      <c r="G2073" s="8"/>
    </row>
    <row r="2074" spans="1:7" x14ac:dyDescent="0.3">
      <c r="A2074" s="4"/>
      <c r="B2074" s="4"/>
      <c r="C2074" s="4"/>
      <c r="D2074" s="4"/>
      <c r="E2074" s="7"/>
      <c r="G2074" s="8"/>
    </row>
    <row r="2075" spans="1:7" x14ac:dyDescent="0.3">
      <c r="A2075" s="4"/>
      <c r="B2075" s="4"/>
      <c r="C2075" s="4"/>
      <c r="D2075" s="4"/>
      <c r="E2075" s="7"/>
      <c r="G2075" s="8"/>
    </row>
    <row r="2076" spans="1:7" x14ac:dyDescent="0.3">
      <c r="A2076" s="4"/>
      <c r="B2076" s="4"/>
      <c r="C2076" s="4"/>
      <c r="D2076" s="4"/>
      <c r="E2076" s="7"/>
      <c r="G2076" s="8"/>
    </row>
    <row r="2077" spans="1:7" x14ac:dyDescent="0.3">
      <c r="A2077" s="4"/>
      <c r="B2077" s="4"/>
      <c r="C2077" s="4"/>
      <c r="D2077" s="4"/>
      <c r="E2077" s="7"/>
      <c r="G2077" s="8"/>
    </row>
    <row r="2078" spans="1:7" x14ac:dyDescent="0.3">
      <c r="A2078" s="4"/>
      <c r="B2078" s="4"/>
      <c r="C2078" s="4"/>
      <c r="D2078" s="4"/>
      <c r="E2078" s="7"/>
      <c r="G2078" s="8"/>
    </row>
    <row r="2079" spans="1:7" x14ac:dyDescent="0.3">
      <c r="A2079" s="4"/>
      <c r="B2079" s="4"/>
      <c r="C2079" s="4"/>
      <c r="D2079" s="4"/>
      <c r="E2079" s="7"/>
      <c r="G2079" s="8"/>
    </row>
    <row r="2080" spans="1:7" x14ac:dyDescent="0.3">
      <c r="A2080" s="4"/>
      <c r="B2080" s="4"/>
      <c r="C2080" s="4"/>
      <c r="D2080" s="4"/>
      <c r="E2080" s="7"/>
      <c r="G2080" s="8"/>
    </row>
    <row r="2081" spans="1:7" x14ac:dyDescent="0.3">
      <c r="A2081" s="4"/>
      <c r="B2081" s="4"/>
      <c r="C2081" s="4"/>
      <c r="D2081" s="4"/>
      <c r="E2081" s="7"/>
      <c r="G2081" s="8"/>
    </row>
    <row r="2082" spans="1:7" x14ac:dyDescent="0.3">
      <c r="A2082" s="4"/>
      <c r="B2082" s="4"/>
      <c r="C2082" s="4"/>
      <c r="D2082" s="4"/>
      <c r="E2082" s="7"/>
      <c r="G2082" s="8"/>
    </row>
    <row r="2083" spans="1:7" x14ac:dyDescent="0.3">
      <c r="A2083" s="4"/>
      <c r="B2083" s="4"/>
      <c r="C2083" s="4"/>
      <c r="D2083" s="4"/>
      <c r="E2083" s="7"/>
      <c r="G2083" s="8"/>
    </row>
    <row r="2084" spans="1:7" x14ac:dyDescent="0.3">
      <c r="A2084" s="4"/>
      <c r="B2084" s="4"/>
      <c r="C2084" s="4"/>
      <c r="D2084" s="4"/>
      <c r="E2084" s="7"/>
      <c r="G2084" s="8"/>
    </row>
    <row r="2085" spans="1:7" x14ac:dyDescent="0.3">
      <c r="A2085" s="4"/>
      <c r="B2085" s="4"/>
      <c r="C2085" s="4"/>
      <c r="D2085" s="4"/>
      <c r="E2085" s="7"/>
      <c r="G2085" s="8"/>
    </row>
    <row r="2086" spans="1:7" x14ac:dyDescent="0.3">
      <c r="A2086" s="4"/>
      <c r="B2086" s="4"/>
      <c r="C2086" s="4"/>
      <c r="D2086" s="4"/>
      <c r="E2086" s="7"/>
      <c r="G2086" s="8"/>
    </row>
    <row r="2087" spans="1:7" x14ac:dyDescent="0.3">
      <c r="A2087" s="4"/>
      <c r="B2087" s="4"/>
      <c r="C2087" s="4"/>
      <c r="D2087" s="4"/>
      <c r="E2087" s="7"/>
      <c r="G2087" s="8"/>
    </row>
    <row r="2088" spans="1:7" x14ac:dyDescent="0.3">
      <c r="A2088" s="4"/>
      <c r="B2088" s="4"/>
      <c r="C2088" s="4"/>
      <c r="D2088" s="4"/>
      <c r="E2088" s="7"/>
      <c r="G2088" s="8"/>
    </row>
    <row r="2089" spans="1:7" x14ac:dyDescent="0.3">
      <c r="A2089" s="4"/>
      <c r="B2089" s="4"/>
      <c r="C2089" s="4"/>
      <c r="D2089" s="4"/>
      <c r="E2089" s="7"/>
      <c r="G2089" s="8"/>
    </row>
    <row r="2090" spans="1:7" x14ac:dyDescent="0.3">
      <c r="A2090" s="4"/>
      <c r="B2090" s="4"/>
      <c r="C2090" s="4"/>
      <c r="D2090" s="4"/>
      <c r="E2090" s="7"/>
      <c r="G2090" s="8"/>
    </row>
    <row r="2091" spans="1:7" x14ac:dyDescent="0.3">
      <c r="A2091" s="4"/>
      <c r="B2091" s="4"/>
      <c r="C2091" s="4"/>
      <c r="D2091" s="4"/>
      <c r="E2091" s="7"/>
      <c r="G2091" s="8"/>
    </row>
    <row r="2092" spans="1:7" x14ac:dyDescent="0.3">
      <c r="A2092" s="4"/>
      <c r="B2092" s="4"/>
      <c r="C2092" s="4"/>
      <c r="D2092" s="4"/>
      <c r="E2092" s="7"/>
      <c r="G2092" s="8"/>
    </row>
    <row r="2093" spans="1:7" x14ac:dyDescent="0.3">
      <c r="A2093" s="4"/>
      <c r="B2093" s="4"/>
      <c r="C2093" s="4"/>
      <c r="D2093" s="4"/>
      <c r="E2093" s="7"/>
      <c r="G2093" s="8"/>
    </row>
    <row r="2094" spans="1:7" x14ac:dyDescent="0.3">
      <c r="A2094" s="4"/>
      <c r="B2094" s="4"/>
      <c r="C2094" s="4"/>
      <c r="D2094" s="4"/>
      <c r="E2094" s="7"/>
      <c r="G2094" s="8"/>
    </row>
    <row r="2095" spans="1:7" x14ac:dyDescent="0.3">
      <c r="A2095" s="4"/>
      <c r="B2095" s="4"/>
      <c r="C2095" s="4"/>
      <c r="D2095" s="4"/>
      <c r="E2095" s="7"/>
      <c r="G2095" s="8"/>
    </row>
    <row r="2096" spans="1:7" x14ac:dyDescent="0.3">
      <c r="A2096" s="4"/>
      <c r="B2096" s="4"/>
      <c r="C2096" s="4"/>
      <c r="D2096" s="4"/>
      <c r="E2096" s="7"/>
      <c r="G2096" s="8"/>
    </row>
    <row r="2097" spans="1:7" x14ac:dyDescent="0.3">
      <c r="A2097" s="4"/>
      <c r="B2097" s="4"/>
      <c r="C2097" s="4"/>
      <c r="D2097" s="4"/>
      <c r="E2097" s="7"/>
      <c r="G2097" s="8"/>
    </row>
    <row r="2098" spans="1:7" x14ac:dyDescent="0.3">
      <c r="A2098" s="4"/>
      <c r="B2098" s="4"/>
      <c r="C2098" s="4"/>
      <c r="D2098" s="4"/>
      <c r="E2098" s="7"/>
      <c r="G2098" s="8"/>
    </row>
    <row r="2099" spans="1:7" x14ac:dyDescent="0.3">
      <c r="A2099" s="4"/>
      <c r="B2099" s="4"/>
      <c r="C2099" s="4"/>
      <c r="D2099" s="4"/>
      <c r="E2099" s="7"/>
      <c r="G2099" s="8"/>
    </row>
    <row r="2100" spans="1:7" x14ac:dyDescent="0.3">
      <c r="A2100" s="4"/>
      <c r="B2100" s="4"/>
      <c r="C2100" s="4"/>
      <c r="D2100" s="4"/>
      <c r="E2100" s="7"/>
      <c r="G2100" s="8"/>
    </row>
    <row r="2101" spans="1:7" x14ac:dyDescent="0.3">
      <c r="A2101" s="4"/>
      <c r="B2101" s="4"/>
      <c r="C2101" s="4"/>
      <c r="D2101" s="4"/>
      <c r="E2101" s="7"/>
      <c r="G2101" s="8"/>
    </row>
    <row r="2102" spans="1:7" x14ac:dyDescent="0.3">
      <c r="A2102" s="4"/>
      <c r="B2102" s="4"/>
      <c r="C2102" s="4"/>
      <c r="D2102" s="4"/>
      <c r="E2102" s="7"/>
      <c r="G2102" s="8"/>
    </row>
    <row r="2103" spans="1:7" x14ac:dyDescent="0.3">
      <c r="A2103" s="4"/>
      <c r="B2103" s="4"/>
      <c r="C2103" s="4"/>
      <c r="D2103" s="4"/>
      <c r="E2103" s="7"/>
      <c r="G2103" s="8"/>
    </row>
    <row r="2104" spans="1:7" x14ac:dyDescent="0.3">
      <c r="A2104" s="4"/>
      <c r="B2104" s="4"/>
      <c r="C2104" s="4"/>
      <c r="D2104" s="4"/>
      <c r="E2104" s="7"/>
      <c r="G2104" s="8"/>
    </row>
    <row r="2105" spans="1:7" x14ac:dyDescent="0.3">
      <c r="A2105" s="4"/>
      <c r="B2105" s="4"/>
      <c r="C2105" s="4"/>
      <c r="D2105" s="4"/>
      <c r="E2105" s="7"/>
      <c r="G2105" s="8"/>
    </row>
    <row r="2106" spans="1:7" x14ac:dyDescent="0.3">
      <c r="A2106" s="4"/>
      <c r="B2106" s="4"/>
      <c r="C2106" s="4"/>
      <c r="D2106" s="4"/>
      <c r="E2106" s="7"/>
      <c r="G2106" s="8"/>
    </row>
    <row r="2107" spans="1:7" x14ac:dyDescent="0.3">
      <c r="A2107" s="4"/>
      <c r="B2107" s="4"/>
      <c r="C2107" s="4"/>
      <c r="D2107" s="4"/>
      <c r="E2107" s="7"/>
      <c r="G2107" s="8"/>
    </row>
    <row r="2108" spans="1:7" x14ac:dyDescent="0.3">
      <c r="A2108" s="4"/>
      <c r="B2108" s="4"/>
      <c r="C2108" s="4"/>
      <c r="D2108" s="4"/>
      <c r="E2108" s="7"/>
      <c r="G2108" s="8"/>
    </row>
    <row r="2109" spans="1:7" x14ac:dyDescent="0.3">
      <c r="A2109" s="4"/>
      <c r="B2109" s="4"/>
      <c r="C2109" s="4"/>
      <c r="D2109" s="4"/>
      <c r="E2109" s="7"/>
      <c r="G2109" s="8"/>
    </row>
    <row r="2110" spans="1:7" x14ac:dyDescent="0.3">
      <c r="A2110" s="4"/>
      <c r="B2110" s="4"/>
      <c r="C2110" s="4"/>
      <c r="D2110" s="4"/>
      <c r="E2110" s="7"/>
      <c r="G2110" s="8"/>
    </row>
    <row r="2111" spans="1:7" x14ac:dyDescent="0.3">
      <c r="A2111" s="4"/>
      <c r="B2111" s="4"/>
      <c r="C2111" s="4"/>
      <c r="D2111" s="4"/>
      <c r="E2111" s="7"/>
      <c r="G2111" s="8"/>
    </row>
    <row r="2112" spans="1:7" x14ac:dyDescent="0.3">
      <c r="A2112" s="4"/>
      <c r="B2112" s="4"/>
      <c r="C2112" s="4"/>
      <c r="D2112" s="4"/>
      <c r="E2112" s="7"/>
      <c r="G2112" s="8"/>
    </row>
    <row r="2113" spans="1:7" x14ac:dyDescent="0.3">
      <c r="A2113" s="4"/>
      <c r="B2113" s="4"/>
      <c r="C2113" s="4"/>
      <c r="D2113" s="4"/>
      <c r="E2113" s="7"/>
      <c r="G2113" s="8"/>
    </row>
    <row r="2114" spans="1:7" x14ac:dyDescent="0.3">
      <c r="A2114" s="4"/>
      <c r="B2114" s="4"/>
      <c r="C2114" s="4"/>
      <c r="D2114" s="4"/>
      <c r="E2114" s="7"/>
      <c r="G2114" s="8"/>
    </row>
    <row r="2115" spans="1:7" x14ac:dyDescent="0.3">
      <c r="A2115" s="4"/>
      <c r="B2115" s="4"/>
      <c r="C2115" s="4"/>
      <c r="D2115" s="4"/>
      <c r="E2115" s="7"/>
      <c r="G2115" s="8"/>
    </row>
    <row r="2116" spans="1:7" x14ac:dyDescent="0.3">
      <c r="A2116" s="4"/>
      <c r="B2116" s="4"/>
      <c r="C2116" s="4"/>
      <c r="D2116" s="4"/>
      <c r="E2116" s="7"/>
      <c r="G2116" s="8"/>
    </row>
    <row r="2117" spans="1:7" x14ac:dyDescent="0.3">
      <c r="A2117" s="4"/>
      <c r="B2117" s="4"/>
      <c r="C2117" s="4"/>
      <c r="D2117" s="4"/>
      <c r="E2117" s="7"/>
      <c r="G2117" s="8"/>
    </row>
    <row r="2118" spans="1:7" x14ac:dyDescent="0.3">
      <c r="A2118" s="4"/>
      <c r="B2118" s="4"/>
      <c r="C2118" s="4"/>
      <c r="D2118" s="4"/>
      <c r="E2118" s="7"/>
      <c r="G2118" s="8"/>
    </row>
    <row r="2119" spans="1:7" x14ac:dyDescent="0.3">
      <c r="A2119" s="4"/>
      <c r="B2119" s="4"/>
      <c r="C2119" s="4"/>
      <c r="D2119" s="4"/>
      <c r="E2119" s="7"/>
      <c r="G2119" s="8"/>
    </row>
    <row r="2120" spans="1:7" x14ac:dyDescent="0.3">
      <c r="A2120" s="4"/>
      <c r="B2120" s="4"/>
      <c r="C2120" s="4"/>
      <c r="D2120" s="4"/>
      <c r="E2120" s="7"/>
      <c r="G2120" s="8"/>
    </row>
    <row r="2121" spans="1:7" x14ac:dyDescent="0.3">
      <c r="A2121" s="4"/>
      <c r="B2121" s="4"/>
      <c r="C2121" s="4"/>
      <c r="D2121" s="4"/>
      <c r="E2121" s="7"/>
      <c r="G2121" s="8"/>
    </row>
    <row r="2122" spans="1:7" x14ac:dyDescent="0.3">
      <c r="A2122" s="4"/>
      <c r="B2122" s="4"/>
      <c r="C2122" s="4"/>
      <c r="D2122" s="4"/>
      <c r="E2122" s="7"/>
      <c r="G2122" s="8"/>
    </row>
    <row r="2123" spans="1:7" x14ac:dyDescent="0.3">
      <c r="A2123" s="4"/>
      <c r="B2123" s="4"/>
      <c r="C2123" s="4"/>
      <c r="D2123" s="4"/>
      <c r="E2123" s="7"/>
      <c r="G2123" s="8"/>
    </row>
    <row r="2124" spans="1:7" x14ac:dyDescent="0.3">
      <c r="A2124" s="4"/>
      <c r="B2124" s="4"/>
      <c r="C2124" s="4"/>
      <c r="D2124" s="4"/>
      <c r="E2124" s="7"/>
      <c r="G2124" s="8"/>
    </row>
    <row r="2125" spans="1:7" x14ac:dyDescent="0.3">
      <c r="A2125" s="4"/>
      <c r="B2125" s="4"/>
      <c r="C2125" s="4"/>
      <c r="D2125" s="4"/>
      <c r="E2125" s="7"/>
      <c r="G2125" s="8"/>
    </row>
    <row r="2126" spans="1:7" x14ac:dyDescent="0.3">
      <c r="A2126" s="4"/>
      <c r="B2126" s="4"/>
      <c r="C2126" s="4"/>
      <c r="D2126" s="4"/>
      <c r="E2126" s="7"/>
      <c r="G2126" s="8"/>
    </row>
    <row r="2127" spans="1:7" x14ac:dyDescent="0.3">
      <c r="A2127" s="4"/>
      <c r="B2127" s="4"/>
      <c r="C2127" s="4"/>
      <c r="D2127" s="4"/>
      <c r="E2127" s="7"/>
      <c r="G2127" s="8"/>
    </row>
    <row r="2128" spans="1:7" x14ac:dyDescent="0.3">
      <c r="A2128" s="4"/>
      <c r="B2128" s="4"/>
      <c r="C2128" s="4"/>
      <c r="D2128" s="4"/>
      <c r="E2128" s="7"/>
      <c r="G2128" s="8"/>
    </row>
    <row r="2129" spans="1:7" x14ac:dyDescent="0.3">
      <c r="A2129" s="4"/>
      <c r="B2129" s="4"/>
      <c r="C2129" s="4"/>
      <c r="D2129" s="4"/>
      <c r="E2129" s="7"/>
      <c r="G2129" s="8"/>
    </row>
    <row r="2130" spans="1:7" x14ac:dyDescent="0.3">
      <c r="A2130" s="4"/>
      <c r="B2130" s="4"/>
      <c r="C2130" s="4"/>
      <c r="D2130" s="4"/>
      <c r="E2130" s="7"/>
      <c r="G2130" s="8"/>
    </row>
    <row r="2131" spans="1:7" x14ac:dyDescent="0.3">
      <c r="A2131" s="4"/>
      <c r="B2131" s="4"/>
      <c r="C2131" s="4"/>
      <c r="D2131" s="4"/>
      <c r="E2131" s="7"/>
      <c r="G2131" s="8"/>
    </row>
    <row r="2132" spans="1:7" x14ac:dyDescent="0.3">
      <c r="A2132" s="4"/>
      <c r="B2132" s="4"/>
      <c r="C2132" s="4"/>
      <c r="D2132" s="4"/>
      <c r="E2132" s="7"/>
      <c r="G2132" s="8"/>
    </row>
    <row r="2133" spans="1:7" x14ac:dyDescent="0.3">
      <c r="A2133" s="4"/>
      <c r="B2133" s="4"/>
      <c r="C2133" s="4"/>
      <c r="D2133" s="4"/>
      <c r="E2133" s="7"/>
      <c r="G2133" s="8"/>
    </row>
    <row r="2134" spans="1:7" x14ac:dyDescent="0.3">
      <c r="A2134" s="4"/>
      <c r="B2134" s="4"/>
      <c r="C2134" s="4"/>
      <c r="D2134" s="4"/>
      <c r="E2134" s="7"/>
      <c r="G2134" s="8"/>
    </row>
    <row r="2135" spans="1:7" x14ac:dyDescent="0.3">
      <c r="A2135" s="4"/>
      <c r="B2135" s="4"/>
      <c r="C2135" s="4"/>
      <c r="D2135" s="4"/>
      <c r="E2135" s="7"/>
      <c r="G2135" s="8"/>
    </row>
    <row r="2136" spans="1:7" x14ac:dyDescent="0.3">
      <c r="A2136" s="4"/>
      <c r="B2136" s="4"/>
      <c r="C2136" s="4"/>
      <c r="D2136" s="4"/>
      <c r="E2136" s="7"/>
      <c r="G2136" s="8"/>
    </row>
    <row r="2137" spans="1:7" x14ac:dyDescent="0.3">
      <c r="A2137" s="4"/>
      <c r="B2137" s="4"/>
      <c r="C2137" s="4"/>
      <c r="D2137" s="4"/>
      <c r="E2137" s="7"/>
      <c r="G2137" s="8"/>
    </row>
    <row r="2138" spans="1:7" x14ac:dyDescent="0.3">
      <c r="A2138" s="4"/>
      <c r="B2138" s="4"/>
      <c r="C2138" s="4"/>
      <c r="D2138" s="4"/>
      <c r="E2138" s="7"/>
      <c r="G2138" s="8"/>
    </row>
    <row r="2139" spans="1:7" x14ac:dyDescent="0.3">
      <c r="A2139" s="4"/>
      <c r="B2139" s="4"/>
      <c r="C2139" s="4"/>
      <c r="D2139" s="4"/>
      <c r="E2139" s="7"/>
      <c r="G2139" s="8"/>
    </row>
    <row r="2140" spans="1:7" x14ac:dyDescent="0.3">
      <c r="A2140" s="4"/>
      <c r="B2140" s="4"/>
      <c r="C2140" s="4"/>
      <c r="D2140" s="4"/>
      <c r="E2140" s="7"/>
      <c r="G2140" s="8"/>
    </row>
    <row r="2141" spans="1:7" x14ac:dyDescent="0.3">
      <c r="A2141" s="4"/>
      <c r="B2141" s="4"/>
      <c r="C2141" s="4"/>
      <c r="D2141" s="4"/>
      <c r="E2141" s="7"/>
      <c r="G2141" s="8"/>
    </row>
    <row r="2142" spans="1:7" x14ac:dyDescent="0.3">
      <c r="A2142" s="4"/>
      <c r="B2142" s="4"/>
      <c r="C2142" s="4"/>
      <c r="D2142" s="4"/>
      <c r="E2142" s="7"/>
      <c r="G2142" s="8"/>
    </row>
    <row r="2143" spans="1:7" x14ac:dyDescent="0.3">
      <c r="A2143" s="4"/>
      <c r="B2143" s="4"/>
      <c r="C2143" s="4"/>
      <c r="D2143" s="4"/>
      <c r="E2143" s="7"/>
      <c r="G2143" s="8"/>
    </row>
    <row r="2144" spans="1:7" x14ac:dyDescent="0.3">
      <c r="A2144" s="4"/>
      <c r="B2144" s="4"/>
      <c r="C2144" s="4"/>
      <c r="D2144" s="4"/>
      <c r="E2144" s="7"/>
      <c r="G2144" s="8"/>
    </row>
    <row r="2145" spans="1:7" x14ac:dyDescent="0.3">
      <c r="A2145" s="4"/>
      <c r="B2145" s="4"/>
      <c r="C2145" s="4"/>
      <c r="D2145" s="4"/>
      <c r="E2145" s="7"/>
      <c r="G2145" s="8"/>
    </row>
    <row r="2146" spans="1:7" x14ac:dyDescent="0.3">
      <c r="A2146" s="4"/>
      <c r="B2146" s="4"/>
      <c r="C2146" s="4"/>
      <c r="D2146" s="4"/>
      <c r="E2146" s="7"/>
      <c r="G2146" s="8"/>
    </row>
    <row r="2147" spans="1:7" x14ac:dyDescent="0.3">
      <c r="A2147" s="4"/>
      <c r="B2147" s="4"/>
      <c r="C2147" s="4"/>
      <c r="D2147" s="4"/>
      <c r="E2147" s="7"/>
      <c r="G2147" s="8"/>
    </row>
    <row r="2148" spans="1:7" x14ac:dyDescent="0.3">
      <c r="A2148" s="4"/>
      <c r="B2148" s="4"/>
      <c r="C2148" s="4"/>
      <c r="D2148" s="4"/>
      <c r="E2148" s="7"/>
      <c r="G2148" s="8"/>
    </row>
    <row r="2149" spans="1:7" x14ac:dyDescent="0.3">
      <c r="A2149" s="4"/>
      <c r="B2149" s="4"/>
      <c r="C2149" s="4"/>
      <c r="D2149" s="4"/>
      <c r="E2149" s="7"/>
      <c r="G2149" s="8"/>
    </row>
    <row r="2150" spans="1:7" x14ac:dyDescent="0.3">
      <c r="A2150" s="4"/>
      <c r="B2150" s="4"/>
      <c r="C2150" s="4"/>
      <c r="D2150" s="4"/>
      <c r="E2150" s="7"/>
      <c r="G2150" s="8"/>
    </row>
    <row r="2151" spans="1:7" x14ac:dyDescent="0.3">
      <c r="A2151" s="4"/>
      <c r="B2151" s="4"/>
      <c r="C2151" s="4"/>
      <c r="D2151" s="4"/>
      <c r="E2151" s="7"/>
      <c r="G2151" s="8"/>
    </row>
    <row r="2152" spans="1:7" x14ac:dyDescent="0.3">
      <c r="A2152" s="4"/>
      <c r="B2152" s="4"/>
      <c r="C2152" s="4"/>
      <c r="D2152" s="4"/>
      <c r="E2152" s="7"/>
      <c r="G2152" s="8"/>
    </row>
    <row r="2153" spans="1:7" x14ac:dyDescent="0.3">
      <c r="A2153" s="4"/>
      <c r="B2153" s="4"/>
      <c r="C2153" s="4"/>
      <c r="D2153" s="4"/>
      <c r="E2153" s="7"/>
      <c r="G2153" s="8"/>
    </row>
    <row r="2154" spans="1:7" x14ac:dyDescent="0.3">
      <c r="A2154" s="4"/>
      <c r="B2154" s="4"/>
      <c r="C2154" s="4"/>
      <c r="D2154" s="4"/>
      <c r="E2154" s="7"/>
      <c r="G2154" s="8"/>
    </row>
    <row r="2155" spans="1:7" x14ac:dyDescent="0.3">
      <c r="A2155" s="4"/>
      <c r="B2155" s="4"/>
      <c r="C2155" s="4"/>
      <c r="D2155" s="4"/>
      <c r="E2155" s="7"/>
      <c r="G2155" s="8"/>
    </row>
    <row r="2156" spans="1:7" x14ac:dyDescent="0.3">
      <c r="A2156" s="4"/>
      <c r="B2156" s="4"/>
      <c r="C2156" s="4"/>
      <c r="D2156" s="4"/>
      <c r="E2156" s="7"/>
      <c r="G2156" s="8"/>
    </row>
    <row r="2157" spans="1:7" x14ac:dyDescent="0.3">
      <c r="A2157" s="4"/>
      <c r="B2157" s="4"/>
      <c r="C2157" s="4"/>
      <c r="D2157" s="4"/>
      <c r="E2157" s="7"/>
      <c r="G2157" s="8"/>
    </row>
    <row r="2158" spans="1:7" x14ac:dyDescent="0.3">
      <c r="A2158" s="4"/>
      <c r="B2158" s="4"/>
      <c r="C2158" s="4"/>
      <c r="D2158" s="4"/>
      <c r="E2158" s="7"/>
      <c r="G2158" s="8"/>
    </row>
    <row r="2159" spans="1:7" x14ac:dyDescent="0.3">
      <c r="A2159" s="4"/>
      <c r="B2159" s="4"/>
      <c r="C2159" s="4"/>
      <c r="D2159" s="4"/>
      <c r="E2159" s="7"/>
      <c r="G2159" s="8"/>
    </row>
    <row r="2160" spans="1:7" x14ac:dyDescent="0.3">
      <c r="A2160" s="4"/>
      <c r="B2160" s="4"/>
      <c r="C2160" s="4"/>
      <c r="D2160" s="4"/>
      <c r="E2160" s="7"/>
      <c r="G2160" s="8"/>
    </row>
    <row r="2161" spans="1:7" x14ac:dyDescent="0.3">
      <c r="A2161" s="4"/>
      <c r="B2161" s="4"/>
      <c r="C2161" s="4"/>
      <c r="D2161" s="4"/>
      <c r="E2161" s="7"/>
      <c r="G2161" s="8"/>
    </row>
    <row r="2162" spans="1:7" x14ac:dyDescent="0.3">
      <c r="A2162" s="4"/>
      <c r="B2162" s="4"/>
      <c r="C2162" s="4"/>
      <c r="D2162" s="4"/>
      <c r="E2162" s="7"/>
      <c r="G2162" s="8"/>
    </row>
    <row r="2163" spans="1:7" x14ac:dyDescent="0.3">
      <c r="A2163" s="4"/>
      <c r="B2163" s="4"/>
      <c r="C2163" s="4"/>
      <c r="D2163" s="4"/>
      <c r="E2163" s="7"/>
      <c r="G2163" s="8"/>
    </row>
    <row r="2164" spans="1:7" x14ac:dyDescent="0.3">
      <c r="A2164" s="4"/>
      <c r="B2164" s="4"/>
      <c r="C2164" s="4"/>
      <c r="D2164" s="4"/>
      <c r="E2164" s="7"/>
      <c r="G2164" s="8"/>
    </row>
    <row r="2165" spans="1:7" x14ac:dyDescent="0.3">
      <c r="A2165" s="4"/>
      <c r="B2165" s="4"/>
      <c r="C2165" s="4"/>
      <c r="D2165" s="4"/>
      <c r="E2165" s="7"/>
      <c r="G2165" s="8"/>
    </row>
    <row r="2166" spans="1:7" x14ac:dyDescent="0.3">
      <c r="A2166" s="4"/>
      <c r="B2166" s="4"/>
      <c r="C2166" s="4"/>
      <c r="D2166" s="4"/>
      <c r="E2166" s="7"/>
      <c r="G2166" s="8"/>
    </row>
    <row r="2167" spans="1:7" x14ac:dyDescent="0.3">
      <c r="A2167" s="4"/>
      <c r="B2167" s="4"/>
      <c r="C2167" s="4"/>
      <c r="D2167" s="4"/>
      <c r="E2167" s="7"/>
      <c r="G2167" s="8"/>
    </row>
    <row r="2168" spans="1:7" x14ac:dyDescent="0.3">
      <c r="A2168" s="4"/>
      <c r="B2168" s="4"/>
      <c r="C2168" s="4"/>
      <c r="D2168" s="4"/>
      <c r="E2168" s="7"/>
      <c r="G2168" s="8"/>
    </row>
    <row r="2169" spans="1:7" x14ac:dyDescent="0.3">
      <c r="A2169" s="4"/>
      <c r="B2169" s="4"/>
      <c r="C2169" s="4"/>
      <c r="D2169" s="4"/>
      <c r="E2169" s="7"/>
      <c r="G2169" s="8"/>
    </row>
    <row r="2170" spans="1:7" x14ac:dyDescent="0.3">
      <c r="A2170" s="4"/>
      <c r="B2170" s="4"/>
      <c r="C2170" s="4"/>
      <c r="D2170" s="4"/>
      <c r="E2170" s="7"/>
      <c r="G2170" s="8"/>
    </row>
    <row r="2171" spans="1:7" x14ac:dyDescent="0.3">
      <c r="A2171" s="4"/>
      <c r="B2171" s="4"/>
      <c r="C2171" s="4"/>
      <c r="D2171" s="4"/>
      <c r="E2171" s="7"/>
      <c r="G2171" s="8"/>
    </row>
    <row r="2172" spans="1:7" x14ac:dyDescent="0.3">
      <c r="A2172" s="4"/>
      <c r="B2172" s="4"/>
      <c r="C2172" s="4"/>
      <c r="D2172" s="4"/>
      <c r="E2172" s="7"/>
      <c r="G2172" s="8"/>
    </row>
    <row r="2173" spans="1:7" x14ac:dyDescent="0.3">
      <c r="A2173" s="4"/>
      <c r="B2173" s="4"/>
      <c r="C2173" s="4"/>
      <c r="D2173" s="4"/>
      <c r="E2173" s="7"/>
      <c r="G2173" s="8"/>
    </row>
    <row r="2174" spans="1:7" x14ac:dyDescent="0.3">
      <c r="A2174" s="4"/>
      <c r="B2174" s="4"/>
      <c r="C2174" s="4"/>
      <c r="D2174" s="4"/>
      <c r="E2174" s="7"/>
      <c r="G2174" s="8"/>
    </row>
    <row r="2175" spans="1:7" x14ac:dyDescent="0.3">
      <c r="A2175" s="4"/>
      <c r="B2175" s="4"/>
      <c r="C2175" s="4"/>
      <c r="D2175" s="4"/>
      <c r="E2175" s="7"/>
      <c r="G2175" s="8"/>
    </row>
    <row r="2176" spans="1:7" x14ac:dyDescent="0.3">
      <c r="A2176" s="4"/>
      <c r="B2176" s="4"/>
      <c r="C2176" s="4"/>
      <c r="D2176" s="4"/>
      <c r="E2176" s="7"/>
      <c r="G2176" s="8"/>
    </row>
    <row r="2177" spans="1:7" x14ac:dyDescent="0.3">
      <c r="A2177" s="4"/>
      <c r="B2177" s="4"/>
      <c r="C2177" s="4"/>
      <c r="D2177" s="4"/>
      <c r="E2177" s="7"/>
      <c r="G2177" s="8"/>
    </row>
    <row r="2178" spans="1:7" x14ac:dyDescent="0.3">
      <c r="A2178" s="4"/>
      <c r="B2178" s="4"/>
      <c r="C2178" s="4"/>
      <c r="D2178" s="4"/>
      <c r="E2178" s="7"/>
      <c r="G2178" s="8"/>
    </row>
    <row r="2179" spans="1:7" x14ac:dyDescent="0.3">
      <c r="A2179" s="4"/>
      <c r="B2179" s="4"/>
      <c r="C2179" s="4"/>
      <c r="D2179" s="4"/>
      <c r="E2179" s="7"/>
      <c r="G2179" s="8"/>
    </row>
    <row r="2180" spans="1:7" x14ac:dyDescent="0.3">
      <c r="A2180" s="4"/>
      <c r="B2180" s="4"/>
      <c r="C2180" s="4"/>
      <c r="D2180" s="4"/>
      <c r="E2180" s="7"/>
      <c r="G2180" s="8"/>
    </row>
    <row r="2181" spans="1:7" x14ac:dyDescent="0.3">
      <c r="A2181" s="4"/>
      <c r="B2181" s="4"/>
      <c r="C2181" s="4"/>
      <c r="D2181" s="4"/>
      <c r="E2181" s="7"/>
      <c r="G2181" s="8"/>
    </row>
    <row r="2182" spans="1:7" x14ac:dyDescent="0.3">
      <c r="A2182" s="4"/>
      <c r="B2182" s="4"/>
      <c r="C2182" s="4"/>
      <c r="D2182" s="4"/>
      <c r="E2182" s="7"/>
      <c r="G2182" s="8"/>
    </row>
    <row r="2183" spans="1:7" x14ac:dyDescent="0.3">
      <c r="A2183" s="4"/>
      <c r="B2183" s="4"/>
      <c r="C2183" s="4"/>
      <c r="D2183" s="4"/>
      <c r="E2183" s="7"/>
      <c r="G2183" s="8"/>
    </row>
    <row r="2184" spans="1:7" x14ac:dyDescent="0.3">
      <c r="A2184" s="4"/>
      <c r="B2184" s="4"/>
      <c r="C2184" s="4"/>
      <c r="D2184" s="4"/>
      <c r="E2184" s="7"/>
      <c r="G2184" s="8"/>
    </row>
    <row r="2185" spans="1:7" x14ac:dyDescent="0.3">
      <c r="A2185" s="4"/>
      <c r="B2185" s="4"/>
      <c r="C2185" s="4"/>
      <c r="D2185" s="4"/>
      <c r="E2185" s="7"/>
      <c r="G2185" s="8"/>
    </row>
    <row r="2186" spans="1:7" x14ac:dyDescent="0.3">
      <c r="A2186" s="4"/>
      <c r="B2186" s="4"/>
      <c r="C2186" s="4"/>
      <c r="D2186" s="4"/>
      <c r="E2186" s="7"/>
      <c r="G2186" s="8"/>
    </row>
    <row r="2187" spans="1:7" x14ac:dyDescent="0.3">
      <c r="A2187" s="4"/>
      <c r="B2187" s="4"/>
      <c r="C2187" s="4"/>
      <c r="D2187" s="4"/>
      <c r="E2187" s="7"/>
      <c r="G2187" s="8"/>
    </row>
    <row r="2188" spans="1:7" x14ac:dyDescent="0.3">
      <c r="A2188" s="4"/>
      <c r="B2188" s="4"/>
      <c r="C2188" s="4"/>
      <c r="D2188" s="4"/>
      <c r="E2188" s="7"/>
      <c r="G2188" s="8"/>
    </row>
    <row r="2189" spans="1:7" x14ac:dyDescent="0.3">
      <c r="A2189" s="4"/>
      <c r="B2189" s="4"/>
      <c r="C2189" s="4"/>
      <c r="D2189" s="4"/>
      <c r="E2189" s="7"/>
      <c r="G2189" s="8"/>
    </row>
    <row r="2190" spans="1:7" x14ac:dyDescent="0.3">
      <c r="A2190" s="4"/>
      <c r="B2190" s="4"/>
      <c r="C2190" s="4"/>
      <c r="D2190" s="4"/>
      <c r="E2190" s="7"/>
      <c r="G2190" s="8"/>
    </row>
    <row r="2191" spans="1:7" x14ac:dyDescent="0.3">
      <c r="A2191" s="4"/>
      <c r="B2191" s="4"/>
      <c r="C2191" s="4"/>
      <c r="D2191" s="4"/>
      <c r="E2191" s="7"/>
      <c r="G2191" s="8"/>
    </row>
    <row r="2192" spans="1:7" x14ac:dyDescent="0.3">
      <c r="A2192" s="4"/>
      <c r="B2192" s="4"/>
      <c r="C2192" s="4"/>
      <c r="D2192" s="4"/>
      <c r="E2192" s="7"/>
      <c r="G2192" s="8"/>
    </row>
    <row r="2193" spans="1:7" x14ac:dyDescent="0.3">
      <c r="A2193" s="4"/>
      <c r="B2193" s="4"/>
      <c r="C2193" s="4"/>
      <c r="D2193" s="4"/>
      <c r="E2193" s="7"/>
      <c r="G2193" s="8"/>
    </row>
    <row r="2194" spans="1:7" x14ac:dyDescent="0.3">
      <c r="A2194" s="4"/>
      <c r="B2194" s="4"/>
      <c r="C2194" s="4"/>
      <c r="D2194" s="4"/>
      <c r="E2194" s="7"/>
      <c r="G2194" s="8"/>
    </row>
    <row r="2195" spans="1:7" x14ac:dyDescent="0.3">
      <c r="A2195" s="4"/>
      <c r="B2195" s="4"/>
      <c r="C2195" s="4"/>
      <c r="D2195" s="4"/>
      <c r="E2195" s="7"/>
      <c r="G2195" s="8"/>
    </row>
    <row r="2196" spans="1:7" x14ac:dyDescent="0.3">
      <c r="A2196" s="4"/>
      <c r="B2196" s="4"/>
      <c r="C2196" s="4"/>
      <c r="D2196" s="4"/>
      <c r="E2196" s="7"/>
      <c r="G2196" s="8"/>
    </row>
    <row r="2197" spans="1:7" x14ac:dyDescent="0.3">
      <c r="A2197" s="4"/>
      <c r="B2197" s="4"/>
      <c r="C2197" s="4"/>
      <c r="D2197" s="4"/>
      <c r="E2197" s="7"/>
      <c r="G2197" s="8"/>
    </row>
    <row r="2198" spans="1:7" x14ac:dyDescent="0.3">
      <c r="A2198" s="4"/>
      <c r="B2198" s="4"/>
      <c r="C2198" s="4"/>
      <c r="D2198" s="4"/>
      <c r="E2198" s="7"/>
      <c r="G2198" s="8"/>
    </row>
    <row r="2199" spans="1:7" x14ac:dyDescent="0.3">
      <c r="A2199" s="4"/>
      <c r="B2199" s="4"/>
      <c r="C2199" s="4"/>
      <c r="D2199" s="4"/>
      <c r="E2199" s="7"/>
      <c r="G2199" s="8"/>
    </row>
    <row r="2200" spans="1:7" x14ac:dyDescent="0.3">
      <c r="A2200" s="4"/>
      <c r="B2200" s="4"/>
      <c r="C2200" s="4"/>
      <c r="D2200" s="4"/>
      <c r="E2200" s="7"/>
      <c r="G2200" s="8"/>
    </row>
    <row r="2201" spans="1:7" x14ac:dyDescent="0.3">
      <c r="A2201" s="4"/>
      <c r="B2201" s="4"/>
      <c r="C2201" s="4"/>
      <c r="D2201" s="4"/>
      <c r="E2201" s="7"/>
      <c r="G2201" s="8"/>
    </row>
    <row r="2202" spans="1:7" x14ac:dyDescent="0.3">
      <c r="A2202" s="4"/>
      <c r="B2202" s="4"/>
      <c r="C2202" s="4"/>
      <c r="D2202" s="4"/>
      <c r="E2202" s="7"/>
      <c r="G2202" s="8"/>
    </row>
    <row r="2203" spans="1:7" x14ac:dyDescent="0.3">
      <c r="A2203" s="4"/>
      <c r="B2203" s="4"/>
      <c r="C2203" s="4"/>
      <c r="D2203" s="4"/>
      <c r="E2203" s="7"/>
      <c r="G2203" s="8"/>
    </row>
    <row r="2204" spans="1:7" x14ac:dyDescent="0.3">
      <c r="A2204" s="4"/>
      <c r="B2204" s="4"/>
      <c r="C2204" s="4"/>
      <c r="D2204" s="4"/>
      <c r="E2204" s="7"/>
      <c r="G2204" s="8"/>
    </row>
    <row r="2205" spans="1:7" x14ac:dyDescent="0.3">
      <c r="A2205" s="4"/>
      <c r="B2205" s="4"/>
      <c r="C2205" s="4"/>
      <c r="D2205" s="4"/>
      <c r="E2205" s="7"/>
      <c r="G2205" s="8"/>
    </row>
    <row r="2206" spans="1:7" x14ac:dyDescent="0.3">
      <c r="A2206" s="4"/>
      <c r="B2206" s="4"/>
      <c r="C2206" s="4"/>
      <c r="D2206" s="4"/>
      <c r="E2206" s="7"/>
      <c r="G2206" s="8"/>
    </row>
    <row r="2207" spans="1:7" x14ac:dyDescent="0.3">
      <c r="A2207" s="4"/>
      <c r="B2207" s="4"/>
      <c r="C2207" s="4"/>
      <c r="D2207" s="4"/>
      <c r="E2207" s="7"/>
      <c r="G2207" s="8"/>
    </row>
    <row r="2208" spans="1:7" x14ac:dyDescent="0.3">
      <c r="A2208" s="4"/>
      <c r="B2208" s="4"/>
      <c r="C2208" s="4"/>
      <c r="D2208" s="4"/>
      <c r="E2208" s="7"/>
      <c r="G2208" s="8"/>
    </row>
    <row r="2209" spans="1:7" x14ac:dyDescent="0.3">
      <c r="A2209" s="4"/>
      <c r="B2209" s="4"/>
      <c r="C2209" s="4"/>
      <c r="D2209" s="4"/>
      <c r="E2209" s="7"/>
      <c r="G2209" s="8"/>
    </row>
    <row r="2210" spans="1:7" x14ac:dyDescent="0.3">
      <c r="A2210" s="7"/>
      <c r="B2210" s="4"/>
      <c r="C2210" s="4"/>
      <c r="D2210" s="4"/>
      <c r="E2210" s="7"/>
      <c r="G2210" s="8"/>
    </row>
    <row r="2211" spans="1:7" x14ac:dyDescent="0.3">
      <c r="A2211" s="7"/>
      <c r="B2211" s="4"/>
      <c r="C2211" s="4"/>
      <c r="D2211" s="4"/>
      <c r="E2211" s="7"/>
      <c r="G2211" s="8"/>
    </row>
    <row r="2212" spans="1:7" x14ac:dyDescent="0.3">
      <c r="A2212" s="7"/>
      <c r="B2212" s="4"/>
      <c r="C2212" s="4"/>
      <c r="D2212" s="4"/>
      <c r="E2212" s="7"/>
      <c r="G2212" s="8"/>
    </row>
    <row r="2213" spans="1:7" x14ac:dyDescent="0.3">
      <c r="A2213" s="7"/>
      <c r="B2213" s="4"/>
      <c r="C2213" s="4"/>
      <c r="D2213" s="4"/>
      <c r="E2213" s="7"/>
      <c r="G2213" s="8"/>
    </row>
    <row r="2214" spans="1:7" x14ac:dyDescent="0.3">
      <c r="A2214" s="7"/>
      <c r="B2214" s="4"/>
      <c r="C2214" s="4"/>
      <c r="D2214" s="4"/>
      <c r="E2214" s="7"/>
      <c r="G2214" s="8"/>
    </row>
    <row r="2215" spans="1:7" x14ac:dyDescent="0.3">
      <c r="A2215" s="7"/>
      <c r="B2215" s="4"/>
      <c r="C2215" s="4"/>
      <c r="D2215" s="4"/>
      <c r="E2215" s="7"/>
      <c r="G2215" s="8"/>
    </row>
    <row r="2216" spans="1:7" x14ac:dyDescent="0.3">
      <c r="A2216" s="7"/>
      <c r="B2216" s="4"/>
      <c r="C2216" s="4"/>
      <c r="D2216" s="4"/>
      <c r="E2216" s="7"/>
      <c r="G2216" s="8"/>
    </row>
    <row r="2217" spans="1:7" x14ac:dyDescent="0.3">
      <c r="A2217" s="7"/>
      <c r="B2217" s="4"/>
      <c r="C2217" s="4"/>
      <c r="D2217" s="4"/>
      <c r="E2217" s="7"/>
      <c r="G2217" s="8"/>
    </row>
    <row r="2218" spans="1:7" x14ac:dyDescent="0.3">
      <c r="A2218" s="7"/>
      <c r="B2218" s="4"/>
      <c r="C2218" s="4"/>
      <c r="D2218" s="4"/>
      <c r="E2218" s="7"/>
      <c r="G2218" s="8"/>
    </row>
    <row r="2219" spans="1:7" x14ac:dyDescent="0.3">
      <c r="A2219" s="7"/>
      <c r="B2219" s="4"/>
      <c r="C2219" s="4"/>
      <c r="D2219" s="4"/>
      <c r="E2219" s="7"/>
      <c r="G2219" s="8"/>
    </row>
    <row r="2220" spans="1:7" x14ac:dyDescent="0.3">
      <c r="A2220" s="7"/>
      <c r="B2220" s="4"/>
      <c r="C2220" s="4"/>
      <c r="D2220" s="4"/>
      <c r="E2220" s="7"/>
      <c r="G2220" s="8"/>
    </row>
    <row r="2221" spans="1:7" x14ac:dyDescent="0.3">
      <c r="A2221" s="7"/>
      <c r="B2221" s="4"/>
      <c r="C2221" s="4"/>
      <c r="D2221" s="4"/>
      <c r="E2221" s="7"/>
      <c r="G2221" s="8"/>
    </row>
    <row r="2222" spans="1:7" x14ac:dyDescent="0.3">
      <c r="A2222" s="7"/>
      <c r="B2222" s="4"/>
      <c r="C2222" s="4"/>
      <c r="D2222" s="4"/>
      <c r="E2222" s="7"/>
      <c r="G2222" s="8"/>
    </row>
    <row r="2223" spans="1:7" x14ac:dyDescent="0.3">
      <c r="A2223" s="7"/>
      <c r="B2223" s="4"/>
      <c r="C2223" s="4"/>
      <c r="D2223" s="4"/>
      <c r="E2223" s="7"/>
      <c r="G2223" s="8"/>
    </row>
    <row r="2224" spans="1:7" x14ac:dyDescent="0.3">
      <c r="A2224" s="7"/>
      <c r="B2224" s="4"/>
      <c r="C2224" s="4"/>
      <c r="D2224" s="4"/>
      <c r="E2224" s="7"/>
      <c r="G2224" s="8"/>
    </row>
    <row r="2225" spans="1:7" x14ac:dyDescent="0.3">
      <c r="A2225" s="7"/>
      <c r="B2225" s="4"/>
      <c r="C2225" s="4"/>
      <c r="D2225" s="4"/>
      <c r="E2225" s="7"/>
      <c r="G2225" s="8"/>
    </row>
    <row r="2226" spans="1:7" x14ac:dyDescent="0.3">
      <c r="A2226" s="7"/>
      <c r="B2226" s="4"/>
      <c r="C2226" s="4"/>
      <c r="D2226" s="4"/>
      <c r="E2226" s="7"/>
      <c r="G2226" s="8"/>
    </row>
    <row r="2227" spans="1:7" x14ac:dyDescent="0.3">
      <c r="A2227" s="7"/>
      <c r="B2227" s="4"/>
      <c r="C2227" s="4"/>
      <c r="D2227" s="4"/>
      <c r="E2227" s="7"/>
      <c r="G2227" s="8"/>
    </row>
    <row r="2228" spans="1:7" x14ac:dyDescent="0.3">
      <c r="A2228" s="7"/>
      <c r="B2228" s="4"/>
      <c r="C2228" s="4"/>
      <c r="D2228" s="5"/>
      <c r="E2228" s="23"/>
      <c r="G2228" s="8"/>
    </row>
    <row r="2229" spans="1:7" x14ac:dyDescent="0.3">
      <c r="A2229" s="7"/>
      <c r="B2229" s="4"/>
      <c r="C2229" s="4"/>
      <c r="D2229" s="5"/>
      <c r="E2229" s="23"/>
      <c r="G2229" s="8"/>
    </row>
    <row r="2230" spans="1:7" x14ac:dyDescent="0.3">
      <c r="A2230" s="7"/>
      <c r="B2230" s="4"/>
      <c r="C2230" s="4"/>
      <c r="D2230" s="5"/>
      <c r="E2230" s="23"/>
      <c r="G2230" s="8"/>
    </row>
    <row r="2231" spans="1:7" x14ac:dyDescent="0.3">
      <c r="A2231" s="7"/>
      <c r="B2231" s="4"/>
      <c r="C2231" s="4"/>
      <c r="D2231" s="5"/>
      <c r="E2231" s="23"/>
      <c r="G2231" s="8"/>
    </row>
    <row r="2232" spans="1:7" x14ac:dyDescent="0.3">
      <c r="A2232" s="7"/>
      <c r="B2232" s="4"/>
      <c r="C2232" s="4"/>
      <c r="D2232" s="4"/>
      <c r="E2232" s="23"/>
      <c r="G2232" s="8"/>
    </row>
    <row r="2233" spans="1:7" x14ac:dyDescent="0.3">
      <c r="A2233" s="7"/>
      <c r="B2233" s="4"/>
      <c r="C2233" s="4"/>
      <c r="D2233" s="4"/>
      <c r="E2233" s="23"/>
      <c r="G2233" s="8"/>
    </row>
    <row r="2234" spans="1:7" x14ac:dyDescent="0.3">
      <c r="A2234" s="7"/>
      <c r="B2234" s="4"/>
      <c r="C2234" s="4"/>
      <c r="D2234" s="4"/>
      <c r="E2234" s="23"/>
      <c r="G2234" s="8"/>
    </row>
    <row r="2235" spans="1:7" x14ac:dyDescent="0.3">
      <c r="A2235" s="7"/>
      <c r="B2235" s="4"/>
      <c r="C2235" s="4"/>
      <c r="D2235" s="4"/>
      <c r="E2235" s="7"/>
      <c r="G2235" s="8"/>
    </row>
    <row r="2236" spans="1:7" x14ac:dyDescent="0.3">
      <c r="A2236" s="7"/>
      <c r="B2236" s="4"/>
      <c r="C2236" s="4"/>
      <c r="D2236" s="4"/>
      <c r="E2236" s="7"/>
      <c r="G2236" s="8"/>
    </row>
    <row r="2237" spans="1:7" x14ac:dyDescent="0.3">
      <c r="A2237" s="7"/>
      <c r="B2237" s="4"/>
      <c r="C2237" s="4"/>
      <c r="D2237" s="4"/>
      <c r="E2237" s="7"/>
      <c r="G2237" s="8"/>
    </row>
    <row r="2238" spans="1:7" x14ac:dyDescent="0.3">
      <c r="A2238" s="7"/>
      <c r="B2238" s="4"/>
      <c r="C2238" s="4"/>
      <c r="D2238" s="4"/>
      <c r="E2238" s="7"/>
      <c r="G2238" s="8"/>
    </row>
    <row r="2239" spans="1:7" x14ac:dyDescent="0.3">
      <c r="A2239" s="7"/>
      <c r="B2239" s="4"/>
      <c r="C2239" s="4"/>
      <c r="D2239" s="4"/>
      <c r="E2239" s="7"/>
      <c r="G2239" s="8"/>
    </row>
    <row r="2240" spans="1:7" x14ac:dyDescent="0.3">
      <c r="A2240" s="7"/>
      <c r="B2240" s="4"/>
      <c r="C2240" s="4"/>
      <c r="D2240" s="4"/>
      <c r="E2240" s="7"/>
      <c r="G2240" s="8"/>
    </row>
    <row r="2241" spans="1:7" x14ac:dyDescent="0.3">
      <c r="A2241" s="7"/>
      <c r="B2241" s="4"/>
      <c r="C2241" s="4"/>
      <c r="D2241" s="4"/>
      <c r="E2241" s="7"/>
      <c r="G2241" s="8"/>
    </row>
    <row r="2242" spans="1:7" x14ac:dyDescent="0.3">
      <c r="A2242" s="7"/>
      <c r="B2242" s="4"/>
      <c r="C2242" s="4"/>
      <c r="D2242" s="4"/>
      <c r="E2242" s="7"/>
      <c r="G2242" s="8"/>
    </row>
    <row r="2243" spans="1:7" x14ac:dyDescent="0.3">
      <c r="A2243" s="7"/>
      <c r="B2243" s="4"/>
      <c r="C2243" s="4"/>
      <c r="D2243" s="4"/>
      <c r="E2243" s="7"/>
      <c r="G2243" s="8"/>
    </row>
    <row r="2244" spans="1:7" x14ac:dyDescent="0.3">
      <c r="A2244" s="7"/>
      <c r="B2244" s="4"/>
      <c r="C2244" s="4"/>
      <c r="D2244" s="4"/>
      <c r="E2244" s="7"/>
      <c r="G2244" s="8"/>
    </row>
    <row r="2245" spans="1:7" x14ac:dyDescent="0.3">
      <c r="A2245" s="7"/>
      <c r="B2245" s="4"/>
      <c r="C2245" s="4"/>
      <c r="D2245" s="4"/>
      <c r="E2245" s="7"/>
      <c r="G2245" s="8"/>
    </row>
    <row r="2246" spans="1:7" x14ac:dyDescent="0.3">
      <c r="A2246" s="7"/>
      <c r="B2246" s="4"/>
      <c r="C2246" s="4"/>
      <c r="D2246" s="4"/>
      <c r="E2246" s="7"/>
      <c r="G2246" s="8"/>
    </row>
    <row r="2247" spans="1:7" x14ac:dyDescent="0.3">
      <c r="A2247" s="7"/>
      <c r="B2247" s="4"/>
      <c r="C2247" s="4"/>
      <c r="D2247" s="4"/>
      <c r="E2247" s="7"/>
      <c r="G2247" s="8"/>
    </row>
    <row r="2248" spans="1:7" x14ac:dyDescent="0.3">
      <c r="A2248" s="7"/>
      <c r="B2248" s="4"/>
      <c r="C2248" s="4"/>
      <c r="D2248" s="4"/>
      <c r="E2248" s="7"/>
      <c r="G2248" s="8"/>
    </row>
    <row r="2249" spans="1:7" x14ac:dyDescent="0.3">
      <c r="A2249" s="7"/>
      <c r="B2249" s="4"/>
      <c r="C2249" s="4"/>
      <c r="D2249" s="4"/>
      <c r="E2249" s="7"/>
      <c r="G2249" s="8"/>
    </row>
    <row r="2250" spans="1:7" x14ac:dyDescent="0.3">
      <c r="A2250" s="7"/>
      <c r="B2250" s="4"/>
      <c r="C2250" s="4"/>
      <c r="D2250" s="4"/>
      <c r="E2250" s="7"/>
      <c r="G2250" s="8"/>
    </row>
    <row r="2251" spans="1:7" x14ac:dyDescent="0.3">
      <c r="A2251" s="7"/>
      <c r="B2251" s="4"/>
      <c r="C2251" s="4"/>
      <c r="D2251" s="4"/>
      <c r="E2251" s="7"/>
      <c r="G2251" s="8"/>
    </row>
    <row r="2252" spans="1:7" x14ac:dyDescent="0.3">
      <c r="A2252" s="7"/>
      <c r="B2252" s="4"/>
      <c r="C2252" s="4"/>
      <c r="D2252" s="4"/>
      <c r="E2252" s="7"/>
      <c r="G2252" s="8"/>
    </row>
    <row r="2253" spans="1:7" x14ac:dyDescent="0.3">
      <c r="A2253" s="7"/>
      <c r="B2253" s="4"/>
      <c r="C2253" s="4"/>
      <c r="D2253" s="4"/>
      <c r="E2253" s="7"/>
      <c r="G2253" s="8"/>
    </row>
    <row r="2254" spans="1:7" x14ac:dyDescent="0.3">
      <c r="A2254" s="7"/>
      <c r="B2254" s="4"/>
      <c r="C2254" s="4"/>
      <c r="D2254" s="4"/>
      <c r="E2254" s="7"/>
      <c r="G2254" s="8"/>
    </row>
    <row r="2255" spans="1:7" x14ac:dyDescent="0.3">
      <c r="A2255" s="7"/>
      <c r="B2255" s="4"/>
      <c r="C2255" s="4"/>
      <c r="D2255" s="4"/>
      <c r="E2255" s="7"/>
      <c r="G2255" s="8"/>
    </row>
    <row r="2256" spans="1:7" x14ac:dyDescent="0.3">
      <c r="A2256" s="7"/>
      <c r="B2256" s="4"/>
      <c r="C2256" s="4"/>
      <c r="D2256" s="4"/>
      <c r="E2256" s="7"/>
      <c r="G2256" s="8"/>
    </row>
    <row r="2257" spans="1:7" x14ac:dyDescent="0.3">
      <c r="A2257" s="7"/>
      <c r="B2257" s="4"/>
      <c r="C2257" s="4"/>
      <c r="D2257" s="4"/>
      <c r="E2257" s="7"/>
      <c r="G2257" s="8"/>
    </row>
    <row r="2258" spans="1:7" x14ac:dyDescent="0.3">
      <c r="A2258" s="7"/>
      <c r="B2258" s="4"/>
      <c r="C2258" s="4"/>
      <c r="D2258" s="4"/>
      <c r="E2258" s="7"/>
      <c r="G2258" s="8"/>
    </row>
    <row r="2259" spans="1:7" x14ac:dyDescent="0.3">
      <c r="A2259" s="7"/>
      <c r="B2259" s="4"/>
      <c r="C2259" s="4"/>
      <c r="D2259" s="4"/>
      <c r="E2259" s="7"/>
      <c r="G2259" s="8"/>
    </row>
    <row r="2260" spans="1:7" x14ac:dyDescent="0.3">
      <c r="A2260" s="7"/>
      <c r="B2260" s="4"/>
      <c r="C2260" s="4"/>
      <c r="D2260" s="4"/>
      <c r="E2260" s="7"/>
      <c r="G2260" s="8"/>
    </row>
    <row r="2261" spans="1:7" x14ac:dyDescent="0.3">
      <c r="A2261" s="7"/>
      <c r="B2261" s="4"/>
      <c r="C2261" s="4"/>
      <c r="D2261" s="4"/>
      <c r="E2261" s="7"/>
      <c r="G2261" s="8"/>
    </row>
    <row r="2262" spans="1:7" x14ac:dyDescent="0.3">
      <c r="A2262" s="7"/>
      <c r="B2262" s="4"/>
      <c r="C2262" s="4"/>
      <c r="D2262" s="4"/>
      <c r="E2262" s="7"/>
      <c r="G2262" s="8"/>
    </row>
    <row r="2263" spans="1:7" x14ac:dyDescent="0.3">
      <c r="A2263" s="7"/>
      <c r="B2263" s="4"/>
      <c r="C2263" s="4"/>
      <c r="D2263" s="4"/>
      <c r="E2263" s="7"/>
      <c r="G2263" s="8"/>
    </row>
    <row r="2264" spans="1:7" x14ac:dyDescent="0.3">
      <c r="A2264" s="7"/>
      <c r="B2264" s="4"/>
      <c r="C2264" s="4"/>
      <c r="D2264" s="4"/>
      <c r="E2264" s="7"/>
      <c r="G2264" s="8"/>
    </row>
    <row r="2265" spans="1:7" x14ac:dyDescent="0.3">
      <c r="A2265" s="7"/>
      <c r="B2265" s="4"/>
      <c r="C2265" s="4"/>
      <c r="D2265" s="4"/>
      <c r="E2265" s="7"/>
      <c r="G2265" s="8"/>
    </row>
    <row r="2266" spans="1:7" x14ac:dyDescent="0.3">
      <c r="A2266" s="7"/>
      <c r="B2266" s="4"/>
      <c r="C2266" s="4"/>
      <c r="D2266" s="4"/>
      <c r="E2266" s="7"/>
      <c r="G2266" s="8"/>
    </row>
    <row r="2267" spans="1:7" x14ac:dyDescent="0.3">
      <c r="A2267" s="7"/>
      <c r="B2267" s="4"/>
      <c r="C2267" s="4"/>
      <c r="D2267" s="4"/>
      <c r="E2267" s="7"/>
      <c r="G2267" s="8"/>
    </row>
    <row r="2268" spans="1:7" x14ac:dyDescent="0.3">
      <c r="A2268" s="7"/>
      <c r="B2268" s="4"/>
      <c r="C2268" s="4"/>
      <c r="D2268" s="4"/>
      <c r="E2268" s="7"/>
      <c r="G2268" s="8"/>
    </row>
    <row r="2269" spans="1:7" x14ac:dyDescent="0.3">
      <c r="A2269" s="7"/>
      <c r="B2269" s="4"/>
      <c r="C2269" s="4"/>
      <c r="D2269" s="4"/>
      <c r="E2269" s="7"/>
      <c r="G2269" s="8"/>
    </row>
    <row r="2270" spans="1:7" x14ac:dyDescent="0.3">
      <c r="A2270" s="7"/>
      <c r="B2270" s="4"/>
      <c r="C2270" s="4"/>
      <c r="D2270" s="4"/>
      <c r="E2270" s="7"/>
      <c r="G2270" s="8"/>
    </row>
    <row r="2271" spans="1:7" x14ac:dyDescent="0.3">
      <c r="A2271" s="7"/>
      <c r="B2271" s="4"/>
      <c r="C2271" s="4"/>
      <c r="D2271" s="4"/>
      <c r="E2271" s="7"/>
      <c r="G2271" s="8"/>
    </row>
    <row r="2272" spans="1:7" x14ac:dyDescent="0.3">
      <c r="A2272" s="7"/>
      <c r="B2272" s="4"/>
      <c r="C2272" s="4"/>
      <c r="D2272" s="4"/>
      <c r="E2272" s="7"/>
      <c r="G2272" s="8"/>
    </row>
    <row r="2273" spans="1:7" x14ac:dyDescent="0.3">
      <c r="A2273" s="7"/>
      <c r="B2273" s="4"/>
      <c r="C2273" s="4"/>
      <c r="D2273" s="4"/>
      <c r="E2273" s="7"/>
      <c r="G2273" s="8"/>
    </row>
    <row r="2274" spans="1:7" x14ac:dyDescent="0.3">
      <c r="A2274" s="7"/>
      <c r="B2274" s="4"/>
      <c r="C2274" s="4"/>
      <c r="D2274" s="4"/>
      <c r="E2274" s="7"/>
      <c r="G2274" s="8"/>
    </row>
    <row r="2275" spans="1:7" x14ac:dyDescent="0.3">
      <c r="A2275" s="7"/>
      <c r="B2275" s="4"/>
      <c r="C2275" s="4"/>
      <c r="D2275" s="4"/>
      <c r="E2275" s="7"/>
      <c r="G2275" s="8"/>
    </row>
    <row r="2276" spans="1:7" x14ac:dyDescent="0.3">
      <c r="A2276" s="7"/>
      <c r="B2276" s="4"/>
      <c r="C2276" s="4"/>
      <c r="D2276" s="4"/>
      <c r="E2276" s="7"/>
      <c r="G2276" s="8"/>
    </row>
    <row r="2277" spans="1:7" x14ac:dyDescent="0.3">
      <c r="A2277" s="7"/>
      <c r="B2277" s="4"/>
      <c r="C2277" s="4"/>
      <c r="D2277" s="4"/>
      <c r="E2277" s="7"/>
      <c r="G2277" s="8"/>
    </row>
    <row r="2278" spans="1:7" x14ac:dyDescent="0.3">
      <c r="A2278" s="7"/>
      <c r="B2278" s="4"/>
      <c r="C2278" s="4"/>
      <c r="D2278" s="4"/>
      <c r="E2278" s="7"/>
      <c r="G2278" s="8"/>
    </row>
    <row r="2279" spans="1:7" x14ac:dyDescent="0.3">
      <c r="A2279" s="7"/>
      <c r="B2279" s="4"/>
      <c r="C2279" s="4"/>
      <c r="D2279" s="4"/>
      <c r="E2279" s="7"/>
      <c r="G2279" s="8"/>
    </row>
    <row r="2280" spans="1:7" x14ac:dyDescent="0.3">
      <c r="A2280" s="7"/>
      <c r="B2280" s="4"/>
      <c r="C2280" s="4"/>
      <c r="D2280" s="4"/>
      <c r="E2280" s="7"/>
      <c r="G2280" s="8"/>
    </row>
    <row r="2281" spans="1:7" x14ac:dyDescent="0.3">
      <c r="A2281" s="7"/>
      <c r="B2281" s="4"/>
      <c r="C2281" s="4"/>
      <c r="D2281" s="4"/>
      <c r="E2281" s="7"/>
      <c r="G2281" s="8"/>
    </row>
    <row r="2282" spans="1:7" x14ac:dyDescent="0.3">
      <c r="A2282" s="7"/>
      <c r="B2282" s="4"/>
      <c r="C2282" s="4"/>
      <c r="D2282" s="4"/>
      <c r="E2282" s="7"/>
      <c r="G2282" s="8"/>
    </row>
    <row r="2283" spans="1:7" x14ac:dyDescent="0.3">
      <c r="A2283" s="7"/>
      <c r="B2283" s="4"/>
      <c r="C2283" s="4"/>
      <c r="D2283" s="4"/>
      <c r="E2283" s="7"/>
      <c r="G2283" s="8"/>
    </row>
    <row r="2284" spans="1:7" x14ac:dyDescent="0.3">
      <c r="A2284" s="7"/>
      <c r="B2284" s="4"/>
      <c r="C2284" s="4"/>
      <c r="D2284" s="4"/>
      <c r="E2284" s="7"/>
      <c r="G2284" s="8"/>
    </row>
    <row r="2285" spans="1:7" x14ac:dyDescent="0.3">
      <c r="A2285" s="7"/>
      <c r="B2285" s="4"/>
      <c r="C2285" s="4"/>
      <c r="D2285" s="4"/>
      <c r="E2285" s="7"/>
      <c r="G2285" s="8"/>
    </row>
    <row r="2286" spans="1:7" x14ac:dyDescent="0.3">
      <c r="A2286" s="7"/>
      <c r="B2286" s="4"/>
      <c r="C2286" s="4"/>
      <c r="D2286" s="4"/>
      <c r="E2286" s="7"/>
      <c r="G2286" s="8"/>
    </row>
    <row r="2287" spans="1:7" x14ac:dyDescent="0.3">
      <c r="A2287" s="7"/>
      <c r="B2287" s="4"/>
      <c r="C2287" s="4"/>
      <c r="D2287" s="4"/>
      <c r="E2287" s="7"/>
      <c r="G2287" s="8"/>
    </row>
    <row r="2288" spans="1:7" x14ac:dyDescent="0.3">
      <c r="A2288" s="7"/>
      <c r="B2288" s="4"/>
      <c r="C2288" s="4"/>
      <c r="D2288" s="4"/>
      <c r="E2288" s="7"/>
      <c r="G2288" s="8"/>
    </row>
    <row r="2289" spans="1:7" x14ac:dyDescent="0.3">
      <c r="A2289" s="7"/>
      <c r="B2289" s="4"/>
      <c r="C2289" s="4"/>
      <c r="D2289" s="4"/>
      <c r="E2289" s="7"/>
      <c r="G2289" s="8"/>
    </row>
    <row r="2290" spans="1:7" x14ac:dyDescent="0.3">
      <c r="A2290" s="7"/>
      <c r="B2290" s="4"/>
      <c r="C2290" s="4"/>
      <c r="D2290" s="4"/>
      <c r="E2290" s="7"/>
      <c r="G2290" s="8"/>
    </row>
    <row r="2291" spans="1:7" x14ac:dyDescent="0.3">
      <c r="A2291" s="7"/>
      <c r="B2291" s="4"/>
      <c r="C2291" s="4"/>
      <c r="D2291" s="4"/>
      <c r="E2291" s="7"/>
      <c r="G2291" s="8"/>
    </row>
    <row r="2292" spans="1:7" x14ac:dyDescent="0.3">
      <c r="A2292" s="7"/>
      <c r="B2292" s="4"/>
      <c r="C2292" s="4"/>
      <c r="D2292" s="4"/>
      <c r="E2292" s="7"/>
      <c r="G2292" s="8"/>
    </row>
    <row r="2293" spans="1:7" x14ac:dyDescent="0.3">
      <c r="A2293" s="7"/>
      <c r="B2293" s="4"/>
      <c r="C2293" s="4"/>
      <c r="D2293" s="4"/>
      <c r="E2293" s="7"/>
      <c r="G2293" s="8"/>
    </row>
    <row r="2294" spans="1:7" x14ac:dyDescent="0.3">
      <c r="A2294" s="7"/>
      <c r="B2294" s="4"/>
      <c r="C2294" s="4"/>
      <c r="D2294" s="4"/>
      <c r="E2294" s="7"/>
      <c r="G2294" s="8"/>
    </row>
    <row r="2295" spans="1:7" x14ac:dyDescent="0.3">
      <c r="A2295" s="7"/>
      <c r="B2295" s="4"/>
      <c r="C2295" s="4"/>
      <c r="D2295" s="4"/>
      <c r="E2295" s="7"/>
      <c r="G2295" s="8"/>
    </row>
    <row r="2296" spans="1:7" x14ac:dyDescent="0.3">
      <c r="A2296" s="7"/>
      <c r="B2296" s="4"/>
      <c r="C2296" s="4"/>
      <c r="D2296" s="4"/>
      <c r="E2296" s="7"/>
      <c r="G2296" s="8"/>
    </row>
    <row r="2297" spans="1:7" x14ac:dyDescent="0.3">
      <c r="A2297" s="7"/>
      <c r="B2297" s="4"/>
      <c r="C2297" s="4"/>
      <c r="D2297" s="4"/>
      <c r="E2297" s="7"/>
      <c r="G2297" s="8"/>
    </row>
    <row r="2298" spans="1:7" x14ac:dyDescent="0.3">
      <c r="A2298" s="7"/>
      <c r="B2298" s="4"/>
      <c r="C2298" s="4"/>
      <c r="D2298" s="4"/>
      <c r="E2298" s="7"/>
      <c r="G2298" s="8"/>
    </row>
    <row r="2299" spans="1:7" x14ac:dyDescent="0.3">
      <c r="A2299" s="7"/>
      <c r="B2299" s="4"/>
      <c r="C2299" s="4"/>
      <c r="D2299" s="4"/>
      <c r="E2299" s="7"/>
      <c r="G2299" s="8"/>
    </row>
    <row r="2300" spans="1:7" x14ac:dyDescent="0.3">
      <c r="A2300" s="7"/>
      <c r="B2300" s="4"/>
      <c r="C2300" s="4"/>
      <c r="D2300" s="4"/>
      <c r="E2300" s="7"/>
      <c r="G2300" s="8"/>
    </row>
    <row r="2301" spans="1:7" x14ac:dyDescent="0.3">
      <c r="A2301" s="7"/>
      <c r="B2301" s="4"/>
      <c r="C2301" s="4"/>
      <c r="D2301" s="4"/>
      <c r="E2301" s="7"/>
      <c r="G2301" s="8"/>
    </row>
    <row r="2302" spans="1:7" x14ac:dyDescent="0.3">
      <c r="A2302" s="7"/>
      <c r="B2302" s="4"/>
      <c r="C2302" s="4"/>
      <c r="D2302" s="4"/>
      <c r="E2302" s="7"/>
      <c r="G2302" s="8"/>
    </row>
    <row r="2303" spans="1:7" x14ac:dyDescent="0.3">
      <c r="A2303" s="7"/>
      <c r="B2303" s="4"/>
      <c r="C2303" s="4"/>
      <c r="D2303" s="4"/>
      <c r="E2303" s="7"/>
      <c r="G2303" s="8"/>
    </row>
    <row r="2304" spans="1:7" x14ac:dyDescent="0.3">
      <c r="A2304" s="7"/>
      <c r="B2304" s="4"/>
      <c r="C2304" s="4"/>
      <c r="D2304" s="4"/>
      <c r="E2304" s="7"/>
      <c r="G2304" s="8"/>
    </row>
    <row r="2305" spans="1:7" x14ac:dyDescent="0.3">
      <c r="A2305" s="7"/>
      <c r="B2305" s="4"/>
      <c r="C2305" s="4"/>
      <c r="D2305" s="4"/>
      <c r="E2305" s="7"/>
      <c r="G2305" s="8"/>
    </row>
    <row r="2306" spans="1:7" x14ac:dyDescent="0.3">
      <c r="A2306" s="7"/>
      <c r="B2306" s="4"/>
      <c r="C2306" s="4"/>
      <c r="D2306" s="4"/>
      <c r="E2306" s="7"/>
      <c r="G2306" s="8"/>
    </row>
    <row r="2307" spans="1:7" x14ac:dyDescent="0.3">
      <c r="A2307" s="7"/>
      <c r="B2307" s="4"/>
      <c r="C2307" s="4"/>
      <c r="D2307" s="4"/>
      <c r="E2307" s="7"/>
      <c r="G2307" s="8"/>
    </row>
    <row r="2308" spans="1:7" x14ac:dyDescent="0.3">
      <c r="A2308" s="7"/>
      <c r="B2308" s="4"/>
      <c r="C2308" s="4"/>
      <c r="D2308" s="4"/>
      <c r="E2308" s="7"/>
      <c r="G2308" s="8"/>
    </row>
    <row r="2309" spans="1:7" x14ac:dyDescent="0.3">
      <c r="A2309" s="7"/>
      <c r="B2309" s="4"/>
      <c r="C2309" s="4"/>
      <c r="D2309" s="4"/>
      <c r="E2309" s="7"/>
      <c r="G2309" s="8"/>
    </row>
    <row r="2310" spans="1:7" x14ac:dyDescent="0.3">
      <c r="A2310" s="7"/>
      <c r="B2310" s="4"/>
      <c r="C2310" s="4"/>
      <c r="D2310" s="4"/>
      <c r="E2310" s="7"/>
      <c r="G2310" s="8"/>
    </row>
    <row r="2311" spans="1:7" x14ac:dyDescent="0.3">
      <c r="A2311" s="7"/>
      <c r="B2311" s="4"/>
      <c r="C2311" s="4"/>
      <c r="D2311" s="4"/>
      <c r="E2311" s="7"/>
      <c r="G2311" s="8"/>
    </row>
    <row r="2312" spans="1:7" x14ac:dyDescent="0.3">
      <c r="A2312" s="7"/>
      <c r="B2312" s="4"/>
      <c r="C2312" s="4"/>
      <c r="D2312" s="4"/>
      <c r="E2312" s="7"/>
      <c r="G2312" s="8"/>
    </row>
    <row r="2313" spans="1:7" x14ac:dyDescent="0.3">
      <c r="A2313" s="7"/>
      <c r="B2313" s="4"/>
      <c r="C2313" s="4"/>
      <c r="D2313" s="4"/>
      <c r="E2313" s="7"/>
      <c r="G2313" s="8"/>
    </row>
    <row r="2314" spans="1:7" x14ac:dyDescent="0.3">
      <c r="A2314" s="7"/>
      <c r="B2314" s="4"/>
      <c r="C2314" s="4"/>
      <c r="D2314" s="4"/>
      <c r="E2314" s="7"/>
      <c r="G2314" s="8"/>
    </row>
    <row r="2315" spans="1:7" x14ac:dyDescent="0.3">
      <c r="A2315" s="7"/>
      <c r="B2315" s="4"/>
      <c r="C2315" s="4"/>
      <c r="D2315" s="4"/>
      <c r="E2315" s="7"/>
      <c r="G2315" s="8"/>
    </row>
    <row r="2316" spans="1:7" x14ac:dyDescent="0.3">
      <c r="A2316" s="7"/>
      <c r="B2316" s="4"/>
      <c r="C2316" s="4"/>
      <c r="D2316" s="4"/>
      <c r="E2316" s="7"/>
      <c r="G2316" s="8"/>
    </row>
    <row r="2317" spans="1:7" x14ac:dyDescent="0.3">
      <c r="A2317" s="7"/>
      <c r="B2317" s="4"/>
      <c r="C2317" s="4"/>
      <c r="D2317" s="4"/>
      <c r="E2317" s="7"/>
      <c r="G2317" s="8"/>
    </row>
    <row r="2318" spans="1:7" x14ac:dyDescent="0.3">
      <c r="A2318" s="7"/>
      <c r="B2318" s="4"/>
      <c r="C2318" s="4"/>
      <c r="D2318" s="4"/>
      <c r="E2318" s="7"/>
      <c r="G2318" s="8"/>
    </row>
    <row r="2319" spans="1:7" x14ac:dyDescent="0.3">
      <c r="A2319" s="7"/>
      <c r="B2319" s="4"/>
      <c r="C2319" s="4"/>
      <c r="D2319" s="4"/>
      <c r="E2319" s="7"/>
      <c r="G2319" s="8"/>
    </row>
    <row r="2320" spans="1:7" x14ac:dyDescent="0.3">
      <c r="A2320" s="7"/>
      <c r="B2320" s="4"/>
      <c r="C2320" s="4"/>
      <c r="D2320" s="4"/>
      <c r="E2320" s="7"/>
      <c r="G2320" s="8"/>
    </row>
    <row r="2321" spans="1:7" x14ac:dyDescent="0.3">
      <c r="A2321" s="7"/>
      <c r="B2321" s="4"/>
      <c r="C2321" s="4"/>
      <c r="D2321" s="4"/>
      <c r="E2321" s="7"/>
      <c r="G2321" s="8"/>
    </row>
    <row r="2322" spans="1:7" x14ac:dyDescent="0.3">
      <c r="A2322" s="7"/>
      <c r="B2322" s="4"/>
      <c r="C2322" s="4"/>
      <c r="D2322" s="4"/>
      <c r="E2322" s="7"/>
      <c r="G2322" s="8"/>
    </row>
    <row r="2323" spans="1:7" x14ac:dyDescent="0.3">
      <c r="A2323" s="7"/>
      <c r="B2323" s="4"/>
      <c r="C2323" s="4"/>
      <c r="D2323" s="4"/>
      <c r="E2323" s="7"/>
      <c r="G2323" s="8"/>
    </row>
    <row r="2324" spans="1:7" x14ac:dyDescent="0.3">
      <c r="A2324" s="7"/>
      <c r="B2324" s="4"/>
      <c r="C2324" s="4"/>
      <c r="D2324" s="4"/>
      <c r="E2324" s="7"/>
      <c r="G2324" s="8"/>
    </row>
    <row r="2325" spans="1:7" x14ac:dyDescent="0.3">
      <c r="A2325" s="7"/>
      <c r="B2325" s="4"/>
      <c r="C2325" s="4"/>
      <c r="D2325" s="4"/>
      <c r="E2325" s="4"/>
      <c r="G2325" s="8"/>
    </row>
    <row r="2326" spans="1:7" x14ac:dyDescent="0.3">
      <c r="A2326" s="7"/>
      <c r="B2326" s="4"/>
      <c r="C2326" s="4"/>
      <c r="D2326" s="4"/>
      <c r="E2326" s="7"/>
      <c r="G2326" s="8"/>
    </row>
    <row r="2327" spans="1:7" x14ac:dyDescent="0.3">
      <c r="A2327" s="7"/>
      <c r="B2327" s="4"/>
      <c r="C2327" s="4"/>
      <c r="D2327" s="4"/>
      <c r="E2327" s="7"/>
      <c r="G2327" s="8"/>
    </row>
    <row r="2328" spans="1:7" x14ac:dyDescent="0.3">
      <c r="A2328" s="7"/>
      <c r="B2328" s="4"/>
      <c r="C2328" s="4"/>
      <c r="D2328" s="4"/>
      <c r="E2328" s="7"/>
      <c r="G2328" s="8"/>
    </row>
    <row r="2329" spans="1:7" x14ac:dyDescent="0.3">
      <c r="A2329" s="7"/>
      <c r="B2329" s="4"/>
      <c r="C2329" s="4"/>
      <c r="D2329" s="4"/>
      <c r="E2329" s="7"/>
      <c r="G2329" s="8"/>
    </row>
    <row r="2330" spans="1:7" x14ac:dyDescent="0.3">
      <c r="A2330" s="7"/>
      <c r="B2330" s="4"/>
      <c r="C2330" s="4"/>
      <c r="D2330" s="4"/>
      <c r="E2330" s="7"/>
      <c r="G2330" s="8"/>
    </row>
    <row r="2331" spans="1:7" x14ac:dyDescent="0.3">
      <c r="A2331" s="7"/>
      <c r="B2331" s="4"/>
      <c r="C2331" s="4"/>
      <c r="D2331" s="4"/>
      <c r="E2331" s="7"/>
      <c r="G2331" s="8"/>
    </row>
    <row r="2332" spans="1:7" x14ac:dyDescent="0.3">
      <c r="A2332" s="7"/>
      <c r="B2332" s="4"/>
      <c r="C2332" s="4"/>
      <c r="D2332" s="4"/>
      <c r="E2332" s="7"/>
      <c r="G2332" s="8"/>
    </row>
    <row r="2333" spans="1:7" x14ac:dyDescent="0.3">
      <c r="A2333" s="7"/>
      <c r="B2333" s="4"/>
      <c r="C2333" s="4"/>
      <c r="D2333" s="4"/>
      <c r="E2333" s="7"/>
      <c r="G2333" s="8"/>
    </row>
    <row r="2334" spans="1:7" x14ac:dyDescent="0.3">
      <c r="A2334" s="7"/>
      <c r="B2334" s="4"/>
      <c r="C2334" s="4"/>
      <c r="D2334" s="4"/>
      <c r="E2334" s="7"/>
      <c r="G2334" s="8"/>
    </row>
    <row r="2335" spans="1:7" x14ac:dyDescent="0.3">
      <c r="A2335" s="7"/>
      <c r="B2335" s="4"/>
      <c r="C2335" s="4"/>
      <c r="D2335" s="4"/>
      <c r="E2335" s="7"/>
      <c r="G2335" s="8"/>
    </row>
    <row r="2336" spans="1:7" x14ac:dyDescent="0.3">
      <c r="A2336" s="7"/>
      <c r="B2336" s="4"/>
      <c r="C2336" s="4"/>
      <c r="D2336" s="4"/>
      <c r="E2336" s="7"/>
      <c r="G2336" s="8"/>
    </row>
    <row r="2337" spans="1:7" x14ac:dyDescent="0.3">
      <c r="A2337" s="7"/>
      <c r="B2337" s="4"/>
      <c r="C2337" s="4"/>
      <c r="D2337" s="4"/>
      <c r="E2337" s="7"/>
      <c r="G2337" s="8"/>
    </row>
    <row r="2338" spans="1:7" x14ac:dyDescent="0.3">
      <c r="A2338" s="7"/>
      <c r="B2338" s="4"/>
      <c r="C2338" s="4"/>
      <c r="D2338" s="4"/>
      <c r="E2338" s="7"/>
      <c r="G2338" s="8"/>
    </row>
    <row r="2339" spans="1:7" x14ac:dyDescent="0.3">
      <c r="A2339" s="7"/>
      <c r="B2339" s="4"/>
      <c r="C2339" s="4"/>
      <c r="D2339" s="4"/>
      <c r="E2339" s="7"/>
      <c r="G2339" s="8"/>
    </row>
    <row r="2340" spans="1:7" x14ac:dyDescent="0.3">
      <c r="A2340" s="7"/>
      <c r="B2340" s="4"/>
      <c r="C2340" s="4"/>
      <c r="D2340" s="4"/>
      <c r="E2340" s="7"/>
      <c r="G2340" s="8"/>
    </row>
    <row r="2341" spans="1:7" x14ac:dyDescent="0.3">
      <c r="A2341" s="7"/>
      <c r="B2341" s="4"/>
      <c r="C2341" s="4"/>
      <c r="D2341" s="4"/>
      <c r="E2341" s="7"/>
      <c r="G2341" s="8"/>
    </row>
    <row r="2342" spans="1:7" x14ac:dyDescent="0.3">
      <c r="A2342" s="7"/>
      <c r="B2342" s="4"/>
      <c r="C2342" s="4"/>
      <c r="D2342" s="4"/>
      <c r="E2342" s="7"/>
      <c r="G2342" s="8"/>
    </row>
    <row r="2343" spans="1:7" x14ac:dyDescent="0.3">
      <c r="A2343" s="7"/>
      <c r="B2343" s="4"/>
      <c r="C2343" s="4"/>
      <c r="D2343" s="4"/>
      <c r="E2343" s="7"/>
      <c r="G2343" s="8"/>
    </row>
    <row r="2344" spans="1:7" x14ac:dyDescent="0.3">
      <c r="A2344" s="7"/>
      <c r="B2344" s="4"/>
      <c r="C2344" s="4"/>
      <c r="D2344" s="4"/>
      <c r="E2344" s="7"/>
      <c r="G2344" s="8"/>
    </row>
    <row r="2345" spans="1:7" x14ac:dyDescent="0.3">
      <c r="A2345" s="7"/>
      <c r="B2345" s="4"/>
      <c r="C2345" s="4"/>
      <c r="D2345" s="4"/>
      <c r="E2345" s="7"/>
      <c r="G2345" s="8"/>
    </row>
    <row r="2346" spans="1:7" x14ac:dyDescent="0.3">
      <c r="A2346" s="7"/>
      <c r="B2346" s="4"/>
      <c r="C2346" s="4"/>
      <c r="D2346" s="4"/>
      <c r="E2346" s="7"/>
      <c r="G2346" s="8"/>
    </row>
    <row r="2347" spans="1:7" x14ac:dyDescent="0.3">
      <c r="A2347" s="7"/>
      <c r="B2347" s="4"/>
      <c r="C2347" s="4"/>
      <c r="D2347" s="4"/>
      <c r="E2347" s="7"/>
      <c r="G2347" s="8"/>
    </row>
    <row r="2348" spans="1:7" x14ac:dyDescent="0.3">
      <c r="A2348" s="7"/>
      <c r="B2348" s="4"/>
      <c r="C2348" s="4"/>
      <c r="D2348" s="4"/>
      <c r="E2348" s="7"/>
      <c r="G2348" s="8"/>
    </row>
    <row r="2349" spans="1:7" x14ac:dyDescent="0.3">
      <c r="A2349" s="7"/>
      <c r="B2349" s="4"/>
      <c r="C2349" s="4"/>
      <c r="D2349" s="4"/>
      <c r="E2349" s="7"/>
      <c r="G2349" s="8"/>
    </row>
    <row r="2350" spans="1:7" x14ac:dyDescent="0.3">
      <c r="A2350" s="7"/>
      <c r="B2350" s="4"/>
      <c r="C2350" s="4"/>
      <c r="D2350" s="4"/>
      <c r="E2350" s="7"/>
      <c r="G2350" s="8"/>
    </row>
    <row r="2351" spans="1:7" x14ac:dyDescent="0.3">
      <c r="A2351" s="7"/>
      <c r="B2351" s="4"/>
      <c r="C2351" s="4"/>
      <c r="D2351" s="4"/>
      <c r="E2351" s="7"/>
      <c r="G2351" s="8"/>
    </row>
    <row r="2352" spans="1:7" x14ac:dyDescent="0.3">
      <c r="A2352" s="7"/>
      <c r="B2352" s="4"/>
      <c r="C2352" s="4"/>
      <c r="D2352" s="4"/>
      <c r="E2352" s="7"/>
      <c r="G2352" s="8"/>
    </row>
    <row r="2353" spans="1:7" x14ac:dyDescent="0.3">
      <c r="A2353" s="7"/>
      <c r="B2353" s="4"/>
      <c r="C2353" s="4"/>
      <c r="D2353" s="4"/>
      <c r="E2353" s="7"/>
      <c r="G2353" s="8"/>
    </row>
    <row r="2354" spans="1:7" x14ac:dyDescent="0.3">
      <c r="A2354" s="7"/>
      <c r="B2354" s="4"/>
      <c r="C2354" s="4"/>
      <c r="D2354" s="4"/>
      <c r="E2354" s="7"/>
      <c r="G2354" s="8"/>
    </row>
    <row r="2355" spans="1:7" x14ac:dyDescent="0.3">
      <c r="A2355" s="7"/>
      <c r="B2355" s="4"/>
      <c r="C2355" s="4"/>
      <c r="D2355" s="4"/>
      <c r="E2355" s="7"/>
      <c r="G2355" s="8"/>
    </row>
    <row r="2356" spans="1:7" x14ac:dyDescent="0.3">
      <c r="A2356" s="7"/>
      <c r="B2356" s="4"/>
      <c r="C2356" s="4"/>
      <c r="D2356" s="4"/>
      <c r="E2356" s="7"/>
      <c r="G2356" s="8"/>
    </row>
    <row r="2357" spans="1:7" x14ac:dyDescent="0.3">
      <c r="A2357" s="7"/>
      <c r="B2357" s="4"/>
      <c r="C2357" s="4"/>
      <c r="D2357" s="4"/>
      <c r="E2357" s="7"/>
      <c r="G2357" s="8"/>
    </row>
    <row r="2358" spans="1:7" x14ac:dyDescent="0.3">
      <c r="A2358" s="7"/>
      <c r="B2358" s="4"/>
      <c r="C2358" s="4"/>
      <c r="D2358" s="4"/>
      <c r="E2358" s="7"/>
      <c r="G2358" s="8"/>
    </row>
    <row r="2359" spans="1:7" x14ac:dyDescent="0.3">
      <c r="A2359" s="7"/>
      <c r="B2359" s="4"/>
      <c r="C2359" s="4"/>
      <c r="D2359" s="4"/>
      <c r="E2359" s="7"/>
      <c r="G2359" s="8"/>
    </row>
    <row r="2360" spans="1:7" x14ac:dyDescent="0.3">
      <c r="A2360" s="7"/>
      <c r="B2360" s="4"/>
      <c r="C2360" s="4"/>
      <c r="D2360" s="4"/>
      <c r="E2360" s="7"/>
      <c r="G2360" s="8"/>
    </row>
    <row r="2361" spans="1:7" x14ac:dyDescent="0.3">
      <c r="A2361" s="7"/>
      <c r="B2361" s="4"/>
      <c r="C2361" s="4"/>
      <c r="D2361" s="4"/>
      <c r="E2361" s="7"/>
      <c r="G2361" s="8"/>
    </row>
    <row r="2362" spans="1:7" x14ac:dyDescent="0.3">
      <c r="A2362" s="7"/>
      <c r="B2362" s="4"/>
      <c r="C2362" s="4"/>
      <c r="D2362" s="4"/>
      <c r="E2362" s="7"/>
      <c r="G2362" s="8"/>
    </row>
    <row r="2363" spans="1:7" x14ac:dyDescent="0.3">
      <c r="A2363" s="7"/>
      <c r="B2363" s="4"/>
      <c r="C2363" s="4"/>
      <c r="D2363" s="4"/>
      <c r="E2363" s="7"/>
      <c r="G2363" s="8"/>
    </row>
    <row r="2364" spans="1:7" x14ac:dyDescent="0.3">
      <c r="A2364" s="7"/>
      <c r="B2364" s="4"/>
      <c r="C2364" s="4"/>
      <c r="D2364" s="4"/>
      <c r="E2364" s="7"/>
      <c r="G2364" s="8"/>
    </row>
    <row r="2365" spans="1:7" x14ac:dyDescent="0.3">
      <c r="A2365" s="7"/>
      <c r="B2365" s="4"/>
      <c r="C2365" s="4"/>
      <c r="D2365" s="4"/>
      <c r="E2365" s="7"/>
      <c r="G2365" s="8"/>
    </row>
    <row r="2366" spans="1:7" x14ac:dyDescent="0.3">
      <c r="A2366" s="7"/>
      <c r="B2366" s="4"/>
      <c r="C2366" s="4"/>
      <c r="D2366" s="4"/>
      <c r="E2366" s="7"/>
      <c r="G2366" s="8"/>
    </row>
    <row r="2367" spans="1:7" x14ac:dyDescent="0.3">
      <c r="A2367" s="7"/>
      <c r="B2367" s="4"/>
      <c r="C2367" s="4"/>
      <c r="D2367" s="4"/>
      <c r="E2367" s="7"/>
      <c r="G2367" s="8"/>
    </row>
    <row r="2368" spans="1:7" x14ac:dyDescent="0.3">
      <c r="A2368" s="7"/>
      <c r="B2368" s="4"/>
      <c r="C2368" s="4"/>
      <c r="D2368" s="4"/>
      <c r="E2368" s="7"/>
      <c r="G2368" s="8"/>
    </row>
    <row r="2369" spans="1:7" x14ac:dyDescent="0.3">
      <c r="A2369" s="7"/>
      <c r="B2369" s="4"/>
      <c r="C2369" s="4"/>
      <c r="D2369" s="4"/>
      <c r="E2369" s="7"/>
      <c r="G2369" s="8"/>
    </row>
    <row r="2370" spans="1:7" x14ac:dyDescent="0.3">
      <c r="A2370" s="7"/>
      <c r="B2370" s="4"/>
      <c r="C2370" s="4"/>
      <c r="D2370" s="4"/>
      <c r="E2370" s="7"/>
      <c r="G2370" s="8"/>
    </row>
    <row r="2371" spans="1:7" x14ac:dyDescent="0.3">
      <c r="A2371" s="7"/>
      <c r="B2371" s="4"/>
      <c r="C2371" s="4"/>
      <c r="D2371" s="4"/>
      <c r="E2371" s="7"/>
      <c r="G2371" s="8"/>
    </row>
    <row r="2372" spans="1:7" x14ac:dyDescent="0.3">
      <c r="A2372" s="7"/>
      <c r="B2372" s="4"/>
      <c r="C2372" s="4"/>
      <c r="D2372" s="4"/>
      <c r="E2372" s="7"/>
      <c r="G2372" s="8"/>
    </row>
    <row r="2373" spans="1:7" x14ac:dyDescent="0.3">
      <c r="A2373" s="7"/>
      <c r="B2373" s="4"/>
      <c r="C2373" s="4"/>
      <c r="D2373" s="4"/>
      <c r="E2373" s="7"/>
      <c r="G2373" s="8"/>
    </row>
    <row r="2374" spans="1:7" x14ac:dyDescent="0.3">
      <c r="A2374" s="7"/>
      <c r="B2374" s="4"/>
      <c r="C2374" s="4"/>
      <c r="D2374" s="4"/>
      <c r="E2374" s="7"/>
      <c r="G2374" s="8"/>
    </row>
    <row r="2375" spans="1:7" x14ac:dyDescent="0.3">
      <c r="A2375" s="7"/>
      <c r="B2375" s="4"/>
      <c r="C2375" s="4"/>
      <c r="D2375" s="4"/>
      <c r="E2375" s="7"/>
      <c r="G2375" s="8"/>
    </row>
    <row r="2376" spans="1:7" x14ac:dyDescent="0.3">
      <c r="A2376" s="7"/>
      <c r="B2376" s="4"/>
      <c r="C2376" s="4"/>
      <c r="D2376" s="4"/>
      <c r="E2376" s="7"/>
      <c r="G2376" s="8"/>
    </row>
    <row r="2377" spans="1:7" x14ac:dyDescent="0.3">
      <c r="A2377" s="7"/>
      <c r="B2377" s="4"/>
      <c r="C2377" s="4"/>
      <c r="D2377" s="4"/>
      <c r="E2377" s="7"/>
      <c r="G2377" s="8"/>
    </row>
    <row r="2378" spans="1:7" x14ac:dyDescent="0.3">
      <c r="A2378" s="7"/>
      <c r="B2378" s="4"/>
      <c r="C2378" s="4"/>
      <c r="D2378" s="4"/>
      <c r="E2378" s="7"/>
      <c r="G2378" s="8"/>
    </row>
    <row r="2379" spans="1:7" x14ac:dyDescent="0.3">
      <c r="A2379" s="7"/>
      <c r="B2379" s="4"/>
      <c r="C2379" s="4"/>
      <c r="D2379" s="4"/>
      <c r="E2379" s="7"/>
      <c r="G2379" s="8"/>
    </row>
    <row r="2380" spans="1:7" x14ac:dyDescent="0.3">
      <c r="A2380" s="7"/>
      <c r="B2380" s="4"/>
      <c r="C2380" s="4"/>
      <c r="D2380" s="4"/>
      <c r="E2380" s="7"/>
      <c r="G2380" s="8"/>
    </row>
    <row r="2381" spans="1:7" x14ac:dyDescent="0.3">
      <c r="A2381" s="7"/>
      <c r="B2381" s="4"/>
      <c r="C2381" s="4"/>
      <c r="D2381" s="4"/>
      <c r="E2381" s="7"/>
      <c r="G2381" s="8"/>
    </row>
    <row r="2382" spans="1:7" x14ac:dyDescent="0.3">
      <c r="A2382" s="7"/>
      <c r="B2382" s="4"/>
      <c r="C2382" s="4"/>
      <c r="D2382" s="4"/>
      <c r="E2382" s="7"/>
      <c r="G2382" s="8"/>
    </row>
    <row r="2383" spans="1:7" x14ac:dyDescent="0.3">
      <c r="A2383" s="7"/>
      <c r="B2383" s="4"/>
      <c r="C2383" s="4"/>
      <c r="D2383" s="4"/>
      <c r="E2383" s="7"/>
      <c r="G2383" s="8"/>
    </row>
    <row r="2384" spans="1:7" x14ac:dyDescent="0.3">
      <c r="A2384" s="7"/>
      <c r="B2384" s="4"/>
      <c r="C2384" s="4"/>
      <c r="D2384" s="4"/>
      <c r="E2384" s="7"/>
      <c r="G2384" s="8"/>
    </row>
    <row r="2385" spans="1:7" x14ac:dyDescent="0.3">
      <c r="A2385" s="7"/>
      <c r="B2385" s="4"/>
      <c r="C2385" s="4"/>
      <c r="D2385" s="4"/>
      <c r="E2385" s="7"/>
      <c r="G2385" s="8"/>
    </row>
    <row r="2386" spans="1:7" x14ac:dyDescent="0.3">
      <c r="A2386" s="7"/>
      <c r="B2386" s="4"/>
      <c r="C2386" s="4"/>
      <c r="D2386" s="4"/>
      <c r="E2386" s="7"/>
      <c r="G2386" s="8"/>
    </row>
    <row r="2387" spans="1:7" x14ac:dyDescent="0.3">
      <c r="A2387" s="7"/>
      <c r="B2387" s="4"/>
      <c r="C2387" s="4"/>
      <c r="D2387" s="4"/>
      <c r="E2387" s="7"/>
      <c r="G2387" s="8"/>
    </row>
    <row r="2388" spans="1:7" x14ac:dyDescent="0.3">
      <c r="A2388" s="7"/>
      <c r="B2388" s="4"/>
      <c r="C2388" s="4"/>
      <c r="D2388" s="4"/>
      <c r="E2388" s="7"/>
      <c r="G2388" s="8"/>
    </row>
    <row r="2389" spans="1:7" x14ac:dyDescent="0.3">
      <c r="A2389" s="7"/>
      <c r="B2389" s="4"/>
      <c r="C2389" s="4"/>
      <c r="D2389" s="4"/>
      <c r="E2389" s="7"/>
      <c r="G2389" s="8"/>
    </row>
    <row r="2390" spans="1:7" x14ac:dyDescent="0.3">
      <c r="A2390" s="7"/>
      <c r="B2390" s="4"/>
      <c r="C2390" s="4"/>
      <c r="D2390" s="4"/>
      <c r="E2390" s="7"/>
      <c r="G2390" s="8"/>
    </row>
    <row r="2391" spans="1:7" x14ac:dyDescent="0.3">
      <c r="A2391" s="7"/>
      <c r="B2391" s="4"/>
      <c r="C2391" s="4"/>
      <c r="D2391" s="4"/>
      <c r="E2391" s="7"/>
      <c r="G2391" s="8"/>
    </row>
    <row r="2392" spans="1:7" x14ac:dyDescent="0.3">
      <c r="A2392" s="7"/>
      <c r="B2392" s="4"/>
      <c r="C2392" s="4"/>
      <c r="D2392" s="4"/>
      <c r="E2392" s="7"/>
      <c r="G2392" s="8"/>
    </row>
    <row r="2393" spans="1:7" x14ac:dyDescent="0.3">
      <c r="A2393" s="7"/>
      <c r="B2393" s="4"/>
      <c r="C2393" s="4"/>
      <c r="D2393" s="4"/>
      <c r="E2393" s="7"/>
      <c r="G2393" s="8"/>
    </row>
    <row r="2394" spans="1:7" x14ac:dyDescent="0.3">
      <c r="A2394" s="7"/>
      <c r="B2394" s="4"/>
      <c r="C2394" s="4"/>
      <c r="D2394" s="4"/>
      <c r="E2394" s="7"/>
      <c r="G2394" s="8"/>
    </row>
    <row r="2395" spans="1:7" x14ac:dyDescent="0.3">
      <c r="A2395" s="7"/>
      <c r="B2395" s="4"/>
      <c r="C2395" s="4"/>
      <c r="D2395" s="4"/>
      <c r="E2395" s="7"/>
      <c r="G2395" s="8"/>
    </row>
    <row r="2396" spans="1:7" x14ac:dyDescent="0.3">
      <c r="A2396" s="7"/>
      <c r="B2396" s="4"/>
      <c r="C2396" s="4"/>
      <c r="D2396" s="4"/>
      <c r="E2396" s="7"/>
      <c r="G2396" s="8"/>
    </row>
    <row r="2397" spans="1:7" x14ac:dyDescent="0.3">
      <c r="A2397" s="7"/>
      <c r="B2397" s="4"/>
      <c r="C2397" s="4"/>
      <c r="D2397" s="4"/>
      <c r="E2397" s="7"/>
      <c r="G2397" s="8"/>
    </row>
    <row r="2398" spans="1:7" x14ac:dyDescent="0.3">
      <c r="A2398" s="7"/>
      <c r="B2398" s="4"/>
      <c r="C2398" s="4"/>
      <c r="D2398" s="4"/>
      <c r="E2398" s="7"/>
      <c r="G2398" s="8"/>
    </row>
    <row r="2399" spans="1:7" x14ac:dyDescent="0.3">
      <c r="A2399" s="7"/>
      <c r="B2399" s="4"/>
      <c r="C2399" s="4"/>
      <c r="D2399" s="4"/>
      <c r="E2399" s="7"/>
      <c r="G2399" s="8"/>
    </row>
    <row r="2400" spans="1:7" x14ac:dyDescent="0.3">
      <c r="A2400" s="7"/>
      <c r="B2400" s="4"/>
      <c r="C2400" s="4"/>
      <c r="D2400" s="4"/>
      <c r="E2400" s="7"/>
      <c r="G2400" s="8"/>
    </row>
    <row r="2401" spans="1:7" x14ac:dyDescent="0.3">
      <c r="A2401" s="7"/>
      <c r="B2401" s="4"/>
      <c r="C2401" s="4"/>
      <c r="D2401" s="4"/>
      <c r="E2401" s="7"/>
      <c r="G2401" s="8"/>
    </row>
    <row r="2402" spans="1:7" x14ac:dyDescent="0.3">
      <c r="A2402" s="7"/>
      <c r="B2402" s="4"/>
      <c r="C2402" s="4"/>
      <c r="D2402" s="4"/>
      <c r="E2402" s="7"/>
      <c r="G2402" s="8"/>
    </row>
    <row r="2403" spans="1:7" x14ac:dyDescent="0.3">
      <c r="A2403" s="7"/>
      <c r="B2403" s="4"/>
      <c r="C2403" s="4"/>
      <c r="D2403" s="4"/>
      <c r="E2403" s="7"/>
      <c r="G2403" s="8"/>
    </row>
    <row r="2404" spans="1:7" x14ac:dyDescent="0.3">
      <c r="A2404" s="7"/>
      <c r="B2404" s="4"/>
      <c r="C2404" s="4"/>
      <c r="D2404" s="4"/>
      <c r="E2404" s="7"/>
      <c r="G2404" s="8"/>
    </row>
    <row r="2405" spans="1:7" x14ac:dyDescent="0.3">
      <c r="A2405" s="7"/>
      <c r="B2405" s="4"/>
      <c r="C2405" s="4"/>
      <c r="D2405" s="4"/>
      <c r="E2405" s="7"/>
      <c r="G2405" s="8"/>
    </row>
    <row r="2406" spans="1:7" x14ac:dyDescent="0.3">
      <c r="A2406" s="7"/>
      <c r="B2406" s="4"/>
      <c r="C2406" s="4"/>
      <c r="D2406" s="4"/>
      <c r="E2406" s="7"/>
      <c r="G2406" s="8"/>
    </row>
    <row r="2407" spans="1:7" x14ac:dyDescent="0.3">
      <c r="A2407" s="7"/>
      <c r="B2407" s="4"/>
      <c r="C2407" s="4"/>
      <c r="D2407" s="4"/>
      <c r="E2407" s="7"/>
      <c r="G2407" s="8"/>
    </row>
    <row r="2408" spans="1:7" x14ac:dyDescent="0.3">
      <c r="A2408" s="7"/>
      <c r="B2408" s="4"/>
      <c r="C2408" s="4"/>
      <c r="D2408" s="4"/>
      <c r="E2408" s="7"/>
      <c r="G2408" s="8"/>
    </row>
    <row r="2409" spans="1:7" x14ac:dyDescent="0.3">
      <c r="A2409" s="7"/>
      <c r="B2409" s="4"/>
      <c r="C2409" s="4"/>
      <c r="D2409" s="4"/>
      <c r="E2409" s="7"/>
      <c r="G2409" s="8"/>
    </row>
    <row r="2410" spans="1:7" x14ac:dyDescent="0.3">
      <c r="A2410" s="7"/>
      <c r="B2410" s="4"/>
      <c r="C2410" s="4"/>
      <c r="D2410" s="4"/>
      <c r="E2410" s="7"/>
      <c r="G2410" s="8"/>
    </row>
    <row r="2411" spans="1:7" x14ac:dyDescent="0.3">
      <c r="A2411" s="7"/>
      <c r="B2411" s="4"/>
      <c r="C2411" s="4"/>
      <c r="D2411" s="4"/>
      <c r="E2411" s="7"/>
      <c r="G2411" s="8"/>
    </row>
    <row r="2412" spans="1:7" x14ac:dyDescent="0.3">
      <c r="A2412" s="7"/>
      <c r="B2412" s="4"/>
      <c r="C2412" s="4"/>
      <c r="D2412" s="4"/>
      <c r="E2412" s="7"/>
      <c r="G2412" s="8"/>
    </row>
    <row r="2413" spans="1:7" x14ac:dyDescent="0.3">
      <c r="A2413" s="7"/>
      <c r="B2413" s="4"/>
      <c r="C2413" s="4"/>
      <c r="D2413" s="4"/>
      <c r="E2413" s="7"/>
      <c r="G2413" s="8"/>
    </row>
    <row r="2414" spans="1:7" x14ac:dyDescent="0.3">
      <c r="A2414" s="7"/>
      <c r="B2414" s="4"/>
      <c r="C2414" s="4"/>
      <c r="D2414" s="4"/>
      <c r="E2414" s="7"/>
      <c r="G2414" s="8"/>
    </row>
    <row r="2415" spans="1:7" x14ac:dyDescent="0.3">
      <c r="A2415" s="7"/>
      <c r="B2415" s="4"/>
      <c r="C2415" s="4"/>
      <c r="D2415" s="4"/>
      <c r="E2415" s="7"/>
      <c r="G2415" s="8"/>
    </row>
    <row r="2416" spans="1:7" x14ac:dyDescent="0.3">
      <c r="A2416" s="7"/>
      <c r="B2416" s="4"/>
      <c r="C2416" s="4"/>
      <c r="D2416" s="4"/>
      <c r="E2416" s="7"/>
      <c r="G2416" s="8"/>
    </row>
    <row r="2417" spans="1:7" x14ac:dyDescent="0.3">
      <c r="A2417" s="7"/>
      <c r="B2417" s="4"/>
      <c r="C2417" s="4"/>
      <c r="D2417" s="4"/>
      <c r="E2417" s="7"/>
      <c r="G2417" s="8"/>
    </row>
    <row r="2418" spans="1:7" x14ac:dyDescent="0.3">
      <c r="A2418" s="7"/>
      <c r="B2418" s="4"/>
      <c r="C2418" s="4"/>
      <c r="D2418" s="4"/>
      <c r="E2418" s="7"/>
      <c r="G2418" s="8"/>
    </row>
    <row r="2419" spans="1:7" x14ac:dyDescent="0.3">
      <c r="A2419" s="7"/>
      <c r="B2419" s="4"/>
      <c r="C2419" s="4"/>
      <c r="D2419" s="4"/>
      <c r="E2419" s="7"/>
      <c r="G2419" s="8"/>
    </row>
    <row r="2420" spans="1:7" x14ac:dyDescent="0.3">
      <c r="A2420" s="7"/>
      <c r="B2420" s="4"/>
      <c r="C2420" s="4"/>
      <c r="D2420" s="4"/>
      <c r="E2420" s="7"/>
      <c r="G2420" s="8"/>
    </row>
    <row r="2421" spans="1:7" x14ac:dyDescent="0.3">
      <c r="A2421" s="7"/>
      <c r="B2421" s="4"/>
      <c r="C2421" s="4"/>
      <c r="D2421" s="4"/>
      <c r="E2421" s="7"/>
      <c r="G2421" s="8"/>
    </row>
    <row r="2422" spans="1:7" x14ac:dyDescent="0.3">
      <c r="A2422" s="7"/>
      <c r="B2422" s="4"/>
      <c r="C2422" s="4"/>
      <c r="D2422" s="4"/>
      <c r="E2422" s="7"/>
      <c r="G2422" s="8"/>
    </row>
    <row r="2423" spans="1:7" x14ac:dyDescent="0.3">
      <c r="A2423" s="7"/>
      <c r="B2423" s="4"/>
      <c r="C2423" s="4"/>
      <c r="D2423" s="4"/>
      <c r="E2423" s="7"/>
      <c r="G2423" s="8"/>
    </row>
    <row r="2424" spans="1:7" x14ac:dyDescent="0.3">
      <c r="A2424" s="7"/>
      <c r="B2424" s="4"/>
      <c r="C2424" s="4"/>
      <c r="D2424" s="4"/>
      <c r="E2424" s="7"/>
      <c r="G2424" s="8"/>
    </row>
    <row r="2425" spans="1:7" x14ac:dyDescent="0.3">
      <c r="A2425" s="7"/>
      <c r="B2425" s="4"/>
      <c r="C2425" s="4"/>
      <c r="D2425" s="4"/>
      <c r="E2425" s="7"/>
      <c r="G2425" s="8"/>
    </row>
    <row r="2426" spans="1:7" x14ac:dyDescent="0.3">
      <c r="A2426" s="7"/>
      <c r="B2426" s="4"/>
      <c r="C2426" s="4"/>
      <c r="D2426" s="4"/>
      <c r="E2426" s="7"/>
      <c r="G2426" s="8"/>
    </row>
    <row r="2427" spans="1:7" x14ac:dyDescent="0.3">
      <c r="A2427" s="7"/>
      <c r="B2427" s="4"/>
      <c r="C2427" s="4"/>
      <c r="D2427" s="4"/>
      <c r="E2427" s="7"/>
      <c r="G2427" s="8"/>
    </row>
    <row r="2428" spans="1:7" x14ac:dyDescent="0.3">
      <c r="A2428" s="7"/>
      <c r="B2428" s="4"/>
      <c r="C2428" s="4"/>
      <c r="D2428" s="4"/>
      <c r="E2428" s="7"/>
      <c r="G2428" s="8"/>
    </row>
    <row r="2429" spans="1:7" x14ac:dyDescent="0.3">
      <c r="A2429" s="7"/>
      <c r="B2429" s="4"/>
      <c r="C2429" s="4"/>
      <c r="D2429" s="4"/>
      <c r="E2429" s="7"/>
      <c r="G2429" s="8"/>
    </row>
    <row r="2430" spans="1:7" x14ac:dyDescent="0.3">
      <c r="A2430" s="7"/>
      <c r="B2430" s="4"/>
      <c r="C2430" s="4"/>
      <c r="D2430" s="4"/>
      <c r="E2430" s="7"/>
      <c r="G2430" s="8"/>
    </row>
    <row r="2431" spans="1:7" x14ac:dyDescent="0.3">
      <c r="A2431" s="7"/>
      <c r="B2431" s="4"/>
      <c r="C2431" s="4"/>
      <c r="D2431" s="4"/>
      <c r="E2431" s="7"/>
      <c r="G2431" s="8"/>
    </row>
    <row r="2432" spans="1:7" x14ac:dyDescent="0.3">
      <c r="A2432" s="7"/>
      <c r="B2432" s="4"/>
      <c r="C2432" s="4"/>
      <c r="D2432" s="4"/>
      <c r="E2432" s="7"/>
      <c r="G2432" s="8"/>
    </row>
    <row r="2433" spans="1:7" x14ac:dyDescent="0.3">
      <c r="A2433" s="7"/>
      <c r="B2433" s="4"/>
      <c r="C2433" s="4"/>
      <c r="D2433" s="4"/>
      <c r="E2433" s="7"/>
      <c r="G2433" s="8"/>
    </row>
    <row r="2434" spans="1:7" x14ac:dyDescent="0.3">
      <c r="A2434" s="7"/>
      <c r="B2434" s="4"/>
      <c r="C2434" s="4"/>
      <c r="D2434" s="4"/>
      <c r="E2434" s="7"/>
      <c r="G2434" s="8"/>
    </row>
    <row r="2435" spans="1:7" x14ac:dyDescent="0.3">
      <c r="A2435" s="7"/>
      <c r="B2435" s="4"/>
      <c r="C2435" s="4"/>
      <c r="D2435" s="4"/>
      <c r="E2435" s="7"/>
      <c r="G2435" s="8"/>
    </row>
    <row r="2436" spans="1:7" x14ac:dyDescent="0.3">
      <c r="A2436" s="7"/>
      <c r="B2436" s="4"/>
      <c r="C2436" s="4"/>
      <c r="D2436" s="4"/>
      <c r="E2436" s="7"/>
      <c r="G2436" s="8"/>
    </row>
    <row r="2437" spans="1:7" x14ac:dyDescent="0.3">
      <c r="A2437" s="7"/>
      <c r="B2437" s="4"/>
      <c r="C2437" s="4"/>
      <c r="D2437" s="4"/>
      <c r="E2437" s="7"/>
      <c r="G2437" s="8"/>
    </row>
    <row r="2438" spans="1:7" x14ac:dyDescent="0.3">
      <c r="A2438" s="7"/>
      <c r="B2438" s="4"/>
      <c r="C2438" s="4"/>
      <c r="D2438" s="4"/>
      <c r="E2438" s="7"/>
      <c r="G2438" s="8"/>
    </row>
    <row r="2439" spans="1:7" x14ac:dyDescent="0.3">
      <c r="A2439" s="7"/>
      <c r="B2439" s="4"/>
      <c r="C2439" s="4"/>
      <c r="D2439" s="4"/>
      <c r="E2439" s="7"/>
      <c r="G2439" s="8"/>
    </row>
    <row r="2440" spans="1:7" x14ac:dyDescent="0.3">
      <c r="A2440" s="7"/>
      <c r="B2440" s="4"/>
      <c r="C2440" s="4"/>
      <c r="D2440" s="4"/>
      <c r="E2440" s="7"/>
      <c r="G2440" s="8"/>
    </row>
    <row r="2441" spans="1:7" x14ac:dyDescent="0.3">
      <c r="A2441" s="7"/>
      <c r="B2441" s="4"/>
      <c r="C2441" s="4"/>
      <c r="D2441" s="4"/>
      <c r="E2441" s="7"/>
      <c r="G2441" s="8"/>
    </row>
    <row r="2442" spans="1:7" x14ac:dyDescent="0.3">
      <c r="A2442" s="7"/>
      <c r="B2442" s="4"/>
      <c r="C2442" s="4"/>
      <c r="D2442" s="4"/>
      <c r="E2442" s="7"/>
      <c r="G2442" s="8"/>
    </row>
    <row r="2443" spans="1:7" x14ac:dyDescent="0.3">
      <c r="A2443" s="7"/>
      <c r="B2443" s="4"/>
      <c r="C2443" s="4"/>
      <c r="D2443" s="4"/>
      <c r="E2443" s="7"/>
      <c r="G2443" s="8"/>
    </row>
    <row r="2444" spans="1:7" x14ac:dyDescent="0.3">
      <c r="A2444" s="7"/>
      <c r="B2444" s="4"/>
      <c r="C2444" s="4"/>
      <c r="D2444" s="4"/>
      <c r="E2444" s="7"/>
      <c r="G2444" s="8"/>
    </row>
    <row r="2445" spans="1:7" x14ac:dyDescent="0.3">
      <c r="A2445" s="7"/>
      <c r="B2445" s="4"/>
      <c r="C2445" s="4"/>
      <c r="D2445" s="4"/>
      <c r="E2445" s="7"/>
      <c r="G2445" s="8"/>
    </row>
    <row r="2446" spans="1:7" x14ac:dyDescent="0.3">
      <c r="A2446" s="7"/>
      <c r="B2446" s="4"/>
      <c r="C2446" s="4"/>
      <c r="D2446" s="4"/>
      <c r="E2446" s="7"/>
      <c r="G2446" s="8"/>
    </row>
    <row r="2447" spans="1:7" x14ac:dyDescent="0.3">
      <c r="A2447" s="7"/>
      <c r="B2447" s="4"/>
      <c r="C2447" s="4"/>
      <c r="D2447" s="4"/>
      <c r="E2447" s="7"/>
      <c r="G2447" s="8"/>
    </row>
    <row r="2448" spans="1:7" x14ac:dyDescent="0.3">
      <c r="A2448" s="7"/>
      <c r="B2448" s="4"/>
      <c r="C2448" s="4"/>
      <c r="D2448" s="4"/>
      <c r="E2448" s="7"/>
      <c r="G2448" s="8"/>
    </row>
    <row r="2449" spans="1:7" x14ac:dyDescent="0.3">
      <c r="A2449" s="7"/>
      <c r="B2449" s="4"/>
      <c r="C2449" s="4"/>
      <c r="D2449" s="4"/>
      <c r="E2449" s="7"/>
      <c r="G2449" s="8"/>
    </row>
    <row r="2450" spans="1:7" x14ac:dyDescent="0.3">
      <c r="A2450" s="7"/>
      <c r="B2450" s="4"/>
      <c r="C2450" s="4"/>
      <c r="D2450" s="4"/>
      <c r="E2450" s="7"/>
      <c r="G2450" s="8"/>
    </row>
    <row r="2451" spans="1:7" x14ac:dyDescent="0.3">
      <c r="A2451" s="7"/>
      <c r="B2451" s="4"/>
      <c r="C2451" s="4"/>
      <c r="D2451" s="4"/>
      <c r="E2451" s="7"/>
      <c r="G2451" s="8"/>
    </row>
    <row r="2452" spans="1:7" x14ac:dyDescent="0.3">
      <c r="A2452" s="7"/>
      <c r="B2452" s="4"/>
      <c r="C2452" s="4"/>
      <c r="D2452" s="4"/>
      <c r="E2452" s="7"/>
      <c r="G2452" s="8"/>
    </row>
    <row r="2453" spans="1:7" x14ac:dyDescent="0.3">
      <c r="A2453" s="7"/>
      <c r="B2453" s="4"/>
      <c r="C2453" s="4"/>
      <c r="D2453" s="4"/>
      <c r="E2453" s="7"/>
      <c r="G2453" s="8"/>
    </row>
    <row r="2454" spans="1:7" x14ac:dyDescent="0.3">
      <c r="A2454" s="7"/>
      <c r="B2454" s="4"/>
      <c r="C2454" s="4"/>
      <c r="D2454" s="4"/>
      <c r="E2454" s="7"/>
      <c r="G2454" s="8"/>
    </row>
    <row r="2455" spans="1:7" x14ac:dyDescent="0.3">
      <c r="A2455" s="7"/>
      <c r="B2455" s="4"/>
      <c r="C2455" s="4"/>
      <c r="D2455" s="4"/>
      <c r="E2455" s="7"/>
      <c r="G2455" s="8"/>
    </row>
    <row r="2456" spans="1:7" x14ac:dyDescent="0.3">
      <c r="A2456" s="7"/>
      <c r="B2456" s="4"/>
      <c r="C2456" s="4"/>
      <c r="D2456" s="4"/>
      <c r="E2456" s="7"/>
      <c r="G2456" s="8"/>
    </row>
    <row r="2457" spans="1:7" x14ac:dyDescent="0.3">
      <c r="A2457" s="7"/>
      <c r="B2457" s="4"/>
      <c r="C2457" s="4"/>
      <c r="D2457" s="4"/>
      <c r="E2457" s="7"/>
      <c r="G2457" s="8"/>
    </row>
    <row r="2458" spans="1:7" x14ac:dyDescent="0.3">
      <c r="A2458" s="7"/>
      <c r="B2458" s="4"/>
      <c r="C2458" s="4"/>
      <c r="D2458" s="4"/>
      <c r="E2458" s="7"/>
      <c r="G2458" s="8"/>
    </row>
    <row r="2459" spans="1:7" x14ac:dyDescent="0.3">
      <c r="A2459" s="7"/>
      <c r="B2459" s="4"/>
      <c r="C2459" s="4"/>
      <c r="D2459" s="4"/>
      <c r="E2459" s="7"/>
      <c r="G2459" s="8"/>
    </row>
    <row r="2460" spans="1:7" x14ac:dyDescent="0.3">
      <c r="A2460" s="7"/>
      <c r="B2460" s="4"/>
      <c r="C2460" s="4"/>
      <c r="D2460" s="4"/>
      <c r="E2460" s="7"/>
      <c r="G2460" s="8"/>
    </row>
    <row r="2461" spans="1:7" x14ac:dyDescent="0.3">
      <c r="A2461" s="7"/>
      <c r="B2461" s="4"/>
      <c r="C2461" s="4"/>
      <c r="D2461" s="4"/>
      <c r="E2461" s="7"/>
      <c r="G2461" s="8"/>
    </row>
    <row r="2462" spans="1:7" x14ac:dyDescent="0.3">
      <c r="A2462" s="7"/>
      <c r="B2462" s="4"/>
      <c r="C2462" s="4"/>
      <c r="D2462" s="4"/>
      <c r="E2462" s="7"/>
      <c r="G2462" s="8"/>
    </row>
    <row r="2463" spans="1:7" x14ac:dyDescent="0.3">
      <c r="A2463" s="7"/>
      <c r="B2463" s="4"/>
      <c r="C2463" s="4"/>
      <c r="D2463" s="4"/>
      <c r="E2463" s="7"/>
      <c r="G2463" s="8"/>
    </row>
    <row r="2464" spans="1:7" x14ac:dyDescent="0.3">
      <c r="A2464" s="7"/>
      <c r="B2464" s="4"/>
      <c r="C2464" s="4"/>
      <c r="D2464" s="4"/>
      <c r="E2464" s="7"/>
      <c r="G2464" s="8"/>
    </row>
    <row r="2465" spans="1:7" x14ac:dyDescent="0.3">
      <c r="A2465" s="7"/>
      <c r="B2465" s="4"/>
      <c r="C2465" s="4"/>
      <c r="D2465" s="4"/>
      <c r="E2465" s="7"/>
      <c r="G2465" s="8"/>
    </row>
    <row r="2466" spans="1:7" x14ac:dyDescent="0.3">
      <c r="A2466" s="7"/>
      <c r="B2466" s="4"/>
      <c r="C2466" s="4"/>
      <c r="D2466" s="4"/>
      <c r="E2466" s="7"/>
      <c r="G2466" s="8"/>
    </row>
    <row r="2467" spans="1:7" x14ac:dyDescent="0.3">
      <c r="A2467" s="7"/>
      <c r="B2467" s="4"/>
      <c r="C2467" s="4"/>
      <c r="D2467" s="4"/>
      <c r="E2467" s="7"/>
      <c r="G2467" s="8"/>
    </row>
    <row r="2468" spans="1:7" x14ac:dyDescent="0.3">
      <c r="A2468" s="7"/>
      <c r="B2468" s="4"/>
      <c r="C2468" s="4"/>
      <c r="D2468" s="4"/>
      <c r="E2468" s="7"/>
      <c r="G2468" s="8"/>
    </row>
    <row r="2469" spans="1:7" x14ac:dyDescent="0.3">
      <c r="A2469" s="7"/>
      <c r="B2469" s="4"/>
      <c r="C2469" s="4"/>
      <c r="D2469" s="4"/>
      <c r="E2469" s="7"/>
      <c r="G2469" s="8"/>
    </row>
    <row r="2470" spans="1:7" x14ac:dyDescent="0.3">
      <c r="A2470" s="7"/>
      <c r="B2470" s="4"/>
      <c r="C2470" s="4"/>
      <c r="D2470" s="4"/>
      <c r="E2470" s="7"/>
      <c r="G2470" s="8"/>
    </row>
    <row r="2471" spans="1:7" x14ac:dyDescent="0.3">
      <c r="A2471" s="7"/>
      <c r="B2471" s="4"/>
      <c r="C2471" s="4"/>
      <c r="D2471" s="4"/>
      <c r="E2471" s="7"/>
      <c r="G2471" s="8"/>
    </row>
    <row r="2472" spans="1:7" x14ac:dyDescent="0.3">
      <c r="A2472" s="7"/>
      <c r="B2472" s="4"/>
      <c r="C2472" s="4"/>
      <c r="D2472" s="4"/>
      <c r="E2472" s="7"/>
      <c r="G2472" s="8"/>
    </row>
    <row r="2473" spans="1:7" x14ac:dyDescent="0.3">
      <c r="A2473" s="7"/>
      <c r="B2473" s="4"/>
      <c r="C2473" s="4"/>
      <c r="D2473" s="4"/>
      <c r="E2473" s="7"/>
      <c r="G2473" s="8"/>
    </row>
    <row r="2474" spans="1:7" x14ac:dyDescent="0.3">
      <c r="A2474" s="7"/>
      <c r="B2474" s="4"/>
      <c r="C2474" s="4"/>
      <c r="D2474" s="4"/>
      <c r="E2474" s="7"/>
      <c r="G2474" s="8"/>
    </row>
    <row r="2475" spans="1:7" x14ac:dyDescent="0.3">
      <c r="A2475" s="7"/>
      <c r="B2475" s="4"/>
      <c r="C2475" s="4"/>
      <c r="D2475" s="4"/>
      <c r="E2475" s="7"/>
      <c r="G2475" s="8"/>
    </row>
    <row r="2476" spans="1:7" x14ac:dyDescent="0.3">
      <c r="A2476" s="7"/>
      <c r="B2476" s="4"/>
      <c r="C2476" s="4"/>
      <c r="D2476" s="4"/>
      <c r="E2476" s="7"/>
      <c r="G2476" s="8"/>
    </row>
    <row r="2477" spans="1:7" x14ac:dyDescent="0.3">
      <c r="A2477" s="7"/>
      <c r="B2477" s="4"/>
      <c r="C2477" s="4"/>
      <c r="D2477" s="4"/>
      <c r="E2477" s="7"/>
      <c r="G2477" s="8"/>
    </row>
    <row r="2478" spans="1:7" x14ac:dyDescent="0.3">
      <c r="A2478" s="7"/>
      <c r="B2478" s="4"/>
      <c r="C2478" s="4"/>
      <c r="D2478" s="4"/>
      <c r="E2478" s="7"/>
      <c r="G2478" s="8"/>
    </row>
    <row r="2479" spans="1:7" x14ac:dyDescent="0.3">
      <c r="A2479" s="7"/>
      <c r="B2479" s="4"/>
      <c r="C2479" s="4"/>
      <c r="D2479" s="4"/>
      <c r="E2479" s="7"/>
      <c r="G2479" s="8"/>
    </row>
    <row r="2480" spans="1:7" x14ac:dyDescent="0.3">
      <c r="A2480" s="7"/>
      <c r="B2480" s="4"/>
      <c r="C2480" s="4"/>
      <c r="D2480" s="4"/>
      <c r="E2480" s="7"/>
      <c r="G2480" s="8"/>
    </row>
    <row r="2481" spans="1:7" x14ac:dyDescent="0.3">
      <c r="A2481" s="7"/>
      <c r="B2481" s="4"/>
      <c r="C2481" s="4"/>
      <c r="D2481" s="4"/>
      <c r="E2481" s="7"/>
      <c r="G2481" s="8"/>
    </row>
    <row r="2482" spans="1:7" x14ac:dyDescent="0.3">
      <c r="A2482" s="7"/>
      <c r="B2482" s="4"/>
      <c r="C2482" s="4"/>
      <c r="D2482" s="4"/>
      <c r="E2482" s="7"/>
      <c r="G2482" s="8"/>
    </row>
    <row r="2483" spans="1:7" x14ac:dyDescent="0.3">
      <c r="A2483" s="7"/>
      <c r="B2483" s="4"/>
      <c r="C2483" s="4"/>
      <c r="D2483" s="4"/>
      <c r="E2483" s="7"/>
      <c r="G2483" s="8"/>
    </row>
    <row r="2484" spans="1:7" x14ac:dyDescent="0.3">
      <c r="A2484" s="7"/>
      <c r="B2484" s="4"/>
      <c r="C2484" s="4"/>
      <c r="D2484" s="4"/>
      <c r="E2484" s="7"/>
      <c r="G2484" s="8"/>
    </row>
    <row r="2485" spans="1:7" x14ac:dyDescent="0.3">
      <c r="A2485" s="7"/>
      <c r="B2485" s="4"/>
      <c r="C2485" s="4"/>
      <c r="D2485" s="4"/>
      <c r="E2485" s="7"/>
      <c r="G2485" s="8"/>
    </row>
    <row r="2486" spans="1:7" x14ac:dyDescent="0.3">
      <c r="A2486" s="7"/>
      <c r="B2486" s="4"/>
      <c r="C2486" s="4"/>
      <c r="D2486" s="4"/>
      <c r="E2486" s="7"/>
      <c r="G2486" s="8"/>
    </row>
    <row r="2487" spans="1:7" x14ac:dyDescent="0.3">
      <c r="A2487" s="7"/>
      <c r="B2487" s="4"/>
      <c r="C2487" s="4"/>
      <c r="D2487" s="4"/>
      <c r="E2487" s="7"/>
      <c r="G2487" s="8"/>
    </row>
    <row r="2488" spans="1:7" x14ac:dyDescent="0.3">
      <c r="A2488" s="7"/>
      <c r="B2488" s="4"/>
      <c r="C2488" s="4"/>
      <c r="D2488" s="4"/>
      <c r="E2488" s="7"/>
      <c r="G2488" s="8"/>
    </row>
    <row r="2489" spans="1:7" x14ac:dyDescent="0.3">
      <c r="A2489" s="7"/>
      <c r="B2489" s="4"/>
      <c r="C2489" s="4"/>
      <c r="D2489" s="4"/>
      <c r="E2489" s="7"/>
      <c r="G2489" s="8"/>
    </row>
    <row r="2490" spans="1:7" x14ac:dyDescent="0.3">
      <c r="A2490" s="7"/>
      <c r="B2490" s="4"/>
      <c r="C2490" s="4"/>
      <c r="D2490" s="4"/>
      <c r="E2490" s="7"/>
      <c r="G2490" s="8"/>
    </row>
    <row r="2491" spans="1:7" x14ac:dyDescent="0.3">
      <c r="A2491" s="7"/>
      <c r="B2491" s="4"/>
      <c r="C2491" s="4"/>
      <c r="D2491" s="4"/>
      <c r="E2491" s="7"/>
      <c r="G2491" s="8"/>
    </row>
    <row r="2492" spans="1:7" x14ac:dyDescent="0.3">
      <c r="A2492" s="7"/>
      <c r="B2492" s="4"/>
      <c r="C2492" s="4"/>
      <c r="D2492" s="4"/>
      <c r="E2492" s="7"/>
      <c r="G2492" s="8"/>
    </row>
    <row r="2493" spans="1:7" x14ac:dyDescent="0.3">
      <c r="A2493" s="7"/>
      <c r="B2493" s="4"/>
      <c r="C2493" s="4"/>
      <c r="D2493" s="4"/>
      <c r="E2493" s="7"/>
      <c r="G2493" s="8"/>
    </row>
    <row r="2494" spans="1:7" x14ac:dyDescent="0.3">
      <c r="A2494" s="7"/>
      <c r="B2494" s="4"/>
      <c r="C2494" s="4"/>
      <c r="D2494" s="4"/>
      <c r="E2494" s="7"/>
      <c r="G2494" s="8"/>
    </row>
    <row r="2495" spans="1:7" x14ac:dyDescent="0.3">
      <c r="A2495" s="7"/>
      <c r="B2495" s="4"/>
      <c r="C2495" s="4"/>
      <c r="D2495" s="4"/>
      <c r="E2495" s="7"/>
      <c r="G2495" s="8"/>
    </row>
    <row r="2496" spans="1:7" x14ac:dyDescent="0.3">
      <c r="A2496" s="7"/>
      <c r="B2496" s="4"/>
      <c r="C2496" s="4"/>
      <c r="D2496" s="4"/>
      <c r="E2496" s="7"/>
      <c r="G2496" s="8"/>
    </row>
    <row r="2497" spans="1:7" x14ac:dyDescent="0.3">
      <c r="A2497" s="7"/>
      <c r="B2497" s="4"/>
      <c r="C2497" s="4"/>
      <c r="D2497" s="4"/>
      <c r="E2497" s="7"/>
      <c r="G2497" s="8"/>
    </row>
    <row r="2498" spans="1:7" x14ac:dyDescent="0.3">
      <c r="A2498" s="7"/>
      <c r="B2498" s="4"/>
      <c r="C2498" s="4"/>
      <c r="D2498" s="4"/>
      <c r="E2498" s="7"/>
      <c r="G2498" s="8"/>
    </row>
    <row r="2499" spans="1:7" x14ac:dyDescent="0.3">
      <c r="A2499" s="7"/>
      <c r="B2499" s="4"/>
      <c r="C2499" s="4"/>
      <c r="D2499" s="4"/>
      <c r="E2499" s="7"/>
      <c r="G2499" s="8"/>
    </row>
    <row r="2500" spans="1:7" x14ac:dyDescent="0.3">
      <c r="A2500" s="7"/>
      <c r="B2500" s="4"/>
      <c r="C2500" s="4"/>
      <c r="D2500" s="4"/>
      <c r="E2500" s="7"/>
      <c r="G2500" s="8"/>
    </row>
    <row r="2501" spans="1:7" x14ac:dyDescent="0.3">
      <c r="A2501" s="7"/>
      <c r="B2501" s="4"/>
      <c r="C2501" s="4"/>
      <c r="D2501" s="4"/>
      <c r="E2501" s="7"/>
      <c r="G2501" s="8"/>
    </row>
    <row r="2502" spans="1:7" x14ac:dyDescent="0.3">
      <c r="A2502" s="4"/>
      <c r="B2502" s="4"/>
      <c r="C2502" s="4"/>
      <c r="D2502" s="4"/>
      <c r="E2502" s="7"/>
      <c r="G2502" s="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D2502"/>
  <sheetViews>
    <sheetView zoomScale="90" zoomScaleNormal="90" workbookViewId="0">
      <selection activeCell="D15" sqref="D15"/>
    </sheetView>
  </sheetViews>
  <sheetFormatPr baseColWidth="10" defaultRowHeight="14.4" x14ac:dyDescent="0.3"/>
  <cols>
    <col min="1" max="1" width="13.88671875" customWidth="1"/>
    <col min="2" max="2" width="50.6640625" customWidth="1"/>
    <col min="3" max="3" width="37.44140625" customWidth="1"/>
    <col min="4" max="4" width="19.44140625" customWidth="1"/>
  </cols>
  <sheetData>
    <row r="1" spans="1:4" ht="12" customHeight="1" x14ac:dyDescent="0.3">
      <c r="A1" s="2" t="s">
        <v>0</v>
      </c>
      <c r="B1" s="2" t="s">
        <v>3</v>
      </c>
      <c r="C1" s="2" t="s">
        <v>4</v>
      </c>
      <c r="D1" s="2" t="s">
        <v>9</v>
      </c>
    </row>
    <row r="2" spans="1:4" ht="12" customHeight="1" x14ac:dyDescent="0.3">
      <c r="A2" s="4">
        <v>1000</v>
      </c>
      <c r="B2" s="6" t="str">
        <f>VLOOKUP(TABLA_PRECIOS_LISTBOX_VENTAS[Código],LISTADO_PRODUCTOS[#All],4)</f>
        <v>Cuaderno 29.7 America flex - 7792216854173</v>
      </c>
      <c r="C2" s="6" t="str">
        <f>VLOOKUP(TABLA_PRECIOS_LISTBOX_VENTAS[Código],LISTADO_PRODUCTOS[#All],5)</f>
        <v>N/A</v>
      </c>
      <c r="D2" s="28">
        <f>VLOOKUP(TABLA_PRECIOS_LISTBOX_VENTAS[[#This Row],[Código]],TABLA_PRECIOS[#All],7)</f>
        <v>260</v>
      </c>
    </row>
    <row r="3" spans="1:4" ht="12" customHeight="1" x14ac:dyDescent="0.3">
      <c r="A3" s="4">
        <v>1001</v>
      </c>
      <c r="B3" s="6" t="str">
        <f>VLOOKUP(TABLA_PRECIOS_LISTBOX_VENTAS[Código],LISTADO_PRODUCTOS[#All],4)</f>
        <v>Cuaderno Rivadavia escolar 194h 88g</v>
      </c>
      <c r="C3" s="6" t="str">
        <f>VLOOKUP(TABLA_PRECIOS_LISTBOX_VENTAS[Código],LISTADO_PRODUCTOS[#All],5)</f>
        <v>N/A</v>
      </c>
      <c r="D3" s="28">
        <f>VLOOKUP(TABLA_PRECIOS_LISTBOX_VENTAS[[#This Row],[Código]],TABLA_PRECIOS[#All],7)</f>
        <v>288</v>
      </c>
    </row>
    <row r="4" spans="1:4" ht="12" customHeight="1" x14ac:dyDescent="0.3">
      <c r="A4" s="4">
        <v>1002</v>
      </c>
      <c r="B4" s="6" t="str">
        <f>VLOOKUP(TABLA_PRECIOS_LISTBOX_VENTAS[Código],LISTADO_PRODUCTOS[#All],4)</f>
        <v>Cuaderno 29.7 America Nos/Avon 80h</v>
      </c>
      <c r="C4" s="6" t="str">
        <f>VLOOKUP(TABLA_PRECIOS_LISTBOX_VENTAS[Código],LISTADO_PRODUCTOS[#All],5)</f>
        <v>N/A</v>
      </c>
      <c r="D4" s="28">
        <f>VLOOKUP(TABLA_PRECIOS_LISTBOX_VENTAS[[#This Row],[Código]],TABLA_PRECIOS[#All],7)</f>
        <v>500</v>
      </c>
    </row>
    <row r="5" spans="1:4" ht="12" customHeight="1" x14ac:dyDescent="0.3">
      <c r="A5" s="4">
        <v>1004</v>
      </c>
      <c r="B5" s="6" t="str">
        <f>VLOOKUP(TABLA_PRECIOS_LISTBOX_VENTAS[Código],LISTADO_PRODUCTOS[#All],4)</f>
        <v>Resaltador Sharpie x12</v>
      </c>
      <c r="C5" s="6" t="str">
        <f>VLOOKUP(TABLA_PRECIOS_LISTBOX_VENTAS[Código],LISTADO_PRODUCTOS[#All],5)</f>
        <v>N/A</v>
      </c>
      <c r="D5" s="28">
        <f>VLOOKUP(TABLA_PRECIOS_LISTBOX_VENTAS[[#This Row],[Código]],TABLA_PRECIOS[#All],7)</f>
        <v>351</v>
      </c>
    </row>
    <row r="6" spans="1:4" ht="12" customHeight="1" x14ac:dyDescent="0.3">
      <c r="A6" s="4">
        <v>1007</v>
      </c>
      <c r="B6" s="6" t="str">
        <f>VLOOKUP(TABLA_PRECIOS_LISTBOX_VENTAS[Código],LISTADO_PRODUCTOS[#All],4)</f>
        <v>Cuaderno 16.21 America Nos c/espiral x 84h</v>
      </c>
      <c r="C6" s="6" t="str">
        <f>VLOOKUP(TABLA_PRECIOS_LISTBOX_VENTAS[Código],LISTADO_PRODUCTOS[#All],5)</f>
        <v>N/A</v>
      </c>
      <c r="D6" s="28">
        <f>VLOOKUP(TABLA_PRECIOS_LISTBOX_VENTAS[[#This Row],[Código]],TABLA_PRECIOS[#All],7)</f>
        <v>4266</v>
      </c>
    </row>
    <row r="7" spans="1:4" ht="12" customHeight="1" x14ac:dyDescent="0.3">
      <c r="A7" s="4">
        <v>1009</v>
      </c>
      <c r="B7" s="6" t="str">
        <f>VLOOKUP(TABLA_PRECIOS_LISTBOX_VENTAS[Código],LISTADO_PRODUCTOS[#All],4)</f>
        <v>Cuaderno E7 Éxito Colegial Tapa c/ motivos 60h</v>
      </c>
      <c r="C7" s="6" t="str">
        <f>VLOOKUP(TABLA_PRECIOS_LISTBOX_VENTAS[Código],LISTADO_PRODUCTOS[#All],5)</f>
        <v>N/A</v>
      </c>
      <c r="D7" s="28">
        <f>VLOOKUP(TABLA_PRECIOS_LISTBOX_VENTAS[[#This Row],[Código]],TABLA_PRECIOS[#All],7)</f>
        <v>600</v>
      </c>
    </row>
    <row r="8" spans="1:4" ht="12" customHeight="1" x14ac:dyDescent="0.3">
      <c r="A8" s="4">
        <v>1010</v>
      </c>
      <c r="B8" s="6" t="str">
        <f>VLOOKUP(TABLA_PRECIOS_LISTBOX_VENTAS[Código],LISTADO_PRODUCTOS[#All],4)</f>
        <v>Cuaderno Colegial Éxito x 60h</v>
      </c>
      <c r="C8" s="6" t="str">
        <f>VLOOKUP(TABLA_PRECIOS_LISTBOX_VENTAS[Código],LISTADO_PRODUCTOS[#All],5)</f>
        <v>N/A</v>
      </c>
      <c r="D8" s="28">
        <f>VLOOKUP(TABLA_PRECIOS_LISTBOX_VENTAS[[#This Row],[Código]],TABLA_PRECIOS[#All],7)</f>
        <v>530</v>
      </c>
    </row>
    <row r="9" spans="1:4" ht="12" customHeight="1" x14ac:dyDescent="0.3">
      <c r="A9" s="4">
        <v>1011</v>
      </c>
      <c r="B9" s="6" t="str">
        <f>VLOOKUP(TABLA_PRECIOS_LISTBOX_VENTAS[Código],LISTADO_PRODUCTOS[#All],4)</f>
        <v>Cuaderno Colegial Éxito x 100h</v>
      </c>
      <c r="C9" s="6" t="str">
        <f>VLOOKUP(TABLA_PRECIOS_LISTBOX_VENTAS[Código],LISTADO_PRODUCTOS[#All],5)</f>
        <v>N/A</v>
      </c>
      <c r="D9" s="28">
        <f>VLOOKUP(TABLA_PRECIOS_LISTBOX_VENTAS[[#This Row],[Código]],TABLA_PRECIOS[#All],7)</f>
        <v>369</v>
      </c>
    </row>
    <row r="10" spans="1:4" ht="12" customHeight="1" x14ac:dyDescent="0.3">
      <c r="A10" s="4">
        <v>1012</v>
      </c>
      <c r="B10" s="6" t="str">
        <f>VLOOKUP(TABLA_PRECIOS_LISTBOX_VENTAS[Código],LISTADO_PRODUCTOS[#All],4)</f>
        <v>Cuaderno ABC Rivadavia x 60h</v>
      </c>
      <c r="C10" s="6" t="str">
        <f>VLOOKUP(TABLA_PRECIOS_LISTBOX_VENTAS[Código],LISTADO_PRODUCTOS[#All],5)</f>
        <v>N/A</v>
      </c>
      <c r="D10" s="28">
        <f>VLOOKUP(TABLA_PRECIOS_LISTBOX_VENTAS[[#This Row],[Código]],TABLA_PRECIOS[#All],7)</f>
        <v>279</v>
      </c>
    </row>
    <row r="11" spans="1:4" ht="12" customHeight="1" x14ac:dyDescent="0.3">
      <c r="A11" s="4">
        <v>1013</v>
      </c>
      <c r="B11" s="6" t="str">
        <f>VLOOKUP(TABLA_PRECIOS_LISTBOX_VENTAS[Código],LISTADO_PRODUCTOS[#All],4)</f>
        <v>Cuaderno ABC Rivadavia x 100h</v>
      </c>
      <c r="C11" s="6" t="str">
        <f>VLOOKUP(TABLA_PRECIOS_LISTBOX_VENTAS[Código],LISTADO_PRODUCTOS[#All],5)</f>
        <v>N/A</v>
      </c>
      <c r="D11" s="28">
        <f>VLOOKUP(TABLA_PRECIOS_LISTBOX_VENTAS[[#This Row],[Código]],TABLA_PRECIOS[#All],7)</f>
        <v>392</v>
      </c>
    </row>
    <row r="12" spans="1:4" ht="12" customHeight="1" x14ac:dyDescent="0.3">
      <c r="A12" s="4">
        <v>1014</v>
      </c>
      <c r="B12" s="6" t="str">
        <f>VLOOKUP(TABLA_PRECIOS_LISTBOX_VENTAS[Código],LISTADO_PRODUCTOS[#All],4)</f>
        <v>Block A6 Alfa anillado Rayado 80h</v>
      </c>
      <c r="C12" s="6" t="str">
        <f>VLOOKUP(TABLA_PRECIOS_LISTBOX_VENTAS[Código],LISTADO_PRODUCTOS[#All],5)</f>
        <v>N/A</v>
      </c>
      <c r="D12" s="28">
        <f>VLOOKUP(TABLA_PRECIOS_LISTBOX_VENTAS[[#This Row],[Código]],TABLA_PRECIOS[#All],7)</f>
        <v>1</v>
      </c>
    </row>
    <row r="13" spans="1:4" ht="12" customHeight="1" x14ac:dyDescent="0.3">
      <c r="A13" s="4">
        <v>1015</v>
      </c>
      <c r="B13" s="6" t="str">
        <f>VLOOKUP(TABLA_PRECIOS_LISTBOX_VENTAS[Código],LISTADO_PRODUCTOS[#All],4)</f>
        <v xml:space="preserve">Cuaderno 16.21 Avon x 84h Rayadas </v>
      </c>
      <c r="C13" s="6" t="str">
        <f>VLOOKUP(TABLA_PRECIOS_LISTBOX_VENTAS[Código],LISTADO_PRODUCTOS[#All],5)</f>
        <v>N/A</v>
      </c>
      <c r="D13" s="28">
        <f>VLOOKUP(TABLA_PRECIOS_LISTBOX_VENTAS[[#This Row],[Código]],TABLA_PRECIOS[#All],7)</f>
        <v>1</v>
      </c>
    </row>
    <row r="14" spans="1:4" ht="12" customHeight="1" x14ac:dyDescent="0.3">
      <c r="A14" s="4">
        <v>1016</v>
      </c>
      <c r="B14" s="6" t="str">
        <f>VLOOKUP(TABLA_PRECIOS_LISTBOX_VENTAS[Código],LISTADO_PRODUCTOS[#All],4)</f>
        <v>Block A5 anillado Alfa</v>
      </c>
      <c r="C14" s="6" t="str">
        <f>VLOOKUP(TABLA_PRECIOS_LISTBOX_VENTAS[Código],LISTADO_PRODUCTOS[#All],5)</f>
        <v>N/A</v>
      </c>
      <c r="D14" s="28">
        <f>VLOOKUP(TABLA_PRECIOS_LISTBOX_VENTAS[[#This Row],[Código]],TABLA_PRECIOS[#All],7)</f>
        <v>1</v>
      </c>
    </row>
    <row r="15" spans="1:4" ht="12" customHeight="1" x14ac:dyDescent="0.3">
      <c r="A15" s="4">
        <v>1017</v>
      </c>
      <c r="B15" s="6" t="str">
        <f>VLOOKUP(TABLA_PRECIOS_LISTBOX_VENTAS[Código],LISTADO_PRODUCTOS[#All],4)</f>
        <v>Block A4 Alfa anillado</v>
      </c>
      <c r="C15" s="6" t="str">
        <f>VLOOKUP(TABLA_PRECIOS_LISTBOX_VENTAS[Código],LISTADO_PRODUCTOS[#All],5)</f>
        <v>N/A</v>
      </c>
      <c r="D15" s="28">
        <f>VLOOKUP(TABLA_PRECIOS_LISTBOX_VENTAS[[#This Row],[Código]],TABLA_PRECIOS[#All],7)</f>
        <v>1</v>
      </c>
    </row>
    <row r="16" spans="1:4" ht="12" customHeight="1" x14ac:dyDescent="0.3">
      <c r="A16" s="4">
        <v>1018</v>
      </c>
      <c r="B16" s="6" t="str">
        <f>VLOOKUP(TABLA_PRECIOS_LISTBOX_VENTAS[Código],LISTADO_PRODUCTOS[#All],4)</f>
        <v>Block A4 Avon</v>
      </c>
      <c r="C16" s="6" t="str">
        <f>VLOOKUP(TABLA_PRECIOS_LISTBOX_VENTAS[Código],LISTADO_PRODUCTOS[#All],5)</f>
        <v>N/A</v>
      </c>
      <c r="D16" s="28">
        <f>VLOOKUP(TABLA_PRECIOS_LISTBOX_VENTAS[[#This Row],[Código]],TABLA_PRECIOS[#All],7)</f>
        <v>1</v>
      </c>
    </row>
    <row r="17" spans="1:4" ht="12" customHeight="1" x14ac:dyDescent="0.3">
      <c r="A17" s="4">
        <v>1020</v>
      </c>
      <c r="B17" s="6" t="str">
        <f>VLOOKUP(TABLA_PRECIOS_LISTBOX_VENTAS[Código],LISTADO_PRODUCTOS[#All],4)</f>
        <v>Block Oficio Avon</v>
      </c>
      <c r="C17" s="6" t="str">
        <f>VLOOKUP(TABLA_PRECIOS_LISTBOX_VENTAS[Código],LISTADO_PRODUCTOS[#All],5)</f>
        <v>N/A</v>
      </c>
      <c r="D17" s="28">
        <f>VLOOKUP(TABLA_PRECIOS_LISTBOX_VENTAS[[#This Row],[Código]],TABLA_PRECIOS[#All],7)</f>
        <v>1</v>
      </c>
    </row>
    <row r="18" spans="1:4" ht="12" customHeight="1" x14ac:dyDescent="0.3">
      <c r="A18" s="4">
        <v>1021</v>
      </c>
      <c r="B18" s="6" t="str">
        <f>VLOOKUP(TABLA_PRECIOS_LISTBOX_VENTAS[Código],LISTADO_PRODUCTOS[#All],4)</f>
        <v>Tijera para Zurdos Maped</v>
      </c>
      <c r="C18" s="6" t="str">
        <f>VLOOKUP(TABLA_PRECIOS_LISTBOX_VENTAS[Código],LISTADO_PRODUCTOS[#All],5)</f>
        <v>N/A</v>
      </c>
      <c r="D18" s="28">
        <f>VLOOKUP(TABLA_PRECIOS_LISTBOX_VENTAS[[#This Row],[Código]],TABLA_PRECIOS[#All],7)</f>
        <v>1</v>
      </c>
    </row>
    <row r="19" spans="1:4" ht="12" customHeight="1" x14ac:dyDescent="0.3">
      <c r="A19" s="4">
        <v>1023</v>
      </c>
      <c r="B19" s="6" t="str">
        <f>VLOOKUP(TABLA_PRECIOS_LISTBOX_VENTAS[Código],LISTADO_PRODUCTOS[#All],4)</f>
        <v>Cuaderno Éxito Nº3 x 48h Forrado</v>
      </c>
      <c r="C19" s="6" t="str">
        <f>VLOOKUP(TABLA_PRECIOS_LISTBOX_VENTAS[Código],LISTADO_PRODUCTOS[#All],5)</f>
        <v>N/A</v>
      </c>
      <c r="D19" s="28">
        <f>VLOOKUP(TABLA_PRECIOS_LISTBOX_VENTAS[[#This Row],[Código]],TABLA_PRECIOS[#All],7)</f>
        <v>1</v>
      </c>
    </row>
    <row r="20" spans="1:4" ht="12" customHeight="1" x14ac:dyDescent="0.3">
      <c r="A20" s="4">
        <v>1024</v>
      </c>
      <c r="B20" s="6" t="str">
        <f>VLOOKUP(TABLA_PRECIOS_LISTBOX_VENTAS[Código],LISTADO_PRODUCTOS[#All],4)</f>
        <v>Cuaderno Éxito Nº3 x 48h Motivos - 7791762225079</v>
      </c>
      <c r="C20" s="6" t="str">
        <f>VLOOKUP(TABLA_PRECIOS_LISTBOX_VENTAS[Código],LISTADO_PRODUCTOS[#All],5)</f>
        <v>N/A</v>
      </c>
      <c r="D20" s="28">
        <f>VLOOKUP(TABLA_PRECIOS_LISTBOX_VENTAS[[#This Row],[Código]],TABLA_PRECIOS[#All],7)</f>
        <v>1</v>
      </c>
    </row>
    <row r="21" spans="1:4" ht="12" customHeight="1" x14ac:dyDescent="0.3">
      <c r="A21" s="4">
        <v>1025</v>
      </c>
      <c r="B21" s="6" t="str">
        <f>VLOOKUP(TABLA_PRECIOS_LISTBOX_VENTAS[Código],LISTADO_PRODUCTOS[#All],4)</f>
        <v>Cuaderno Éxito Nº3 x 48h Lunares - 7791762378072</v>
      </c>
      <c r="C21" s="6" t="str">
        <f>VLOOKUP(TABLA_PRECIOS_LISTBOX_VENTAS[Código],LISTADO_PRODUCTOS[#All],5)</f>
        <v>N/A</v>
      </c>
      <c r="D21" s="28">
        <f>VLOOKUP(TABLA_PRECIOS_LISTBOX_VENTAS[[#This Row],[Código]],TABLA_PRECIOS[#All],7)</f>
        <v>1</v>
      </c>
    </row>
    <row r="22" spans="1:4" ht="12" customHeight="1" x14ac:dyDescent="0.3">
      <c r="A22" s="4">
        <v>1026</v>
      </c>
      <c r="B22" s="6" t="str">
        <f>VLOOKUP(TABLA_PRECIOS_LISTBOX_VENTAS[Código],LISTADO_PRODUCTOS[#All],4)</f>
        <v>Cuaderno Rivadavia Nº3 x 50h Forrado araña</v>
      </c>
      <c r="C22" s="6" t="str">
        <f>VLOOKUP(TABLA_PRECIOS_LISTBOX_VENTAS[Código],LISTADO_PRODUCTOS[#All],5)</f>
        <v>N/A</v>
      </c>
      <c r="D22" s="28">
        <f>VLOOKUP(TABLA_PRECIOS_LISTBOX_VENTAS[[#This Row],[Código]],TABLA_PRECIOS[#All],7)</f>
        <v>1</v>
      </c>
    </row>
    <row r="23" spans="1:4" ht="12" customHeight="1" x14ac:dyDescent="0.3">
      <c r="A23" s="4">
        <v>1027</v>
      </c>
      <c r="B23" s="6" t="str">
        <f>VLOOKUP(TABLA_PRECIOS_LISTBOX_VENTAS[Código],LISTADO_PRODUCTOS[#All],4)</f>
        <v>Cuaderno Rivadavia Nº3 x 50h Lunar</v>
      </c>
      <c r="C23" s="6" t="str">
        <f>VLOOKUP(TABLA_PRECIOS_LISTBOX_VENTAS[Código],LISTADO_PRODUCTOS[#All],5)</f>
        <v>N/A</v>
      </c>
      <c r="D23" s="28">
        <f>VLOOKUP(TABLA_PRECIOS_LISTBOX_VENTAS[[#This Row],[Código]],TABLA_PRECIOS[#All],7)</f>
        <v>1</v>
      </c>
    </row>
    <row r="24" spans="1:4" ht="12" customHeight="1" x14ac:dyDescent="0.3">
      <c r="A24" s="4">
        <v>1028</v>
      </c>
      <c r="B24" s="6" t="str">
        <f>VLOOKUP(TABLA_PRECIOS_LISTBOX_VENTAS[Código],LISTADO_PRODUCTOS[#All],4)</f>
        <v>Cuaderno ABC Inicial T/C</v>
      </c>
      <c r="C24" s="6" t="str">
        <f>VLOOKUP(TABLA_PRECIOS_LISTBOX_VENTAS[Código],LISTADO_PRODUCTOS[#All],5)</f>
        <v>N/A</v>
      </c>
      <c r="D24" s="28">
        <f>VLOOKUP(TABLA_PRECIOS_LISTBOX_VENTAS[[#This Row],[Código]],TABLA_PRECIOS[#All],7)</f>
        <v>1</v>
      </c>
    </row>
    <row r="25" spans="1:4" ht="12" customHeight="1" x14ac:dyDescent="0.3">
      <c r="A25" s="4">
        <v>1029</v>
      </c>
      <c r="B25" s="6" t="str">
        <f>VLOOKUP(TABLA_PRECIOS_LISTBOX_VENTAS[Código],LISTADO_PRODUCTOS[#All],4)</f>
        <v>Cuaderno Escolar Éxito x 48h Forrado</v>
      </c>
      <c r="C25" s="6" t="str">
        <f>VLOOKUP(TABLA_PRECIOS_LISTBOX_VENTAS[Código],LISTADO_PRODUCTOS[#All],5)</f>
        <v>N/A</v>
      </c>
      <c r="D25" s="28">
        <f>VLOOKUP(TABLA_PRECIOS_LISTBOX_VENTAS[[#This Row],[Código]],TABLA_PRECIOS[#All],7)</f>
        <v>1</v>
      </c>
    </row>
    <row r="26" spans="1:4" ht="12" customHeight="1" x14ac:dyDescent="0.3">
      <c r="A26" s="4">
        <v>1030</v>
      </c>
      <c r="B26" s="6" t="str">
        <f>VLOOKUP(TABLA_PRECIOS_LISTBOX_VENTAS[Código],LISTADO_PRODUCTOS[#All],4)</f>
        <v>Cuaderno Escolar ABC Rivadavia x 50h - 7792216051053</v>
      </c>
      <c r="C26" s="6" t="str">
        <f>VLOOKUP(TABLA_PRECIOS_LISTBOX_VENTAS[Código],LISTADO_PRODUCTOS[#All],5)</f>
        <v>N/A</v>
      </c>
      <c r="D26" s="28">
        <f>VLOOKUP(TABLA_PRECIOS_LISTBOX_VENTAS[[#This Row],[Código]],TABLA_PRECIOS[#All],7)</f>
        <v>1</v>
      </c>
    </row>
    <row r="27" spans="1:4" ht="12" customHeight="1" x14ac:dyDescent="0.3">
      <c r="A27" s="4">
        <v>1031</v>
      </c>
      <c r="B27" s="6" t="str">
        <f>VLOOKUP(TABLA_PRECIOS_LISTBOX_VENTAS[Código],LISTADO_PRODUCTOS[#All],4)</f>
        <v>Cuaderno Escolar America x 82h T/C - 7792216675709</v>
      </c>
      <c r="C27" s="6" t="str">
        <f>VLOOKUP(TABLA_PRECIOS_LISTBOX_VENTAS[Código],LISTADO_PRODUCTOS[#All],5)</f>
        <v>N/A</v>
      </c>
      <c r="D27" s="28">
        <f>VLOOKUP(TABLA_PRECIOS_LISTBOX_VENTAS[[#This Row],[Código]],TABLA_PRECIOS[#All],7)</f>
        <v>1</v>
      </c>
    </row>
    <row r="28" spans="1:4" ht="12" customHeight="1" x14ac:dyDescent="0.3">
      <c r="A28" s="4">
        <v>1032</v>
      </c>
      <c r="B28" s="6" t="str">
        <f>VLOOKUP(TABLA_PRECIOS_LISTBOX_VENTAS[Código],LISTADO_PRODUCTOS[#All],4)</f>
        <v xml:space="preserve"> cuaderno Escolar America 42h T/C - 7792216000495</v>
      </c>
      <c r="C28" s="6" t="str">
        <f>VLOOKUP(TABLA_PRECIOS_LISTBOX_VENTAS[Código],LISTADO_PRODUCTOS[#All],5)</f>
        <v>N/A</v>
      </c>
      <c r="D28" s="28">
        <f>VLOOKUP(TABLA_PRECIOS_LISTBOX_VENTAS[[#This Row],[Código]],TABLA_PRECIOS[#All],7)</f>
        <v>1</v>
      </c>
    </row>
    <row r="29" spans="1:4" ht="12" customHeight="1" x14ac:dyDescent="0.3">
      <c r="A29" s="4">
        <v>1033</v>
      </c>
      <c r="B29" s="6" t="str">
        <f>VLOOKUP(TABLA_PRECIOS_LISTBOX_VENTAS[Código],LISTADO_PRODUCTOS[#All],4)</f>
        <v>Cuaderno Escolar Gloria x 84h</v>
      </c>
      <c r="C29" s="6" t="str">
        <f>VLOOKUP(TABLA_PRECIOS_LISTBOX_VENTAS[Código],LISTADO_PRODUCTOS[#All],5)</f>
        <v>N/A</v>
      </c>
      <c r="D29" s="28">
        <f>VLOOKUP(TABLA_PRECIOS_LISTBOX_VENTAS[[#This Row],[Código]],TABLA_PRECIOS[#All],7)</f>
        <v>1</v>
      </c>
    </row>
    <row r="30" spans="1:4" ht="12" customHeight="1" x14ac:dyDescent="0.3">
      <c r="A30" s="4">
        <v>1036</v>
      </c>
      <c r="B30" s="6" t="str">
        <f>VLOOKUP(TABLA_PRECIOS_LISTBOX_VENTAS[Código],LISTADO_PRODUCTOS[#All],4)</f>
        <v>Cuaderno Rivadavia escolar T dura 50h 16.21</v>
      </c>
      <c r="C30" s="6" t="str">
        <f>VLOOKUP(TABLA_PRECIOS_LISTBOX_VENTAS[Código],LISTADO_PRODUCTOS[#All],5)</f>
        <v>N/A</v>
      </c>
      <c r="D30" s="28">
        <f>VLOOKUP(TABLA_PRECIOS_LISTBOX_VENTAS[[#This Row],[Código]],TABLA_PRECIOS[#All],7)</f>
        <v>1</v>
      </c>
    </row>
    <row r="31" spans="1:4" ht="12" customHeight="1" x14ac:dyDescent="0.3">
      <c r="A31" s="4">
        <v>1038</v>
      </c>
      <c r="B31" s="6" t="str">
        <f>VLOOKUP(TABLA_PRECIOS_LISTBOX_VENTAS[Código],LISTADO_PRODUCTOS[#All],4)</f>
        <v>Cuaderno T/flex Gloria x 48h - 7791762110078</v>
      </c>
      <c r="C31" s="6" t="str">
        <f>VLOOKUP(TABLA_PRECIOS_LISTBOX_VENTAS[Código],LISTADO_PRODUCTOS[#All],5)</f>
        <v>N/A</v>
      </c>
      <c r="D31" s="28">
        <f>VLOOKUP(TABLA_PRECIOS_LISTBOX_VENTAS[[#This Row],[Código]],TABLA_PRECIOS[#All],7)</f>
        <v>1</v>
      </c>
    </row>
    <row r="32" spans="1:4" ht="12" customHeight="1" x14ac:dyDescent="0.3">
      <c r="A32" s="4">
        <v>1039</v>
      </c>
      <c r="B32" s="6" t="str">
        <f>VLOOKUP(TABLA_PRECIOS_LISTBOX_VENTAS[Código],LISTADO_PRODUCTOS[#All],4)</f>
        <v>Cuaderno T/flex Gloria x 24h</v>
      </c>
      <c r="C32" s="6" t="str">
        <f>VLOOKUP(TABLA_PRECIOS_LISTBOX_VENTAS[Código],LISTADO_PRODUCTOS[#All],5)</f>
        <v>N/A</v>
      </c>
      <c r="D32" s="28">
        <f>VLOOKUP(TABLA_PRECIOS_LISTBOX_VENTAS[[#This Row],[Código]],TABLA_PRECIOS[#All],7)</f>
        <v>1</v>
      </c>
    </row>
    <row r="33" spans="1:4" ht="12" customHeight="1" x14ac:dyDescent="0.3">
      <c r="A33" s="4">
        <v>1040</v>
      </c>
      <c r="B33" s="6" t="str">
        <f>VLOOKUP(TABLA_PRECIOS_LISTBOX_VENTAS[Código],LISTADO_PRODUCTOS[#All],4)</f>
        <v>Repuesto N°3 Husares x 480h</v>
      </c>
      <c r="C33" s="6" t="str">
        <f>VLOOKUP(TABLA_PRECIOS_LISTBOX_VENTAS[Código],LISTADO_PRODUCTOS[#All],5)</f>
        <v>N/A</v>
      </c>
      <c r="D33" s="28">
        <f>VLOOKUP(TABLA_PRECIOS_LISTBOX_VENTAS[[#This Row],[Código]],TABLA_PRECIOS[#All],7)</f>
        <v>1</v>
      </c>
    </row>
    <row r="34" spans="1:4" ht="12" customHeight="1" x14ac:dyDescent="0.3">
      <c r="A34" s="4">
        <v>1041</v>
      </c>
      <c r="B34" s="6" t="str">
        <f>VLOOKUP(TABLA_PRECIOS_LISTBOX_VENTAS[Código],LISTADO_PRODUCTOS[#All],4)</f>
        <v>Repuesto A4 Éxito M/Reforzado x 96h - 7791762400124</v>
      </c>
      <c r="C34" s="6" t="str">
        <f>VLOOKUP(TABLA_PRECIOS_LISTBOX_VENTAS[Código],LISTADO_PRODUCTOS[#All],5)</f>
        <v>N/A</v>
      </c>
      <c r="D34" s="28">
        <f>VLOOKUP(TABLA_PRECIOS_LISTBOX_VENTAS[[#This Row],[Código]],TABLA_PRECIOS[#All],7)</f>
        <v>1</v>
      </c>
    </row>
    <row r="35" spans="1:4" ht="12" customHeight="1" x14ac:dyDescent="0.3">
      <c r="A35" s="4">
        <v>1042</v>
      </c>
      <c r="B35" s="6" t="str">
        <f>VLOOKUP(TABLA_PRECIOS_LISTBOX_VENTAS[Código],LISTADO_PRODUCTOS[#All],4)</f>
        <v>Repuesto A4 Rivadavia M/Ref x96h - 7792216041917</v>
      </c>
      <c r="C35" s="6" t="str">
        <f>VLOOKUP(TABLA_PRECIOS_LISTBOX_VENTAS[Código],LISTADO_PRODUCTOS[#All],5)</f>
        <v>N/A</v>
      </c>
      <c r="D35" s="28">
        <f>VLOOKUP(TABLA_PRECIOS_LISTBOX_VENTAS[[#This Row],[Código]],TABLA_PRECIOS[#All],7)</f>
        <v>1</v>
      </c>
    </row>
    <row r="36" spans="1:4" ht="12" customHeight="1" x14ac:dyDescent="0.3">
      <c r="A36" s="4">
        <v>1043</v>
      </c>
      <c r="B36" s="6" t="str">
        <f>VLOOKUP(TABLA_PRECIOS_LISTBOX_VENTAS[Código],LISTADO_PRODUCTOS[#All],4)</f>
        <v>Repuesto A4 Rivadavia M/Ref x 48h</v>
      </c>
      <c r="C36" s="6" t="str">
        <f>VLOOKUP(TABLA_PRECIOS_LISTBOX_VENTAS[Código],LISTADO_PRODUCTOS[#All],5)</f>
        <v>N/A</v>
      </c>
      <c r="D36" s="28">
        <f>VLOOKUP(TABLA_PRECIOS_LISTBOX_VENTAS[[#This Row],[Código]],TABLA_PRECIOS[#All],7)</f>
        <v>1</v>
      </c>
    </row>
    <row r="37" spans="1:4" ht="12" customHeight="1" x14ac:dyDescent="0.3">
      <c r="A37" s="4">
        <v>1044</v>
      </c>
      <c r="B37" s="6" t="str">
        <f>VLOOKUP(TABLA_PRECIOS_LISTBOX_VENTAS[Código],LISTADO_PRODUCTOS[#All],4)</f>
        <v>Repuesto escolar A4 Éxito x 192h M/Reforzado</v>
      </c>
      <c r="C37" s="6" t="str">
        <f>VLOOKUP(TABLA_PRECIOS_LISTBOX_VENTAS[Código],LISTADO_PRODUCTOS[#All],5)</f>
        <v>N/A</v>
      </c>
      <c r="D37" s="28">
        <f>VLOOKUP(TABLA_PRECIOS_LISTBOX_VENTAS[[#This Row],[Código]],TABLA_PRECIOS[#All],7)</f>
        <v>1</v>
      </c>
    </row>
    <row r="38" spans="1:4" ht="12" customHeight="1" x14ac:dyDescent="0.3">
      <c r="A38" s="4">
        <v>1045</v>
      </c>
      <c r="B38" s="6" t="str">
        <f>VLOOKUP(TABLA_PRECIOS_LISTBOX_VENTAS[Código],LISTADO_PRODUCTOS[#All],4)</f>
        <v xml:space="preserve">Repuesto A4 Husares x 48h </v>
      </c>
      <c r="C38" s="6" t="str">
        <f>VLOOKUP(TABLA_PRECIOS_LISTBOX_VENTAS[Código],LISTADO_PRODUCTOS[#All],5)</f>
        <v>N/A</v>
      </c>
      <c r="D38" s="28">
        <f>VLOOKUP(TABLA_PRECIOS_LISTBOX_VENTAS[[#This Row],[Código]],TABLA_PRECIOS[#All],7)</f>
        <v>1</v>
      </c>
    </row>
    <row r="39" spans="1:4" ht="12" customHeight="1" x14ac:dyDescent="0.3">
      <c r="A39" s="4">
        <v>1047</v>
      </c>
      <c r="B39" s="6" t="str">
        <f>VLOOKUP(TABLA_PRECIOS_LISTBOX_VENTAS[Código],LISTADO_PRODUCTOS[#All],4)</f>
        <v>Repuesto A4 Husares 120h</v>
      </c>
      <c r="C39" s="6" t="str">
        <f>VLOOKUP(TABLA_PRECIOS_LISTBOX_VENTAS[Código],LISTADO_PRODUCTOS[#All],5)</f>
        <v>N/A</v>
      </c>
      <c r="D39" s="28">
        <f>VLOOKUP(TABLA_PRECIOS_LISTBOX_VENTAS[[#This Row],[Código]],TABLA_PRECIOS[#All],7)</f>
        <v>1</v>
      </c>
    </row>
    <row r="40" spans="1:4" ht="12" customHeight="1" x14ac:dyDescent="0.3">
      <c r="A40" s="4">
        <v>1048</v>
      </c>
      <c r="B40" s="6" t="str">
        <f>VLOOKUP(TABLA_PRECIOS_LISTBOX_VENTAS[Código],LISTADO_PRODUCTOS[#All],4)</f>
        <v>Repuesto Nº3 Éxito M/R x 480h</v>
      </c>
      <c r="C40" s="6" t="str">
        <f>VLOOKUP(TABLA_PRECIOS_LISTBOX_VENTAS[Código],LISTADO_PRODUCTOS[#All],5)</f>
        <v>N/A</v>
      </c>
      <c r="D40" s="28">
        <f>VLOOKUP(TABLA_PRECIOS_LISTBOX_VENTAS[[#This Row],[Código]],TABLA_PRECIOS[#All],7)</f>
        <v>1</v>
      </c>
    </row>
    <row r="41" spans="1:4" ht="12" customHeight="1" x14ac:dyDescent="0.3">
      <c r="A41" s="4">
        <v>1049</v>
      </c>
      <c r="B41" s="6" t="str">
        <f>VLOOKUP(TABLA_PRECIOS_LISTBOX_VENTAS[Código],LISTADO_PRODUCTOS[#All],4)</f>
        <v>Repuesto Nº3 Éxito M/R x 96h - 7791762480126</v>
      </c>
      <c r="C41" s="6" t="str">
        <f>VLOOKUP(TABLA_PRECIOS_LISTBOX_VENTAS[Código],LISTADO_PRODUCTOS[#All],5)</f>
        <v>N/A</v>
      </c>
      <c r="D41" s="28">
        <f>VLOOKUP(TABLA_PRECIOS_LISTBOX_VENTAS[[#This Row],[Código]],TABLA_PRECIOS[#All],7)</f>
        <v>1</v>
      </c>
    </row>
    <row r="42" spans="1:4" ht="12" customHeight="1" x14ac:dyDescent="0.3">
      <c r="A42" s="4">
        <v>1050</v>
      </c>
      <c r="B42" s="6" t="str">
        <f>VLOOKUP(TABLA_PRECIOS_LISTBOX_VENTAS[Código],LISTADO_PRODUCTOS[#All],4)</f>
        <v>Repuesto Éxito N°3 M/R x 48h</v>
      </c>
      <c r="C42" s="6" t="str">
        <f>VLOOKUP(TABLA_PRECIOS_LISTBOX_VENTAS[Código],LISTADO_PRODUCTOS[#All],5)</f>
        <v>N/A</v>
      </c>
      <c r="D42" s="28">
        <f>VLOOKUP(TABLA_PRECIOS_LISTBOX_VENTAS[[#This Row],[Código]],TABLA_PRECIOS[#All],7)</f>
        <v>1</v>
      </c>
    </row>
    <row r="43" spans="1:4" ht="12" customHeight="1" x14ac:dyDescent="0.3">
      <c r="A43" s="4">
        <v>1051</v>
      </c>
      <c r="B43" s="6" t="str">
        <f>VLOOKUP(TABLA_PRECIOS_LISTBOX_VENTAS[Código],LISTADO_PRODUCTOS[#All],4)</f>
        <v>Repuesto Nº3 Éxito M/R x 24h</v>
      </c>
      <c r="C43" s="6" t="str">
        <f>VLOOKUP(TABLA_PRECIOS_LISTBOX_VENTAS[Código],LISTADO_PRODUCTOS[#All],5)</f>
        <v>N/A</v>
      </c>
      <c r="D43" s="28">
        <f>VLOOKUP(TABLA_PRECIOS_LISTBOX_VENTAS[[#This Row],[Código]],TABLA_PRECIOS[#All],7)</f>
        <v>1</v>
      </c>
    </row>
    <row r="44" spans="1:4" ht="12" customHeight="1" x14ac:dyDescent="0.3">
      <c r="A44" s="4">
        <v>1052</v>
      </c>
      <c r="B44" s="6" t="str">
        <f>VLOOKUP(TABLA_PRECIOS_LISTBOX_VENTAS[Código],LISTADO_PRODUCTOS[#All],4)</f>
        <v>Repuesto Nº3 Éxito x 480h</v>
      </c>
      <c r="C44" s="6" t="str">
        <f>VLOOKUP(TABLA_PRECIOS_LISTBOX_VENTAS[Código],LISTADO_PRODUCTOS[#All],5)</f>
        <v>N/A</v>
      </c>
      <c r="D44" s="28">
        <f>VLOOKUP(TABLA_PRECIOS_LISTBOX_VENTAS[[#This Row],[Código]],TABLA_PRECIOS[#All],7)</f>
        <v>1</v>
      </c>
    </row>
    <row r="45" spans="1:4" ht="12" customHeight="1" x14ac:dyDescent="0.3">
      <c r="A45" s="4">
        <v>1053</v>
      </c>
      <c r="B45" s="6" t="str">
        <f>VLOOKUP(TABLA_PRECIOS_LISTBOX_VENTAS[Código],LISTADO_PRODUCTOS[#All],4)</f>
        <v>Repuesto Nº3 Éxito x 96h</v>
      </c>
      <c r="C45" s="6" t="str">
        <f>VLOOKUP(TABLA_PRECIOS_LISTBOX_VENTAS[Código],LISTADO_PRODUCTOS[#All],5)</f>
        <v>N/A</v>
      </c>
      <c r="D45" s="28">
        <f>VLOOKUP(TABLA_PRECIOS_LISTBOX_VENTAS[[#This Row],[Código]],TABLA_PRECIOS[#All],7)</f>
        <v>1</v>
      </c>
    </row>
    <row r="46" spans="1:4" ht="12" customHeight="1" x14ac:dyDescent="0.3">
      <c r="A46" s="4">
        <v>1054</v>
      </c>
      <c r="B46" s="6" t="str">
        <f>VLOOKUP(TABLA_PRECIOS_LISTBOX_VENTAS[Código],LISTADO_PRODUCTOS[#All],4)</f>
        <v>Repuesto Nº3 Éxito x 48h</v>
      </c>
      <c r="C46" s="6" t="str">
        <f>VLOOKUP(TABLA_PRECIOS_LISTBOX_VENTAS[Código],LISTADO_PRODUCTOS[#All],5)</f>
        <v>N/A</v>
      </c>
      <c r="D46" s="28">
        <f>VLOOKUP(TABLA_PRECIOS_LISTBOX_VENTAS[[#This Row],[Código]],TABLA_PRECIOS[#All],7)</f>
        <v>1</v>
      </c>
    </row>
    <row r="47" spans="1:4" ht="12" customHeight="1" x14ac:dyDescent="0.3">
      <c r="A47" s="4">
        <v>1055</v>
      </c>
      <c r="B47" s="6" t="str">
        <f>VLOOKUP(TABLA_PRECIOS_LISTBOX_VENTAS[Código],LISTADO_PRODUCTOS[#All],4)</f>
        <v>Repuesto Nº3 Éxito x 24h - 7791762486333</v>
      </c>
      <c r="C47" s="6" t="str">
        <f>VLOOKUP(TABLA_PRECIOS_LISTBOX_VENTAS[Código],LISTADO_PRODUCTOS[#All],5)</f>
        <v>N/A</v>
      </c>
      <c r="D47" s="28">
        <f>VLOOKUP(TABLA_PRECIOS_LISTBOX_VENTAS[[#This Row],[Código]],TABLA_PRECIOS[#All],7)</f>
        <v>1</v>
      </c>
    </row>
    <row r="48" spans="1:4" ht="12" customHeight="1" x14ac:dyDescent="0.3">
      <c r="A48" s="4">
        <v>1056</v>
      </c>
      <c r="B48" s="6" t="str">
        <f>VLOOKUP(TABLA_PRECIOS_LISTBOX_VENTAS[Código],LISTADO_PRODUCTOS[#All],4)</f>
        <v>Repuesto Nº3 Rivadavia x 480h - 7792216050162</v>
      </c>
      <c r="C48" s="6" t="str">
        <f>VLOOKUP(TABLA_PRECIOS_LISTBOX_VENTAS[Código],LISTADO_PRODUCTOS[#All],5)</f>
        <v>N/A</v>
      </c>
      <c r="D48" s="28">
        <f>VLOOKUP(TABLA_PRECIOS_LISTBOX_VENTAS[[#This Row],[Código]],TABLA_PRECIOS[#All],7)</f>
        <v>1</v>
      </c>
    </row>
    <row r="49" spans="1:4" ht="12" customHeight="1" x14ac:dyDescent="0.3">
      <c r="A49" s="4">
        <v>1057</v>
      </c>
      <c r="B49" s="6" t="str">
        <f>VLOOKUP(TABLA_PRECIOS_LISTBOX_VENTAS[Código],LISTADO_PRODUCTOS[#All],4)</f>
        <v>Repuesto Nº3 Rivadavia x 96h - 7792216041658</v>
      </c>
      <c r="C49" s="6" t="str">
        <f>VLOOKUP(TABLA_PRECIOS_LISTBOX_VENTAS[Código],LISTADO_PRODUCTOS[#All],5)</f>
        <v>N/A</v>
      </c>
      <c r="D49" s="28">
        <f>VLOOKUP(TABLA_PRECIOS_LISTBOX_VENTAS[[#This Row],[Código]],TABLA_PRECIOS[#All],7)</f>
        <v>1</v>
      </c>
    </row>
    <row r="50" spans="1:4" ht="12" customHeight="1" x14ac:dyDescent="0.3">
      <c r="A50" s="4">
        <v>1058</v>
      </c>
      <c r="B50" s="6" t="str">
        <f>VLOOKUP(TABLA_PRECIOS_LISTBOX_VENTAS[Código],LISTADO_PRODUCTOS[#All],4)</f>
        <v>Repuesto Nº3 Rivadavia x 48h</v>
      </c>
      <c r="C50" s="6" t="str">
        <f>VLOOKUP(TABLA_PRECIOS_LISTBOX_VENTAS[Código],LISTADO_PRODUCTOS[#All],5)</f>
        <v>N/A</v>
      </c>
      <c r="D50" s="28">
        <f>VLOOKUP(TABLA_PRECIOS_LISTBOX_VENTAS[[#This Row],[Código]],TABLA_PRECIOS[#All],7)</f>
        <v>1</v>
      </c>
    </row>
    <row r="51" spans="1:4" ht="12" customHeight="1" x14ac:dyDescent="0.3">
      <c r="A51" s="4">
        <v>1059</v>
      </c>
      <c r="B51" s="6" t="str">
        <f>VLOOKUP(TABLA_PRECIOS_LISTBOX_VENTAS[Código],LISTADO_PRODUCTOS[#All],4)</f>
        <v>Repuesto Nº3 Rivadavia x 24h</v>
      </c>
      <c r="C51" s="6" t="str">
        <f>VLOOKUP(TABLA_PRECIOS_LISTBOX_VENTAS[Código],LISTADO_PRODUCTOS[#All],5)</f>
        <v>N/A</v>
      </c>
      <c r="D51" s="28">
        <f>VLOOKUP(TABLA_PRECIOS_LISTBOX_VENTAS[[#This Row],[Código]],TABLA_PRECIOS[#All],7)</f>
        <v>1</v>
      </c>
    </row>
    <row r="52" spans="1:4" ht="12" customHeight="1" x14ac:dyDescent="0.3">
      <c r="A52" s="4">
        <v>1060</v>
      </c>
      <c r="B52" s="6" t="str">
        <f>VLOOKUP(TABLA_PRECIOS_LISTBOX_VENTAS[Código],LISTADO_PRODUCTOS[#All],4)</f>
        <v>Cuaderno T/flex Gloria x 84h</v>
      </c>
      <c r="C52" s="6" t="str">
        <f>VLOOKUP(TABLA_PRECIOS_LISTBOX_VENTAS[Código],LISTADO_PRODUCTOS[#All],5)</f>
        <v>N/A</v>
      </c>
      <c r="D52" s="28">
        <f>VLOOKUP(TABLA_PRECIOS_LISTBOX_VENTAS[[#This Row],[Código]],TABLA_PRECIOS[#All],7)</f>
        <v>1</v>
      </c>
    </row>
    <row r="53" spans="1:4" ht="12" customHeight="1" x14ac:dyDescent="0.3">
      <c r="A53" s="4">
        <v>1061</v>
      </c>
      <c r="B53" s="6" t="str">
        <f>VLOOKUP(TABLA_PRECIOS_LISTBOX_VENTAS[Código],LISTADO_PRODUCTOS[#All],4)</f>
        <v xml:space="preserve">Repuesto husares x 96h A4 rayado - </v>
      </c>
      <c r="C53" s="6" t="str">
        <f>VLOOKUP(TABLA_PRECIOS_LISTBOX_VENTAS[Código],LISTADO_PRODUCTOS[#All],5)</f>
        <v>N/A</v>
      </c>
      <c r="D53" s="28">
        <f>VLOOKUP(TABLA_PRECIOS_LISTBOX_VENTAS[[#This Row],[Código]],TABLA_PRECIOS[#All],7)</f>
        <v>1</v>
      </c>
    </row>
    <row r="54" spans="1:4" ht="12" customHeight="1" x14ac:dyDescent="0.3">
      <c r="A54" s="4">
        <v>1062</v>
      </c>
      <c r="B54" s="6" t="str">
        <f>VLOOKUP(TABLA_PRECIOS_LISTBOX_VENTAS[Código],LISTADO_PRODUCTOS[#All],4)</f>
        <v>Repuesto A4 Husares 96h - 7792564060837</v>
      </c>
      <c r="C54" s="6" t="str">
        <f>VLOOKUP(TABLA_PRECIOS_LISTBOX_VENTAS[Código],LISTADO_PRODUCTOS[#All],5)</f>
        <v>N/A</v>
      </c>
      <c r="D54" s="28">
        <f>VLOOKUP(TABLA_PRECIOS_LISTBOX_VENTAS[[#This Row],[Código]],TABLA_PRECIOS[#All],7)</f>
        <v>1</v>
      </c>
    </row>
    <row r="55" spans="1:4" ht="12" customHeight="1" x14ac:dyDescent="0.3">
      <c r="A55" s="4">
        <v>1063</v>
      </c>
      <c r="B55" s="6" t="str">
        <f>VLOOKUP(TABLA_PRECIOS_LISTBOX_VENTAS[Código],LISTADO_PRODUCTOS[#All],4)</f>
        <v>Repuesto escolar N°3 Husares x 96h</v>
      </c>
      <c r="C55" s="6" t="str">
        <f>VLOOKUP(TABLA_PRECIOS_LISTBOX_VENTAS[Código],LISTADO_PRODUCTOS[#All],5)</f>
        <v>N/A</v>
      </c>
      <c r="D55" s="28">
        <f>VLOOKUP(TABLA_PRECIOS_LISTBOX_VENTAS[[#This Row],[Código]],TABLA_PRECIOS[#All],7)</f>
        <v>1</v>
      </c>
    </row>
    <row r="56" spans="1:4" ht="12" customHeight="1" x14ac:dyDescent="0.3">
      <c r="A56" s="4">
        <v>1064</v>
      </c>
      <c r="B56" s="6" t="str">
        <f>VLOOKUP(TABLA_PRECIOS_LISTBOX_VENTAS[Código],LISTADO_PRODUCTOS[#All],4)</f>
        <v>Repuesto Nº6 Canson Luma Blanco</v>
      </c>
      <c r="C56" s="6" t="str">
        <f>VLOOKUP(TABLA_PRECIOS_LISTBOX_VENTAS[Código],LISTADO_PRODUCTOS[#All],5)</f>
        <v>N/A</v>
      </c>
      <c r="D56" s="28">
        <f>VLOOKUP(TABLA_PRECIOS_LISTBOX_VENTAS[[#This Row],[Código]],TABLA_PRECIOS[#All],7)</f>
        <v>1</v>
      </c>
    </row>
    <row r="57" spans="1:4" ht="12" customHeight="1" x14ac:dyDescent="0.3">
      <c r="A57" s="4">
        <v>1065</v>
      </c>
      <c r="B57" s="6" t="str">
        <f>VLOOKUP(TABLA_PRECIOS_LISTBOX_VENTAS[Código],LISTADO_PRODUCTOS[#All],4)</f>
        <v>Repuesto Nº5 Canson Luma Blanco</v>
      </c>
      <c r="C57" s="6" t="str">
        <f>VLOOKUP(TABLA_PRECIOS_LISTBOX_VENTAS[Código],LISTADO_PRODUCTOS[#All],5)</f>
        <v>N/A</v>
      </c>
      <c r="D57" s="28">
        <f>VLOOKUP(TABLA_PRECIOS_LISTBOX_VENTAS[[#This Row],[Código]],TABLA_PRECIOS[#All],7)</f>
        <v>1</v>
      </c>
    </row>
    <row r="58" spans="1:4" ht="12" customHeight="1" x14ac:dyDescent="0.3">
      <c r="A58" s="4">
        <v>1066</v>
      </c>
      <c r="B58" s="6" t="str">
        <f>VLOOKUP(TABLA_PRECIOS_LISTBOX_VENTAS[Código],LISTADO_PRODUCTOS[#All],4)</f>
        <v>Repuesto Nº3 Canson Luma Blanco</v>
      </c>
      <c r="C58" s="6" t="str">
        <f>VLOOKUP(TABLA_PRECIOS_LISTBOX_VENTAS[Código],LISTADO_PRODUCTOS[#All],5)</f>
        <v>N/A</v>
      </c>
      <c r="D58" s="28">
        <f>VLOOKUP(TABLA_PRECIOS_LISTBOX_VENTAS[[#This Row],[Código]],TABLA_PRECIOS[#All],7)</f>
        <v>1</v>
      </c>
    </row>
    <row r="59" spans="1:4" ht="12" customHeight="1" x14ac:dyDescent="0.3">
      <c r="A59" s="4">
        <v>1067</v>
      </c>
      <c r="B59" s="6" t="str">
        <f>VLOOKUP(TABLA_PRECIOS_LISTBOX_VENTAS[Código],LISTADO_PRODUCTOS[#All],4)</f>
        <v>Repuesto Nº5 Canson Luma Color</v>
      </c>
      <c r="C59" s="6" t="str">
        <f>VLOOKUP(TABLA_PRECIOS_LISTBOX_VENTAS[Código],LISTADO_PRODUCTOS[#All],5)</f>
        <v>N/A</v>
      </c>
      <c r="D59" s="28">
        <f>VLOOKUP(TABLA_PRECIOS_LISTBOX_VENTAS[[#This Row],[Código]],TABLA_PRECIOS[#All],7)</f>
        <v>1</v>
      </c>
    </row>
    <row r="60" spans="1:4" ht="12" customHeight="1" x14ac:dyDescent="0.3">
      <c r="A60" s="4">
        <v>1068</v>
      </c>
      <c r="B60" s="6" t="str">
        <f>VLOOKUP(TABLA_PRECIOS_LISTBOX_VENTAS[Código],LISTADO_PRODUCTOS[#All],4)</f>
        <v>Repuesto Nº3 Canson Luma Color</v>
      </c>
      <c r="C60" s="6" t="str">
        <f>VLOOKUP(TABLA_PRECIOS_LISTBOX_VENTAS[Código],LISTADO_PRODUCTOS[#All],5)</f>
        <v>N/A</v>
      </c>
      <c r="D60" s="28">
        <f>VLOOKUP(TABLA_PRECIOS_LISTBOX_VENTAS[[#This Row],[Código]],TABLA_PRECIOS[#All],7)</f>
        <v>1</v>
      </c>
    </row>
    <row r="61" spans="1:4" ht="12" customHeight="1" x14ac:dyDescent="0.3">
      <c r="A61" s="4">
        <v>1069</v>
      </c>
      <c r="B61" s="6" t="str">
        <f>VLOOKUP(TABLA_PRECIOS_LISTBOX_VENTAS[Código],LISTADO_PRODUCTOS[#All],4)</f>
        <v>Repuesto Nº5 Canson Luma Negro</v>
      </c>
      <c r="C61" s="6" t="str">
        <f>VLOOKUP(TABLA_PRECIOS_LISTBOX_VENTAS[Código],LISTADO_PRODUCTOS[#All],5)</f>
        <v>N/A</v>
      </c>
      <c r="D61" s="28">
        <f>VLOOKUP(TABLA_PRECIOS_LISTBOX_VENTAS[[#This Row],[Código]],TABLA_PRECIOS[#All],7)</f>
        <v>1</v>
      </c>
    </row>
    <row r="62" spans="1:4" ht="12" customHeight="1" x14ac:dyDescent="0.3">
      <c r="A62" s="4">
        <v>1070</v>
      </c>
      <c r="B62" s="6" t="str">
        <f>VLOOKUP(TABLA_PRECIOS_LISTBOX_VENTAS[Código],LISTADO_PRODUCTOS[#All],4)</f>
        <v>Repuesto Nº3 Canson Luma Negro</v>
      </c>
      <c r="C62" s="6" t="str">
        <f>VLOOKUP(TABLA_PRECIOS_LISTBOX_VENTAS[Código],LISTADO_PRODUCTOS[#All],5)</f>
        <v>N/A</v>
      </c>
      <c r="D62" s="28">
        <f>VLOOKUP(TABLA_PRECIOS_LISTBOX_VENTAS[[#This Row],[Código]],TABLA_PRECIOS[#All],7)</f>
        <v>1</v>
      </c>
    </row>
    <row r="63" spans="1:4" ht="12" customHeight="1" x14ac:dyDescent="0.3">
      <c r="A63" s="4">
        <v>1071</v>
      </c>
      <c r="B63" s="6" t="str">
        <f>VLOOKUP(TABLA_PRECIOS_LISTBOX_VENTAS[Código],LISTADO_PRODUCTOS[#All],4)</f>
        <v>Repuesto Nº5 Calcar Luma</v>
      </c>
      <c r="C63" s="6" t="str">
        <f>VLOOKUP(TABLA_PRECIOS_LISTBOX_VENTAS[Código],LISTADO_PRODUCTOS[#All],5)</f>
        <v>N/A</v>
      </c>
      <c r="D63" s="28">
        <f>VLOOKUP(TABLA_PRECIOS_LISTBOX_VENTAS[[#This Row],[Código]],TABLA_PRECIOS[#All],7)</f>
        <v>1</v>
      </c>
    </row>
    <row r="64" spans="1:4" ht="12" customHeight="1" x14ac:dyDescent="0.3">
      <c r="A64" s="4">
        <v>1072</v>
      </c>
      <c r="B64" s="6" t="str">
        <f>VLOOKUP(TABLA_PRECIOS_LISTBOX_VENTAS[Código],LISTADO_PRODUCTOS[#All],4)</f>
        <v>Repuesto Nº3 Calcar Luma</v>
      </c>
      <c r="C64" s="6" t="str">
        <f>VLOOKUP(TABLA_PRECIOS_LISTBOX_VENTAS[Código],LISTADO_PRODUCTOS[#All],5)</f>
        <v>N/A</v>
      </c>
      <c r="D64" s="28">
        <f>VLOOKUP(TABLA_PRECIOS_LISTBOX_VENTAS[[#This Row],[Código]],TABLA_PRECIOS[#All],7)</f>
        <v>1</v>
      </c>
    </row>
    <row r="65" spans="1:4" ht="12" customHeight="1" x14ac:dyDescent="0.3">
      <c r="A65" s="4">
        <v>1073</v>
      </c>
      <c r="B65" s="6" t="str">
        <f>VLOOKUP(TABLA_PRECIOS_LISTBOX_VENTAS[Código],LISTADO_PRODUCTOS[#All],4)</f>
        <v>Carpeta escolar Nº3 colores y dibujos lindos Mooving</v>
      </c>
      <c r="C65" s="6" t="str">
        <f>VLOOKUP(TABLA_PRECIOS_LISTBOX_VENTAS[Código],LISTADO_PRODUCTOS[#All],5)</f>
        <v>N/A</v>
      </c>
      <c r="D65" s="28">
        <f>VLOOKUP(TABLA_PRECIOS_LISTBOX_VENTAS[[#This Row],[Código]],TABLA_PRECIOS[#All],7)</f>
        <v>1</v>
      </c>
    </row>
    <row r="66" spans="1:4" ht="12" customHeight="1" x14ac:dyDescent="0.3">
      <c r="A66" s="4">
        <v>1074</v>
      </c>
      <c r="B66" s="6" t="str">
        <f>VLOOKUP(TABLA_PRECIOS_LISTBOX_VENTAS[Código],LISTADO_PRODUCTOS[#All],4)</f>
        <v>Carpeta Nº3 Neon 2020</v>
      </c>
      <c r="C66" s="6" t="str">
        <f>VLOOKUP(TABLA_PRECIOS_LISTBOX_VENTAS[Código],LISTADO_PRODUCTOS[#All],5)</f>
        <v>N/A</v>
      </c>
      <c r="D66" s="28">
        <f>VLOOKUP(TABLA_PRECIOS_LISTBOX_VENTAS[[#This Row],[Código]],TABLA_PRECIOS[#All],7)</f>
        <v>1</v>
      </c>
    </row>
    <row r="67" spans="1:4" ht="12" customHeight="1" x14ac:dyDescent="0.3">
      <c r="A67" s="4">
        <v>1075</v>
      </c>
      <c r="B67" s="6" t="str">
        <f>VLOOKUP(TABLA_PRECIOS_LISTBOX_VENTAS[Código],LISTADO_PRODUCTOS[#All],4)</f>
        <v>Carpeta Nº3 Jurasic Park</v>
      </c>
      <c r="C67" s="6" t="str">
        <f>VLOOKUP(TABLA_PRECIOS_LISTBOX_VENTAS[Código],LISTADO_PRODUCTOS[#All],5)</f>
        <v>N/A</v>
      </c>
      <c r="D67" s="28">
        <f>VLOOKUP(TABLA_PRECIOS_LISTBOX_VENTAS[[#This Row],[Código]],TABLA_PRECIOS[#All],7)</f>
        <v>1</v>
      </c>
    </row>
    <row r="68" spans="1:4" ht="12" customHeight="1" x14ac:dyDescent="0.3">
      <c r="A68" s="4">
        <v>1076</v>
      </c>
      <c r="B68" s="6" t="str">
        <f>VLOOKUP(TABLA_PRECIOS_LISTBOX_VENTAS[Código],LISTADO_PRODUCTOS[#All],4)</f>
        <v>Carpeta Nº3 3aros diseño zapatilla linea snakers Ito 2020</v>
      </c>
      <c r="C68" s="6" t="str">
        <f>VLOOKUP(TABLA_PRECIOS_LISTBOX_VENTAS[Código],LISTADO_PRODUCTOS[#All],5)</f>
        <v>N/A</v>
      </c>
      <c r="D68" s="28">
        <f>VLOOKUP(TABLA_PRECIOS_LISTBOX_VENTAS[[#This Row],[Código]],TABLA_PRECIOS[#All],7)</f>
        <v>1</v>
      </c>
    </row>
    <row r="69" spans="1:4" ht="12" customHeight="1" x14ac:dyDescent="0.3">
      <c r="A69" s="4">
        <v>1077</v>
      </c>
      <c r="B69" s="6" t="str">
        <f>VLOOKUP(TABLA_PRECIOS_LISTBOX_VENTAS[Código],LISTADO_PRODUCTOS[#All],4)</f>
        <v>Carpeta Nº3 isofit forrada lisa</v>
      </c>
      <c r="C69" s="6" t="str">
        <f>VLOOKUP(TABLA_PRECIOS_LISTBOX_VENTAS[Código],LISTADO_PRODUCTOS[#All],5)</f>
        <v>N/A</v>
      </c>
      <c r="D69" s="28">
        <f>VLOOKUP(TABLA_PRECIOS_LISTBOX_VENTAS[[#This Row],[Código]],TABLA_PRECIOS[#All],7)</f>
        <v>1</v>
      </c>
    </row>
    <row r="70" spans="1:4" ht="12" customHeight="1" x14ac:dyDescent="0.3">
      <c r="A70" s="4">
        <v>1078</v>
      </c>
      <c r="B70" s="6" t="str">
        <f>VLOOKUP(TABLA_PRECIOS_LISTBOX_VENTAS[Código],LISTADO_PRODUCTOS[#All],4)</f>
        <v>Carpeta Nº3 Rivadavia C/Çhojas</v>
      </c>
      <c r="C70" s="6" t="str">
        <f>VLOOKUP(TABLA_PRECIOS_LISTBOX_VENTAS[Código],LISTADO_PRODUCTOS[#All],5)</f>
        <v>N/A</v>
      </c>
      <c r="D70" s="28">
        <f>VLOOKUP(TABLA_PRECIOS_LISTBOX_VENTAS[[#This Row],[Código]],TABLA_PRECIOS[#All],7)</f>
        <v>1</v>
      </c>
    </row>
    <row r="71" spans="1:4" ht="12" customHeight="1" x14ac:dyDescent="0.3">
      <c r="A71" s="4">
        <v>1079</v>
      </c>
      <c r="B71" s="6" t="str">
        <f>VLOOKUP(TABLA_PRECIOS_LISTBOX_VENTAS[Código],LISTADO_PRODUCTOS[#All],4)</f>
        <v>Carpeta escolar Nº3 Util-off Mia / Love</v>
      </c>
      <c r="C71" s="6" t="str">
        <f>VLOOKUP(TABLA_PRECIOS_LISTBOX_VENTAS[Código],LISTADO_PRODUCTOS[#All],5)</f>
        <v>N/A</v>
      </c>
      <c r="D71" s="28">
        <f>VLOOKUP(TABLA_PRECIOS_LISTBOX_VENTAS[[#This Row],[Código]],TABLA_PRECIOS[#All],7)</f>
        <v>1</v>
      </c>
    </row>
    <row r="72" spans="1:4" ht="12" customHeight="1" x14ac:dyDescent="0.3">
      <c r="A72" s="4">
        <v>1080</v>
      </c>
      <c r="B72" s="6" t="str">
        <f>VLOOKUP(TABLA_PRECIOS_LISTBOX_VENTAS[Código],LISTADO_PRODUCTOS[#All],4)</f>
        <v>Carpeta Dibujo Nº3 3aros (Se entrega con aros OTA 35mm)</v>
      </c>
      <c r="C72" s="6" t="str">
        <f>VLOOKUP(TABLA_PRECIOS_LISTBOX_VENTAS[Código],LISTADO_PRODUCTOS[#All],5)</f>
        <v>N/A</v>
      </c>
      <c r="D72" s="28">
        <f>VLOOKUP(TABLA_PRECIOS_LISTBOX_VENTAS[[#This Row],[Código]],TABLA_PRECIOS[#All],7)</f>
        <v>1</v>
      </c>
    </row>
    <row r="73" spans="1:4" ht="12" customHeight="1" x14ac:dyDescent="0.3">
      <c r="A73" s="4">
        <v>1081</v>
      </c>
      <c r="B73" s="6" t="str">
        <f>VLOOKUP(TABLA_PRECIOS_LISTBOX_VENTAS[Código],LISTADO_PRODUCTOS[#All],4)</f>
        <v>Carpeta Avery esquela 3 anillos small format</v>
      </c>
      <c r="C73" s="6" t="str">
        <f>VLOOKUP(TABLA_PRECIOS_LISTBOX_VENTAS[Código],LISTADO_PRODUCTOS[#All],5)</f>
        <v>N/A</v>
      </c>
      <c r="D73" s="28">
        <f>VLOOKUP(TABLA_PRECIOS_LISTBOX_VENTAS[[#This Row],[Código]],TABLA_PRECIOS[#All],7)</f>
        <v>1</v>
      </c>
    </row>
    <row r="74" spans="1:4" ht="12" customHeight="1" x14ac:dyDescent="0.3">
      <c r="A74" s="4">
        <v>1082</v>
      </c>
      <c r="B74" s="6" t="str">
        <f>VLOOKUP(TABLA_PRECIOS_LISTBOX_VENTAS[Código],LISTADO_PRODUCTOS[#All],4)</f>
        <v>Cuaderno Nº3 Triunfante lunares x 50h</v>
      </c>
      <c r="C74" s="6" t="str">
        <f>VLOOKUP(TABLA_PRECIOS_LISTBOX_VENTAS[Código],LISTADO_PRODUCTOS[#All],5)</f>
        <v>N/A</v>
      </c>
      <c r="D74" s="28">
        <f>VLOOKUP(TABLA_PRECIOS_LISTBOX_VENTAS[[#This Row],[Código]],TABLA_PRECIOS[#All],7)</f>
        <v>1</v>
      </c>
    </row>
    <row r="75" spans="1:4" ht="12" customHeight="1" x14ac:dyDescent="0.3">
      <c r="A75" s="4">
        <v>1083</v>
      </c>
      <c r="B75" s="6" t="str">
        <f>VLOOKUP(TABLA_PRECIOS_LISTBOX_VENTAS[Código],LISTADO_PRODUCTOS[#All],4)</f>
        <v>Carpeta Nº5 mooving / camaron brujo / rexon / ink-drop  c/aros</v>
      </c>
      <c r="C75" s="6" t="str">
        <f>VLOOKUP(TABLA_PRECIOS_LISTBOX_VENTAS[Código],LISTADO_PRODUCTOS[#All],5)</f>
        <v>N/A</v>
      </c>
      <c r="D75" s="28">
        <f>VLOOKUP(TABLA_PRECIOS_LISTBOX_VENTAS[[#This Row],[Código]],TABLA_PRECIOS[#All],7)</f>
        <v>1</v>
      </c>
    </row>
    <row r="76" spans="1:4" ht="12" customHeight="1" x14ac:dyDescent="0.3">
      <c r="A76" s="4">
        <v>1084</v>
      </c>
      <c r="B76" s="6" t="str">
        <f>VLOOKUP(TABLA_PRECIOS_LISTBOX_VENTAS[Código],LISTADO_PRODUCTOS[#All],4)</f>
        <v>Carpeta Nº5 el nene c/aros y hojas</v>
      </c>
      <c r="C76" s="6" t="str">
        <f>VLOOKUP(TABLA_PRECIOS_LISTBOX_VENTAS[Código],LISTADO_PRODUCTOS[#All],5)</f>
        <v>N/A</v>
      </c>
      <c r="D76" s="28">
        <f>VLOOKUP(TABLA_PRECIOS_LISTBOX_VENTAS[[#This Row],[Código]],TABLA_PRECIOS[#All],7)</f>
        <v>1</v>
      </c>
    </row>
    <row r="77" spans="1:4" ht="12" customHeight="1" x14ac:dyDescent="0.3">
      <c r="A77" s="4">
        <v>1085</v>
      </c>
      <c r="B77" s="6" t="str">
        <f>VLOOKUP(TABLA_PRECIOS_LISTBOX_VENTAS[Código],LISTADO_PRODUCTOS[#All],4)</f>
        <v>Carpeta Nº5 C/Relieve</v>
      </c>
      <c r="C77" s="6" t="str">
        <f>VLOOKUP(TABLA_PRECIOS_LISTBOX_VENTAS[Código],LISTADO_PRODUCTOS[#All],5)</f>
        <v>N/A</v>
      </c>
      <c r="D77" s="28">
        <f>VLOOKUP(TABLA_PRECIOS_LISTBOX_VENTAS[[#This Row],[Código]],TABLA_PRECIOS[#All],7)</f>
        <v>1</v>
      </c>
    </row>
    <row r="78" spans="1:4" ht="12" customHeight="1" x14ac:dyDescent="0.3">
      <c r="A78" s="4">
        <v>1086</v>
      </c>
      <c r="B78" s="6" t="str">
        <f>VLOOKUP(TABLA_PRECIOS_LISTBOX_VENTAS[Código],LISTADO_PRODUCTOS[#All],4)</f>
        <v>Carpeta Nº5 Lavable</v>
      </c>
      <c r="C78" s="6" t="str">
        <f>VLOOKUP(TABLA_PRECIOS_LISTBOX_VENTAS[Código],LISTADO_PRODUCTOS[#All],5)</f>
        <v>N/A</v>
      </c>
      <c r="D78" s="28">
        <f>VLOOKUP(TABLA_PRECIOS_LISTBOX_VENTAS[[#This Row],[Código]],TABLA_PRECIOS[#All],7)</f>
        <v>1</v>
      </c>
    </row>
    <row r="79" spans="1:4" ht="12" customHeight="1" x14ac:dyDescent="0.3">
      <c r="A79" s="4">
        <v>1087</v>
      </c>
      <c r="B79" s="6" t="str">
        <f>VLOOKUP(TABLA_PRECIOS_LISTBOX_VENTAS[Código],LISTADO_PRODUCTOS[#All],4)</f>
        <v>Carpeta 3 Solapas Mot. Varios</v>
      </c>
      <c r="C79" s="6" t="str">
        <f>VLOOKUP(TABLA_PRECIOS_LISTBOX_VENTAS[Código],LISTADO_PRODUCTOS[#All],5)</f>
        <v>N/A</v>
      </c>
      <c r="D79" s="28">
        <f>VLOOKUP(TABLA_PRECIOS_LISTBOX_VENTAS[[#This Row],[Código]],TABLA_PRECIOS[#All],7)</f>
        <v>1</v>
      </c>
    </row>
    <row r="80" spans="1:4" ht="12" customHeight="1" x14ac:dyDescent="0.3">
      <c r="A80" s="4">
        <v>1088</v>
      </c>
      <c r="B80" s="6" t="str">
        <f>VLOOKUP(TABLA_PRECIOS_LISTBOX_VENTAS[Código],LISTADO_PRODUCTOS[#All],4)</f>
        <v>Carpeta 3 Solapas Comun</v>
      </c>
      <c r="C80" s="6" t="str">
        <f>VLOOKUP(TABLA_PRECIOS_LISTBOX_VENTAS[Código],LISTADO_PRODUCTOS[#All],5)</f>
        <v>N/A</v>
      </c>
      <c r="D80" s="28">
        <f>VLOOKUP(TABLA_PRECIOS_LISTBOX_VENTAS[[#This Row],[Código]],TABLA_PRECIOS[#All],7)</f>
        <v>1</v>
      </c>
    </row>
    <row r="81" spans="1:4" ht="12" customHeight="1" x14ac:dyDescent="0.3">
      <c r="A81" s="4">
        <v>1089</v>
      </c>
      <c r="B81" s="6" t="str">
        <f>VLOOKUP(TABLA_PRECIOS_LISTBOX_VENTAS[Código],LISTADO_PRODUCTOS[#All],4)</f>
        <v>Carpeta 3 solapas 35 x 50 Rivadavia</v>
      </c>
      <c r="C81" s="6" t="str">
        <f>VLOOKUP(TABLA_PRECIOS_LISTBOX_VENTAS[Código],LISTADO_PRODUCTOS[#All],5)</f>
        <v>N/A</v>
      </c>
      <c r="D81" s="28">
        <f>VLOOKUP(TABLA_PRECIOS_LISTBOX_VENTAS[[#This Row],[Código]],TABLA_PRECIOS[#All],7)</f>
        <v>1</v>
      </c>
    </row>
    <row r="82" spans="1:4" ht="12" customHeight="1" x14ac:dyDescent="0.3">
      <c r="A82" s="4">
        <v>1090</v>
      </c>
      <c r="B82" s="6" t="str">
        <f>VLOOKUP(TABLA_PRECIOS_LISTBOX_VENTAS[Código],LISTADO_PRODUCTOS[#All],4)</f>
        <v>Carpeta Fibra 35 x 50</v>
      </c>
      <c r="C82" s="6" t="str">
        <f>VLOOKUP(TABLA_PRECIOS_LISTBOX_VENTAS[Código],LISTADO_PRODUCTOS[#All],5)</f>
        <v>N/A</v>
      </c>
      <c r="D82" s="28">
        <f>VLOOKUP(TABLA_PRECIOS_LISTBOX_VENTAS[[#This Row],[Código]],TABLA_PRECIOS[#All],7)</f>
        <v>1</v>
      </c>
    </row>
    <row r="83" spans="1:4" ht="12" customHeight="1" x14ac:dyDescent="0.3">
      <c r="A83" s="4">
        <v>1091</v>
      </c>
      <c r="B83" s="6" t="str">
        <f>VLOOKUP(TABLA_PRECIOS_LISTBOX_VENTAS[Código],LISTADO_PRODUCTOS[#All],4)</f>
        <v>Repuesto Canson N°5 Luma FLUO</v>
      </c>
      <c r="C83" s="6" t="str">
        <f>VLOOKUP(TABLA_PRECIOS_LISTBOX_VENTAS[Código],LISTADO_PRODUCTOS[#All],5)</f>
        <v>N/A</v>
      </c>
      <c r="D83" s="28">
        <f>VLOOKUP(TABLA_PRECIOS_LISTBOX_VENTAS[[#This Row],[Código]],TABLA_PRECIOS[#All],7)</f>
        <v>1</v>
      </c>
    </row>
    <row r="84" spans="1:4" ht="12" customHeight="1" x14ac:dyDescent="0.3">
      <c r="A84" s="4">
        <v>1092</v>
      </c>
      <c r="B84" s="6" t="str">
        <f>VLOOKUP(TABLA_PRECIOS_LISTBOX_VENTAS[Código],LISTADO_PRODUCTOS[#All],4)</f>
        <v>Carpeta A4 Arte Benito/Barsky/Elisa/Milagros c/repuesto</v>
      </c>
      <c r="C84" s="6" t="str">
        <f>VLOOKUP(TABLA_PRECIOS_LISTBOX_VENTAS[Código],LISTADO_PRODUCTOS[#All],5)</f>
        <v>N/A</v>
      </c>
      <c r="D84" s="28">
        <f>VLOOKUP(TABLA_PRECIOS_LISTBOX_VENTAS[[#This Row],[Código]],TABLA_PRECIOS[#All],7)</f>
        <v>1</v>
      </c>
    </row>
    <row r="85" spans="1:4" ht="12" customHeight="1" x14ac:dyDescent="0.3">
      <c r="A85" s="4">
        <v>1093</v>
      </c>
      <c r="B85" s="6" t="str">
        <f>VLOOKUP(TABLA_PRECIOS_LISTBOX_VENTAS[Código],LISTADO_PRODUCTOS[#All],4)</f>
        <v>Carpeta A4 Rivadavia c/repuesto x96hray y 48h cuad + separadores</v>
      </c>
      <c r="C85" s="6" t="str">
        <f>VLOOKUP(TABLA_PRECIOS_LISTBOX_VENTAS[Código],LISTADO_PRODUCTOS[#All],5)</f>
        <v>N/A</v>
      </c>
      <c r="D85" s="28">
        <f>VLOOKUP(TABLA_PRECIOS_LISTBOX_VENTAS[[#This Row],[Código]],TABLA_PRECIOS[#All],7)</f>
        <v>1</v>
      </c>
    </row>
    <row r="86" spans="1:4" ht="12" customHeight="1" x14ac:dyDescent="0.3">
      <c r="A86" s="4">
        <v>1094</v>
      </c>
      <c r="B86" s="6" t="str">
        <f>VLOOKUP(TABLA_PRECIOS_LISTBOX_VENTAS[Código],LISTADO_PRODUCTOS[#All],4)</f>
        <v>Carpeta A4 Arte Clip/Bloom/barsky/benito c/repuesto</v>
      </c>
      <c r="C86" s="6" t="str">
        <f>VLOOKUP(TABLA_PRECIOS_LISTBOX_VENTAS[Código],LISTADO_PRODUCTOS[#All],5)</f>
        <v>N/A</v>
      </c>
      <c r="D86" s="28">
        <f>VLOOKUP(TABLA_PRECIOS_LISTBOX_VENTAS[[#This Row],[Código]],TABLA_PRECIOS[#All],7)</f>
        <v>1</v>
      </c>
    </row>
    <row r="87" spans="1:4" ht="12" customHeight="1" x14ac:dyDescent="0.3">
      <c r="A87" s="4">
        <v>1095</v>
      </c>
      <c r="B87" s="6" t="str">
        <f>VLOOKUP(TABLA_PRECIOS_LISTBOX_VENTAS[Código],LISTADO_PRODUCTOS[#All],4)</f>
        <v>Marcador Maped Color Peps Duo Stamp</v>
      </c>
      <c r="C87" s="6" t="str">
        <f>VLOOKUP(TABLA_PRECIOS_LISTBOX_VENTAS[Código],LISTADO_PRODUCTOS[#All],5)</f>
        <v>N/A</v>
      </c>
      <c r="D87" s="28">
        <f>VLOOKUP(TABLA_PRECIOS_LISTBOX_VENTAS[[#This Row],[Código]],TABLA_PRECIOS[#All],7)</f>
        <v>1</v>
      </c>
    </row>
    <row r="88" spans="1:4" ht="12" customHeight="1" x14ac:dyDescent="0.3">
      <c r="A88" s="4">
        <v>1098</v>
      </c>
      <c r="B88" s="6" t="str">
        <f>VLOOKUP(TABLA_PRECIOS_LISTBOX_VENTAS[Código],LISTADO_PRODUCTOS[#All],4)</f>
        <v>Crayon Pizzini x 6u Art. 9206</v>
      </c>
      <c r="C88" s="6" t="str">
        <f>VLOOKUP(TABLA_PRECIOS_LISTBOX_VENTAS[Código],LISTADO_PRODUCTOS[#All],5)</f>
        <v>N/A</v>
      </c>
      <c r="D88" s="28">
        <f>VLOOKUP(TABLA_PRECIOS_LISTBOX_VENTAS[[#This Row],[Código]],TABLA_PRECIOS[#All],7)</f>
        <v>1</v>
      </c>
    </row>
    <row r="89" spans="1:4" ht="12" customHeight="1" x14ac:dyDescent="0.3">
      <c r="A89" s="4">
        <v>1099</v>
      </c>
      <c r="B89" s="6" t="str">
        <f>VLOOKUP(TABLA_PRECIOS_LISTBOX_VENTAS[Código],LISTADO_PRODUCTOS[#All],4)</f>
        <v>Block de dibujo Luma/triunfante Nº5 20/24 hojas color</v>
      </c>
      <c r="C89" s="6" t="str">
        <f>VLOOKUP(TABLA_PRECIOS_LISTBOX_VENTAS[Código],LISTADO_PRODUCTOS[#All],5)</f>
        <v>N/A</v>
      </c>
      <c r="D89" s="28">
        <f>VLOOKUP(TABLA_PRECIOS_LISTBOX_VENTAS[[#This Row],[Código]],TABLA_PRECIOS[#All],7)</f>
        <v>1</v>
      </c>
    </row>
    <row r="90" spans="1:4" ht="12" customHeight="1" x14ac:dyDescent="0.3">
      <c r="A90" s="4">
        <v>1100</v>
      </c>
      <c r="B90" s="6" t="str">
        <f>VLOOKUP(TABLA_PRECIOS_LISTBOX_VENTAS[Código],LISTADO_PRODUCTOS[#All],4)</f>
        <v>Micro Tank pen 0,7</v>
      </c>
      <c r="C90" s="6" t="str">
        <f>VLOOKUP(TABLA_PRECIOS_LISTBOX_VENTAS[Código],LISTADO_PRODUCTOS[#All],5)</f>
        <v>N/A</v>
      </c>
      <c r="D90" s="28">
        <f>VLOOKUP(TABLA_PRECIOS_LISTBOX_VENTAS[[#This Row],[Código]],TABLA_PRECIOS[#All],7)</f>
        <v>1</v>
      </c>
    </row>
    <row r="91" spans="1:4" ht="12" customHeight="1" x14ac:dyDescent="0.3">
      <c r="A91" s="4">
        <v>1101</v>
      </c>
      <c r="B91" s="6" t="str">
        <f>VLOOKUP(TABLA_PRECIOS_LISTBOX_VENTAS[Código],LISTADO_PRODUCTOS[#All],4)</f>
        <v>Toyo Max 0,7</v>
      </c>
      <c r="C91" s="6" t="str">
        <f>VLOOKUP(TABLA_PRECIOS_LISTBOX_VENTAS[Código],LISTADO_PRODUCTOS[#All],5)</f>
        <v>N/A</v>
      </c>
      <c r="D91" s="28">
        <f>VLOOKUP(TABLA_PRECIOS_LISTBOX_VENTAS[[#This Row],[Código]],TABLA_PRECIOS[#All],7)</f>
        <v>1</v>
      </c>
    </row>
    <row r="92" spans="1:4" ht="12" customHeight="1" x14ac:dyDescent="0.3">
      <c r="A92" s="4">
        <v>1102</v>
      </c>
      <c r="B92" s="6" t="str">
        <f>VLOOKUP(TABLA_PRECIOS_LISTBOX_VENTAS[Código],LISTADO_PRODUCTOS[#All],4)</f>
        <v>Boligrafo Bic Grip</v>
      </c>
      <c r="C92" s="6" t="str">
        <f>VLOOKUP(TABLA_PRECIOS_LISTBOX_VENTAS[Código],LISTADO_PRODUCTOS[#All],5)</f>
        <v>N/A</v>
      </c>
      <c r="D92" s="28">
        <f>VLOOKUP(TABLA_PRECIOS_LISTBOX_VENTAS[[#This Row],[Código]],TABLA_PRECIOS[#All],7)</f>
        <v>140</v>
      </c>
    </row>
    <row r="93" spans="1:4" ht="12" customHeight="1" x14ac:dyDescent="0.3">
      <c r="A93" s="4">
        <v>1103</v>
      </c>
      <c r="B93" s="6" t="str">
        <f>VLOOKUP(TABLA_PRECIOS_LISTBOX_VENTAS[Código],LISTADO_PRODUCTOS[#All],4)</f>
        <v>Boligrafo Paper Mate Kilometrico 300RT</v>
      </c>
      <c r="C93" s="6" t="str">
        <f>VLOOKUP(TABLA_PRECIOS_LISTBOX_VENTAS[Código],LISTADO_PRODUCTOS[#All],5)</f>
        <v>N/A</v>
      </c>
      <c r="D93" s="28">
        <f>VLOOKUP(TABLA_PRECIOS_LISTBOX_VENTAS[[#This Row],[Código]],TABLA_PRECIOS[#All],7)</f>
        <v>1</v>
      </c>
    </row>
    <row r="94" spans="1:4" ht="12" customHeight="1" x14ac:dyDescent="0.3">
      <c r="A94" s="4">
        <v>1104</v>
      </c>
      <c r="B94" s="6" t="str">
        <f>VLOOKUP(TABLA_PRECIOS_LISTBOX_VENTAS[Código],LISTADO_PRODUCTOS[#All],4)</f>
        <v>Boligrafo Bic Cristal fina 2x $300</v>
      </c>
      <c r="C94" s="6" t="str">
        <f>VLOOKUP(TABLA_PRECIOS_LISTBOX_VENTAS[Código],LISTADO_PRODUCTOS[#All],5)</f>
        <v>N/A</v>
      </c>
      <c r="D94" s="28">
        <f>VLOOKUP(TABLA_PRECIOS_LISTBOX_VENTAS[[#This Row],[Código]],TABLA_PRECIOS[#All],7)</f>
        <v>1</v>
      </c>
    </row>
    <row r="95" spans="1:4" ht="12" customHeight="1" x14ac:dyDescent="0.3">
      <c r="A95" s="4">
        <v>1105</v>
      </c>
      <c r="B95" s="6" t="str">
        <f>VLOOKUP(TABLA_PRECIOS_LISTBOX_VENTAS[Código],LISTADO_PRODUCTOS[#All],4)</f>
        <v>Boligrafo Bic Cristal</v>
      </c>
      <c r="C95" s="6" t="str">
        <f>VLOOKUP(TABLA_PRECIOS_LISTBOX_VENTAS[Código],LISTADO_PRODUCTOS[#All],5)</f>
        <v>N/A</v>
      </c>
      <c r="D95" s="28">
        <f>VLOOKUP(TABLA_PRECIOS_LISTBOX_VENTAS[[#This Row],[Código]],TABLA_PRECIOS[#All],7)</f>
        <v>1</v>
      </c>
    </row>
    <row r="96" spans="1:4" ht="12" customHeight="1" x14ac:dyDescent="0.3">
      <c r="A96" s="4">
        <v>1107</v>
      </c>
      <c r="B96" s="6" t="str">
        <f>VLOOKUP(TABLA_PRECIOS_LISTBOX_VENTAS[Código],LISTADO_PRODUCTOS[#All],4)</f>
        <v>Boligrafo Faber Trilux 3 x $300</v>
      </c>
      <c r="C96" s="6" t="str">
        <f>VLOOKUP(TABLA_PRECIOS_LISTBOX_VENTAS[Código],LISTADO_PRODUCTOS[#All],5)</f>
        <v>N/A</v>
      </c>
      <c r="D96" s="28">
        <f>VLOOKUP(TABLA_PRECIOS_LISTBOX_VENTAS[[#This Row],[Código]],TABLA_PRECIOS[#All],7)</f>
        <v>1</v>
      </c>
    </row>
    <row r="97" spans="1:4" ht="12" customHeight="1" x14ac:dyDescent="0.3">
      <c r="A97" s="4">
        <v>1108</v>
      </c>
      <c r="B97" s="6" t="str">
        <f>VLOOKUP(TABLA_PRECIOS_LISTBOX_VENTAS[Código],LISTADO_PRODUCTOS[#All],4)</f>
        <v>Boligrafo Bic opaco 2 x $300</v>
      </c>
      <c r="C97" s="6" t="str">
        <f>VLOOKUP(TABLA_PRECIOS_LISTBOX_VENTAS[Código],LISTADO_PRODUCTOS[#All],5)</f>
        <v>N/A</v>
      </c>
      <c r="D97" s="28">
        <f>VLOOKUP(TABLA_PRECIOS_LISTBOX_VENTAS[[#This Row],[Código]],TABLA_PRECIOS[#All],7)</f>
        <v>1</v>
      </c>
    </row>
    <row r="98" spans="1:4" ht="12" customHeight="1" x14ac:dyDescent="0.3">
      <c r="A98" s="4">
        <v>1109</v>
      </c>
      <c r="B98" s="6" t="str">
        <f>VLOOKUP(TABLA_PRECIOS_LISTBOX_VENTAS[Código],LISTADO_PRODUCTOS[#All],4)</f>
        <v>Boligrafo Bic Vive</v>
      </c>
      <c r="C98" s="6" t="str">
        <f>VLOOKUP(TABLA_PRECIOS_LISTBOX_VENTAS[Código],LISTADO_PRODUCTOS[#All],5)</f>
        <v>N/A</v>
      </c>
      <c r="D98" s="28">
        <f>VLOOKUP(TABLA_PRECIOS_LISTBOX_VENTAS[[#This Row],[Código]],TABLA_PRECIOS[#All],7)</f>
        <v>1</v>
      </c>
    </row>
    <row r="99" spans="1:4" ht="12" customHeight="1" x14ac:dyDescent="0.3">
      <c r="A99" s="4">
        <v>1110</v>
      </c>
      <c r="B99" s="6" t="str">
        <f>VLOOKUP(TABLA_PRECIOS_LISTBOX_VENTAS[Código],LISTADO_PRODUCTOS[#All],4)</f>
        <v>Boligrafo Bic Shimmer 2 x $300</v>
      </c>
      <c r="C99" s="6" t="str">
        <f>VLOOKUP(TABLA_PRECIOS_LISTBOX_VENTAS[Código],LISTADO_PRODUCTOS[#All],5)</f>
        <v>N/A</v>
      </c>
      <c r="D99" s="28">
        <f>VLOOKUP(TABLA_PRECIOS_LISTBOX_VENTAS[[#This Row],[Código]],TABLA_PRECIOS[#All],7)</f>
        <v>1</v>
      </c>
    </row>
    <row r="100" spans="1:4" ht="12" customHeight="1" x14ac:dyDescent="0.3">
      <c r="A100" s="4">
        <v>1111</v>
      </c>
      <c r="B100" s="6" t="str">
        <f>VLOOKUP(TABLA_PRECIOS_LISTBOX_VENTAS[Código],LISTADO_PRODUCTOS[#All],4)</f>
        <v>Boligrafo Bic Opaco fina</v>
      </c>
      <c r="C100" s="6" t="str">
        <f>VLOOKUP(TABLA_PRECIOS_LISTBOX_VENTAS[Código],LISTADO_PRODUCTOS[#All],5)</f>
        <v>N/A</v>
      </c>
      <c r="D100" s="28">
        <f>VLOOKUP(TABLA_PRECIOS_LISTBOX_VENTAS[[#This Row],[Código]],TABLA_PRECIOS[#All],7)</f>
        <v>1</v>
      </c>
    </row>
    <row r="101" spans="1:4" ht="12" customHeight="1" x14ac:dyDescent="0.3">
      <c r="A101" s="4">
        <v>1112</v>
      </c>
      <c r="B101" s="6" t="str">
        <f>VLOOKUP(TABLA_PRECIOS_LISTBOX_VENTAS[Código],LISTADO_PRODUCTOS[#All],4)</f>
        <v>Boligrafo Bic Bold</v>
      </c>
      <c r="C101" s="6" t="str">
        <f>VLOOKUP(TABLA_PRECIOS_LISTBOX_VENTAS[Código],LISTADO_PRODUCTOS[#All],5)</f>
        <v>N/A</v>
      </c>
      <c r="D101" s="28">
        <f>VLOOKUP(TABLA_PRECIOS_LISTBOX_VENTAS[[#This Row],[Código]],TABLA_PRECIOS[#All],7)</f>
        <v>1</v>
      </c>
    </row>
    <row r="102" spans="1:4" ht="12" customHeight="1" x14ac:dyDescent="0.3">
      <c r="A102" s="4">
        <v>1113</v>
      </c>
      <c r="B102" s="6" t="str">
        <f>VLOOKUP(TABLA_PRECIOS_LISTBOX_VENTAS[Código],LISTADO_PRODUCTOS[#All],4)</f>
        <v>Roller Bic Gripp</v>
      </c>
      <c r="C102" s="6" t="str">
        <f>VLOOKUP(TABLA_PRECIOS_LISTBOX_VENTAS[Código],LISTADO_PRODUCTOS[#All],5)</f>
        <v>N/A</v>
      </c>
      <c r="D102" s="28">
        <f>VLOOKUP(TABLA_PRECIOS_LISTBOX_VENTAS[[#This Row],[Código]],TABLA_PRECIOS[#All],7)</f>
        <v>1</v>
      </c>
    </row>
    <row r="103" spans="1:4" ht="12" customHeight="1" x14ac:dyDescent="0.3">
      <c r="A103" s="4">
        <v>1114</v>
      </c>
      <c r="B103" s="6" t="str">
        <f>VLOOKUP(TABLA_PRECIOS_LISTBOX_VENTAS[Código],LISTADO_PRODUCTOS[#All],4)</f>
        <v>Carpeta N°3 con cordon Comunes</v>
      </c>
      <c r="C103" s="6" t="str">
        <f>VLOOKUP(TABLA_PRECIOS_LISTBOX_VENTAS[Código],LISTADO_PRODUCTOS[#All],5)</f>
        <v>N/A</v>
      </c>
      <c r="D103" s="28">
        <f>VLOOKUP(TABLA_PRECIOS_LISTBOX_VENTAS[[#This Row],[Código]],TABLA_PRECIOS[#All],7)</f>
        <v>1</v>
      </c>
    </row>
    <row r="104" spans="1:4" ht="12" customHeight="1" x14ac:dyDescent="0.3">
      <c r="A104" s="4">
        <v>1115</v>
      </c>
      <c r="B104" s="6" t="str">
        <f>VLOOKUP(TABLA_PRECIOS_LISTBOX_VENTAS[Código],LISTADO_PRODUCTOS[#All],4)</f>
        <v>Boligrafo borrable Erasermate comun</v>
      </c>
      <c r="C104" s="6" t="str">
        <f>VLOOKUP(TABLA_PRECIOS_LISTBOX_VENTAS[Código],LISTADO_PRODUCTOS[#All],5)</f>
        <v>N/A</v>
      </c>
      <c r="D104" s="28">
        <f>VLOOKUP(TABLA_PRECIOS_LISTBOX_VENTAS[[#This Row],[Código]],TABLA_PRECIOS[#All],7)</f>
        <v>1</v>
      </c>
    </row>
    <row r="105" spans="1:4" ht="12" customHeight="1" x14ac:dyDescent="0.3">
      <c r="A105" s="4">
        <v>1116</v>
      </c>
      <c r="B105" s="6" t="str">
        <f>VLOOKUP(TABLA_PRECIOS_LISTBOX_VENTAS[Código],LISTADO_PRODUCTOS[#All],4)</f>
        <v>Boligrafo Borrable OLAMI Negro</v>
      </c>
      <c r="C105" s="6" t="str">
        <f>VLOOKUP(TABLA_PRECIOS_LISTBOX_VENTAS[Código],LISTADO_PRODUCTOS[#All],5)</f>
        <v>N/A</v>
      </c>
      <c r="D105" s="28">
        <f>VLOOKUP(TABLA_PRECIOS_LISTBOX_VENTAS[[#This Row],[Código]],TABLA_PRECIOS[#All],7)</f>
        <v>1</v>
      </c>
    </row>
    <row r="106" spans="1:4" ht="12" customHeight="1" x14ac:dyDescent="0.3">
      <c r="A106" s="4">
        <v>1117</v>
      </c>
      <c r="B106" s="6" t="str">
        <f>VLOOKUP(TABLA_PRECIOS_LISTBOX_VENTAS[Código],LISTADO_PRODUCTOS[#All],4)</f>
        <v>Portaminas Filgo Real Grip 0.5</v>
      </c>
      <c r="C106" s="6" t="str">
        <f>VLOOKUP(TABLA_PRECIOS_LISTBOX_VENTAS[Código],LISTADO_PRODUCTOS[#All],5)</f>
        <v>N/A</v>
      </c>
      <c r="D106" s="28">
        <f>VLOOKUP(TABLA_PRECIOS_LISTBOX_VENTAS[[#This Row],[Código]],TABLA_PRECIOS[#All],7)</f>
        <v>1</v>
      </c>
    </row>
    <row r="107" spans="1:4" ht="12" customHeight="1" x14ac:dyDescent="0.3">
      <c r="A107" s="4">
        <v>1118</v>
      </c>
      <c r="B107" s="6" t="str">
        <f>VLOOKUP(TABLA_PRECIOS_LISTBOX_VENTAS[Código],LISTADO_PRODUCTOS[#All],4)</f>
        <v>Boligrafo Wero retractil Pastel Notes Corazon</v>
      </c>
      <c r="C107" s="6" t="str">
        <f>VLOOKUP(TABLA_PRECIOS_LISTBOX_VENTAS[Código],LISTADO_PRODUCTOS[#All],5)</f>
        <v>N/A</v>
      </c>
      <c r="D107" s="28">
        <f>VLOOKUP(TABLA_PRECIOS_LISTBOX_VENTAS[[#This Row],[Código]],TABLA_PRECIOS[#All],7)</f>
        <v>1</v>
      </c>
    </row>
    <row r="108" spans="1:4" ht="12" customHeight="1" x14ac:dyDescent="0.3">
      <c r="A108" s="4">
        <v>1119</v>
      </c>
      <c r="B108" s="6" t="str">
        <f>VLOOKUP(TABLA_PRECIOS_LISTBOX_VENTAS[Código],LISTADO_PRODUCTOS[#All],4)</f>
        <v>Boligrafo retractil pastel notes unicornio</v>
      </c>
      <c r="C108" s="6" t="str">
        <f>VLOOKUP(TABLA_PRECIOS_LISTBOX_VENTAS[Código],LISTADO_PRODUCTOS[#All],5)</f>
        <v>N/A</v>
      </c>
      <c r="D108" s="28">
        <f>VLOOKUP(TABLA_PRECIOS_LISTBOX_VENTAS[[#This Row],[Código]],TABLA_PRECIOS[#All],7)</f>
        <v>1</v>
      </c>
    </row>
    <row r="109" spans="1:4" ht="12" customHeight="1" x14ac:dyDescent="0.3">
      <c r="A109" s="4">
        <v>1124</v>
      </c>
      <c r="B109" s="6" t="str">
        <f>VLOOKUP(TABLA_PRECIOS_LISTBOX_VENTAS[Código],LISTADO_PRODUCTOS[#All],4)</f>
        <v>Portaminas Bic Clic Matic Atlantis pencil 0.5</v>
      </c>
      <c r="C109" s="6" t="str">
        <f>VLOOKUP(TABLA_PRECIOS_LISTBOX_VENTAS[Código],LISTADO_PRODUCTOS[#All],5)</f>
        <v>N/A</v>
      </c>
      <c r="D109" s="28">
        <f>VLOOKUP(TABLA_PRECIOS_LISTBOX_VENTAS[[#This Row],[Código]],TABLA_PRECIOS[#All],7)</f>
        <v>1</v>
      </c>
    </row>
    <row r="110" spans="1:4" ht="12" customHeight="1" x14ac:dyDescent="0.3">
      <c r="A110" s="4">
        <v>1125</v>
      </c>
      <c r="B110" s="6" t="str">
        <f>VLOOKUP(TABLA_PRECIOS_LISTBOX_VENTAS[Código],LISTADO_PRODUCTOS[#All],4)</f>
        <v>Minas pizzini 0.5 HB - Art. S5300HB - 7793198530079</v>
      </c>
      <c r="C110" s="6" t="str">
        <f>VLOOKUP(TABLA_PRECIOS_LISTBOX_VENTAS[Código],LISTADO_PRODUCTOS[#All],5)</f>
        <v>N/A</v>
      </c>
      <c r="D110" s="28">
        <f>VLOOKUP(TABLA_PRECIOS_LISTBOX_VENTAS[[#This Row],[Código]],TABLA_PRECIOS[#All],7)</f>
        <v>1</v>
      </c>
    </row>
    <row r="111" spans="1:4" ht="12" customHeight="1" x14ac:dyDescent="0.3">
      <c r="A111" s="4">
        <v>1126</v>
      </c>
      <c r="B111" s="6" t="str">
        <f>VLOOKUP(TABLA_PRECIOS_LISTBOX_VENTAS[Código],LISTADO_PRODUCTOS[#All],4)</f>
        <v>Minas Pizzini 0,7 HB - Art. S7300HB - 7793198730073</v>
      </c>
      <c r="C111" s="6" t="str">
        <f>VLOOKUP(TABLA_PRECIOS_LISTBOX_VENTAS[Código],LISTADO_PRODUCTOS[#All],5)</f>
        <v>N/A</v>
      </c>
      <c r="D111" s="28">
        <f>VLOOKUP(TABLA_PRECIOS_LISTBOX_VENTAS[[#This Row],[Código]],TABLA_PRECIOS[#All],7)</f>
        <v>1</v>
      </c>
    </row>
    <row r="112" spans="1:4" ht="12" customHeight="1" x14ac:dyDescent="0.3">
      <c r="A112" s="4">
        <v>1127</v>
      </c>
      <c r="B112" s="6" t="str">
        <f>VLOOKUP(TABLA_PRECIOS_LISTBOX_VENTAS[Código],LISTADO_PRODUCTOS[#All],4)</f>
        <v>Minas Faber Castell 0.5 HB</v>
      </c>
      <c r="C112" s="6" t="str">
        <f>VLOOKUP(TABLA_PRECIOS_LISTBOX_VENTAS[Código],LISTADO_PRODUCTOS[#All],5)</f>
        <v>N/A</v>
      </c>
      <c r="D112" s="28">
        <f>VLOOKUP(TABLA_PRECIOS_LISTBOX_VENTAS[[#This Row],[Código]],TABLA_PRECIOS[#All],7)</f>
        <v>1</v>
      </c>
    </row>
    <row r="113" spans="1:4" ht="12" customHeight="1" x14ac:dyDescent="0.3">
      <c r="A113" s="4">
        <v>1128</v>
      </c>
      <c r="B113" s="6" t="str">
        <f>VLOOKUP(TABLA_PRECIOS_LISTBOX_VENTAS[Código],LISTADO_PRODUCTOS[#All],4)</f>
        <v>Minas Faber Castell 0,7 HB</v>
      </c>
      <c r="C113" s="6" t="str">
        <f>VLOOKUP(TABLA_PRECIOS_LISTBOX_VENTAS[Código],LISTADO_PRODUCTOS[#All],5)</f>
        <v>N/A</v>
      </c>
      <c r="D113" s="28">
        <f>VLOOKUP(TABLA_PRECIOS_LISTBOX_VENTAS[[#This Row],[Código]],TABLA_PRECIOS[#All],7)</f>
        <v>1</v>
      </c>
    </row>
    <row r="114" spans="1:4" ht="12" customHeight="1" x14ac:dyDescent="0.3">
      <c r="A114" s="4">
        <v>1129</v>
      </c>
      <c r="B114" s="6" t="str">
        <f>VLOOKUP(TABLA_PRECIOS_LISTBOX_VENTAS[Código],LISTADO_PRODUCTOS[#All],4)</f>
        <v>Minas Faber Castell 0.5 2H</v>
      </c>
      <c r="C114" s="6" t="str">
        <f>VLOOKUP(TABLA_PRECIOS_LISTBOX_VENTAS[Código],LISTADO_PRODUCTOS[#All],5)</f>
        <v>N/A</v>
      </c>
      <c r="D114" s="28">
        <f>VLOOKUP(TABLA_PRECIOS_LISTBOX_VENTAS[[#This Row],[Código]],TABLA_PRECIOS[#All],7)</f>
        <v>1</v>
      </c>
    </row>
    <row r="115" spans="1:4" ht="12" customHeight="1" x14ac:dyDescent="0.3">
      <c r="A115" s="4">
        <v>1130</v>
      </c>
      <c r="B115" s="6" t="str">
        <f>VLOOKUP(TABLA_PRECIOS_LISTBOX_VENTAS[Código],LISTADO_PRODUCTOS[#All],4)</f>
        <v>Minas Pizzini 2mm B - Art. S20300B - 7793198203034</v>
      </c>
      <c r="C115" s="6" t="str">
        <f>VLOOKUP(TABLA_PRECIOS_LISTBOX_VENTAS[Código],LISTADO_PRODUCTOS[#All],5)</f>
        <v>N/A</v>
      </c>
      <c r="D115" s="28">
        <f>VLOOKUP(TABLA_PRECIOS_LISTBOX_VENTAS[[#This Row],[Código]],TABLA_PRECIOS[#All],7)</f>
        <v>1</v>
      </c>
    </row>
    <row r="116" spans="1:4" ht="12" customHeight="1" x14ac:dyDescent="0.3">
      <c r="A116" s="4">
        <v>1131</v>
      </c>
      <c r="B116" s="6" t="str">
        <f>VLOOKUP(TABLA_PRECIOS_LISTBOX_VENTAS[Código],LISTADO_PRODUCTOS[#All],4)</f>
        <v>Sacapuntas Maped CROC CROC</v>
      </c>
      <c r="C116" s="6" t="str">
        <f>VLOOKUP(TABLA_PRECIOS_LISTBOX_VENTAS[Código],LISTADO_PRODUCTOS[#All],5)</f>
        <v>N/A</v>
      </c>
      <c r="D116" s="28">
        <f>VLOOKUP(TABLA_PRECIOS_LISTBOX_VENTAS[[#This Row],[Código]],TABLA_PRECIOS[#All],7)</f>
        <v>1</v>
      </c>
    </row>
    <row r="117" spans="1:4" ht="12" customHeight="1" x14ac:dyDescent="0.3">
      <c r="A117" s="4">
        <v>1132</v>
      </c>
      <c r="B117" s="6" t="str">
        <f>VLOOKUP(TABLA_PRECIOS_LISTBOX_VENTAS[Código],LISTADO_PRODUCTOS[#All],4)</f>
        <v>Notas Adhesivas WERO Fun WE 1144</v>
      </c>
      <c r="C117" s="6" t="str">
        <f>VLOOKUP(TABLA_PRECIOS_LISTBOX_VENTAS[Código],LISTADO_PRODUCTOS[#All],5)</f>
        <v>N/A</v>
      </c>
      <c r="D117" s="28">
        <f>VLOOKUP(TABLA_PRECIOS_LISTBOX_VENTAS[[#This Row],[Código]],TABLA_PRECIOS[#All],7)</f>
        <v>1</v>
      </c>
    </row>
    <row r="118" spans="1:4" ht="12" customHeight="1" x14ac:dyDescent="0.3">
      <c r="A118" s="4">
        <v>1133</v>
      </c>
      <c r="B118" s="6" t="str">
        <f>VLOOKUP(TABLA_PRECIOS_LISTBOX_VENTAS[Código],LISTADO_PRODUCTOS[#All],4)</f>
        <v>Gomas c/formas Wero Cool Pops c/u se vende x unidad</v>
      </c>
      <c r="C118" s="6" t="str">
        <f>VLOOKUP(TABLA_PRECIOS_LISTBOX_VENTAS[Código],LISTADO_PRODUCTOS[#All],5)</f>
        <v>N/A</v>
      </c>
      <c r="D118" s="28">
        <f>VLOOKUP(TABLA_PRECIOS_LISTBOX_VENTAS[[#This Row],[Código]],TABLA_PRECIOS[#All],7)</f>
        <v>1</v>
      </c>
    </row>
    <row r="119" spans="1:4" ht="12" customHeight="1" x14ac:dyDescent="0.3">
      <c r="A119" s="4">
        <v>1136</v>
      </c>
      <c r="B119" s="6" t="str">
        <f>VLOOKUP(TABLA_PRECIOS_LISTBOX_VENTAS[Código],LISTADO_PRODUCTOS[#All],4)</f>
        <v xml:space="preserve">Separador de materias cartulina con lengüeta A4/Of x5u color </v>
      </c>
      <c r="C119" s="6" t="str">
        <f>VLOOKUP(TABLA_PRECIOS_LISTBOX_VENTAS[Código],LISTADO_PRODUCTOS[#All],5)</f>
        <v>N/A</v>
      </c>
      <c r="D119" s="28">
        <f>VLOOKUP(TABLA_PRECIOS_LISTBOX_VENTAS[[#This Row],[Código]],TABLA_PRECIOS[#All],7)</f>
        <v>1</v>
      </c>
    </row>
    <row r="120" spans="1:4" ht="12" customHeight="1" x14ac:dyDescent="0.3">
      <c r="A120" s="4">
        <v>1137</v>
      </c>
      <c r="B120" s="6" t="str">
        <f>VLOOKUP(TABLA_PRECIOS_LISTBOX_VENTAS[Código],LISTADO_PRODUCTOS[#All],4)</f>
        <v>Compas pizzini Pk133 - Art. PK133 - 7793198133003</v>
      </c>
      <c r="C120" s="6" t="str">
        <f>VLOOKUP(TABLA_PRECIOS_LISTBOX_VENTAS[Código],LISTADO_PRODUCTOS[#All],5)</f>
        <v>N/A</v>
      </c>
      <c r="D120" s="28">
        <f>VLOOKUP(TABLA_PRECIOS_LISTBOX_VENTAS[[#This Row],[Código]],TABLA_PRECIOS[#All],7)</f>
        <v>1</v>
      </c>
    </row>
    <row r="121" spans="1:4" ht="12" customHeight="1" x14ac:dyDescent="0.3">
      <c r="A121" s="4">
        <v>1138</v>
      </c>
      <c r="B121" s="6" t="str">
        <f>VLOOKUP(TABLA_PRECIOS_LISTBOX_VENTAS[Código],LISTADO_PRODUCTOS[#All],4)</f>
        <v>Compas Pelikan en caja</v>
      </c>
      <c r="C121" s="6" t="str">
        <f>VLOOKUP(TABLA_PRECIOS_LISTBOX_VENTAS[Código],LISTADO_PRODUCTOS[#All],5)</f>
        <v>N/A</v>
      </c>
      <c r="D121" s="28">
        <f>VLOOKUP(TABLA_PRECIOS_LISTBOX_VENTAS[[#This Row],[Código]],TABLA_PRECIOS[#All],7)</f>
        <v>1</v>
      </c>
    </row>
    <row r="122" spans="1:4" ht="12" customHeight="1" x14ac:dyDescent="0.3">
      <c r="A122" s="4">
        <v>1139</v>
      </c>
      <c r="B122" s="6" t="str">
        <f>VLOOKUP(TABLA_PRECIOS_LISTBOX_VENTAS[Código],LISTADO_PRODUCTOS[#All],4)</f>
        <v>Resaltador Micro Margi 2000</v>
      </c>
      <c r="C122" s="6" t="str">
        <f>VLOOKUP(TABLA_PRECIOS_LISTBOX_VENTAS[Código],LISTADO_PRODUCTOS[#All],5)</f>
        <v>N/A</v>
      </c>
      <c r="D122" s="28">
        <f>VLOOKUP(TABLA_PRECIOS_LISTBOX_VENTAS[[#This Row],[Código]],TABLA_PRECIOS[#All],7)</f>
        <v>1</v>
      </c>
    </row>
    <row r="123" spans="1:4" ht="12" customHeight="1" x14ac:dyDescent="0.3">
      <c r="A123" s="4">
        <v>1141</v>
      </c>
      <c r="B123" s="6" t="str">
        <f>VLOOKUP(TABLA_PRECIOS_LISTBOX_VENTAS[Código],LISTADO_PRODUCTOS[#All],4)</f>
        <v>Resaltador Pizzini Duo - Art. 1282 - 7793198128887</v>
      </c>
      <c r="C123" s="6" t="str">
        <f>VLOOKUP(TABLA_PRECIOS_LISTBOX_VENTAS[Código],LISTADO_PRODUCTOS[#All],5)</f>
        <v>N/A</v>
      </c>
      <c r="D123" s="28">
        <f>VLOOKUP(TABLA_PRECIOS_LISTBOX_VENTAS[[#This Row],[Código]],TABLA_PRECIOS[#All],7)</f>
        <v>1</v>
      </c>
    </row>
    <row r="124" spans="1:4" ht="12" customHeight="1" x14ac:dyDescent="0.3">
      <c r="A124" s="4">
        <v>1142</v>
      </c>
      <c r="B124" s="6" t="str">
        <f>VLOOKUP(TABLA_PRECIOS_LISTBOX_VENTAS[Código],LISTADO_PRODUCTOS[#All],4)</f>
        <v>Resaltador edding 342</v>
      </c>
      <c r="C124" s="6" t="str">
        <f>VLOOKUP(TABLA_PRECIOS_LISTBOX_VENTAS[Código],LISTADO_PRODUCTOS[#All],5)</f>
        <v>N/A</v>
      </c>
      <c r="D124" s="28">
        <f>VLOOKUP(TABLA_PRECIOS_LISTBOX_VENTAS[[#This Row],[Código]],TABLA_PRECIOS[#All],7)</f>
        <v>1</v>
      </c>
    </row>
    <row r="125" spans="1:4" ht="12" customHeight="1" x14ac:dyDescent="0.3">
      <c r="A125" s="4">
        <v>1143</v>
      </c>
      <c r="B125" s="6" t="str">
        <f>VLOOKUP(TABLA_PRECIOS_LISTBOX_VENTAS[Código],LISTADO_PRODUCTOS[#All],4)</f>
        <v>Resaltador Bic</v>
      </c>
      <c r="C125" s="6" t="str">
        <f>VLOOKUP(TABLA_PRECIOS_LISTBOX_VENTAS[Código],LISTADO_PRODUCTOS[#All],5)</f>
        <v>N/A</v>
      </c>
      <c r="D125" s="28">
        <f>VLOOKUP(TABLA_PRECIOS_LISTBOX_VENTAS[[#This Row],[Código]],TABLA_PRECIOS[#All],7)</f>
        <v>1</v>
      </c>
    </row>
    <row r="126" spans="1:4" ht="12" customHeight="1" x14ac:dyDescent="0.3">
      <c r="A126" s="4">
        <v>1144</v>
      </c>
      <c r="B126" s="6" t="str">
        <f>VLOOKUP(TABLA_PRECIOS_LISTBOX_VENTAS[Código],LISTADO_PRODUCTOS[#All],4)</f>
        <v>Marcador escolar Maped DUO TIP x 10u</v>
      </c>
      <c r="C126" s="6" t="str">
        <f>VLOOKUP(TABLA_PRECIOS_LISTBOX_VENTAS[Código],LISTADO_PRODUCTOS[#All],5)</f>
        <v>N/A</v>
      </c>
      <c r="D126" s="28">
        <f>VLOOKUP(TABLA_PRECIOS_LISTBOX_VENTAS[[#This Row],[Código]],TABLA_PRECIOS[#All],7)</f>
        <v>1</v>
      </c>
    </row>
    <row r="127" spans="1:4" ht="12" customHeight="1" x14ac:dyDescent="0.3">
      <c r="A127" s="4">
        <v>1149</v>
      </c>
      <c r="B127" s="6" t="str">
        <f>VLOOKUP(TABLA_PRECIOS_LISTBOX_VENTAS[Código],LISTADO_PRODUCTOS[#All],4)</f>
        <v>Fibron Bic Marking Biselado extra grueso</v>
      </c>
      <c r="C127" s="6" t="str">
        <f>VLOOKUP(TABLA_PRECIOS_LISTBOX_VENTAS[Código],LISTADO_PRODUCTOS[#All],5)</f>
        <v>N/A</v>
      </c>
      <c r="D127" s="28">
        <f>VLOOKUP(TABLA_PRECIOS_LISTBOX_VENTAS[[#This Row],[Código]],TABLA_PRECIOS[#All],7)</f>
        <v>1</v>
      </c>
    </row>
    <row r="128" spans="1:4" ht="12" customHeight="1" x14ac:dyDescent="0.3">
      <c r="A128" s="4">
        <v>1150</v>
      </c>
      <c r="B128" s="6" t="str">
        <f>VLOOKUP(TABLA_PRECIOS_LISTBOX_VENTAS[Código],LISTADO_PRODUCTOS[#All],4)</f>
        <v>Fibron Bic Marking redondo</v>
      </c>
      <c r="C128" s="6" t="str">
        <f>VLOOKUP(TABLA_PRECIOS_LISTBOX_VENTAS[Código],LISTADO_PRODUCTOS[#All],5)</f>
        <v>N/A</v>
      </c>
      <c r="D128" s="28">
        <f>VLOOKUP(TABLA_PRECIOS_LISTBOX_VENTAS[[#This Row],[Código]],TABLA_PRECIOS[#All],7)</f>
        <v>1</v>
      </c>
    </row>
    <row r="129" spans="1:4" ht="12" customHeight="1" x14ac:dyDescent="0.3">
      <c r="A129" s="4">
        <v>1451</v>
      </c>
      <c r="B129" s="6" t="str">
        <f>VLOOKUP(TABLA_PRECIOS_LISTBOX_VENTAS[Código],LISTADO_PRODUCTOS[#All],4)</f>
        <v>Set de Resaltadores NUWA x5u en dispenser</v>
      </c>
      <c r="C129" s="6" t="str">
        <f>VLOOKUP(TABLA_PRECIOS_LISTBOX_VENTAS[Código],LISTADO_PRODUCTOS[#All],5)</f>
        <v>N/A</v>
      </c>
      <c r="D129" s="28">
        <f>VLOOKUP(TABLA_PRECIOS_LISTBOX_VENTAS[[#This Row],[Código]],TABLA_PRECIOS[#All],7)</f>
        <v>1</v>
      </c>
    </row>
    <row r="130" spans="1:4" ht="12" customHeight="1" x14ac:dyDescent="0.3">
      <c r="A130" s="4">
        <v>1151</v>
      </c>
      <c r="B130" s="6" t="str">
        <f>VLOOKUP(TABLA_PRECIOS_LISTBOX_VENTAS[Código],LISTADO_PRODUCTOS[#All],4)</f>
        <v>Fibron Bic Marking redondo</v>
      </c>
      <c r="C130" s="6" t="str">
        <f>VLOOKUP(TABLA_PRECIOS_LISTBOX_VENTAS[Código],LISTADO_PRODUCTOS[#All],5)</f>
        <v>N/A</v>
      </c>
      <c r="D130" s="28">
        <f>VLOOKUP(TABLA_PRECIOS_LISTBOX_VENTAS[[#This Row],[Código]],TABLA_PRECIOS[#All],7)</f>
        <v>1</v>
      </c>
    </row>
    <row r="131" spans="1:4" ht="12" customHeight="1" x14ac:dyDescent="0.3">
      <c r="A131" s="4">
        <v>1153</v>
      </c>
      <c r="B131" s="6" t="str">
        <f>VLOOKUP(TABLA_PRECIOS_LISTBOX_VENTAS[Código],LISTADO_PRODUCTOS[#All],4)</f>
        <v>Fibron Bic Marking redondo</v>
      </c>
      <c r="C131" s="6" t="str">
        <f>VLOOKUP(TABLA_PRECIOS_LISTBOX_VENTAS[Código],LISTADO_PRODUCTOS[#All],5)</f>
        <v>N/A</v>
      </c>
      <c r="D131" s="28">
        <f>VLOOKUP(TABLA_PRECIOS_LISTBOX_VENTAS[[#This Row],[Código]],TABLA_PRECIOS[#All],7)</f>
        <v>1</v>
      </c>
    </row>
    <row r="132" spans="1:4" ht="12" customHeight="1" x14ac:dyDescent="0.3">
      <c r="A132" s="4">
        <v>1154</v>
      </c>
      <c r="B132" s="6" t="str">
        <f>VLOOKUP(TABLA_PRECIOS_LISTBOX_VENTAS[Código],LISTADO_PRODUCTOS[#All],4)</f>
        <v>Tijera Maped advanced office 17cm</v>
      </c>
      <c r="C132" s="6" t="str">
        <f>VLOOKUP(TABLA_PRECIOS_LISTBOX_VENTAS[Código],LISTADO_PRODUCTOS[#All],5)</f>
        <v>N/A</v>
      </c>
      <c r="D132" s="28">
        <f>VLOOKUP(TABLA_PRECIOS_LISTBOX_VENTAS[[#This Row],[Código]],TABLA_PRECIOS[#All],7)</f>
        <v>1</v>
      </c>
    </row>
    <row r="133" spans="1:4" ht="12" customHeight="1" x14ac:dyDescent="0.3">
      <c r="A133" s="4">
        <v>1155</v>
      </c>
      <c r="B133" s="6" t="str">
        <f>VLOOKUP(TABLA_PRECIOS_LISTBOX_VENTAS[Código],LISTADO_PRODUCTOS[#All],4)</f>
        <v>Tijera Maped Universal 21cm</v>
      </c>
      <c r="C133" s="6" t="str">
        <f>VLOOKUP(TABLA_PRECIOS_LISTBOX_VENTAS[Código],LISTADO_PRODUCTOS[#All],5)</f>
        <v>N/A</v>
      </c>
      <c r="D133" s="28">
        <f>VLOOKUP(TABLA_PRECIOS_LISTBOX_VENTAS[[#This Row],[Código]],TABLA_PRECIOS[#All],7)</f>
        <v>1</v>
      </c>
    </row>
    <row r="134" spans="1:4" ht="12" customHeight="1" x14ac:dyDescent="0.3">
      <c r="A134" s="4">
        <v>1156</v>
      </c>
      <c r="B134" s="6" t="str">
        <f>VLOOKUP(TABLA_PRECIOS_LISTBOX_VENTAS[Código],LISTADO_PRODUCTOS[#All],4)</f>
        <v>Tijera Olami Standard 17.5cm</v>
      </c>
      <c r="C134" s="6" t="str">
        <f>VLOOKUP(TABLA_PRECIOS_LISTBOX_VENTAS[Código],LISTADO_PRODUCTOS[#All],5)</f>
        <v>N/A</v>
      </c>
      <c r="D134" s="28">
        <f>VLOOKUP(TABLA_PRECIOS_LISTBOX_VENTAS[[#This Row],[Código]],TABLA_PRECIOS[#All],7)</f>
        <v>1</v>
      </c>
    </row>
    <row r="135" spans="1:4" ht="12" customHeight="1" x14ac:dyDescent="0.3">
      <c r="A135" s="4">
        <v>1161</v>
      </c>
      <c r="B135" s="6" t="str">
        <f>VLOOKUP(TABLA_PRECIOS_LISTBOX_VENTAS[Código],LISTADO_PRODUCTOS[#All],4)</f>
        <v>Crayon Ezco Jumbo x 12u</v>
      </c>
      <c r="C135" s="6" t="str">
        <f>VLOOKUP(TABLA_PRECIOS_LISTBOX_VENTAS[Código],LISTADO_PRODUCTOS[#All],5)</f>
        <v>N/A</v>
      </c>
      <c r="D135" s="28">
        <f>VLOOKUP(TABLA_PRECIOS_LISTBOX_VENTAS[[#This Row],[Código]],TABLA_PRECIOS[#All],7)</f>
        <v>1</v>
      </c>
    </row>
    <row r="136" spans="1:4" ht="12" customHeight="1" x14ac:dyDescent="0.3">
      <c r="A136" s="4">
        <v>1162</v>
      </c>
      <c r="B136" s="6" t="str">
        <f>VLOOKUP(TABLA_PRECIOS_LISTBOX_VENTAS[Código],LISTADO_PRODUCTOS[#All],4)</f>
        <v>Lapices de colores Bic Evolution x 24</v>
      </c>
      <c r="C136" s="6" t="str">
        <f>VLOOKUP(TABLA_PRECIOS_LISTBOX_VENTAS[Código],LISTADO_PRODUCTOS[#All],5)</f>
        <v>N/A</v>
      </c>
      <c r="D136" s="28">
        <f>VLOOKUP(TABLA_PRECIOS_LISTBOX_VENTAS[[#This Row],[Código]],TABLA_PRECIOS[#All],7)</f>
        <v>1</v>
      </c>
    </row>
    <row r="137" spans="1:4" ht="12" customHeight="1" x14ac:dyDescent="0.3">
      <c r="A137" s="4">
        <v>1163</v>
      </c>
      <c r="B137" s="6" t="str">
        <f>VLOOKUP(TABLA_PRECIOS_LISTBOX_VENTAS[Código],LISTADO_PRODUCTOS[#All],4)</f>
        <v>Lapices de colores Skycolor pastel x 12</v>
      </c>
      <c r="C137" s="6" t="str">
        <f>VLOOKUP(TABLA_PRECIOS_LISTBOX_VENTAS[Código],LISTADO_PRODUCTOS[#All],5)</f>
        <v>N/A</v>
      </c>
      <c r="D137" s="28">
        <f>VLOOKUP(TABLA_PRECIOS_LISTBOX_VENTAS[[#This Row],[Código]],TABLA_PRECIOS[#All],7)</f>
        <v>1</v>
      </c>
    </row>
    <row r="138" spans="1:4" ht="12" customHeight="1" x14ac:dyDescent="0.3">
      <c r="A138" s="4">
        <v>1164</v>
      </c>
      <c r="B138" s="6" t="str">
        <f>VLOOKUP(TABLA_PRECIOS_LISTBOX_VENTAS[Código],LISTADO_PRODUCTOS[#All],4)</f>
        <v>Lapices de colores Maped Star pinturitas x 36 u</v>
      </c>
      <c r="C138" s="6" t="str">
        <f>VLOOKUP(TABLA_PRECIOS_LISTBOX_VENTAS[Código],LISTADO_PRODUCTOS[#All],5)</f>
        <v>N/A</v>
      </c>
      <c r="D138" s="28">
        <f>VLOOKUP(TABLA_PRECIOS_LISTBOX_VENTAS[[#This Row],[Código]],TABLA_PRECIOS[#All],7)</f>
        <v>1</v>
      </c>
    </row>
    <row r="139" spans="1:4" ht="12" customHeight="1" x14ac:dyDescent="0.3">
      <c r="A139" s="4">
        <v>1165</v>
      </c>
      <c r="B139" s="6" t="str">
        <f>VLOOKUP(TABLA_PRECIOS_LISTBOX_VENTAS[Código],LISTADO_PRODUCTOS[#All],4)</f>
        <v>Lapices de colores Maped Star pinturitas x 48 u</v>
      </c>
      <c r="C139" s="6" t="str">
        <f>VLOOKUP(TABLA_PRECIOS_LISTBOX_VENTAS[Código],LISTADO_PRODUCTOS[#All],5)</f>
        <v>N/A</v>
      </c>
      <c r="D139" s="28">
        <f>VLOOKUP(TABLA_PRECIOS_LISTBOX_VENTAS[[#This Row],[Código]],TABLA_PRECIOS[#All],7)</f>
        <v>1</v>
      </c>
    </row>
    <row r="140" spans="1:4" ht="12" customHeight="1" x14ac:dyDescent="0.3">
      <c r="A140" s="4">
        <v>1167</v>
      </c>
      <c r="B140" s="6" t="str">
        <f>VLOOKUP(TABLA_PRECIOS_LISTBOX_VENTAS[Código],LISTADO_PRODUCTOS[#All],4)</f>
        <v>Colores Sylvapen x6 Fluo</v>
      </c>
      <c r="C140" s="6" t="str">
        <f>VLOOKUP(TABLA_PRECIOS_LISTBOX_VENTAS[Código],LISTADO_PRODUCTOS[#All],5)</f>
        <v>N/A</v>
      </c>
      <c r="D140" s="28">
        <f>VLOOKUP(TABLA_PRECIOS_LISTBOX_VENTAS[[#This Row],[Código]],TABLA_PRECIOS[#All],7)</f>
        <v>1</v>
      </c>
    </row>
    <row r="141" spans="1:4" ht="12" customHeight="1" x14ac:dyDescent="0.3">
      <c r="A141" s="4">
        <v>1168</v>
      </c>
      <c r="B141" s="6" t="str">
        <f>VLOOKUP(TABLA_PRECIOS_LISTBOX_VENTAS[Código],LISTADO_PRODUCTOS[#All],4)</f>
        <v>Colores x 12 Simball Largos Acuarelables</v>
      </c>
      <c r="C141" s="6" t="str">
        <f>VLOOKUP(TABLA_PRECIOS_LISTBOX_VENTAS[Código],LISTADO_PRODUCTOS[#All],5)</f>
        <v>N/A</v>
      </c>
      <c r="D141" s="28">
        <f>VLOOKUP(TABLA_PRECIOS_LISTBOX_VENTAS[[#This Row],[Código]],TABLA_PRECIOS[#All],7)</f>
        <v>1</v>
      </c>
    </row>
    <row r="142" spans="1:4" ht="12" customHeight="1" x14ac:dyDescent="0.3">
      <c r="A142" s="4">
        <v>1169</v>
      </c>
      <c r="B142" s="6" t="str">
        <f>VLOOKUP(TABLA_PRECIOS_LISTBOX_VENTAS[Código],LISTADO_PRODUCTOS[#All],4)</f>
        <v>Colores Simball x 12 largos innovation</v>
      </c>
      <c r="C142" s="6" t="str">
        <f>VLOOKUP(TABLA_PRECIOS_LISTBOX_VENTAS[Código],LISTADO_PRODUCTOS[#All],5)</f>
        <v>N/A</v>
      </c>
      <c r="D142" s="28">
        <f>VLOOKUP(TABLA_PRECIOS_LISTBOX_VENTAS[[#This Row],[Código]],TABLA_PRECIOS[#All],7)</f>
        <v>1</v>
      </c>
    </row>
    <row r="143" spans="1:4" ht="12" customHeight="1" x14ac:dyDescent="0.3">
      <c r="A143" s="4">
        <v>1171</v>
      </c>
      <c r="B143" s="6" t="str">
        <f>VLOOKUP(TABLA_PRECIOS_LISTBOX_VENTAS[Código],LISTADO_PRODUCTOS[#All],4)</f>
        <v>Lapices de colores Pastel Mooving Dulce pastel x 10</v>
      </c>
      <c r="C143" s="6" t="str">
        <f>VLOOKUP(TABLA_PRECIOS_LISTBOX_VENTAS[Código],LISTADO_PRODUCTOS[#All],5)</f>
        <v>N/A</v>
      </c>
      <c r="D143" s="28">
        <f>VLOOKUP(TABLA_PRECIOS_LISTBOX_VENTAS[[#This Row],[Código]],TABLA_PRECIOS[#All],7)</f>
        <v>1</v>
      </c>
    </row>
    <row r="144" spans="1:4" ht="12" customHeight="1" x14ac:dyDescent="0.3">
      <c r="A144" s="4">
        <v>1173</v>
      </c>
      <c r="B144" s="6" t="str">
        <f>VLOOKUP(TABLA_PRECIOS_LISTBOX_VENTAS[Código],LISTADO_PRODUCTOS[#All],4)</f>
        <v>Lapices de colores Paper mate x 15u incluye 3 NEON</v>
      </c>
      <c r="C144" s="6" t="str">
        <f>VLOOKUP(TABLA_PRECIOS_LISTBOX_VENTAS[Código],LISTADO_PRODUCTOS[#All],5)</f>
        <v>N/A</v>
      </c>
      <c r="D144" s="28">
        <f>VLOOKUP(TABLA_PRECIOS_LISTBOX_VENTAS[[#This Row],[Código]],TABLA_PRECIOS[#All],7)</f>
        <v>1</v>
      </c>
    </row>
    <row r="145" spans="1:4" ht="12" customHeight="1" x14ac:dyDescent="0.3">
      <c r="A145" s="4">
        <v>1174</v>
      </c>
      <c r="B145" s="6" t="str">
        <f>VLOOKUP(TABLA_PRECIOS_LISTBOX_VENTAS[Código],LISTADO_PRODUCTOS[#All],4)</f>
        <v xml:space="preserve">Colores Faber castell x24 </v>
      </c>
      <c r="C145" s="6" t="str">
        <f>VLOOKUP(TABLA_PRECIOS_LISTBOX_VENTAS[Código],LISTADO_PRODUCTOS[#All],5)</f>
        <v>N/A</v>
      </c>
      <c r="D145" s="28">
        <f>VLOOKUP(TABLA_PRECIOS_LISTBOX_VENTAS[[#This Row],[Código]],TABLA_PRECIOS[#All],7)</f>
        <v>1</v>
      </c>
    </row>
    <row r="146" spans="1:4" ht="12" customHeight="1" x14ac:dyDescent="0.3">
      <c r="A146" s="4">
        <v>1175</v>
      </c>
      <c r="B146" s="6" t="str">
        <f>VLOOKUP(TABLA_PRECIOS_LISTBOX_VENTAS[Código],LISTADO_PRODUCTOS[#All],4)</f>
        <v xml:space="preserve">Colores Faber Castell x12 +2N </v>
      </c>
      <c r="C146" s="6" t="str">
        <f>VLOOKUP(TABLA_PRECIOS_LISTBOX_VENTAS[Código],LISTADO_PRODUCTOS[#All],5)</f>
        <v>N/A</v>
      </c>
      <c r="D146" s="28">
        <f>VLOOKUP(TABLA_PRECIOS_LISTBOX_VENTAS[[#This Row],[Código]],TABLA_PRECIOS[#All],7)</f>
        <v>1</v>
      </c>
    </row>
    <row r="147" spans="1:4" ht="12" customHeight="1" x14ac:dyDescent="0.3">
      <c r="A147" s="4">
        <v>1176</v>
      </c>
      <c r="B147" s="6" t="str">
        <f>VLOOKUP(TABLA_PRECIOS_LISTBOX_VENTAS[Código],LISTADO_PRODUCTOS[#All],4)</f>
        <v>Marcadores escolares Skycolor x 10</v>
      </c>
      <c r="C147" s="6" t="str">
        <f>VLOOKUP(TABLA_PRECIOS_LISTBOX_VENTAS[Código],LISTADO_PRODUCTOS[#All],5)</f>
        <v>N/A</v>
      </c>
      <c r="D147" s="45">
        <f>VLOOKUP(TABLA_PRECIOS_LISTBOX_VENTAS[[#This Row],[Código]],TABLA_PRECIOS[#All],7)</f>
        <v>1</v>
      </c>
    </row>
    <row r="148" spans="1:4" ht="12" customHeight="1" x14ac:dyDescent="0.3">
      <c r="A148" s="4">
        <v>1180</v>
      </c>
      <c r="B148" s="6" t="str">
        <f>VLOOKUP(TABLA_PRECIOS_LISTBOX_VENTAS[Código],LISTADO_PRODUCTOS[#All],4)</f>
        <v>Marcadores Maped Long Life punta conica</v>
      </c>
      <c r="C148" s="6" t="str">
        <f>VLOOKUP(TABLA_PRECIOS_LISTBOX_VENTAS[Código],LISTADO_PRODUCTOS[#All],5)</f>
        <v>N/A</v>
      </c>
      <c r="D148" s="28">
        <f>VLOOKUP(TABLA_PRECIOS_LISTBOX_VENTAS[[#This Row],[Código]],TABLA_PRECIOS[#All],7)</f>
        <v>1</v>
      </c>
    </row>
    <row r="149" spans="1:4" ht="12" customHeight="1" x14ac:dyDescent="0.3">
      <c r="A149" s="4">
        <v>1181</v>
      </c>
      <c r="B149" s="6" t="str">
        <f>VLOOKUP(TABLA_PRECIOS_LISTBOX_VENTAS[Código],LISTADO_PRODUCTOS[#All],4)</f>
        <v>Cuaderno America T/Flex 48h</v>
      </c>
      <c r="C149" s="6" t="str">
        <f>VLOOKUP(TABLA_PRECIOS_LISTBOX_VENTAS[Código],LISTADO_PRODUCTOS[#All],5)</f>
        <v>N/A</v>
      </c>
      <c r="D149" s="28">
        <f>VLOOKUP(TABLA_PRECIOS_LISTBOX_VENTAS[[#This Row],[Código]],TABLA_PRECIOS[#All],7)</f>
        <v>1</v>
      </c>
    </row>
    <row r="150" spans="1:4" ht="12" customHeight="1" x14ac:dyDescent="0.3">
      <c r="A150" s="4">
        <v>1183</v>
      </c>
      <c r="B150" s="6" t="str">
        <f>VLOOKUP(TABLA_PRECIOS_LISTBOX_VENTAS[Código],LISTADO_PRODUCTOS[#All],4)</f>
        <v>Marcadores Deli Sketch triangular Doble punta Box x 12u</v>
      </c>
      <c r="C150" s="6" t="str">
        <f>VLOOKUP(TABLA_PRECIOS_LISTBOX_VENTAS[Código],LISTADO_PRODUCTOS[#All],5)</f>
        <v>N/A</v>
      </c>
      <c r="D150" s="28">
        <f>VLOOKUP(TABLA_PRECIOS_LISTBOX_VENTAS[[#This Row],[Código]],TABLA_PRECIOS[#All],7)</f>
        <v>1</v>
      </c>
    </row>
    <row r="151" spans="1:4" ht="12" customHeight="1" x14ac:dyDescent="0.3">
      <c r="A151" s="4">
        <v>1186</v>
      </c>
      <c r="B151" s="6" t="str">
        <f>VLOOKUP(TABLA_PRECIOS_LISTBOX_VENTAS[Código],LISTADO_PRODUCTOS[#All],4)</f>
        <v>Marcador Trabí Art Brush Pastel x 6u</v>
      </c>
      <c r="C151" s="6" t="str">
        <f>VLOOKUP(TABLA_PRECIOS_LISTBOX_VENTAS[Código],LISTADO_PRODUCTOS[#All],5)</f>
        <v>N/A</v>
      </c>
      <c r="D151" s="28">
        <f>VLOOKUP(TABLA_PRECIOS_LISTBOX_VENTAS[[#This Row],[Código]],TABLA_PRECIOS[#All],7)</f>
        <v>1</v>
      </c>
    </row>
    <row r="152" spans="1:4" ht="12" customHeight="1" x14ac:dyDescent="0.3">
      <c r="A152" s="4">
        <v>1187</v>
      </c>
      <c r="B152" s="6" t="str">
        <f>VLOOKUP(TABLA_PRECIOS_LISTBOX_VENTAS[Código],LISTADO_PRODUCTOS[#All],4)</f>
        <v>Tijera Maped Advanced 21cm Asim Try Me</v>
      </c>
      <c r="C152" s="6" t="str">
        <f>VLOOKUP(TABLA_PRECIOS_LISTBOX_VENTAS[Código],LISTADO_PRODUCTOS[#All],5)</f>
        <v>N/A</v>
      </c>
      <c r="D152" s="28">
        <f>VLOOKUP(TABLA_PRECIOS_LISTBOX_VENTAS[[#This Row],[Código]],TABLA_PRECIOS[#All],7)</f>
        <v>1</v>
      </c>
    </row>
    <row r="153" spans="1:4" ht="12" customHeight="1" x14ac:dyDescent="0.3">
      <c r="A153" s="4">
        <v>1188</v>
      </c>
      <c r="B153" s="6" t="str">
        <f>VLOOKUP(TABLA_PRECIOS_LISTBOX_VENTAS[Código],LISTADO_PRODUCTOS[#All],4)</f>
        <v>Portaminas Micro Executive 0,7</v>
      </c>
      <c r="C153" s="6" t="str">
        <f>VLOOKUP(TABLA_PRECIOS_LISTBOX_VENTAS[Código],LISTADO_PRODUCTOS[#All],5)</f>
        <v>N/A</v>
      </c>
      <c r="D153" s="28">
        <f>VLOOKUP(TABLA_PRECIOS_LISTBOX_VENTAS[[#This Row],[Código]],TABLA_PRECIOS[#All],7)</f>
        <v>1</v>
      </c>
    </row>
    <row r="154" spans="1:4" ht="12" customHeight="1" x14ac:dyDescent="0.3">
      <c r="A154" s="4">
        <v>1189</v>
      </c>
      <c r="B154" s="6" t="str">
        <f>VLOOKUP(TABLA_PRECIOS_LISTBOX_VENTAS[Código],LISTADO_PRODUCTOS[#All],4)</f>
        <v>Adhesivo Sintetico Pizzini x 30ml</v>
      </c>
      <c r="C154" s="6" t="str">
        <f>VLOOKUP(TABLA_PRECIOS_LISTBOX_VENTAS[Código],LISTADO_PRODUCTOS[#All],5)</f>
        <v>N/A</v>
      </c>
      <c r="D154" s="28">
        <f>VLOOKUP(TABLA_PRECIOS_LISTBOX_VENTAS[[#This Row],[Código]],TABLA_PRECIOS[#All],7)</f>
        <v>1</v>
      </c>
    </row>
    <row r="155" spans="1:4" ht="12" customHeight="1" x14ac:dyDescent="0.3">
      <c r="A155" s="4">
        <v>1190</v>
      </c>
      <c r="B155" s="6" t="str">
        <f>VLOOKUP(TABLA_PRECIOS_LISTBOX_VENTAS[Código],LISTADO_PRODUCTOS[#All],4)</f>
        <v>Adhesivo Sintetico Voligoma x 30ml</v>
      </c>
      <c r="C155" s="6" t="str">
        <f>VLOOKUP(TABLA_PRECIOS_LISTBOX_VENTAS[Código],LISTADO_PRODUCTOS[#All],5)</f>
        <v>N/A</v>
      </c>
      <c r="D155" s="28">
        <f>VLOOKUP(TABLA_PRECIOS_LISTBOX_VENTAS[[#This Row],[Código]],TABLA_PRECIOS[#All],7)</f>
        <v>1</v>
      </c>
    </row>
    <row r="156" spans="1:4" ht="12" customHeight="1" x14ac:dyDescent="0.3">
      <c r="A156" s="4">
        <v>1191</v>
      </c>
      <c r="B156" s="6" t="str">
        <f>VLOOKUP(TABLA_PRECIOS_LISTBOX_VENTAS[Código],LISTADO_PRODUCTOS[#All],4)</f>
        <v>Adhesivo Sintetico Voligoma x 50ml</v>
      </c>
      <c r="C156" s="6" t="str">
        <f>VLOOKUP(TABLA_PRECIOS_LISTBOX_VENTAS[Código],LISTADO_PRODUCTOS[#All],5)</f>
        <v>N/A</v>
      </c>
      <c r="D156" s="28">
        <f>VLOOKUP(TABLA_PRECIOS_LISTBOX_VENTAS[[#This Row],[Código]],TABLA_PRECIOS[#All],7)</f>
        <v>1</v>
      </c>
    </row>
    <row r="157" spans="1:4" ht="12" customHeight="1" x14ac:dyDescent="0.3">
      <c r="A157" s="4">
        <v>1192</v>
      </c>
      <c r="B157" s="6" t="str">
        <f>VLOOKUP(TABLA_PRECIOS_LISTBOX_VENTAS[Código],LISTADO_PRODUCTOS[#All],4)</f>
        <v>Silicona liquida Pritt 105gr</v>
      </c>
      <c r="C157" s="6" t="str">
        <f>VLOOKUP(TABLA_PRECIOS_LISTBOX_VENTAS[Código],LISTADO_PRODUCTOS[#All],5)</f>
        <v>N/A</v>
      </c>
      <c r="D157" s="28">
        <f>VLOOKUP(TABLA_PRECIOS_LISTBOX_VENTAS[[#This Row],[Código]],TABLA_PRECIOS[#All],7)</f>
        <v>1</v>
      </c>
    </row>
    <row r="158" spans="1:4" ht="12" customHeight="1" x14ac:dyDescent="0.3">
      <c r="A158" s="4">
        <v>1194</v>
      </c>
      <c r="B158" s="6" t="str">
        <f>VLOOKUP(TABLA_PRECIOS_LISTBOX_VENTAS[Código],LISTADO_PRODUCTOS[#All],4)</f>
        <v>Adhesivo vinilico Señorita x 1Kg</v>
      </c>
      <c r="C158" s="6" t="str">
        <f>VLOOKUP(TABLA_PRECIOS_LISTBOX_VENTAS[Código],LISTADO_PRODUCTOS[#All],5)</f>
        <v>N/A</v>
      </c>
      <c r="D158" s="28">
        <f>VLOOKUP(TABLA_PRECIOS_LISTBOX_VENTAS[[#This Row],[Código]],TABLA_PRECIOS[#All],7)</f>
        <v>1</v>
      </c>
    </row>
    <row r="159" spans="1:4" ht="12" customHeight="1" x14ac:dyDescent="0.3">
      <c r="A159" s="4">
        <v>1195</v>
      </c>
      <c r="B159" s="6" t="str">
        <f>VLOOKUP(TABLA_PRECIOS_LISTBOX_VENTAS[Código],LISTADO_PRODUCTOS[#All],4)</f>
        <v>Adhesivo vinilico Señorita/Maped x 500gr</v>
      </c>
      <c r="C159" s="6" t="str">
        <f>VLOOKUP(TABLA_PRECIOS_LISTBOX_VENTAS[Código],LISTADO_PRODUCTOS[#All],5)</f>
        <v>N/A</v>
      </c>
      <c r="D159" s="28">
        <f>VLOOKUP(TABLA_PRECIOS_LISTBOX_VENTAS[[#This Row],[Código]],TABLA_PRECIOS[#All],7)</f>
        <v>1</v>
      </c>
    </row>
    <row r="160" spans="1:4" ht="12" customHeight="1" x14ac:dyDescent="0.3">
      <c r="A160" s="4">
        <v>1196</v>
      </c>
      <c r="B160" s="6" t="str">
        <f>VLOOKUP(TABLA_PRECIOS_LISTBOX_VENTAS[Código],LISTADO_PRODUCTOS[#All],4)</f>
        <v>Adhesivo vinilico Señorita/Maped x 250gr</v>
      </c>
      <c r="C160" s="6" t="str">
        <f>VLOOKUP(TABLA_PRECIOS_LISTBOX_VENTAS[Código],LISTADO_PRODUCTOS[#All],5)</f>
        <v>N/A</v>
      </c>
      <c r="D160" s="28">
        <f>VLOOKUP(TABLA_PRECIOS_LISTBOX_VENTAS[[#This Row],[Código]],TABLA_PRECIOS[#All],7)</f>
        <v>1</v>
      </c>
    </row>
    <row r="161" spans="1:4" ht="12" customHeight="1" x14ac:dyDescent="0.3">
      <c r="A161" s="4">
        <v>1197</v>
      </c>
      <c r="B161" s="6" t="str">
        <f>VLOOKUP(TABLA_PRECIOS_LISTBOX_VENTAS[Código],LISTADO_PRODUCTOS[#All],4)</f>
        <v>Adhesivo vinilico Señorita/Maped x 100gr/125gr</v>
      </c>
      <c r="C161" s="6" t="str">
        <f>VLOOKUP(TABLA_PRECIOS_LISTBOX_VENTAS[Código],LISTADO_PRODUCTOS[#All],5)</f>
        <v>N/A</v>
      </c>
      <c r="D161" s="28">
        <f>VLOOKUP(TABLA_PRECIOS_LISTBOX_VENTAS[[#This Row],[Código]],TABLA_PRECIOS[#All],7)</f>
        <v>1</v>
      </c>
    </row>
    <row r="162" spans="1:4" ht="12" customHeight="1" x14ac:dyDescent="0.3">
      <c r="A162" s="4">
        <v>1199</v>
      </c>
      <c r="B162" s="6" t="str">
        <f>VLOOKUP(TABLA_PRECIOS_LISTBOX_VENTAS[Código],LISTADO_PRODUCTOS[#All],4)</f>
        <v>Goma de borrar Maped Technic</v>
      </c>
      <c r="C162" s="6" t="str">
        <f>VLOOKUP(TABLA_PRECIOS_LISTBOX_VENTAS[Código],LISTADO_PRODUCTOS[#All],5)</f>
        <v>N/A</v>
      </c>
      <c r="D162" s="28">
        <f>VLOOKUP(TABLA_PRECIOS_LISTBOX_VENTAS[[#This Row],[Código]],TABLA_PRECIOS[#All],7)</f>
        <v>1</v>
      </c>
    </row>
    <row r="163" spans="1:4" ht="12" customHeight="1" x14ac:dyDescent="0.3">
      <c r="A163" s="4">
        <v>1205</v>
      </c>
      <c r="B163" s="6" t="str">
        <f>VLOOKUP(TABLA_PRECIOS_LISTBOX_VENTAS[Código],LISTADO_PRODUCTOS[#All],4)</f>
        <v xml:space="preserve">Papel Glace Lustre </v>
      </c>
      <c r="C163" s="6" t="str">
        <f>VLOOKUP(TABLA_PRECIOS_LISTBOX_VENTAS[Código],LISTADO_PRODUCTOS[#All],5)</f>
        <v>N/A</v>
      </c>
      <c r="D163" s="28">
        <f>VLOOKUP(TABLA_PRECIOS_LISTBOX_VENTAS[[#This Row],[Código]],TABLA_PRECIOS[#All],7)</f>
        <v>1</v>
      </c>
    </row>
    <row r="164" spans="1:4" ht="12" customHeight="1" x14ac:dyDescent="0.3">
      <c r="A164" s="4">
        <v>1206</v>
      </c>
      <c r="B164" s="6" t="str">
        <f>VLOOKUP(TABLA_PRECIOS_LISTBOX_VENTAS[Código],LISTADO_PRODUCTOS[#All],4)</f>
        <v xml:space="preserve">Papel Glace Fluo - </v>
      </c>
      <c r="C164" s="6" t="str">
        <f>VLOOKUP(TABLA_PRECIOS_LISTBOX_VENTAS[Código],LISTADO_PRODUCTOS[#All],5)</f>
        <v>N/A</v>
      </c>
      <c r="D164" s="28">
        <f>VLOOKUP(TABLA_PRECIOS_LISTBOX_VENTAS[[#This Row],[Código]],TABLA_PRECIOS[#All],7)</f>
        <v>1</v>
      </c>
    </row>
    <row r="165" spans="1:4" ht="12" customHeight="1" x14ac:dyDescent="0.3">
      <c r="A165" s="4">
        <v>1207</v>
      </c>
      <c r="B165" s="6" t="str">
        <f>VLOOKUP(TABLA_PRECIOS_LISTBOX_VENTAS[Código],LISTADO_PRODUCTOS[#All],4)</f>
        <v>Papel Glace metalizado -</v>
      </c>
      <c r="C165" s="6" t="str">
        <f>VLOOKUP(TABLA_PRECIOS_LISTBOX_VENTAS[Código],LISTADO_PRODUCTOS[#All],5)</f>
        <v>N/A</v>
      </c>
      <c r="D165" s="28">
        <f>VLOOKUP(TABLA_PRECIOS_LISTBOX_VENTAS[[#This Row],[Código]],TABLA_PRECIOS[#All],7)</f>
        <v>1</v>
      </c>
    </row>
    <row r="166" spans="1:4" ht="12" customHeight="1" x14ac:dyDescent="0.3">
      <c r="A166" s="4">
        <v>1208</v>
      </c>
      <c r="B166" s="6" t="str">
        <f>VLOOKUP(TABLA_PRECIOS_LISTBOX_VENTAS[Código],LISTADO_PRODUCTOS[#All],4)</f>
        <v>Sacapuntas Maped Vivo</v>
      </c>
      <c r="C166" s="6" t="str">
        <f>VLOOKUP(TABLA_PRECIOS_LISTBOX_VENTAS[Código],LISTADO_PRODUCTOS[#All],5)</f>
        <v>N/A</v>
      </c>
      <c r="D166" s="28">
        <f>VLOOKUP(TABLA_PRECIOS_LISTBOX_VENTAS[[#This Row],[Código]],TABLA_PRECIOS[#All],7)</f>
        <v>1</v>
      </c>
    </row>
    <row r="167" spans="1:4" ht="12" customHeight="1" x14ac:dyDescent="0.3">
      <c r="A167" s="4">
        <v>1209</v>
      </c>
      <c r="B167" s="6" t="str">
        <f>VLOOKUP(TABLA_PRECIOS_LISTBOX_VENTAS[Código],LISTADO_PRODUCTOS[#All],4)</f>
        <v>Sacapuntas Maped monstruito</v>
      </c>
      <c r="C167" s="6" t="str">
        <f>VLOOKUP(TABLA_PRECIOS_LISTBOX_VENTAS[Código],LISTADO_PRODUCTOS[#All],5)</f>
        <v>N/A</v>
      </c>
      <c r="D167" s="28">
        <f>VLOOKUP(TABLA_PRECIOS_LISTBOX_VENTAS[[#This Row],[Código]],TABLA_PRECIOS[#All],7)</f>
        <v>1</v>
      </c>
    </row>
    <row r="168" spans="1:4" ht="12" customHeight="1" x14ac:dyDescent="0.3">
      <c r="A168" s="4">
        <v>1210</v>
      </c>
      <c r="B168" s="6" t="str">
        <f>VLOOKUP(TABLA_PRECIOS_LISTBOX_VENTAS[Código],LISTADO_PRODUCTOS[#All],4)</f>
        <v>Sacapuntas Metal</v>
      </c>
      <c r="C168" s="6" t="str">
        <f>VLOOKUP(TABLA_PRECIOS_LISTBOX_VENTAS[Código],LISTADO_PRODUCTOS[#All],5)</f>
        <v>N/A</v>
      </c>
      <c r="D168" s="28">
        <f>VLOOKUP(TABLA_PRECIOS_LISTBOX_VENTAS[[#This Row],[Código]],TABLA_PRECIOS[#All],7)</f>
        <v>1</v>
      </c>
    </row>
    <row r="169" spans="1:4" ht="12" customHeight="1" x14ac:dyDescent="0.3">
      <c r="A169" s="4">
        <v>1211</v>
      </c>
      <c r="B169" s="6" t="str">
        <f>VLOOKUP(TABLA_PRECIOS_LISTBOX_VENTAS[Código],LISTADO_PRODUCTOS[#All],4)</f>
        <v>Lapiz Negro Filgo Pinto</v>
      </c>
      <c r="C169" s="6" t="str">
        <f>VLOOKUP(TABLA_PRECIOS_LISTBOX_VENTAS[Código],LISTADO_PRODUCTOS[#All],5)</f>
        <v>N/A</v>
      </c>
      <c r="D169" s="28">
        <f>VLOOKUP(TABLA_PRECIOS_LISTBOX_VENTAS[[#This Row],[Código]],TABLA_PRECIOS[#All],7)</f>
        <v>1</v>
      </c>
    </row>
    <row r="170" spans="1:4" ht="12" customHeight="1" x14ac:dyDescent="0.3">
      <c r="A170" s="4">
        <v>1212</v>
      </c>
      <c r="B170" s="6" t="str">
        <f>VLOOKUP(TABLA_PRECIOS_LISTBOX_VENTAS[Código],LISTADO_PRODUCTOS[#All],4)</f>
        <v>Lapiz Negro Bic Evolution</v>
      </c>
      <c r="C170" s="6" t="str">
        <f>VLOOKUP(TABLA_PRECIOS_LISTBOX_VENTAS[Código],LISTADO_PRODUCTOS[#All],5)</f>
        <v>N/A</v>
      </c>
      <c r="D170" s="28">
        <f>VLOOKUP(TABLA_PRECIOS_LISTBOX_VENTAS[[#This Row],[Código]],TABLA_PRECIOS[#All],7)</f>
        <v>1</v>
      </c>
    </row>
    <row r="171" spans="1:4" ht="12" customHeight="1" x14ac:dyDescent="0.3">
      <c r="A171" s="4">
        <v>1213</v>
      </c>
      <c r="B171" s="6" t="str">
        <f>VLOOKUP(TABLA_PRECIOS_LISTBOX_VENTAS[Código],LISTADO_PRODUCTOS[#All],4)</f>
        <v xml:space="preserve">Lapiz Negro Skycolor </v>
      </c>
      <c r="C171" s="6" t="str">
        <f>VLOOKUP(TABLA_PRECIOS_LISTBOX_VENTAS[Código],LISTADO_PRODUCTOS[#All],5)</f>
        <v>N/A</v>
      </c>
      <c r="D171" s="28">
        <f>VLOOKUP(TABLA_PRECIOS_LISTBOX_VENTAS[[#This Row],[Código]],TABLA_PRECIOS[#All],7)</f>
        <v>1</v>
      </c>
    </row>
    <row r="172" spans="1:4" ht="12" customHeight="1" x14ac:dyDescent="0.3">
      <c r="A172" s="4">
        <v>1215</v>
      </c>
      <c r="B172" s="6" t="str">
        <f>VLOOKUP(TABLA_PRECIOS_LISTBOX_VENTAS[Código],LISTADO_PRODUCTOS[#All],4)</f>
        <v>Regla Pizzini 20cm Art. 1702 - 170268</v>
      </c>
      <c r="C172" s="6" t="str">
        <f>VLOOKUP(TABLA_PRECIOS_LISTBOX_VENTAS[Código],LISTADO_PRODUCTOS[#All],5)</f>
        <v>N/A</v>
      </c>
      <c r="D172" s="28">
        <f>VLOOKUP(TABLA_PRECIOS_LISTBOX_VENTAS[[#This Row],[Código]],TABLA_PRECIOS[#All],7)</f>
        <v>1</v>
      </c>
    </row>
    <row r="173" spans="1:4" ht="12" customHeight="1" x14ac:dyDescent="0.3">
      <c r="A173" s="4">
        <v>1216</v>
      </c>
      <c r="B173" s="6" t="str">
        <f>VLOOKUP(TABLA_PRECIOS_LISTBOX_VENTAS[Código],LISTADO_PRODUCTOS[#All],4)</f>
        <v>Regla Pizzini 30cm Art. 170230 - 7793198170275</v>
      </c>
      <c r="C173" s="6" t="str">
        <f>VLOOKUP(TABLA_PRECIOS_LISTBOX_VENTAS[Código],LISTADO_PRODUCTOS[#All],5)</f>
        <v>N/A</v>
      </c>
      <c r="D173" s="28">
        <f>VLOOKUP(TABLA_PRECIOS_LISTBOX_VENTAS[[#This Row],[Código]],TABLA_PRECIOS[#All],7)</f>
        <v>1</v>
      </c>
    </row>
    <row r="174" spans="1:4" ht="12" customHeight="1" x14ac:dyDescent="0.3">
      <c r="A174" s="4">
        <v>1219</v>
      </c>
      <c r="B174" s="6" t="str">
        <f>VLOOKUP(TABLA_PRECIOS_LISTBOX_VENTAS[Código],LISTADO_PRODUCTOS[#All],4)</f>
        <v>Set de Geometria Pizzini Mi mundo Pastel</v>
      </c>
      <c r="C174" s="6" t="str">
        <f>VLOOKUP(TABLA_PRECIOS_LISTBOX_VENTAS[Código],LISTADO_PRODUCTOS[#All],5)</f>
        <v>N/A</v>
      </c>
      <c r="D174" s="28">
        <f>VLOOKUP(TABLA_PRECIOS_LISTBOX_VENTAS[[#This Row],[Código]],TABLA_PRECIOS[#All],7)</f>
        <v>1</v>
      </c>
    </row>
    <row r="175" spans="1:4" ht="12" customHeight="1" x14ac:dyDescent="0.3">
      <c r="A175" s="4">
        <v>1223</v>
      </c>
      <c r="B175" s="6" t="str">
        <f>VLOOKUP(TABLA_PRECIOS_LISTBOX_VENTAS[Código],LISTADO_PRODUCTOS[#All],4)</f>
        <v>Regla Flexible x20cm Keyroad/util uno</v>
      </c>
      <c r="C175" s="6" t="str">
        <f>VLOOKUP(TABLA_PRECIOS_LISTBOX_VENTAS[Código],LISTADO_PRODUCTOS[#All],5)</f>
        <v>N/A</v>
      </c>
      <c r="D175" s="28">
        <f>VLOOKUP(TABLA_PRECIOS_LISTBOX_VENTAS[[#This Row],[Código]],TABLA_PRECIOS[#All],7)</f>
        <v>1</v>
      </c>
    </row>
    <row r="176" spans="1:4" ht="12" customHeight="1" x14ac:dyDescent="0.3">
      <c r="A176" s="4">
        <v>1224</v>
      </c>
      <c r="B176" s="6" t="str">
        <f>VLOOKUP(TABLA_PRECIOS_LISTBOX_VENTAS[Código],LISTADO_PRODUCTOS[#All],4)</f>
        <v>Regla de aluminio con porta lapiz Keyroad 20cm</v>
      </c>
      <c r="C176" s="6" t="str">
        <f>VLOOKUP(TABLA_PRECIOS_LISTBOX_VENTAS[Código],LISTADO_PRODUCTOS[#All],5)</f>
        <v>N/A</v>
      </c>
      <c r="D176" s="28">
        <f>VLOOKUP(TABLA_PRECIOS_LISTBOX_VENTAS[[#This Row],[Código]],TABLA_PRECIOS[#All],7)</f>
        <v>1</v>
      </c>
    </row>
    <row r="177" spans="1:4" ht="12" customHeight="1" x14ac:dyDescent="0.3">
      <c r="A177" s="4">
        <v>1227</v>
      </c>
      <c r="B177" s="6" t="str">
        <f>VLOOKUP(TABLA_PRECIOS_LISTBOX_VENTAS[Código],LISTADO_PRODUCTOS[#All],4)</f>
        <v>Escuadra 45º Pizzini 20cm</v>
      </c>
      <c r="C177" s="6" t="str">
        <f>VLOOKUP(TABLA_PRECIOS_LISTBOX_VENTAS[Código],LISTADO_PRODUCTOS[#All],5)</f>
        <v>N/A</v>
      </c>
      <c r="D177" s="28">
        <f>VLOOKUP(TABLA_PRECIOS_LISTBOX_VENTAS[[#This Row],[Código]],TABLA_PRECIOS[#All],7)</f>
        <v>1</v>
      </c>
    </row>
    <row r="178" spans="1:4" ht="12" customHeight="1" x14ac:dyDescent="0.3">
      <c r="A178" s="4">
        <v>1228</v>
      </c>
      <c r="B178" s="6" t="str">
        <f>VLOOKUP(TABLA_PRECIOS_LISTBOX_VENTAS[Código],LISTADO_PRODUCTOS[#All],4)</f>
        <v>Escuadra 30º Pizzini 20cm</v>
      </c>
      <c r="C178" s="6" t="str">
        <f>VLOOKUP(TABLA_PRECIOS_LISTBOX_VENTAS[Código],LISTADO_PRODUCTOS[#All],5)</f>
        <v>N/A</v>
      </c>
      <c r="D178" s="28">
        <f>VLOOKUP(TABLA_PRECIOS_LISTBOX_VENTAS[[#This Row],[Código]],TABLA_PRECIOS[#All],7)</f>
        <v>1</v>
      </c>
    </row>
    <row r="179" spans="1:4" ht="12" customHeight="1" x14ac:dyDescent="0.3">
      <c r="A179" s="4">
        <v>1430</v>
      </c>
      <c r="B179" s="6" t="str">
        <f>VLOOKUP(TABLA_PRECIOS_LISTBOX_VENTAS[Código],LISTADO_PRODUCTOS[#All],4)</f>
        <v>Set de Resaltadores NUWA x5u en dispenser</v>
      </c>
      <c r="C179" s="6" t="str">
        <f>VLOOKUP(TABLA_PRECIOS_LISTBOX_VENTAS[Código],LISTADO_PRODUCTOS[#All],5)</f>
        <v>N/A</v>
      </c>
      <c r="D179" s="28">
        <f>VLOOKUP(TABLA_PRECIOS_LISTBOX_VENTAS[[#This Row],[Código]],TABLA_PRECIOS[#All],7)</f>
        <v>1</v>
      </c>
    </row>
    <row r="180" spans="1:4" ht="12" customHeight="1" x14ac:dyDescent="0.3">
      <c r="A180" s="4">
        <v>1432</v>
      </c>
      <c r="B180" s="6" t="str">
        <f>VLOOKUP(TABLA_PRECIOS_LISTBOX_VENTAS[Código],LISTADO_PRODUCTOS[#All],4)</f>
        <v>Set de Resaltadores NUWA x5u en dispenser</v>
      </c>
      <c r="C180" s="6" t="str">
        <f>VLOOKUP(TABLA_PRECIOS_LISTBOX_VENTAS[Código],LISTADO_PRODUCTOS[#All],5)</f>
        <v>N/A</v>
      </c>
      <c r="D180" s="28">
        <f>VLOOKUP(TABLA_PRECIOS_LISTBOX_VENTAS[[#This Row],[Código]],TABLA_PRECIOS[#All],7)</f>
        <v>1</v>
      </c>
    </row>
    <row r="181" spans="1:4" ht="12" customHeight="1" x14ac:dyDescent="0.3">
      <c r="A181" s="4">
        <v>1230</v>
      </c>
      <c r="B181" s="6" t="str">
        <f>VLOOKUP(TABLA_PRECIOS_LISTBOX_VENTAS[Código],LISTADO_PRODUCTOS[#All],4)</f>
        <v>Escuadra 30º Pizzini 20cm</v>
      </c>
      <c r="C181" s="6" t="str">
        <f>VLOOKUP(TABLA_PRECIOS_LISTBOX_VENTAS[Código],LISTADO_PRODUCTOS[#All],5)</f>
        <v>N/A</v>
      </c>
      <c r="D181" s="28">
        <f>VLOOKUP(TABLA_PRECIOS_LISTBOX_VENTAS[[#This Row],[Código]],TABLA_PRECIOS[#All],7)</f>
        <v>1</v>
      </c>
    </row>
    <row r="182" spans="1:4" ht="12" customHeight="1" x14ac:dyDescent="0.3">
      <c r="A182" s="4">
        <v>1231</v>
      </c>
      <c r="B182" s="6" t="str">
        <f>VLOOKUP(TABLA_PRECIOS_LISTBOX_VENTAS[Código],LISTADO_PRODUCTOS[#All],4)</f>
        <v>Escuadra 30º Pizzini 20cm</v>
      </c>
      <c r="C182" s="6" t="str">
        <f>VLOOKUP(TABLA_PRECIOS_LISTBOX_VENTAS[Código],LISTADO_PRODUCTOS[#All],5)</f>
        <v>N/A</v>
      </c>
      <c r="D182" s="28">
        <f>VLOOKUP(TABLA_PRECIOS_LISTBOX_VENTAS[[#This Row],[Código]],TABLA_PRECIOS[#All],7)</f>
        <v>1</v>
      </c>
    </row>
    <row r="183" spans="1:4" ht="12" customHeight="1" x14ac:dyDescent="0.3">
      <c r="A183" s="4">
        <v>1232</v>
      </c>
      <c r="B183" s="6" t="str">
        <f>VLOOKUP(TABLA_PRECIOS_LISTBOX_VENTAS[Código],LISTADO_PRODUCTOS[#All],4)</f>
        <v>Escuadra 30º Pizzini 20cm</v>
      </c>
      <c r="C183" s="6" t="str">
        <f>VLOOKUP(TABLA_PRECIOS_LISTBOX_VENTAS[Código],LISTADO_PRODUCTOS[#All],5)</f>
        <v>N/A</v>
      </c>
      <c r="D183" s="28">
        <f>VLOOKUP(TABLA_PRECIOS_LISTBOX_VENTAS[[#This Row],[Código]],TABLA_PRECIOS[#All],7)</f>
        <v>1</v>
      </c>
    </row>
    <row r="184" spans="1:4" ht="12" customHeight="1" x14ac:dyDescent="0.3">
      <c r="A184" s="4">
        <v>1233</v>
      </c>
      <c r="B184" s="6" t="str">
        <f>VLOOKUP(TABLA_PRECIOS_LISTBOX_VENTAS[Código],LISTADO_PRODUCTOS[#All],4)</f>
        <v>Escuadra 30º Pizzini 20cm</v>
      </c>
      <c r="C184" s="6" t="str">
        <f>VLOOKUP(TABLA_PRECIOS_LISTBOX_VENTAS[Código],LISTADO_PRODUCTOS[#All],5)</f>
        <v>N/A</v>
      </c>
      <c r="D184" s="28">
        <f>VLOOKUP(TABLA_PRECIOS_LISTBOX_VENTAS[[#This Row],[Código]],TABLA_PRECIOS[#All],7)</f>
        <v>1</v>
      </c>
    </row>
    <row r="185" spans="1:4" ht="12" customHeight="1" x14ac:dyDescent="0.3">
      <c r="A185" s="4">
        <v>1234</v>
      </c>
      <c r="B185" s="6" t="str">
        <f>VLOOKUP(TABLA_PRECIOS_LISTBOX_VENTAS[Código],LISTADO_PRODUCTOS[#All],4)</f>
        <v>Escuadra 30º Pizzini 20cm</v>
      </c>
      <c r="C185" s="6" t="str">
        <f>VLOOKUP(TABLA_PRECIOS_LISTBOX_VENTAS[Código],LISTADO_PRODUCTOS[#All],5)</f>
        <v>N/A</v>
      </c>
      <c r="D185" s="28">
        <f>VLOOKUP(TABLA_PRECIOS_LISTBOX_VENTAS[[#This Row],[Código]],TABLA_PRECIOS[#All],7)</f>
        <v>1</v>
      </c>
    </row>
    <row r="186" spans="1:4" ht="12" customHeight="1" x14ac:dyDescent="0.3">
      <c r="A186" s="4">
        <v>1236</v>
      </c>
      <c r="B186" s="6" t="str">
        <f>VLOOKUP(TABLA_PRECIOS_LISTBOX_VENTAS[Código],LISTADO_PRODUCTOS[#All],4)</f>
        <v>Escuadra 30º Pizzini 20cm</v>
      </c>
      <c r="C186" s="6" t="str">
        <f>VLOOKUP(TABLA_PRECIOS_LISTBOX_VENTAS[Código],LISTADO_PRODUCTOS[#All],5)</f>
        <v>N/A</v>
      </c>
      <c r="D186" s="28">
        <f>VLOOKUP(TABLA_PRECIOS_LISTBOX_VENTAS[[#This Row],[Código]],TABLA_PRECIOS[#All],7)</f>
        <v>1</v>
      </c>
    </row>
    <row r="187" spans="1:4" ht="12" customHeight="1" x14ac:dyDescent="0.3">
      <c r="A187" s="4">
        <v>1237</v>
      </c>
      <c r="B187" s="6" t="str">
        <f>VLOOKUP(TABLA_PRECIOS_LISTBOX_VENTAS[Código],LISTADO_PRODUCTOS[#All],4)</f>
        <v>Escuadra 30º Pizzini 20cm</v>
      </c>
      <c r="C187" s="6" t="str">
        <f>VLOOKUP(TABLA_PRECIOS_LISTBOX_VENTAS[Código],LISTADO_PRODUCTOS[#All],5)</f>
        <v>N/A</v>
      </c>
      <c r="D187" s="28">
        <f>VLOOKUP(TABLA_PRECIOS_LISTBOX_VENTAS[[#This Row],[Código]],TABLA_PRECIOS[#All],7)</f>
        <v>1</v>
      </c>
    </row>
    <row r="188" spans="1:4" ht="12" customHeight="1" x14ac:dyDescent="0.3">
      <c r="A188" s="4">
        <v>1238</v>
      </c>
      <c r="B188" s="6" t="str">
        <f>VLOOKUP(TABLA_PRECIOS_LISTBOX_VENTAS[Código],LISTADO_PRODUCTOS[#All],4)</f>
        <v>Escuadra 30º Pizzini 20cm</v>
      </c>
      <c r="C188" s="6" t="str">
        <f>VLOOKUP(TABLA_PRECIOS_LISTBOX_VENTAS[Código],LISTADO_PRODUCTOS[#All],5)</f>
        <v>N/A</v>
      </c>
      <c r="D188" s="28">
        <f>VLOOKUP(TABLA_PRECIOS_LISTBOX_VENTAS[[#This Row],[Código]],TABLA_PRECIOS[#All],7)</f>
        <v>1</v>
      </c>
    </row>
    <row r="189" spans="1:4" ht="12" customHeight="1" x14ac:dyDescent="0.3">
      <c r="A189" s="4">
        <v>1239</v>
      </c>
      <c r="B189" s="6" t="str">
        <f>VLOOKUP(TABLA_PRECIOS_LISTBOX_VENTAS[Código],LISTADO_PRODUCTOS[#All],4)</f>
        <v>Escuadra 30º Pizzini 20cm</v>
      </c>
      <c r="C189" s="6" t="str">
        <f>VLOOKUP(TABLA_PRECIOS_LISTBOX_VENTAS[Código],LISTADO_PRODUCTOS[#All],5)</f>
        <v>N/A</v>
      </c>
      <c r="D189" s="28">
        <f>VLOOKUP(TABLA_PRECIOS_LISTBOX_VENTAS[[#This Row],[Código]],TABLA_PRECIOS[#All],7)</f>
        <v>1</v>
      </c>
    </row>
    <row r="190" spans="1:4" ht="12" customHeight="1" x14ac:dyDescent="0.3">
      <c r="A190" s="4">
        <v>1241</v>
      </c>
      <c r="B190" s="6" t="str">
        <f>VLOOKUP(TABLA_PRECIOS_LISTBOX_VENTAS[Código],LISTADO_PRODUCTOS[#All],4)</f>
        <v>Escuadra 30º Pizzini 20cm</v>
      </c>
      <c r="C190" s="6" t="str">
        <f>VLOOKUP(TABLA_PRECIOS_LISTBOX_VENTAS[Código],LISTADO_PRODUCTOS[#All],5)</f>
        <v>N/A</v>
      </c>
      <c r="D190" s="28">
        <f>VLOOKUP(TABLA_PRECIOS_LISTBOX_VENTAS[[#This Row],[Código]],TABLA_PRECIOS[#All],7)</f>
        <v>1</v>
      </c>
    </row>
    <row r="191" spans="1:4" ht="12" customHeight="1" x14ac:dyDescent="0.3">
      <c r="A191" s="4">
        <v>1245</v>
      </c>
      <c r="B191" s="6" t="str">
        <f>VLOOKUP(TABLA_PRECIOS_LISTBOX_VENTAS[Código],LISTADO_PRODUCTOS[#All],4)</f>
        <v>Escuadra 30º Pizzini 20cm</v>
      </c>
      <c r="C191" s="6" t="str">
        <f>VLOOKUP(TABLA_PRECIOS_LISTBOX_VENTAS[Código],LISTADO_PRODUCTOS[#All],5)</f>
        <v>N/A</v>
      </c>
      <c r="D191" s="28">
        <f>VLOOKUP(TABLA_PRECIOS_LISTBOX_VENTAS[[#This Row],[Código]],TABLA_PRECIOS[#All],7)</f>
        <v>1</v>
      </c>
    </row>
    <row r="192" spans="1:4" ht="12" customHeight="1" x14ac:dyDescent="0.3">
      <c r="A192" s="4">
        <v>1246</v>
      </c>
      <c r="B192" s="6" t="str">
        <f>VLOOKUP(TABLA_PRECIOS_LISTBOX_VENTAS[Código],LISTADO_PRODUCTOS[#All],4)</f>
        <v>Escarapela Tela</v>
      </c>
      <c r="C192" s="6" t="str">
        <f>VLOOKUP(TABLA_PRECIOS_LISTBOX_VENTAS[Código],LISTADO_PRODUCTOS[#All],5)</f>
        <v>N/A</v>
      </c>
      <c r="D192" s="28">
        <f>VLOOKUP(TABLA_PRECIOS_LISTBOX_VENTAS[[#This Row],[Código]],TABLA_PRECIOS[#All],7)</f>
        <v>1</v>
      </c>
    </row>
    <row r="193" spans="1:4" ht="12" customHeight="1" x14ac:dyDescent="0.3">
      <c r="A193" s="4">
        <v>1300</v>
      </c>
      <c r="B193" s="6" t="str">
        <f>VLOOKUP(TABLA_PRECIOS_LISTBOX_VENTAS[Código],LISTADO_PRODUCTOS[#All],4)</f>
        <v>Goma Maped Technic Duo New Generation</v>
      </c>
      <c r="C193" s="6" t="str">
        <f>VLOOKUP(TABLA_PRECIOS_LISTBOX_VENTAS[Código],LISTADO_PRODUCTOS[#All],5)</f>
        <v>N/A</v>
      </c>
      <c r="D193" s="28">
        <f>VLOOKUP(TABLA_PRECIOS_LISTBOX_VENTAS[[#This Row],[Código]],TABLA_PRECIOS[#All],7)</f>
        <v>1</v>
      </c>
    </row>
    <row r="194" spans="1:4" ht="12" customHeight="1" x14ac:dyDescent="0.3">
      <c r="A194" s="4">
        <v>1301</v>
      </c>
      <c r="B194" s="6" t="str">
        <f>VLOOKUP(TABLA_PRECIOS_LISTBOX_VENTAS[Código],LISTADO_PRODUCTOS[#All],4)</f>
        <v>Boligrafo Filgo Fastrack retractil</v>
      </c>
      <c r="C194" s="6" t="str">
        <f>VLOOKUP(TABLA_PRECIOS_LISTBOX_VENTAS[Código],LISTADO_PRODUCTOS[#All],5)</f>
        <v>N/A</v>
      </c>
      <c r="D194" s="28">
        <f>VLOOKUP(TABLA_PRECIOS_LISTBOX_VENTAS[[#This Row],[Código]],TABLA_PRECIOS[#All],7)</f>
        <v>1</v>
      </c>
    </row>
    <row r="195" spans="1:4" ht="12" customHeight="1" x14ac:dyDescent="0.3">
      <c r="A195" s="4">
        <v>1302</v>
      </c>
      <c r="B195" s="6" t="str">
        <f>VLOOKUP(TABLA_PRECIOS_LISTBOX_VENTAS[Código],LISTADO_PRODUCTOS[#All],4)</f>
        <v>Tabla Periodica</v>
      </c>
      <c r="C195" s="6" t="str">
        <f>VLOOKUP(TABLA_PRECIOS_LISTBOX_VENTAS[Código],LISTADO_PRODUCTOS[#All],5)</f>
        <v>N/A</v>
      </c>
      <c r="D195" s="28">
        <f>VLOOKUP(TABLA_PRECIOS_LISTBOX_VENTAS[[#This Row],[Código]],TABLA_PRECIOS[#All],7)</f>
        <v>1</v>
      </c>
    </row>
    <row r="196" spans="1:4" ht="12" customHeight="1" x14ac:dyDescent="0.3">
      <c r="A196" s="4">
        <v>1304</v>
      </c>
      <c r="B196" s="6" t="str">
        <f>VLOOKUP(TABLA_PRECIOS_LISTBOX_VENTAS[Código],LISTADO_PRODUCTOS[#All],4)</f>
        <v>Escarapelas varias tela</v>
      </c>
      <c r="C196" s="6" t="str">
        <f>VLOOKUP(TABLA_PRECIOS_LISTBOX_VENTAS[Código],LISTADO_PRODUCTOS[#All],5)</f>
        <v>N/A</v>
      </c>
      <c r="D196" s="28">
        <f>VLOOKUP(TABLA_PRECIOS_LISTBOX_VENTAS[[#This Row],[Código]],TABLA_PRECIOS[#All],7)</f>
        <v>1</v>
      </c>
    </row>
    <row r="197" spans="1:4" ht="12" customHeight="1" x14ac:dyDescent="0.3">
      <c r="A197" s="4">
        <v>1305</v>
      </c>
      <c r="B197" s="6" t="str">
        <f>VLOOKUP(TABLA_PRECIOS_LISTBOX_VENTAS[Código],LISTADO_PRODUCTOS[#All],4)</f>
        <v>Lapiz Negro Trabí Neon por fuera y diseño C/Goma</v>
      </c>
      <c r="C197" s="6" t="str">
        <f>VLOOKUP(TABLA_PRECIOS_LISTBOX_VENTAS[Código],LISTADO_PRODUCTOS[#All],5)</f>
        <v>N/A</v>
      </c>
      <c r="D197" s="28">
        <f>VLOOKUP(TABLA_PRECIOS_LISTBOX_VENTAS[[#This Row],[Código]],TABLA_PRECIOS[#All],7)</f>
        <v>1</v>
      </c>
    </row>
    <row r="198" spans="1:4" ht="12" customHeight="1" x14ac:dyDescent="0.3">
      <c r="A198" s="4">
        <v>1306</v>
      </c>
      <c r="B198" s="6" t="str">
        <f>VLOOKUP(TABLA_PRECIOS_LISTBOX_VENTAS[Código],LISTADO_PRODUCTOS[#All],4)</f>
        <v>Blister Lapiz Negro Mooving Disney x 6u</v>
      </c>
      <c r="C198" s="6" t="str">
        <f>VLOOKUP(TABLA_PRECIOS_LISTBOX_VENTAS[Código],LISTADO_PRODUCTOS[#All],5)</f>
        <v>N/A</v>
      </c>
      <c r="D198" s="28">
        <f>VLOOKUP(TABLA_PRECIOS_LISTBOX_VENTAS[[#This Row],[Código]],TABLA_PRECIOS[#All],7)</f>
        <v>1</v>
      </c>
    </row>
    <row r="199" spans="1:4" ht="12" customHeight="1" x14ac:dyDescent="0.3">
      <c r="A199" s="4">
        <v>1307</v>
      </c>
      <c r="B199" s="6" t="str">
        <f>VLOOKUP(TABLA_PRECIOS_LISTBOX_VENTAS[Código],LISTADO_PRODUCTOS[#All],4)</f>
        <v>Roller Tinta Gel Mooving x10</v>
      </c>
      <c r="C199" s="6" t="str">
        <f>VLOOKUP(TABLA_PRECIOS_LISTBOX_VENTAS[Código],LISTADO_PRODUCTOS[#All],5)</f>
        <v>N/A</v>
      </c>
      <c r="D199" s="28">
        <f>VLOOKUP(TABLA_PRECIOS_LISTBOX_VENTAS[[#This Row],[Código]],TABLA_PRECIOS[#All],7)</f>
        <v>1</v>
      </c>
    </row>
    <row r="200" spans="1:4" ht="12" customHeight="1" x14ac:dyDescent="0.3">
      <c r="A200" s="4">
        <v>1308</v>
      </c>
      <c r="B200" s="6" t="str">
        <f>VLOOKUP(TABLA_PRECIOS_LISTBOX_VENTAS[Código],LISTADO_PRODUCTOS[#All],4)</f>
        <v>Roller Silky NEON/PASTEL Mooving x5</v>
      </c>
      <c r="C200" s="6" t="str">
        <f>VLOOKUP(TABLA_PRECIOS_LISTBOX_VENTAS[Código],LISTADO_PRODUCTOS[#All],5)</f>
        <v>N/A</v>
      </c>
      <c r="D200" s="28">
        <f>VLOOKUP(TABLA_PRECIOS_LISTBOX_VENTAS[[#This Row],[Código]],TABLA_PRECIOS[#All],7)</f>
        <v>1</v>
      </c>
    </row>
    <row r="201" spans="1:4" ht="12" customHeight="1" x14ac:dyDescent="0.3">
      <c r="A201" s="4">
        <v>1309</v>
      </c>
      <c r="B201" s="6" t="str">
        <f>VLOOKUP(TABLA_PRECIOS_LISTBOX_VENTAS[Código],LISTADO_PRODUCTOS[#All],4)</f>
        <v>Resaltadores NEON / PASTEL Dupla ideal Mooving x 4</v>
      </c>
      <c r="C201" s="6" t="str">
        <f>VLOOKUP(TABLA_PRECIOS_LISTBOX_VENTAS[Código],LISTADO_PRODUCTOS[#All],5)</f>
        <v>N/A</v>
      </c>
      <c r="D201" s="28">
        <f>VLOOKUP(TABLA_PRECIOS_LISTBOX_VENTAS[[#This Row],[Código]],TABLA_PRECIOS[#All],7)</f>
        <v>1</v>
      </c>
    </row>
    <row r="202" spans="1:4" ht="12" customHeight="1" x14ac:dyDescent="0.3">
      <c r="A202" s="4">
        <v>1310</v>
      </c>
      <c r="B202" s="6" t="str">
        <f>VLOOKUP(TABLA_PRECIOS_LISTBOX_VENTAS[Código],LISTADO_PRODUCTOS[#All],4)</f>
        <v>Resaltador NEON Colores Aroma Perfumados x 4u</v>
      </c>
      <c r="C202" s="6" t="str">
        <f>VLOOKUP(TABLA_PRECIOS_LISTBOX_VENTAS[Código],LISTADO_PRODUCTOS[#All],5)</f>
        <v>N/A</v>
      </c>
      <c r="D202" s="28">
        <f>VLOOKUP(TABLA_PRECIOS_LISTBOX_VENTAS[[#This Row],[Código]],TABLA_PRECIOS[#All],7)</f>
        <v>1</v>
      </c>
    </row>
    <row r="203" spans="1:4" ht="12" customHeight="1" x14ac:dyDescent="0.3">
      <c r="A203" s="4">
        <v>1311</v>
      </c>
      <c r="B203" s="6" t="str">
        <f>VLOOKUP(TABLA_PRECIOS_LISTBOX_VENTAS[Código],LISTADO_PRODUCTOS[#All],4)</f>
        <v>Resaltadores Glitter Mooving x4</v>
      </c>
      <c r="C203" s="6" t="str">
        <f>VLOOKUP(TABLA_PRECIOS_LISTBOX_VENTAS[Código],LISTADO_PRODUCTOS[#All],5)</f>
        <v>N/A</v>
      </c>
      <c r="D203" s="28">
        <f>VLOOKUP(TABLA_PRECIOS_LISTBOX_VENTAS[[#This Row],[Código]],TABLA_PRECIOS[#All],7)</f>
        <v>1</v>
      </c>
    </row>
    <row r="204" spans="1:4" ht="12" customHeight="1" x14ac:dyDescent="0.3">
      <c r="A204" s="4">
        <v>1400</v>
      </c>
      <c r="B204" s="6" t="str">
        <f>VLOOKUP(TABLA_PRECIOS_LISTBOX_VENTAS[Código],LISTADO_PRODUCTOS[#All],4)</f>
        <v>Libreta NAT Ledesma tapa flexible 16.21 42h</v>
      </c>
      <c r="C204" s="6" t="str">
        <f>VLOOKUP(TABLA_PRECIOS_LISTBOX_VENTAS[Código],LISTADO_PRODUCTOS[#All],5)</f>
        <v>N/A</v>
      </c>
      <c r="D204" s="28">
        <f>VLOOKUP(TABLA_PRECIOS_LISTBOX_VENTAS[[#This Row],[Código]],TABLA_PRECIOS[#All],7)</f>
        <v>1</v>
      </c>
    </row>
    <row r="205" spans="1:4" ht="12" customHeight="1" x14ac:dyDescent="0.3">
      <c r="A205" s="4">
        <v>1405</v>
      </c>
      <c r="B205" s="6" t="str">
        <f>VLOOKUP(TABLA_PRECIOS_LISTBOX_VENTAS[Código],LISTADO_PRODUCTOS[#All],4)</f>
        <v>Marcador doble punta Trabí Duplo Permanente</v>
      </c>
      <c r="C205" s="6" t="str">
        <f>VLOOKUP(TABLA_PRECIOS_LISTBOX_VENTAS[Código],LISTADO_PRODUCTOS[#All],5)</f>
        <v>N/A</v>
      </c>
      <c r="D205" s="28">
        <f>VLOOKUP(TABLA_PRECIOS_LISTBOX_VENTAS[[#This Row],[Código]],TABLA_PRECIOS[#All],7)</f>
        <v>1</v>
      </c>
    </row>
    <row r="206" spans="1:4" ht="12" customHeight="1" x14ac:dyDescent="0.3">
      <c r="A206" s="4">
        <v>1408</v>
      </c>
      <c r="B206" s="6" t="str">
        <f>VLOOKUP(TABLA_PRECIOS_LISTBOX_VENTAS[Código],LISTADO_PRODUCTOS[#All],4)</f>
        <v>Cuaderno Triunfante 16.21 T/Carton 120hs</v>
      </c>
      <c r="C206" s="6" t="str">
        <f>VLOOKUP(TABLA_PRECIOS_LISTBOX_VENTAS[Código],LISTADO_PRODUCTOS[#All],5)</f>
        <v>N/A</v>
      </c>
      <c r="D206" s="28">
        <f>VLOOKUP(TABLA_PRECIOS_LISTBOX_VENTAS[[#This Row],[Código]],TABLA_PRECIOS[#All],7)</f>
        <v>1</v>
      </c>
    </row>
    <row r="207" spans="1:4" ht="12" customHeight="1" x14ac:dyDescent="0.3">
      <c r="A207" s="4">
        <v>1409</v>
      </c>
      <c r="B207" s="6" t="str">
        <f>VLOOKUP(TABLA_PRECIOS_LISTBOX_VENTAS[Código],LISTADO_PRODUCTOS[#All],4)</f>
        <v>Repuesto Éxito NAT x288h C/Margen Reforzado N°3</v>
      </c>
      <c r="C207" s="6" t="str">
        <f>VLOOKUP(TABLA_PRECIOS_LISTBOX_VENTAS[Código],LISTADO_PRODUCTOS[#All],5)</f>
        <v>N/A</v>
      </c>
      <c r="D207" s="28">
        <f>VLOOKUP(TABLA_PRECIOS_LISTBOX_VENTAS[[#This Row],[Código]],TABLA_PRECIOS[#All],7)</f>
        <v>1</v>
      </c>
    </row>
    <row r="208" spans="1:4" ht="12" customHeight="1" x14ac:dyDescent="0.3">
      <c r="A208" s="4">
        <v>1411</v>
      </c>
      <c r="B208" s="6" t="str">
        <f>VLOOKUP(TABLA_PRECIOS_LISTBOX_VENTAS[Código],LISTADO_PRODUCTOS[#All],4)</f>
        <v>Repuesto Éxito N°3 NAT M/R x 96h</v>
      </c>
      <c r="C208" s="6" t="str">
        <f>VLOOKUP(TABLA_PRECIOS_LISTBOX_VENTAS[Código],LISTADO_PRODUCTOS[#All],5)</f>
        <v>N/A</v>
      </c>
      <c r="D208" s="28">
        <f>VLOOKUP(TABLA_PRECIOS_LISTBOX_VENTAS[[#This Row],[Código]],TABLA_PRECIOS[#All],7)</f>
        <v>1</v>
      </c>
    </row>
    <row r="209" spans="1:4" ht="12" customHeight="1" x14ac:dyDescent="0.3">
      <c r="A209" s="4">
        <v>1414</v>
      </c>
      <c r="B209" s="6" t="str">
        <f>VLOOKUP(TABLA_PRECIOS_LISTBOX_VENTAS[Código],LISTADO_PRODUCTOS[#All],4)</f>
        <v>Repuesto escolar N°3 Éxito NAT con Margen Reforzado x 96h</v>
      </c>
      <c r="C209" s="6" t="str">
        <f>VLOOKUP(TABLA_PRECIOS_LISTBOX_VENTAS[Código],LISTADO_PRODUCTOS[#All],5)</f>
        <v>N/A</v>
      </c>
      <c r="D209" s="28">
        <f>VLOOKUP(TABLA_PRECIOS_LISTBOX_VENTAS[[#This Row],[Código]],TABLA_PRECIOS[#All],7)</f>
        <v>1</v>
      </c>
    </row>
    <row r="210" spans="1:4" ht="12" customHeight="1" x14ac:dyDescent="0.3">
      <c r="A210" s="4">
        <v>1415</v>
      </c>
      <c r="B210" s="6" t="str">
        <f>VLOOKUP(TABLA_PRECIOS_LISTBOX_VENTAS[Código],LISTADO_PRODUCTOS[#All],4)</f>
        <v>Repuesto Calcar Nº5 Luma</v>
      </c>
      <c r="C210" s="6" t="str">
        <f>VLOOKUP(TABLA_PRECIOS_LISTBOX_VENTAS[Código],LISTADO_PRODUCTOS[#All],5)</f>
        <v>N/A</v>
      </c>
      <c r="D210" s="28">
        <f>VLOOKUP(TABLA_PRECIOS_LISTBOX_VENTAS[[#This Row],[Código]],TABLA_PRECIOS[#All],7)</f>
        <v>1</v>
      </c>
    </row>
    <row r="211" spans="1:4" ht="12" customHeight="1" x14ac:dyDescent="0.3">
      <c r="A211" s="4">
        <v>1416</v>
      </c>
      <c r="B211" s="6" t="str">
        <f>VLOOKUP(TABLA_PRECIOS_LISTBOX_VENTAS[Código],LISTADO_PRODUCTOS[#All],4)</f>
        <v>Repuesto Calcar Nº3 Luma</v>
      </c>
      <c r="C211" s="6" t="str">
        <f>VLOOKUP(TABLA_PRECIOS_LISTBOX_VENTAS[Código],LISTADO_PRODUCTOS[#All],5)</f>
        <v>N/A</v>
      </c>
      <c r="D211" s="28">
        <f>VLOOKUP(TABLA_PRECIOS_LISTBOX_VENTAS[[#This Row],[Código]],TABLA_PRECIOS[#All],7)</f>
        <v>1</v>
      </c>
    </row>
    <row r="212" spans="1:4" ht="12" customHeight="1" x14ac:dyDescent="0.3">
      <c r="A212" s="4">
        <v>1417</v>
      </c>
      <c r="B212" s="6" t="str">
        <f>VLOOKUP(TABLA_PRECIOS_LISTBOX_VENTAS[Código],LISTADO_PRODUCTOS[#All],4)</f>
        <v>Mapa Nº6</v>
      </c>
      <c r="C212" s="6" t="str">
        <f>VLOOKUP(TABLA_PRECIOS_LISTBOX_VENTAS[Código],LISTADO_PRODUCTOS[#All],5)</f>
        <v>N/A</v>
      </c>
      <c r="D212" s="28">
        <f>VLOOKUP(TABLA_PRECIOS_LISTBOX_VENTAS[[#This Row],[Código]],TABLA_PRECIOS[#All],7)</f>
        <v>1</v>
      </c>
    </row>
    <row r="213" spans="1:4" ht="12" customHeight="1" x14ac:dyDescent="0.3">
      <c r="A213" s="4">
        <v>1418</v>
      </c>
      <c r="B213" s="6" t="str">
        <f>VLOOKUP(TABLA_PRECIOS_LISTBOX_VENTAS[Código],LISTADO_PRODUCTOS[#All],4)</f>
        <v>Cuaderno Triunfante/Laprida Nº3 x 50h - 7792216049913</v>
      </c>
      <c r="C213" s="6" t="str">
        <f>VLOOKUP(TABLA_PRECIOS_LISTBOX_VENTAS[Código],LISTADO_PRODUCTOS[#All],5)</f>
        <v>N/A</v>
      </c>
      <c r="D213" s="28">
        <f>VLOOKUP(TABLA_PRECIOS_LISTBOX_VENTAS[[#This Row],[Código]],TABLA_PRECIOS[#All],7)</f>
        <v>1</v>
      </c>
    </row>
    <row r="214" spans="1:4" ht="12" customHeight="1" x14ac:dyDescent="0.3">
      <c r="A214" s="4">
        <v>1420</v>
      </c>
      <c r="B214" s="6" t="str">
        <f>VLOOKUP(TABLA_PRECIOS_LISTBOX_VENTAS[Código],LISTADO_PRODUCTOS[#All],4)</f>
        <v>Flauta Blester NC</v>
      </c>
      <c r="C214" s="6" t="str">
        <f>VLOOKUP(TABLA_PRECIOS_LISTBOX_VENTAS[Código],LISTADO_PRODUCTOS[#All],5)</f>
        <v>N/A</v>
      </c>
      <c r="D214" s="28">
        <f>VLOOKUP(TABLA_PRECIOS_LISTBOX_VENTAS[[#This Row],[Código]],TABLA_PRECIOS[#All],7)</f>
        <v>1</v>
      </c>
    </row>
    <row r="215" spans="1:4" ht="12" customHeight="1" x14ac:dyDescent="0.3">
      <c r="A215" s="4">
        <v>1421</v>
      </c>
      <c r="B215" s="6" t="str">
        <f>VLOOKUP(TABLA_PRECIOS_LISTBOX_VENTAS[Código],LISTADO_PRODUCTOS[#All],4)</f>
        <v>Escalimetro Maped en estuche</v>
      </c>
      <c r="C215" s="6" t="str">
        <f>VLOOKUP(TABLA_PRECIOS_LISTBOX_VENTAS[Código],LISTADO_PRODUCTOS[#All],5)</f>
        <v>N/A</v>
      </c>
      <c r="D215" s="28">
        <f>VLOOKUP(TABLA_PRECIOS_LISTBOX_VENTAS[[#This Row],[Código]],TABLA_PRECIOS[#All],7)</f>
        <v>1</v>
      </c>
    </row>
    <row r="216" spans="1:4" ht="12" customHeight="1" x14ac:dyDescent="0.3">
      <c r="A216" s="4">
        <v>1423</v>
      </c>
      <c r="B216" s="6" t="str">
        <f>VLOOKUP(TABLA_PRECIOS_LISTBOX_VENTAS[Código],LISTADO_PRODUCTOS[#All],4)</f>
        <v>Adhesivo vinilico Tintoretto/model/playcolor/Maxxum x 250gr</v>
      </c>
      <c r="C216" s="6" t="str">
        <f>VLOOKUP(TABLA_PRECIOS_LISTBOX_VENTAS[Código],LISTADO_PRODUCTOS[#All],5)</f>
        <v>N/A</v>
      </c>
      <c r="D216" s="28">
        <f>VLOOKUP(TABLA_PRECIOS_LISTBOX_VENTAS[[#This Row],[Código]],TABLA_PRECIOS[#All],7)</f>
        <v>1</v>
      </c>
    </row>
    <row r="217" spans="1:4" ht="12" customHeight="1" x14ac:dyDescent="0.3">
      <c r="A217" s="4">
        <v>1424</v>
      </c>
      <c r="B217" s="6" t="str">
        <f>VLOOKUP(TABLA_PRECIOS_LISTBOX_VENTAS[Código],LISTADO_PRODUCTOS[#All],4)</f>
        <v>Transportador Maped 10cm en bolsa</v>
      </c>
      <c r="C217" s="6" t="str">
        <f>VLOOKUP(TABLA_PRECIOS_LISTBOX_VENTAS[Código],LISTADO_PRODUCTOS[#All],5)</f>
        <v>N/A</v>
      </c>
      <c r="D217" s="28">
        <f>VLOOKUP(TABLA_PRECIOS_LISTBOX_VENTAS[[#This Row],[Código]],TABLA_PRECIOS[#All],7)</f>
        <v>1</v>
      </c>
    </row>
    <row r="218" spans="1:4" ht="12" customHeight="1" x14ac:dyDescent="0.3">
      <c r="A218" s="4">
        <v>1425</v>
      </c>
      <c r="B218" s="6" t="str">
        <f>VLOOKUP(TABLA_PRECIOS_LISTBOX_VENTAS[Código],LISTADO_PRODUCTOS[#All],4)</f>
        <v>Corrector Filgo 012 - 7795513049518</v>
      </c>
      <c r="C218" s="6" t="str">
        <f>VLOOKUP(TABLA_PRECIOS_LISTBOX_VENTAS[Código],LISTADO_PRODUCTOS[#All],5)</f>
        <v>N/A</v>
      </c>
      <c r="D218" s="28">
        <f>VLOOKUP(TABLA_PRECIOS_LISTBOX_VENTAS[[#This Row],[Código]],TABLA_PRECIOS[#All],7)</f>
        <v>1</v>
      </c>
    </row>
    <row r="219" spans="1:4" ht="12" customHeight="1" x14ac:dyDescent="0.3">
      <c r="A219" s="4">
        <v>1426</v>
      </c>
      <c r="B219" s="6" t="str">
        <f>VLOOKUP(TABLA_PRECIOS_LISTBOX_VENTAS[Código],LISTADO_PRODUCTOS[#All],4)</f>
        <v>Multibase de madera</v>
      </c>
      <c r="C219" s="6" t="str">
        <f>VLOOKUP(TABLA_PRECIOS_LISTBOX_VENTAS[Código],LISTADO_PRODUCTOS[#All],5)</f>
        <v>N/A</v>
      </c>
      <c r="D219" s="28">
        <f>VLOOKUP(TABLA_PRECIOS_LISTBOX_VENTAS[[#This Row],[Código]],TABLA_PRECIOS[#All],7)</f>
        <v>1</v>
      </c>
    </row>
    <row r="220" spans="1:4" ht="12" customHeight="1" x14ac:dyDescent="0.3">
      <c r="A220" s="4">
        <v>1427</v>
      </c>
      <c r="B220" s="6" t="str">
        <f>VLOOKUP(TABLA_PRECIOS_LISTBOX_VENTAS[Código],LISTADO_PRODUCTOS[#All],4)</f>
        <v>Resaltador en Blister Mini tubo x 6</v>
      </c>
      <c r="C220" s="6" t="str">
        <f>VLOOKUP(TABLA_PRECIOS_LISTBOX_VENTAS[Código],LISTADO_PRODUCTOS[#All],5)</f>
        <v>N/A</v>
      </c>
      <c r="D220" s="28">
        <f>VLOOKUP(TABLA_PRECIOS_LISTBOX_VENTAS[[#This Row],[Código]],TABLA_PRECIOS[#All],7)</f>
        <v>1</v>
      </c>
    </row>
    <row r="221" spans="1:4" ht="12" customHeight="1" x14ac:dyDescent="0.3">
      <c r="A221" s="4">
        <v>1428</v>
      </c>
      <c r="B221" s="6" t="str">
        <f>VLOOKUP(TABLA_PRECIOS_LISTBOX_VENTAS[Código],LISTADO_PRODUCTOS[#All],4)</f>
        <v>Set de Resaltadores NUWA x5u en dispenser</v>
      </c>
      <c r="C221" s="6" t="str">
        <f>VLOOKUP(TABLA_PRECIOS_LISTBOX_VENTAS[Código],LISTADO_PRODUCTOS[#All],5)</f>
        <v>N/A</v>
      </c>
      <c r="D221" s="28">
        <f>VLOOKUP(TABLA_PRECIOS_LISTBOX_VENTAS[[#This Row],[Código]],TABLA_PRECIOS[#All],7)</f>
        <v>1</v>
      </c>
    </row>
    <row r="222" spans="1:4" ht="12" customHeight="1" x14ac:dyDescent="0.3">
      <c r="A222" s="4">
        <v>1500</v>
      </c>
      <c r="B222" s="6" t="str">
        <f>VLOOKUP(TABLA_PRECIOS_LISTBOX_VENTAS[Código],LISTADO_PRODUCTOS[#All],4)</f>
        <v>Carpeta N°5 Kraft color</v>
      </c>
      <c r="C222" s="6" t="str">
        <f>VLOOKUP(TABLA_PRECIOS_LISTBOX_VENTAS[Código],LISTADO_PRODUCTOS[#All],5)</f>
        <v>N/A</v>
      </c>
      <c r="D222" s="28">
        <f>VLOOKUP(TABLA_PRECIOS_LISTBOX_VENTAS[[#This Row],[Código]],TABLA_PRECIOS[#All],7)</f>
        <v>1</v>
      </c>
    </row>
    <row r="223" spans="1:4" ht="12" customHeight="1" x14ac:dyDescent="0.3">
      <c r="A223" s="4">
        <v>1501</v>
      </c>
      <c r="B223" s="6" t="str">
        <f>VLOOKUP(TABLA_PRECIOS_LISTBOX_VENTAS[Código],LISTADO_PRODUCTOS[#All],4)</f>
        <v>Goma Keyroad Windmill</v>
      </c>
      <c r="C223" s="6" t="str">
        <f>VLOOKUP(TABLA_PRECIOS_LISTBOX_VENTAS[Código],LISTADO_PRODUCTOS[#All],5)</f>
        <v>N/A</v>
      </c>
      <c r="D223" s="28">
        <f>VLOOKUP(TABLA_PRECIOS_LISTBOX_VENTAS[[#This Row],[Código]],TABLA_PRECIOS[#All],7)</f>
        <v>1</v>
      </c>
    </row>
    <row r="224" spans="1:4" ht="12" customHeight="1" x14ac:dyDescent="0.3">
      <c r="A224" s="4">
        <v>1504</v>
      </c>
      <c r="B224" s="6" t="str">
        <f>VLOOKUP(TABLA_PRECIOS_LISTBOX_VENTAS[Código],LISTADO_PRODUCTOS[#All],4)</f>
        <v>Cuaderno ABC Inicial</v>
      </c>
      <c r="C224" s="6" t="str">
        <f>VLOOKUP(TABLA_PRECIOS_LISTBOX_VENTAS[Código],LISTADO_PRODUCTOS[#All],5)</f>
        <v>N/A</v>
      </c>
      <c r="D224" s="28">
        <f>VLOOKUP(TABLA_PRECIOS_LISTBOX_VENTAS[[#This Row],[Código]],TABLA_PRECIOS[#All],7)</f>
        <v>1</v>
      </c>
    </row>
    <row r="225" spans="1:4" ht="12" customHeight="1" x14ac:dyDescent="0.3">
      <c r="A225" s="4">
        <v>1505</v>
      </c>
      <c r="B225" s="6" t="str">
        <f>VLOOKUP(TABLA_PRECIOS_LISTBOX_VENTAS[Código],LISTADO_PRODUCTOS[#All],4)</f>
        <v>Bandera Argentina 1,3 x 2,5 S/sol</v>
      </c>
      <c r="C225" s="6" t="str">
        <f>VLOOKUP(TABLA_PRECIOS_LISTBOX_VENTAS[Código],LISTADO_PRODUCTOS[#All],5)</f>
        <v>N/A</v>
      </c>
      <c r="D225" s="28">
        <f>VLOOKUP(TABLA_PRECIOS_LISTBOX_VENTAS[[#This Row],[Código]],TABLA_PRECIOS[#All],7)</f>
        <v>1</v>
      </c>
    </row>
    <row r="226" spans="1:4" ht="12" customHeight="1" x14ac:dyDescent="0.3">
      <c r="A226" s="4">
        <v>1506</v>
      </c>
      <c r="B226" s="6" t="str">
        <f>VLOOKUP(TABLA_PRECIOS_LISTBOX_VENTAS[Código],LISTADO_PRODUCTOS[#All],4)</f>
        <v>Block de dibujo Muresco D/especiales x 20h Nº5</v>
      </c>
      <c r="C226" s="6" t="str">
        <f>VLOOKUP(TABLA_PRECIOS_LISTBOX_VENTAS[Código],LISTADO_PRODUCTOS[#All],5)</f>
        <v>N/A</v>
      </c>
      <c r="D226" s="28">
        <f>VLOOKUP(TABLA_PRECIOS_LISTBOX_VENTAS[[#This Row],[Código]],TABLA_PRECIOS[#All],7)</f>
        <v>1</v>
      </c>
    </row>
    <row r="227" spans="1:4" ht="12" customHeight="1" x14ac:dyDescent="0.3">
      <c r="A227" s="4">
        <v>1507</v>
      </c>
      <c r="B227" s="6" t="str">
        <f>VLOOKUP(TABLA_PRECIOS_LISTBOX_VENTAS[Código],LISTADO_PRODUCTOS[#All],4)</f>
        <v>Cartulina entretenida Muresco pre cortada formas varias presentacion A4</v>
      </c>
      <c r="C227" s="6" t="str">
        <f>VLOOKUP(TABLA_PRECIOS_LISTBOX_VENTAS[Código],LISTADO_PRODUCTOS[#All],5)</f>
        <v>N/A</v>
      </c>
      <c r="D227" s="28">
        <f>VLOOKUP(TABLA_PRECIOS_LISTBOX_VENTAS[[#This Row],[Código]],TABLA_PRECIOS[#All],7)</f>
        <v>1</v>
      </c>
    </row>
    <row r="228" spans="1:4" ht="12" customHeight="1" x14ac:dyDescent="0.3">
      <c r="A228" s="4">
        <v>1508</v>
      </c>
      <c r="B228" s="6" t="str">
        <f>VLOOKUP(TABLA_PRECIOS_LISTBOX_VENTAS[Código],LISTADO_PRODUCTOS[#All],4)</f>
        <v>Marcadores Color Peps Glitter x 10</v>
      </c>
      <c r="C228" s="6" t="str">
        <f>VLOOKUP(TABLA_PRECIOS_LISTBOX_VENTAS[Código],LISTADO_PRODUCTOS[#All],5)</f>
        <v>N/A</v>
      </c>
      <c r="D228" s="28">
        <f>VLOOKUP(TABLA_PRECIOS_LISTBOX_VENTAS[[#This Row],[Código]],TABLA_PRECIOS[#All],7)</f>
        <v>1</v>
      </c>
    </row>
    <row r="229" spans="1:4" ht="12" customHeight="1" x14ac:dyDescent="0.3">
      <c r="A229" s="4">
        <v>1511</v>
      </c>
      <c r="B229" s="6" t="str">
        <f>VLOOKUP(TABLA_PRECIOS_LISTBOX_VENTAS[Código],LISTADO_PRODUCTOS[#All],4)</f>
        <v>Adhesivo vinilico Tintoretto x 100gr</v>
      </c>
      <c r="C229" s="6" t="str">
        <f>VLOOKUP(TABLA_PRECIOS_LISTBOX_VENTAS[Código],LISTADO_PRODUCTOS[#All],5)</f>
        <v>N/A</v>
      </c>
      <c r="D229" s="28">
        <f>VLOOKUP(TABLA_PRECIOS_LISTBOX_VENTAS[[#This Row],[Código]],TABLA_PRECIOS[#All],7)</f>
        <v>1</v>
      </c>
    </row>
    <row r="230" spans="1:4" ht="12" customHeight="1" x14ac:dyDescent="0.3">
      <c r="A230" s="4">
        <v>1512</v>
      </c>
      <c r="B230" s="6" t="str">
        <f>VLOOKUP(TABLA_PRECIOS_LISTBOX_VENTAS[Código],LISTADO_PRODUCTOS[#All],4)</f>
        <v>Marcador Trabí para Pizarra blanca Recargable 450</v>
      </c>
      <c r="C230" s="6" t="str">
        <f>VLOOKUP(TABLA_PRECIOS_LISTBOX_VENTAS[Código],LISTADO_PRODUCTOS[#All],5)</f>
        <v>N/A</v>
      </c>
      <c r="D230" s="28">
        <f>VLOOKUP(TABLA_PRECIOS_LISTBOX_VENTAS[[#This Row],[Código]],TABLA_PRECIOS[#All],7)</f>
        <v>1</v>
      </c>
    </row>
    <row r="231" spans="1:4" ht="12" customHeight="1" x14ac:dyDescent="0.3">
      <c r="A231" s="4">
        <v>1514</v>
      </c>
      <c r="B231" s="6" t="str">
        <f>VLOOKUP(TABLA_PRECIOS_LISTBOX_VENTAS[Código],LISTADO_PRODUCTOS[#All],4)</f>
        <v>Block Dibujo Éxito/Luma Nº5 Blanco - 7791762319426</v>
      </c>
      <c r="C231" s="6" t="str">
        <f>VLOOKUP(TABLA_PRECIOS_LISTBOX_VENTAS[Código],LISTADO_PRODUCTOS[#All],5)</f>
        <v>N/A</v>
      </c>
      <c r="D231" s="28">
        <f>VLOOKUP(TABLA_PRECIOS_LISTBOX_VENTAS[[#This Row],[Código]],TABLA_PRECIOS[#All],7)</f>
        <v>1</v>
      </c>
    </row>
    <row r="232" spans="1:4" ht="12" customHeight="1" x14ac:dyDescent="0.3">
      <c r="A232" s="4">
        <v>1515</v>
      </c>
      <c r="B232" s="6" t="str">
        <f>VLOOKUP(TABLA_PRECIOS_LISTBOX_VENTAS[Código],LISTADO_PRODUCTOS[#All],4)</f>
        <v>Block Dibujo Éxito/Luma Nº6 Blanco</v>
      </c>
      <c r="C232" s="6" t="str">
        <f>VLOOKUP(TABLA_PRECIOS_LISTBOX_VENTAS[Código],LISTADO_PRODUCTOS[#All],5)</f>
        <v>N/A</v>
      </c>
      <c r="D232" s="28">
        <f>VLOOKUP(TABLA_PRECIOS_LISTBOX_VENTAS[[#This Row],[Código]],TABLA_PRECIOS[#All],7)</f>
        <v>1</v>
      </c>
    </row>
    <row r="233" spans="1:4" ht="12" customHeight="1" x14ac:dyDescent="0.3">
      <c r="A233" s="4">
        <v>1516</v>
      </c>
      <c r="B233" s="6" t="str">
        <f>VLOOKUP(TABLA_PRECIOS_LISTBOX_VENTAS[Código],LISTADO_PRODUCTOS[#All],4)</f>
        <v>Set de Geometria Maped x4 piezas 30cm</v>
      </c>
      <c r="C233" s="6" t="str">
        <f>VLOOKUP(TABLA_PRECIOS_LISTBOX_VENTAS[Código],LISTADO_PRODUCTOS[#All],5)</f>
        <v>N/A</v>
      </c>
      <c r="D233" s="28">
        <f>VLOOKUP(TABLA_PRECIOS_LISTBOX_VENTAS[[#This Row],[Código]],TABLA_PRECIOS[#All],7)</f>
        <v>1</v>
      </c>
    </row>
    <row r="234" spans="1:4" ht="12" customHeight="1" x14ac:dyDescent="0.3">
      <c r="A234" s="4">
        <v>1517</v>
      </c>
      <c r="B234" s="6" t="str">
        <f>VLOOKUP(TABLA_PRECIOS_LISTBOX_VENTAS[Código],LISTADO_PRODUCTOS[#All],4)</f>
        <v>Tijera para zurdos Maped</v>
      </c>
      <c r="C234" s="6" t="str">
        <f>VLOOKUP(TABLA_PRECIOS_LISTBOX_VENTAS[Código],LISTADO_PRODUCTOS[#All],5)</f>
        <v>N/A</v>
      </c>
      <c r="D234" s="28">
        <f>VLOOKUP(TABLA_PRECIOS_LISTBOX_VENTAS[[#This Row],[Código]],TABLA_PRECIOS[#All],7)</f>
        <v>1</v>
      </c>
    </row>
    <row r="235" spans="1:4" ht="12" customHeight="1" x14ac:dyDescent="0.3">
      <c r="A235" s="4">
        <v>1518</v>
      </c>
      <c r="B235" s="6" t="str">
        <f>VLOOKUP(TABLA_PRECIOS_LISTBOX_VENTAS[Código],LISTADO_PRODUCTOS[#All],4)</f>
        <v xml:space="preserve">Silicona Liquida CBX x 30ml </v>
      </c>
      <c r="C235" s="6" t="str">
        <f>VLOOKUP(TABLA_PRECIOS_LISTBOX_VENTAS[Código],LISTADO_PRODUCTOS[#All],5)</f>
        <v>N/A</v>
      </c>
      <c r="D235" s="28">
        <f>VLOOKUP(TABLA_PRECIOS_LISTBOX_VENTAS[[#This Row],[Código]],TABLA_PRECIOS[#All],7)</f>
        <v>1</v>
      </c>
    </row>
    <row r="236" spans="1:4" ht="12" customHeight="1" x14ac:dyDescent="0.3">
      <c r="A236" s="4">
        <v>1519</v>
      </c>
      <c r="B236" s="6" t="str">
        <f>VLOOKUP(TABLA_PRECIOS_LISTBOX_VENTAS[Código],LISTADO_PRODUCTOS[#All],4)</f>
        <v>Colores Simball Largo x 24 innovation</v>
      </c>
      <c r="C236" s="6" t="str">
        <f>VLOOKUP(TABLA_PRECIOS_LISTBOX_VENTAS[Código],LISTADO_PRODUCTOS[#All],5)</f>
        <v>N/A</v>
      </c>
      <c r="D236" s="28">
        <f>VLOOKUP(TABLA_PRECIOS_LISTBOX_VENTAS[[#This Row],[Código]],TABLA_PRECIOS[#All],7)</f>
        <v>1</v>
      </c>
    </row>
    <row r="237" spans="1:4" ht="12" customHeight="1" x14ac:dyDescent="0.3">
      <c r="A237" s="4">
        <v>1520</v>
      </c>
      <c r="B237" s="6" t="str">
        <f>VLOOKUP(TABLA_PRECIOS_LISTBOX_VENTAS[Código],LISTADO_PRODUCTOS[#All],4)</f>
        <v>Tijera Maped Office Advance Soft Gel 21cm</v>
      </c>
      <c r="C237" s="6" t="str">
        <f>VLOOKUP(TABLA_PRECIOS_LISTBOX_VENTAS[Código],LISTADO_PRODUCTOS[#All],5)</f>
        <v>N/A</v>
      </c>
      <c r="D237" s="28">
        <f>VLOOKUP(TABLA_PRECIOS_LISTBOX_VENTAS[[#This Row],[Código]],TABLA_PRECIOS[#All],7)</f>
        <v>1</v>
      </c>
    </row>
    <row r="238" spans="1:4" ht="12" customHeight="1" x14ac:dyDescent="0.3">
      <c r="A238" s="4">
        <v>1521</v>
      </c>
      <c r="B238" s="6" t="str">
        <f>VLOOKUP(TABLA_PRECIOS_LISTBOX_VENTAS[Código],LISTADO_PRODUCTOS[#All],4)</f>
        <v>Set de Geometria Maped x 3 piezas</v>
      </c>
      <c r="C238" s="6" t="str">
        <f>VLOOKUP(TABLA_PRECIOS_LISTBOX_VENTAS[Código],LISTADO_PRODUCTOS[#All],5)</f>
        <v>N/A</v>
      </c>
      <c r="D238" s="28">
        <f>VLOOKUP(TABLA_PRECIOS_LISTBOX_VENTAS[[#This Row],[Código]],TABLA_PRECIOS[#All],7)</f>
        <v>1</v>
      </c>
    </row>
    <row r="239" spans="1:4" ht="12" customHeight="1" x14ac:dyDescent="0.3">
      <c r="A239" s="4">
        <v>1522</v>
      </c>
      <c r="B239" s="6" t="str">
        <f>VLOOKUP(TABLA_PRECIOS_LISTBOX_VENTAS[Código],LISTADO_PRODUCTOS[#All],4)</f>
        <v>Set de Geometria Glee x 3 piezas</v>
      </c>
      <c r="C239" s="6" t="str">
        <f>VLOOKUP(TABLA_PRECIOS_LISTBOX_VENTAS[Código],LISTADO_PRODUCTOS[#All],5)</f>
        <v>N/A</v>
      </c>
      <c r="D239" s="28">
        <f>VLOOKUP(TABLA_PRECIOS_LISTBOX_VENTAS[[#This Row],[Código]],TABLA_PRECIOS[#All],7)</f>
        <v>1</v>
      </c>
    </row>
    <row r="240" spans="1:4" ht="12" customHeight="1" x14ac:dyDescent="0.3">
      <c r="A240" s="4">
        <v>1523</v>
      </c>
      <c r="B240" s="6" t="str">
        <f>VLOOKUP(TABLA_PRECIOS_LISTBOX_VENTAS[Código],LISTADO_PRODUCTOS[#All],4)</f>
        <v>Resaltador Maped Glitter Pastel</v>
      </c>
      <c r="C240" s="6" t="str">
        <f>VLOOKUP(TABLA_PRECIOS_LISTBOX_VENTAS[Código],LISTADO_PRODUCTOS[#All],5)</f>
        <v>N/A</v>
      </c>
      <c r="D240" s="28">
        <f>VLOOKUP(TABLA_PRECIOS_LISTBOX_VENTAS[[#This Row],[Código]],TABLA_PRECIOS[#All],7)</f>
        <v>1</v>
      </c>
    </row>
    <row r="241" spans="1:4" ht="12" customHeight="1" x14ac:dyDescent="0.3">
      <c r="A241" s="4">
        <v>1524</v>
      </c>
      <c r="B241" s="6" t="str">
        <f>VLOOKUP(TABLA_PRECIOS_LISTBOX_VENTAS[Código],LISTADO_PRODUCTOS[#All],4)</f>
        <v>Resaltador Maped  PASTEL</v>
      </c>
      <c r="C241" s="6" t="str">
        <f>VLOOKUP(TABLA_PRECIOS_LISTBOX_VENTAS[Código],LISTADO_PRODUCTOS[#All],5)</f>
        <v>N/A</v>
      </c>
      <c r="D241" s="28">
        <f>VLOOKUP(TABLA_PRECIOS_LISTBOX_VENTAS[[#This Row],[Código]],TABLA_PRECIOS[#All],7)</f>
        <v>1</v>
      </c>
    </row>
    <row r="242" spans="1:4" ht="12" customHeight="1" x14ac:dyDescent="0.3">
      <c r="A242" s="4">
        <v>1525</v>
      </c>
      <c r="B242" s="6" t="str">
        <f>VLOOKUP(TABLA_PRECIOS_LISTBOX_VENTAS[Código],LISTADO_PRODUCTOS[#All],4)</f>
        <v xml:space="preserve">Resaltador Maped FLUO </v>
      </c>
      <c r="C242" s="6" t="str">
        <f>VLOOKUP(TABLA_PRECIOS_LISTBOX_VENTAS[Código],LISTADO_PRODUCTOS[#All],5)</f>
        <v>N/A</v>
      </c>
      <c r="D242" s="28">
        <f>VLOOKUP(TABLA_PRECIOS_LISTBOX_VENTAS[[#This Row],[Código]],TABLA_PRECIOS[#All],7)</f>
        <v>1</v>
      </c>
    </row>
    <row r="243" spans="1:4" ht="12" customHeight="1" x14ac:dyDescent="0.3">
      <c r="A243" s="4">
        <v>1532</v>
      </c>
      <c r="B243" s="6" t="str">
        <f>VLOOKUP(TABLA_PRECIOS_LISTBOX_VENTAS[Código],LISTADO_PRODUCTOS[#All],4)</f>
        <v>Carpeta Rivadavia Nº3 con repuesto x96h ray y 48h cuad y separadores</v>
      </c>
      <c r="C243" s="6" t="str">
        <f>VLOOKUP(TABLA_PRECIOS_LISTBOX_VENTAS[Código],LISTADO_PRODUCTOS[#All],5)</f>
        <v>N/A</v>
      </c>
      <c r="D243" s="28">
        <f>VLOOKUP(TABLA_PRECIOS_LISTBOX_VENTAS[[#This Row],[Código]],TABLA_PRECIOS[#All],7)</f>
        <v>1</v>
      </c>
    </row>
    <row r="244" spans="1:4" ht="12" customHeight="1" x14ac:dyDescent="0.3">
      <c r="A244" s="4">
        <v>1533</v>
      </c>
      <c r="B244" s="6" t="str">
        <f>VLOOKUP(TABLA_PRECIOS_LISTBOX_VENTAS[Código],LISTADO_PRODUCTOS[#All],4)</f>
        <v>Marcador Trabí Mega Pinturon x 10</v>
      </c>
      <c r="C244" s="6" t="str">
        <f>VLOOKUP(TABLA_PRECIOS_LISTBOX_VENTAS[Código],LISTADO_PRODUCTOS[#All],5)</f>
        <v>N/A</v>
      </c>
      <c r="D244" s="28">
        <f>VLOOKUP(TABLA_PRECIOS_LISTBOX_VENTAS[[#This Row],[Código]],TABLA_PRECIOS[#All],7)</f>
        <v>1</v>
      </c>
    </row>
    <row r="245" spans="1:4" ht="12" customHeight="1" x14ac:dyDescent="0.3">
      <c r="A245" s="4">
        <v>1534</v>
      </c>
      <c r="B245" s="6" t="str">
        <f>VLOOKUP(TABLA_PRECIOS_LISTBOX_VENTAS[Código],LISTADO_PRODUCTOS[#All],4)</f>
        <v>MarcadorPelikan Colorella Star Jumbo x8u</v>
      </c>
      <c r="C245" s="6" t="str">
        <f>VLOOKUP(TABLA_PRECIOS_LISTBOX_VENTAS[Código],LISTADO_PRODUCTOS[#All],5)</f>
        <v>N/A</v>
      </c>
      <c r="D245" s="28">
        <f>VLOOKUP(TABLA_PRECIOS_LISTBOX_VENTAS[[#This Row],[Código]],TABLA_PRECIOS[#All],7)</f>
        <v>1</v>
      </c>
    </row>
    <row r="246" spans="1:4" ht="12" customHeight="1" x14ac:dyDescent="0.3">
      <c r="A246" s="4">
        <v>1535</v>
      </c>
      <c r="B246" s="6" t="str">
        <f>VLOOKUP(TABLA_PRECIOS_LISTBOX_VENTAS[Código],LISTADO_PRODUCTOS[#All],4)</f>
        <v>Marcador Pizzini Mio x 10 - 7793198801001</v>
      </c>
      <c r="C246" s="6" t="str">
        <f>VLOOKUP(TABLA_PRECIOS_LISTBOX_VENTAS[Código],LISTADO_PRODUCTOS[#All],5)</f>
        <v>N/A</v>
      </c>
      <c r="D246" s="28">
        <f>VLOOKUP(TABLA_PRECIOS_LISTBOX_VENTAS[[#This Row],[Código]],TABLA_PRECIOS[#All],7)</f>
        <v>1</v>
      </c>
    </row>
    <row r="247" spans="1:4" ht="12" customHeight="1" x14ac:dyDescent="0.3">
      <c r="A247" s="4">
        <v>1536</v>
      </c>
      <c r="B247" s="6" t="str">
        <f>VLOOKUP(TABLA_PRECIOS_LISTBOX_VENTAS[Código],LISTADO_PRODUCTOS[#All],4)</f>
        <v>Rompecabezas de madera</v>
      </c>
      <c r="C247" s="6" t="str">
        <f>VLOOKUP(TABLA_PRECIOS_LISTBOX_VENTAS[Código],LISTADO_PRODUCTOS[#All],5)</f>
        <v>N/A</v>
      </c>
      <c r="D247" s="28">
        <f>VLOOKUP(TABLA_PRECIOS_LISTBOX_VENTAS[[#This Row],[Código]],TABLA_PRECIOS[#All],7)</f>
        <v>1</v>
      </c>
    </row>
    <row r="248" spans="1:4" ht="12" customHeight="1" x14ac:dyDescent="0.3">
      <c r="A248" s="4">
        <v>1538</v>
      </c>
      <c r="B248" s="6" t="str">
        <f>VLOOKUP(TABLA_PRECIOS_LISTBOX_VENTAS[Código],LISTADO_PRODUCTOS[#All],4)</f>
        <v>Block Triunfante Blanco N°6</v>
      </c>
      <c r="C248" s="6" t="str">
        <f>VLOOKUP(TABLA_PRECIOS_LISTBOX_VENTAS[Código],LISTADO_PRODUCTOS[#All],5)</f>
        <v>N/A</v>
      </c>
      <c r="D248" s="28">
        <f>VLOOKUP(TABLA_PRECIOS_LISTBOX_VENTAS[[#This Row],[Código]],TABLA_PRECIOS[#All],7)</f>
        <v>1</v>
      </c>
    </row>
    <row r="249" spans="1:4" ht="12" customHeight="1" x14ac:dyDescent="0.3">
      <c r="A249" s="4">
        <v>1541</v>
      </c>
      <c r="B249" s="6" t="str">
        <f>VLOOKUP(TABLA_PRECIOS_LISTBOX_VENTAS[Código],LISTADO_PRODUCTOS[#All],4)</f>
        <v>Cuaderno de caligrafia Laprida T/Flex</v>
      </c>
      <c r="C249" s="6" t="str">
        <f>VLOOKUP(TABLA_PRECIOS_LISTBOX_VENTAS[Código],LISTADO_PRODUCTOS[#All],5)</f>
        <v>N/A</v>
      </c>
      <c r="D249" s="28">
        <f>VLOOKUP(TABLA_PRECIOS_LISTBOX_VENTAS[[#This Row],[Código]],TABLA_PRECIOS[#All],7)</f>
        <v>1</v>
      </c>
    </row>
    <row r="250" spans="1:4" ht="12" customHeight="1" x14ac:dyDescent="0.3">
      <c r="A250" s="4">
        <v>1544</v>
      </c>
      <c r="B250" s="6" t="str">
        <f>VLOOKUP(TABLA_PRECIOS_LISTBOX_VENTAS[Código],LISTADO_PRODUCTOS[#All],4)</f>
        <v>Cuaderno colegial fantasia x 60h</v>
      </c>
      <c r="C250" s="6" t="str">
        <f>VLOOKUP(TABLA_PRECIOS_LISTBOX_VENTAS[Código],LISTADO_PRODUCTOS[#All],5)</f>
        <v>N/A</v>
      </c>
      <c r="D250" s="28">
        <f>VLOOKUP(TABLA_PRECIOS_LISTBOX_VENTAS[[#This Row],[Código]],TABLA_PRECIOS[#All],7)</f>
        <v>1</v>
      </c>
    </row>
    <row r="251" spans="1:4" ht="12" customHeight="1" x14ac:dyDescent="0.3">
      <c r="A251" s="4">
        <v>1545</v>
      </c>
      <c r="B251" s="6" t="str">
        <f>VLOOKUP(TABLA_PRECIOS_LISTBOX_VENTAS[Código],LISTADO_PRODUCTOS[#All],4)</f>
        <v>Bandera Argentina 90x150 S/sol</v>
      </c>
      <c r="C251" s="6" t="str">
        <f>VLOOKUP(TABLA_PRECIOS_LISTBOX_VENTAS[Código],LISTADO_PRODUCTOS[#All],5)</f>
        <v>N/A</v>
      </c>
      <c r="D251" s="28">
        <f>VLOOKUP(TABLA_PRECIOS_LISTBOX_VENTAS[[#This Row],[Código]],TABLA_PRECIOS[#All],7)</f>
        <v>1</v>
      </c>
    </row>
    <row r="252" spans="1:4" ht="12" customHeight="1" x14ac:dyDescent="0.3">
      <c r="A252" s="4">
        <v>1546</v>
      </c>
      <c r="B252" s="6" t="str">
        <f>VLOOKUP(TABLA_PRECIOS_LISTBOX_VENTAS[Código],LISTADO_PRODUCTOS[#All],4)</f>
        <v>Bandera Argentina 50x100 S/sol</v>
      </c>
      <c r="C252" s="6" t="str">
        <f>VLOOKUP(TABLA_PRECIOS_LISTBOX_VENTAS[Código],LISTADO_PRODUCTOS[#All],5)</f>
        <v>N/A</v>
      </c>
      <c r="D252" s="28">
        <f>VLOOKUP(TABLA_PRECIOS_LISTBOX_VENTAS[[#This Row],[Código]],TABLA_PRECIOS[#All],7)</f>
        <v>1</v>
      </c>
    </row>
    <row r="253" spans="1:4" ht="12" customHeight="1" x14ac:dyDescent="0.3">
      <c r="A253" s="4">
        <v>1548</v>
      </c>
      <c r="B253" s="6" t="str">
        <f>VLOOKUP(TABLA_PRECIOS_LISTBOX_VENTAS[Código],LISTADO_PRODUCTOS[#All],4)</f>
        <v>Block Dibujo Nº6 Triunfante/Luma Color</v>
      </c>
      <c r="C253" s="6" t="str">
        <f>VLOOKUP(TABLA_PRECIOS_LISTBOX_VENTAS[Código],LISTADO_PRODUCTOS[#All],5)</f>
        <v>N/A</v>
      </c>
      <c r="D253" s="28">
        <f>VLOOKUP(TABLA_PRECIOS_LISTBOX_VENTAS[[#This Row],[Código]],TABLA_PRECIOS[#All],7)</f>
        <v>1</v>
      </c>
    </row>
    <row r="254" spans="1:4" ht="12" customHeight="1" x14ac:dyDescent="0.3">
      <c r="A254" s="4">
        <v>1553</v>
      </c>
      <c r="B254" s="6" t="str">
        <f>VLOOKUP(TABLA_PRECIOS_LISTBOX_VENTAS[Código],LISTADO_PRODUCTOS[#All],4)</f>
        <v>Fibron Trabi permanente 411</v>
      </c>
      <c r="C254" s="6" t="str">
        <f>VLOOKUP(TABLA_PRECIOS_LISTBOX_VENTAS[Código],LISTADO_PRODUCTOS[#All],5)</f>
        <v>N/A</v>
      </c>
      <c r="D254" s="28">
        <f>VLOOKUP(TABLA_PRECIOS_LISTBOX_VENTAS[[#This Row],[Código]],TABLA_PRECIOS[#All],7)</f>
        <v>1</v>
      </c>
    </row>
    <row r="255" spans="1:4" ht="12" customHeight="1" x14ac:dyDescent="0.3">
      <c r="A255" s="4">
        <v>1556</v>
      </c>
      <c r="B255" s="6" t="str">
        <f>VLOOKUP(TABLA_PRECIOS_LISTBOX_VENTAS[Código],LISTADO_PRODUCTOS[#All],4)</f>
        <v>Block art deco Alfa 20h Nº5</v>
      </c>
      <c r="C255" s="6" t="str">
        <f>VLOOKUP(TABLA_PRECIOS_LISTBOX_VENTAS[Código],LISTADO_PRODUCTOS[#All],5)</f>
        <v>N/A</v>
      </c>
      <c r="D255" s="28">
        <f>VLOOKUP(TABLA_PRECIOS_LISTBOX_VENTAS[[#This Row],[Código]],TABLA_PRECIOS[#All],7)</f>
        <v>1</v>
      </c>
    </row>
    <row r="256" spans="1:4" ht="12" customHeight="1" x14ac:dyDescent="0.3">
      <c r="A256" s="4">
        <v>1557</v>
      </c>
      <c r="B256" s="6" t="str">
        <f>VLOOKUP(TABLA_PRECIOS_LISTBOX_VENTAS[Código],LISTADO_PRODUCTOS[#All],4)</f>
        <v>Regla 50cm PIZZINI PROFESIONAL 173250 - 7793198173252</v>
      </c>
      <c r="C256" s="6" t="str">
        <f>VLOOKUP(TABLA_PRECIOS_LISTBOX_VENTAS[Código],LISTADO_PRODUCTOS[#All],5)</f>
        <v>N/A</v>
      </c>
      <c r="D256" s="28">
        <f>VLOOKUP(TABLA_PRECIOS_LISTBOX_VENTAS[[#This Row],[Código]],TABLA_PRECIOS[#All],7)</f>
        <v>1</v>
      </c>
    </row>
    <row r="257" spans="1:4" ht="12" customHeight="1" x14ac:dyDescent="0.3">
      <c r="A257" s="4">
        <v>1558</v>
      </c>
      <c r="B257" s="6" t="str">
        <f>VLOOKUP(TABLA_PRECIOS_LISTBOX_VENTAS[Código],LISTADO_PRODUCTOS[#All],4)</f>
        <v>Block Dibujo Blanco N°5 Gloria - 103602 - 7791762001154</v>
      </c>
      <c r="C257" s="6" t="str">
        <f>VLOOKUP(TABLA_PRECIOS_LISTBOX_VENTAS[Código],LISTADO_PRODUCTOS[#All],5)</f>
        <v>N/A</v>
      </c>
      <c r="D257" s="28">
        <f>VLOOKUP(TABLA_PRECIOS_LISTBOX_VENTAS[[#This Row],[Código]],TABLA_PRECIOS[#All],7)</f>
        <v>1</v>
      </c>
    </row>
    <row r="258" spans="1:4" ht="12" customHeight="1" x14ac:dyDescent="0.3">
      <c r="A258" s="4">
        <v>1559</v>
      </c>
      <c r="B258" s="6" t="str">
        <f>VLOOKUP(TABLA_PRECIOS_LISTBOX_VENTAS[Código],LISTADO_PRODUCTOS[#All],4)</f>
        <v>Lapiz de Graduacion Staedtler</v>
      </c>
      <c r="C258" s="6" t="str">
        <f>VLOOKUP(TABLA_PRECIOS_LISTBOX_VENTAS[Código],LISTADO_PRODUCTOS[#All],5)</f>
        <v>N/A</v>
      </c>
      <c r="D258" s="28">
        <f>VLOOKUP(TABLA_PRECIOS_LISTBOX_VENTAS[[#This Row],[Código]],TABLA_PRECIOS[#All],7)</f>
        <v>1</v>
      </c>
    </row>
    <row r="259" spans="1:4" ht="12" customHeight="1" x14ac:dyDescent="0.3">
      <c r="A259" s="4">
        <v>1560</v>
      </c>
      <c r="B259" s="6" t="str">
        <f>VLOOKUP(TABLA_PRECIOS_LISTBOX_VENTAS[Código],LISTADO_PRODUCTOS[#All],4)</f>
        <v>Lapiz de Graduacion Faber Castell</v>
      </c>
      <c r="C259" s="6" t="str">
        <f>VLOOKUP(TABLA_PRECIOS_LISTBOX_VENTAS[Código],LISTADO_PRODUCTOS[#All],5)</f>
        <v>N/A</v>
      </c>
      <c r="D259" s="28">
        <f>VLOOKUP(TABLA_PRECIOS_LISTBOX_VENTAS[[#This Row],[Código]],TABLA_PRECIOS[#All],7)</f>
        <v>1</v>
      </c>
    </row>
    <row r="260" spans="1:4" ht="12" customHeight="1" x14ac:dyDescent="0.3">
      <c r="A260" s="4">
        <v>1561</v>
      </c>
      <c r="B260" s="6" t="str">
        <f>VLOOKUP(TABLA_PRECIOS_LISTBOX_VENTAS[Código],LISTADO_PRODUCTOS[#All],4)</f>
        <v>Tabla periodica para carpeta</v>
      </c>
      <c r="C260" s="6" t="str">
        <f>VLOOKUP(TABLA_PRECIOS_LISTBOX_VENTAS[Código],LISTADO_PRODUCTOS[#All],5)</f>
        <v>N/A</v>
      </c>
      <c r="D260" s="28">
        <f>VLOOKUP(TABLA_PRECIOS_LISTBOX_VENTAS[[#This Row],[Código]],TABLA_PRECIOS[#All],7)</f>
        <v>1</v>
      </c>
    </row>
    <row r="261" spans="1:4" ht="12" customHeight="1" x14ac:dyDescent="0.3">
      <c r="A261" s="4">
        <v>1563</v>
      </c>
      <c r="B261" s="6" t="str">
        <f>VLOOKUP(TABLA_PRECIOS_LISTBOX_VENTAS[Código],LISTADO_PRODUCTOS[#All],4)</f>
        <v>Block Dibujo Color N°5 Gloria - 103603 - 7791762001161</v>
      </c>
      <c r="C261" s="6" t="str">
        <f>VLOOKUP(TABLA_PRECIOS_LISTBOX_VENTAS[Código],LISTADO_PRODUCTOS[#All],5)</f>
        <v>N/A</v>
      </c>
      <c r="D261" s="28">
        <f>VLOOKUP(TABLA_PRECIOS_LISTBOX_VENTAS[[#This Row],[Código]],TABLA_PRECIOS[#All],7)</f>
        <v>1</v>
      </c>
    </row>
    <row r="262" spans="1:4" ht="12" customHeight="1" x14ac:dyDescent="0.3">
      <c r="A262" s="4">
        <v>1565</v>
      </c>
      <c r="B262" s="6" t="str">
        <f>VLOOKUP(TABLA_PRECIOS_LISTBOX_VENTAS[Código],LISTADO_PRODUCTOS[#All],4)</f>
        <v>Sacapuntas Maped Ñoki</v>
      </c>
      <c r="C262" s="6" t="str">
        <f>VLOOKUP(TABLA_PRECIOS_LISTBOX_VENTAS[Código],LISTADO_PRODUCTOS[#All],5)</f>
        <v>N/A</v>
      </c>
      <c r="D262" s="28">
        <f>VLOOKUP(TABLA_PRECIOS_LISTBOX_VENTAS[[#This Row],[Código]],TABLA_PRECIOS[#All],7)</f>
        <v>1</v>
      </c>
    </row>
    <row r="263" spans="1:4" ht="12" customHeight="1" x14ac:dyDescent="0.3">
      <c r="A263" s="4">
        <v>1569</v>
      </c>
      <c r="B263" s="6" t="str">
        <f>VLOOKUP(TABLA_PRECIOS_LISTBOX_VENTAS[Código],LISTADO_PRODUCTOS[#All],4)</f>
        <v xml:space="preserve">Aro OTA Sifap 35mm c/u </v>
      </c>
      <c r="C263" s="6" t="str">
        <f>VLOOKUP(TABLA_PRECIOS_LISTBOX_VENTAS[Código],LISTADO_PRODUCTOS[#All],5)</f>
        <v>N/A</v>
      </c>
      <c r="D263" s="28">
        <f>VLOOKUP(TABLA_PRECIOS_LISTBOX_VENTAS[[#This Row],[Código]],TABLA_PRECIOS[#All],7)</f>
        <v>1</v>
      </c>
    </row>
    <row r="264" spans="1:4" ht="12" customHeight="1" x14ac:dyDescent="0.3">
      <c r="A264" s="4">
        <v>1570</v>
      </c>
      <c r="B264" s="6" t="str">
        <f>VLOOKUP(TABLA_PRECIOS_LISTBOX_VENTAS[Código],LISTADO_PRODUCTOS[#All],4)</f>
        <v>Aro OTA Sifap 40mm c/u</v>
      </c>
      <c r="C264" s="6" t="str">
        <f>VLOOKUP(TABLA_PRECIOS_LISTBOX_VENTAS[Código],LISTADO_PRODUCTOS[#All],5)</f>
        <v>N/A</v>
      </c>
      <c r="D264" s="28">
        <f>VLOOKUP(TABLA_PRECIOS_LISTBOX_VENTAS[[#This Row],[Código]],TABLA_PRECIOS[#All],7)</f>
        <v>1</v>
      </c>
    </row>
    <row r="265" spans="1:4" ht="12" customHeight="1" x14ac:dyDescent="0.3">
      <c r="A265" s="4">
        <v>1571</v>
      </c>
      <c r="B265" s="6" t="str">
        <f>VLOOKUP(TABLA_PRECIOS_LISTBOX_VENTAS[Código],LISTADO_PRODUCTOS[#All],4)</f>
        <v xml:space="preserve">Aro OTA Sifap 50mm c/u </v>
      </c>
      <c r="C265" s="6" t="str">
        <f>VLOOKUP(TABLA_PRECIOS_LISTBOX_VENTAS[Código],LISTADO_PRODUCTOS[#All],5)</f>
        <v>N/A</v>
      </c>
      <c r="D265" s="28">
        <f>VLOOKUP(TABLA_PRECIOS_LISTBOX_VENTAS[[#This Row],[Código]],TABLA_PRECIOS[#All],7)</f>
        <v>1</v>
      </c>
    </row>
    <row r="266" spans="1:4" ht="12" customHeight="1" x14ac:dyDescent="0.3">
      <c r="A266" s="4">
        <v>1578</v>
      </c>
      <c r="B266" s="6" t="str">
        <f>VLOOKUP(TABLA_PRECIOS_LISTBOX_VENTAS[Código],LISTADO_PRODUCTOS[#All],4)</f>
        <v>Tijera simball escolar Pop 12cm</v>
      </c>
      <c r="C266" s="6" t="str">
        <f>VLOOKUP(TABLA_PRECIOS_LISTBOX_VENTAS[Código],LISTADO_PRODUCTOS[#All],5)</f>
        <v>N/A</v>
      </c>
      <c r="D266" s="28">
        <f>VLOOKUP(TABLA_PRECIOS_LISTBOX_VENTAS[[#This Row],[Código]],TABLA_PRECIOS[#All],7)</f>
        <v>1</v>
      </c>
    </row>
    <row r="267" spans="1:4" ht="12" customHeight="1" x14ac:dyDescent="0.3">
      <c r="A267" s="4">
        <v>1579</v>
      </c>
      <c r="B267" s="6" t="str">
        <f>VLOOKUP(TABLA_PRECIOS_LISTBOX_VENTAS[Código],LISTADO_PRODUCTOS[#All],4)</f>
        <v>Compas Maped Portalapiz</v>
      </c>
      <c r="C267" s="6" t="str">
        <f>VLOOKUP(TABLA_PRECIOS_LISTBOX_VENTAS[Código],LISTADO_PRODUCTOS[#All],5)</f>
        <v>N/A</v>
      </c>
      <c r="D267" s="28">
        <f>VLOOKUP(TABLA_PRECIOS_LISTBOX_VENTAS[[#This Row],[Código]],TABLA_PRECIOS[#All],7)</f>
        <v>1</v>
      </c>
    </row>
    <row r="268" spans="1:4" ht="12" customHeight="1" x14ac:dyDescent="0.3">
      <c r="A268" s="4">
        <v>1580</v>
      </c>
      <c r="B268" s="6" t="str">
        <f>VLOOKUP(TABLA_PRECIOS_LISTBOX_VENTAS[Código],LISTADO_PRODUCTOS[#All],4)</f>
        <v>Colores Faber Castell x12 cortos</v>
      </c>
      <c r="C268" s="6" t="str">
        <f>VLOOKUP(TABLA_PRECIOS_LISTBOX_VENTAS[Código],LISTADO_PRODUCTOS[#All],5)</f>
        <v>N/A</v>
      </c>
      <c r="D268" s="28">
        <f>VLOOKUP(TABLA_PRECIOS_LISTBOX_VENTAS[[#This Row],[Código]],TABLA_PRECIOS[#All],7)</f>
        <v>1</v>
      </c>
    </row>
    <row r="269" spans="1:4" ht="12" customHeight="1" x14ac:dyDescent="0.3">
      <c r="A269" s="4">
        <v>1581</v>
      </c>
      <c r="B269" s="6" t="str">
        <f>VLOOKUP(TABLA_PRECIOS_LISTBOX_VENTAS[Código],LISTADO_PRODUCTOS[#All],4)</f>
        <v>Roller Simball Pöwer Gel Mix up x 10u 5 Gel + 5 Glitter</v>
      </c>
      <c r="C269" s="6" t="str">
        <f>VLOOKUP(TABLA_PRECIOS_LISTBOX_VENTAS[Código],LISTADO_PRODUCTOS[#All],5)</f>
        <v>N/A</v>
      </c>
      <c r="D269" s="28">
        <f>VLOOKUP(TABLA_PRECIOS_LISTBOX_VENTAS[[#This Row],[Código]],TABLA_PRECIOS[#All],7)</f>
        <v>1</v>
      </c>
    </row>
    <row r="270" spans="1:4" ht="12" customHeight="1" x14ac:dyDescent="0.3">
      <c r="A270" s="4">
        <v>1582</v>
      </c>
      <c r="B270" s="6" t="str">
        <f>VLOOKUP(TABLA_PRECIOS_LISTBOX_VENTAS[Código],LISTADO_PRODUCTOS[#All],4)</f>
        <v>Marcador de Pintura Trabí MarkAll</v>
      </c>
      <c r="C270" s="6" t="str">
        <f>VLOOKUP(TABLA_PRECIOS_LISTBOX_VENTAS[Código],LISTADO_PRODUCTOS[#All],5)</f>
        <v>N/A</v>
      </c>
      <c r="D270" s="28">
        <f>VLOOKUP(TABLA_PRECIOS_LISTBOX_VENTAS[[#This Row],[Código]],TABLA_PRECIOS[#All],7)</f>
        <v>1</v>
      </c>
    </row>
    <row r="271" spans="1:4" ht="12" customHeight="1" x14ac:dyDescent="0.3">
      <c r="A271" s="4">
        <v>1583</v>
      </c>
      <c r="B271" s="6" t="str">
        <f>VLOOKUP(TABLA_PRECIOS_LISTBOX_VENTAS[Código],LISTADO_PRODUCTOS[#All],4)</f>
        <v>Minas OTA para compas</v>
      </c>
      <c r="C271" s="6" t="str">
        <f>VLOOKUP(TABLA_PRECIOS_LISTBOX_VENTAS[Código],LISTADO_PRODUCTOS[#All],5)</f>
        <v>N/A</v>
      </c>
      <c r="D271" s="28">
        <f>VLOOKUP(TABLA_PRECIOS_LISTBOX_VENTAS[[#This Row],[Código]],TABLA_PRECIOS[#All],7)</f>
        <v>1</v>
      </c>
    </row>
    <row r="272" spans="1:4" ht="12" customHeight="1" x14ac:dyDescent="0.3">
      <c r="A272" s="4">
        <v>1584</v>
      </c>
      <c r="B272" s="6" t="str">
        <f>VLOOKUP(TABLA_PRECIOS_LISTBOX_VENTAS[Código],LISTADO_PRODUCTOS[#All],4)</f>
        <v>Tubo portaplano</v>
      </c>
      <c r="C272" s="6" t="str">
        <f>VLOOKUP(TABLA_PRECIOS_LISTBOX_VENTAS[Código],LISTADO_PRODUCTOS[#All],5)</f>
        <v>N/A</v>
      </c>
      <c r="D272" s="28">
        <f>VLOOKUP(TABLA_PRECIOS_LISTBOX_VENTAS[[#This Row],[Código]],TABLA_PRECIOS[#All],7)</f>
        <v>1</v>
      </c>
    </row>
    <row r="273" spans="1:4" ht="12" customHeight="1" x14ac:dyDescent="0.3">
      <c r="A273" s="4">
        <v>1585</v>
      </c>
      <c r="B273" s="6" t="str">
        <f>VLOOKUP(TABLA_PRECIOS_LISTBOX_VENTAS[Código],LISTADO_PRODUCTOS[#All],4)</f>
        <v>Boligrafo Paper mate lex Grip Ultra 1mm Retractil</v>
      </c>
      <c r="C273" s="6" t="str">
        <f>VLOOKUP(TABLA_PRECIOS_LISTBOX_VENTAS[Código],LISTADO_PRODUCTOS[#All],5)</f>
        <v>N/A</v>
      </c>
      <c r="D273" s="28">
        <f>VLOOKUP(TABLA_PRECIOS_LISTBOX_VENTAS[[#This Row],[Código]],TABLA_PRECIOS[#All],7)</f>
        <v>1</v>
      </c>
    </row>
    <row r="274" spans="1:4" ht="12" customHeight="1" x14ac:dyDescent="0.3">
      <c r="A274" s="4">
        <v>1587</v>
      </c>
      <c r="B274" s="6" t="str">
        <f>VLOOKUP(TABLA_PRECIOS_LISTBOX_VENTAS[Código],LISTADO_PRODUCTOS[#All],4)</f>
        <v>Cuaderno Laprida Tapa dura escolar 98h 90gr</v>
      </c>
      <c r="C274" s="6" t="str">
        <f>VLOOKUP(TABLA_PRECIOS_LISTBOX_VENTAS[Código],LISTADO_PRODUCTOS[#All],5)</f>
        <v>N/A</v>
      </c>
      <c r="D274" s="28">
        <f>VLOOKUP(TABLA_PRECIOS_LISTBOX_VENTAS[[#This Row],[Código]],TABLA_PRECIOS[#All],7)</f>
        <v>1</v>
      </c>
    </row>
    <row r="275" spans="1:4" ht="12" customHeight="1" x14ac:dyDescent="0.3">
      <c r="A275" s="4">
        <v>1588</v>
      </c>
      <c r="B275" s="6" t="str">
        <f>VLOOKUP(TABLA_PRECIOS_LISTBOX_VENTAS[Código],LISTADO_PRODUCTOS[#All],4)</f>
        <v>Repuesto Rescolar Rivadavia N°3 Clasico Con Rótulo Hojas Super Gruesas</v>
      </c>
      <c r="C275" s="6" t="str">
        <f>VLOOKUP(TABLA_PRECIOS_LISTBOX_VENTAS[Código],LISTADO_PRODUCTOS[#All],5)</f>
        <v>N/A</v>
      </c>
      <c r="D275" s="28">
        <f>VLOOKUP(TABLA_PRECIOS_LISTBOX_VENTAS[[#This Row],[Código]],TABLA_PRECIOS[#All],7)</f>
        <v>1</v>
      </c>
    </row>
    <row r="276" spans="1:4" ht="12" customHeight="1" x14ac:dyDescent="0.3">
      <c r="A276" s="4">
        <v>1589</v>
      </c>
      <c r="B276" s="6" t="str">
        <f>VLOOKUP(TABLA_PRECIOS_LISTBOX_VENTAS[Código],LISTADO_PRODUCTOS[#All],4)</f>
        <v>Tablero de Dibujo Tecnico 40x50 C/atril 6 POS (7753) Pizzini - 7793198775302</v>
      </c>
      <c r="C276" s="6" t="str">
        <f>VLOOKUP(TABLA_PRECIOS_LISTBOX_VENTAS[Código],LISTADO_PRODUCTOS[#All],5)</f>
        <v>N/A</v>
      </c>
      <c r="D276" s="28">
        <f>VLOOKUP(TABLA_PRECIOS_LISTBOX_VENTAS[[#This Row],[Código]],TABLA_PRECIOS[#All],7)</f>
        <v>1</v>
      </c>
    </row>
    <row r="277" spans="1:4" ht="12" customHeight="1" x14ac:dyDescent="0.3">
      <c r="A277" s="4">
        <v>1591</v>
      </c>
      <c r="B277" s="6" t="str">
        <f>VLOOKUP(TABLA_PRECIOS_LISTBOX_VENTAS[Código],LISTADO_PRODUCTOS[#All],4)</f>
        <v>Lapiz Negro de Graduacion Trabi</v>
      </c>
      <c r="C277" s="6" t="str">
        <f>VLOOKUP(TABLA_PRECIOS_LISTBOX_VENTAS[Código],LISTADO_PRODUCTOS[#All],5)</f>
        <v>N/A</v>
      </c>
      <c r="D277" s="28">
        <f>VLOOKUP(TABLA_PRECIOS_LISTBOX_VENTAS[[#This Row],[Código]],TABLA_PRECIOS[#All],7)</f>
        <v>1</v>
      </c>
    </row>
    <row r="278" spans="1:4" ht="12" customHeight="1" x14ac:dyDescent="0.3">
      <c r="A278" s="4">
        <v>1597</v>
      </c>
      <c r="B278" s="6" t="str">
        <f>VLOOKUP(TABLA_PRECIOS_LISTBOX_VENTAS[Código],LISTADO_PRODUCTOS[#All],4)</f>
        <v>Boligrafo Borrable Filgo Borrax</v>
      </c>
      <c r="C278" s="6" t="str">
        <f>VLOOKUP(TABLA_PRECIOS_LISTBOX_VENTAS[Código],LISTADO_PRODUCTOS[#All],5)</f>
        <v>N/A</v>
      </c>
      <c r="D278" s="28">
        <f>VLOOKUP(TABLA_PRECIOS_LISTBOX_VENTAS[[#This Row],[Código]],TABLA_PRECIOS[#All],7)</f>
        <v>1</v>
      </c>
    </row>
    <row r="279" spans="1:4" ht="12" customHeight="1" x14ac:dyDescent="0.3">
      <c r="A279" s="4">
        <v>1600</v>
      </c>
      <c r="B279" s="6" t="str">
        <f>VLOOKUP(TABLA_PRECIOS_LISTBOX_VENTAS[Código],LISTADO_PRODUCTOS[#All],4)</f>
        <v>Carpeta Nº6 para dibujo el nene c/repuestos</v>
      </c>
      <c r="C279" s="6" t="str">
        <f>VLOOKUP(TABLA_PRECIOS_LISTBOX_VENTAS[Código],LISTADO_PRODUCTOS[#All],5)</f>
        <v>N/A</v>
      </c>
      <c r="D279" s="28">
        <f>VLOOKUP(TABLA_PRECIOS_LISTBOX_VENTAS[[#This Row],[Código]],TABLA_PRECIOS[#All],7)</f>
        <v>1</v>
      </c>
    </row>
    <row r="280" spans="1:4" ht="12" customHeight="1" x14ac:dyDescent="0.3">
      <c r="A280" s="4">
        <v>1601</v>
      </c>
      <c r="B280" s="6" t="str">
        <f>VLOOKUP(TABLA_PRECIOS_LISTBOX_VENTAS[Código],LISTADO_PRODUCTOS[#All],4)</f>
        <v>Carpeta Nº6 para dibujo asamblea s/rep</v>
      </c>
      <c r="C280" s="6" t="str">
        <f>VLOOKUP(TABLA_PRECIOS_LISTBOX_VENTAS[Código],LISTADO_PRODUCTOS[#All],5)</f>
        <v>N/A</v>
      </c>
      <c r="D280" s="28">
        <f>VLOOKUP(TABLA_PRECIOS_LISTBOX_VENTAS[[#This Row],[Código]],TABLA_PRECIOS[#All],7)</f>
        <v>1</v>
      </c>
    </row>
    <row r="281" spans="1:4" ht="12" customHeight="1" x14ac:dyDescent="0.3">
      <c r="A281" s="4">
        <v>1602</v>
      </c>
      <c r="B281" s="6" t="str">
        <f>VLOOKUP(TABLA_PRECIOS_LISTBOX_VENTAS[Código],LISTADO_PRODUCTOS[#All],4)</f>
        <v>Sacapuntas Keyroad Rubber 2 tamaños</v>
      </c>
      <c r="C281" s="6" t="str">
        <f>VLOOKUP(TABLA_PRECIOS_LISTBOX_VENTAS[Código],LISTADO_PRODUCTOS[#All],5)</f>
        <v>N/A</v>
      </c>
      <c r="D281" s="28">
        <f>VLOOKUP(TABLA_PRECIOS_LISTBOX_VENTAS[[#This Row],[Código]],TABLA_PRECIOS[#All],7)</f>
        <v>1</v>
      </c>
    </row>
    <row r="282" spans="1:4" ht="12" customHeight="1" x14ac:dyDescent="0.3">
      <c r="A282" s="4">
        <v>1604</v>
      </c>
      <c r="B282" s="6" t="str">
        <f>VLOOKUP(TABLA_PRECIOS_LISTBOX_VENTAS[Código],LISTADO_PRODUCTOS[#All],4)</f>
        <v>Colores largos Simball FLUO x 6</v>
      </c>
      <c r="C282" s="6" t="str">
        <f>VLOOKUP(TABLA_PRECIOS_LISTBOX_VENTAS[Código],LISTADO_PRODUCTOS[#All],5)</f>
        <v>N/A</v>
      </c>
      <c r="D282" s="28">
        <f>VLOOKUP(TABLA_PRECIOS_LISTBOX_VENTAS[[#This Row],[Código]],TABLA_PRECIOS[#All],7)</f>
        <v>1</v>
      </c>
    </row>
    <row r="283" spans="1:4" ht="12" customHeight="1" x14ac:dyDescent="0.3">
      <c r="A283" s="4">
        <v>1607</v>
      </c>
      <c r="B283" s="6" t="str">
        <f>VLOOKUP(TABLA_PRECIOS_LISTBOX_VENTAS[Código],LISTADO_PRODUCTOS[#All],4)</f>
        <v>Repuesto azul borrable Borrax Filgo</v>
      </c>
      <c r="C283" s="6" t="str">
        <f>VLOOKUP(TABLA_PRECIOS_LISTBOX_VENTAS[Código],LISTADO_PRODUCTOS[#All],5)</f>
        <v>N/A</v>
      </c>
      <c r="D283" s="28">
        <f>VLOOKUP(TABLA_PRECIOS_LISTBOX_VENTAS[[#This Row],[Código]],TABLA_PRECIOS[#All],7)</f>
        <v>1</v>
      </c>
    </row>
    <row r="284" spans="1:4" ht="12" customHeight="1" x14ac:dyDescent="0.3">
      <c r="A284" s="4">
        <v>1608</v>
      </c>
      <c r="B284" s="6" t="str">
        <f>VLOOKUP(TABLA_PRECIOS_LISTBOX_VENTAS[Código],LISTADO_PRODUCTOS[#All],4)</f>
        <v>Crayon Playcolor Jumbo FLUO x 6</v>
      </c>
      <c r="C284" s="6" t="str">
        <f>VLOOKUP(TABLA_PRECIOS_LISTBOX_VENTAS[Código],LISTADO_PRODUCTOS[#All],5)</f>
        <v>N/A</v>
      </c>
      <c r="D284" s="28">
        <f>VLOOKUP(TABLA_PRECIOS_LISTBOX_VENTAS[[#This Row],[Código]],TABLA_PRECIOS[#All],7)</f>
        <v>1</v>
      </c>
    </row>
    <row r="285" spans="1:4" ht="12" customHeight="1" x14ac:dyDescent="0.3">
      <c r="A285" s="4">
        <v>1609</v>
      </c>
      <c r="B285" s="6" t="str">
        <f>VLOOKUP(TABLA_PRECIOS_LISTBOX_VENTAS[Código],LISTADO_PRODUCTOS[#All],4)</f>
        <v>Marcadores Mooving punta pincel pastel x 6u</v>
      </c>
      <c r="C285" s="6" t="str">
        <f>VLOOKUP(TABLA_PRECIOS_LISTBOX_VENTAS[Código],LISTADO_PRODUCTOS[#All],5)</f>
        <v>N/A</v>
      </c>
      <c r="D285" s="28">
        <f>VLOOKUP(TABLA_PRECIOS_LISTBOX_VENTAS[[#This Row],[Código]],TABLA_PRECIOS[#All],7)</f>
        <v>1</v>
      </c>
    </row>
    <row r="286" spans="1:4" ht="12" customHeight="1" x14ac:dyDescent="0.3">
      <c r="A286" s="4">
        <v>1610</v>
      </c>
      <c r="B286" s="6" t="str">
        <f>VLOOKUP(TABLA_PRECIOS_LISTBOX_VENTAS[Código],LISTADO_PRODUCTOS[#All],4)</f>
        <v>Pizarra DELI A4 Magnetica con imanes</v>
      </c>
      <c r="C286" s="6" t="str">
        <f>VLOOKUP(TABLA_PRECIOS_LISTBOX_VENTAS[Código],LISTADO_PRODUCTOS[#All],5)</f>
        <v>N/A</v>
      </c>
      <c r="D286" s="28">
        <f>VLOOKUP(TABLA_PRECIOS_LISTBOX_VENTAS[[#This Row],[Código]],TABLA_PRECIOS[#All],7)</f>
        <v>1</v>
      </c>
    </row>
    <row r="287" spans="1:4" ht="12" customHeight="1" x14ac:dyDescent="0.3">
      <c r="A287" s="4">
        <v>1611</v>
      </c>
      <c r="B287" s="6" t="str">
        <f>VLOOKUP(TABLA_PRECIOS_LISTBOX_VENTAS[Código],LISTADO_PRODUCTOS[#All],4)</f>
        <v>Folio Luma N°3 reforzado $25 C/u</v>
      </c>
      <c r="C287" s="6" t="str">
        <f>VLOOKUP(TABLA_PRECIOS_LISTBOX_VENTAS[Código],LISTADO_PRODUCTOS[#All],5)</f>
        <v>N/A</v>
      </c>
      <c r="D287" s="28">
        <f>VLOOKUP(TABLA_PRECIOS_LISTBOX_VENTAS[[#This Row],[Código]],TABLA_PRECIOS[#All],7)</f>
        <v>1</v>
      </c>
    </row>
    <row r="288" spans="1:4" ht="12" customHeight="1" x14ac:dyDescent="0.3">
      <c r="A288" s="4">
        <v>1612</v>
      </c>
      <c r="B288" s="6" t="str">
        <f>VLOOKUP(TABLA_PRECIOS_LISTBOX_VENTAS[Código],LISTADO_PRODUCTOS[#All],4)</f>
        <v>Cuaderno Mooving Magnifique 80h T/C</v>
      </c>
      <c r="C288" s="6" t="str">
        <f>VLOOKUP(TABLA_PRECIOS_LISTBOX_VENTAS[Código],LISTADO_PRODUCTOS[#All],5)</f>
        <v>N/A</v>
      </c>
      <c r="D288" s="28">
        <f>VLOOKUP(TABLA_PRECIOS_LISTBOX_VENTAS[[#This Row],[Código]],TABLA_PRECIOS[#All],7)</f>
        <v>1</v>
      </c>
    </row>
    <row r="289" spans="1:4" ht="12" customHeight="1" x14ac:dyDescent="0.3">
      <c r="A289" s="4">
        <v>1613</v>
      </c>
      <c r="B289" s="6" t="str">
        <f>VLOOKUP(TABLA_PRECIOS_LISTBOX_VENTAS[Código],LISTADO_PRODUCTOS[#All],4)</f>
        <v>Cuaderno Mooving Magnifique 120 Hojas Tapa Dura hojas con borde color</v>
      </c>
      <c r="C289" s="6" t="str">
        <f>VLOOKUP(TABLA_PRECIOS_LISTBOX_VENTAS[Código],LISTADO_PRODUCTOS[#All],5)</f>
        <v>N/A</v>
      </c>
      <c r="D289" s="28">
        <f>VLOOKUP(TABLA_PRECIOS_LISTBOX_VENTAS[[#This Row],[Código]],TABLA_PRECIOS[#All],7)</f>
        <v>1</v>
      </c>
    </row>
    <row r="290" spans="1:4" ht="12" customHeight="1" x14ac:dyDescent="0.3">
      <c r="A290" s="4">
        <v>1614</v>
      </c>
      <c r="B290" s="6" t="str">
        <f>VLOOKUP(TABLA_PRECIOS_LISTBOX_VENTAS[Código],LISTADO_PRODUCTOS[#All],4)</f>
        <v>Cuaderno Mooving Minnie Mouse Tapa Carton Semi Rigida 80h</v>
      </c>
      <c r="C290" s="6" t="str">
        <f>VLOOKUP(TABLA_PRECIOS_LISTBOX_VENTAS[Código],LISTADO_PRODUCTOS[#All],5)</f>
        <v>N/A</v>
      </c>
      <c r="D290" s="28">
        <f>VLOOKUP(TABLA_PRECIOS_LISTBOX_VENTAS[[#This Row],[Código]],TABLA_PRECIOS[#All],7)</f>
        <v>1</v>
      </c>
    </row>
    <row r="291" spans="1:4" ht="12" customHeight="1" x14ac:dyDescent="0.3">
      <c r="A291" s="4">
        <v>1615</v>
      </c>
      <c r="B291" s="6" t="str">
        <f>VLOOKUP(TABLA_PRECIOS_LISTBOX_VENTAS[Código],LISTADO_PRODUCTOS[#All],4)</f>
        <v xml:space="preserve">Boligrafo BIC Cristal UP 1.2mm x8col surtidos </v>
      </c>
      <c r="C291" s="6" t="str">
        <f>VLOOKUP(TABLA_PRECIOS_LISTBOX_VENTAS[Código],LISTADO_PRODUCTOS[#All],5)</f>
        <v>N/A</v>
      </c>
      <c r="D291" s="28">
        <f>VLOOKUP(TABLA_PRECIOS_LISTBOX_VENTAS[[#This Row],[Código]],TABLA_PRECIOS[#All],7)</f>
        <v>1</v>
      </c>
    </row>
    <row r="292" spans="1:4" ht="12" customHeight="1" x14ac:dyDescent="0.3">
      <c r="A292" s="4">
        <v>1616</v>
      </c>
      <c r="B292" s="6" t="str">
        <f>VLOOKUP(TABLA_PRECIOS_LISTBOX_VENTAS[Código],LISTADO_PRODUCTOS[#All],4)</f>
        <v>Blister Resaltador Filgo Text Marker FLUO</v>
      </c>
      <c r="C292" s="6" t="str">
        <f>VLOOKUP(TABLA_PRECIOS_LISTBOX_VENTAS[Código],LISTADO_PRODUCTOS[#All],5)</f>
        <v>N/A</v>
      </c>
      <c r="D292" s="28">
        <f>VLOOKUP(TABLA_PRECIOS_LISTBOX_VENTAS[[#This Row],[Código]],TABLA_PRECIOS[#All],7)</f>
        <v>1</v>
      </c>
    </row>
    <row r="293" spans="1:4" ht="12" customHeight="1" x14ac:dyDescent="0.3">
      <c r="A293" s="4">
        <v>1617</v>
      </c>
      <c r="B293" s="6" t="str">
        <f>VLOOKUP(TABLA_PRECIOS_LISTBOX_VENTAS[Código],LISTADO_PRODUCTOS[#All],4)</f>
        <v>Lapicera Punta Aguja Super Point Filgo</v>
      </c>
      <c r="C293" s="6" t="str">
        <f>VLOOKUP(TABLA_PRECIOS_LISTBOX_VENTAS[Código],LISTADO_PRODUCTOS[#All],5)</f>
        <v>N/A</v>
      </c>
      <c r="D293" s="28">
        <f>VLOOKUP(TABLA_PRECIOS_LISTBOX_VENTAS[[#This Row],[Código]],TABLA_PRECIOS[#All],7)</f>
        <v>1</v>
      </c>
    </row>
    <row r="294" spans="1:4" ht="12" customHeight="1" x14ac:dyDescent="0.3">
      <c r="A294" s="4">
        <v>1618</v>
      </c>
      <c r="B294" s="6" t="str">
        <f>VLOOKUP(TABLA_PRECIOS_LISTBOX_VENTAS[Código],LISTADO_PRODUCTOS[#All],4)</f>
        <v>Rgla de Aluminio Keyroad C/Porta Lapiz 20cm KR9</v>
      </c>
      <c r="C294" s="6" t="str">
        <f>VLOOKUP(TABLA_PRECIOS_LISTBOX_VENTAS[Código],LISTADO_PRODUCTOS[#All],5)</f>
        <v>N/A</v>
      </c>
      <c r="D294" s="28">
        <f>VLOOKUP(TABLA_PRECIOS_LISTBOX_VENTAS[[#This Row],[Código]],TABLA_PRECIOS[#All],7)</f>
        <v>1</v>
      </c>
    </row>
    <row r="295" spans="1:4" ht="12" customHeight="1" x14ac:dyDescent="0.3">
      <c r="A295" s="4">
        <v>1619</v>
      </c>
      <c r="B295" s="6" t="str">
        <f>VLOOKUP(TABLA_PRECIOS_LISTBOX_VENTAS[Código],LISTADO_PRODUCTOS[#All],4)</f>
        <v>Rgla de Aluminio Keyroad C/Porta Lapiz 30cm KR9</v>
      </c>
      <c r="C295" s="6" t="str">
        <f>VLOOKUP(TABLA_PRECIOS_LISTBOX_VENTAS[Código],LISTADO_PRODUCTOS[#All],5)</f>
        <v>N/A</v>
      </c>
      <c r="D295" s="28">
        <f>VLOOKUP(TABLA_PRECIOS_LISTBOX_VENTAS[[#This Row],[Código]],TABLA_PRECIOS[#All],7)</f>
        <v>1</v>
      </c>
    </row>
    <row r="296" spans="1:4" ht="12" customHeight="1" x14ac:dyDescent="0.3">
      <c r="A296" s="4">
        <v>1620</v>
      </c>
      <c r="B296" s="6" t="str">
        <f>VLOOKUP(TABLA_PRECIOS_LISTBOX_VENTAS[Código],LISTADO_PRODUCTOS[#All],4)</f>
        <v>Marcador permanente Edding 404 punta fina</v>
      </c>
      <c r="C296" s="6" t="str">
        <f>VLOOKUP(TABLA_PRECIOS_LISTBOX_VENTAS[Código],LISTADO_PRODUCTOS[#All],5)</f>
        <v>N/A</v>
      </c>
      <c r="D296" s="28">
        <f>VLOOKUP(TABLA_PRECIOS_LISTBOX_VENTAS[[#This Row],[Código]],TABLA_PRECIOS[#All],7)</f>
        <v>1</v>
      </c>
    </row>
    <row r="297" spans="1:4" ht="12" customHeight="1" x14ac:dyDescent="0.3">
      <c r="A297" s="4">
        <v>1621</v>
      </c>
      <c r="B297" s="6" t="str">
        <f>VLOOKUP(TABLA_PRECIOS_LISTBOX_VENTAS[Código],LISTADO_PRODUCTOS[#All],4)</f>
        <v>Roller Super Ball Filgo</v>
      </c>
      <c r="C297" s="6" t="str">
        <f>VLOOKUP(TABLA_PRECIOS_LISTBOX_VENTAS[Código],LISTADO_PRODUCTOS[#All],5)</f>
        <v>N/A</v>
      </c>
      <c r="D297" s="28">
        <f>VLOOKUP(TABLA_PRECIOS_LISTBOX_VENTAS[[#This Row],[Código]],TABLA_PRECIOS[#All],7)</f>
        <v>1</v>
      </c>
    </row>
    <row r="298" spans="1:4" ht="12" customHeight="1" x14ac:dyDescent="0.3">
      <c r="A298" s="4">
        <v>1624</v>
      </c>
      <c r="B298" s="6" t="str">
        <f>VLOOKUP(TABLA_PRECIOS_LISTBOX_VENTAS[Código],LISTADO_PRODUCTOS[#All],4)</f>
        <v>Adhesivo Glitter NEON/Pastel/Glue 21gr colores surtidos C/U</v>
      </c>
      <c r="C298" s="6" t="str">
        <f>VLOOKUP(TABLA_PRECIOS_LISTBOX_VENTAS[Código],LISTADO_PRODUCTOS[#All],5)</f>
        <v>N/A</v>
      </c>
      <c r="D298" s="28">
        <f>VLOOKUP(TABLA_PRECIOS_LISTBOX_VENTAS[[#This Row],[Código]],TABLA_PRECIOS[#All],7)</f>
        <v>1</v>
      </c>
    </row>
    <row r="299" spans="1:4" ht="12" customHeight="1" x14ac:dyDescent="0.3">
      <c r="A299" s="4">
        <v>1627</v>
      </c>
      <c r="B299" s="6" t="str">
        <f>VLOOKUP(TABLA_PRECIOS_LISTBOX_VENTAS[Código],LISTADO_PRODUCTOS[#All],4)</f>
        <v>Fibron Faber Castell al agua 56 P.Red.</v>
      </c>
      <c r="C299" s="6" t="str">
        <f>VLOOKUP(TABLA_PRECIOS_LISTBOX_VENTAS[Código],LISTADO_PRODUCTOS[#All],5)</f>
        <v>N/A</v>
      </c>
      <c r="D299" s="28">
        <f>VLOOKUP(TABLA_PRECIOS_LISTBOX_VENTAS[[#This Row],[Código]],TABLA_PRECIOS[#All],7)</f>
        <v>1</v>
      </c>
    </row>
    <row r="300" spans="1:4" ht="12" customHeight="1" x14ac:dyDescent="0.3">
      <c r="A300" s="4">
        <v>1628</v>
      </c>
      <c r="B300" s="6" t="str">
        <f>VLOOKUP(TABLA_PRECIOS_LISTBOX_VENTAS[Código],LISTADO_PRODUCTOS[#All],4)</f>
        <v>Block Cartulina entretenida Antiestress anti stress Muresco</v>
      </c>
      <c r="C300" s="6" t="str">
        <f>VLOOKUP(TABLA_PRECIOS_LISTBOX_VENTAS[Código],LISTADO_PRODUCTOS[#All],5)</f>
        <v>N/A</v>
      </c>
      <c r="D300" s="28">
        <f>VLOOKUP(TABLA_PRECIOS_LISTBOX_VENTAS[[#This Row],[Código]],TABLA_PRECIOS[#All],7)</f>
        <v>1</v>
      </c>
    </row>
    <row r="301" spans="1:4" ht="12" customHeight="1" x14ac:dyDescent="0.3">
      <c r="A301" s="4">
        <v>1629</v>
      </c>
      <c r="B301" s="6" t="str">
        <f>VLOOKUP(TABLA_PRECIOS_LISTBOX_VENTAS[Código],LISTADO_PRODUCTOS[#All],4)</f>
        <v>Block Cartulina entretenida Muresco Negra/celeste/amarillo/rosa surtida</v>
      </c>
      <c r="C301" s="6" t="str">
        <f>VLOOKUP(TABLA_PRECIOS_LISTBOX_VENTAS[Código],LISTADO_PRODUCTOS[#All],5)</f>
        <v>N/A</v>
      </c>
      <c r="D301" s="28">
        <f>VLOOKUP(TABLA_PRECIOS_LISTBOX_VENTAS[[#This Row],[Código]],TABLA_PRECIOS[#All],7)</f>
        <v>1</v>
      </c>
    </row>
    <row r="302" spans="1:4" ht="12" customHeight="1" x14ac:dyDescent="0.3">
      <c r="A302" s="4">
        <v>1634</v>
      </c>
      <c r="B302" s="6" t="str">
        <f>VLOOKUP(TABLA_PRECIOS_LISTBOX_VENTAS[Código],LISTADO_PRODUCTOS[#All],4)</f>
        <v>Fibron Pelikan Permanente Punta Redonda 441</v>
      </c>
      <c r="C302" s="6" t="str">
        <f>VLOOKUP(TABLA_PRECIOS_LISTBOX_VENTAS[Código],LISTADO_PRODUCTOS[#All],5)</f>
        <v>N/A</v>
      </c>
      <c r="D302" s="28">
        <f>VLOOKUP(TABLA_PRECIOS_LISTBOX_VENTAS[[#This Row],[Código]],TABLA_PRECIOS[#All],7)</f>
        <v>1</v>
      </c>
    </row>
    <row r="303" spans="1:4" ht="12" customHeight="1" x14ac:dyDescent="0.3">
      <c r="A303" s="4">
        <v>1638</v>
      </c>
      <c r="B303" s="6" t="str">
        <f>VLOOKUP(TABLA_PRECIOS_LISTBOX_VENTAS[Código],LISTADO_PRODUCTOS[#All],4)</f>
        <v>Block N°6 Capitolio Blanco</v>
      </c>
      <c r="C303" s="6" t="str">
        <f>VLOOKUP(TABLA_PRECIOS_LISTBOX_VENTAS[Código],LISTADO_PRODUCTOS[#All],5)</f>
        <v>N/A</v>
      </c>
      <c r="D303" s="28">
        <f>VLOOKUP(TABLA_PRECIOS_LISTBOX_VENTAS[[#This Row],[Código]],TABLA_PRECIOS[#All],7)</f>
        <v>1</v>
      </c>
    </row>
    <row r="304" spans="1:4" ht="12" customHeight="1" x14ac:dyDescent="0.3">
      <c r="A304" s="4">
        <v>1640</v>
      </c>
      <c r="B304" s="6" t="str">
        <f>VLOOKUP(TABLA_PRECIOS_LISTBOX_VENTAS[Código],LISTADO_PRODUCTOS[#All],4)</f>
        <v>Block N°5 Muresco 22 x 29.5 Afiche color x 50h colores</v>
      </c>
      <c r="C304" s="6" t="str">
        <f>VLOOKUP(TABLA_PRECIOS_LISTBOX_VENTAS[Código],LISTADO_PRODUCTOS[#All],5)</f>
        <v>N/A</v>
      </c>
      <c r="D304" s="28">
        <f>VLOOKUP(TABLA_PRECIOS_LISTBOX_VENTAS[[#This Row],[Código]],TABLA_PRECIOS[#All],7)</f>
        <v>1</v>
      </c>
    </row>
    <row r="305" spans="1:4" ht="12" customHeight="1" x14ac:dyDescent="0.3">
      <c r="A305" s="4">
        <v>1641</v>
      </c>
      <c r="B305" s="6" t="str">
        <f>VLOOKUP(TABLA_PRECIOS_LISTBOX_VENTAS[Código],LISTADO_PRODUCTOS[#All],4)</f>
        <v>Lapiz Borratinta Staedtler escobilla</v>
      </c>
      <c r="C305" s="6" t="str">
        <f>VLOOKUP(TABLA_PRECIOS_LISTBOX_VENTAS[Código],LISTADO_PRODUCTOS[#All],5)</f>
        <v>N/A</v>
      </c>
      <c r="D305" s="28">
        <f>VLOOKUP(TABLA_PRECIOS_LISTBOX_VENTAS[[#This Row],[Código]],TABLA_PRECIOS[#All],7)</f>
        <v>1</v>
      </c>
    </row>
    <row r="306" spans="1:4" ht="12" customHeight="1" x14ac:dyDescent="0.3">
      <c r="A306" s="4">
        <v>1643</v>
      </c>
      <c r="B306" s="6" t="str">
        <f>VLOOKUP(TABLA_PRECIOS_LISTBOX_VENTAS[Código],LISTADO_PRODUCTOS[#All],4)</f>
        <v>Block Capitolio Collage 20h</v>
      </c>
      <c r="C306" s="6" t="str">
        <f>VLOOKUP(TABLA_PRECIOS_LISTBOX_VENTAS[Código],LISTADO_PRODUCTOS[#All],5)</f>
        <v>N/A</v>
      </c>
      <c r="D306" s="28">
        <f>VLOOKUP(TABLA_PRECIOS_LISTBOX_VENTAS[[#This Row],[Código]],TABLA_PRECIOS[#All],7)</f>
        <v>1</v>
      </c>
    </row>
    <row r="307" spans="1:4" ht="12" customHeight="1" x14ac:dyDescent="0.3">
      <c r="A307" s="4">
        <v>1644</v>
      </c>
      <c r="B307" s="6" t="str">
        <f>VLOOKUP(TABLA_PRECIOS_LISTBOX_VENTAS[Código],LISTADO_PRODUCTOS[#All],4)</f>
        <v>Adhesivo en barra Giotto 36g</v>
      </c>
      <c r="C307" s="6" t="str">
        <f>VLOOKUP(TABLA_PRECIOS_LISTBOX_VENTAS[Código],LISTADO_PRODUCTOS[#All],5)</f>
        <v>N/A</v>
      </c>
      <c r="D307" s="28">
        <f>VLOOKUP(TABLA_PRECIOS_LISTBOX_VENTAS[[#This Row],[Código]],TABLA_PRECIOS[#All],7)</f>
        <v>1</v>
      </c>
    </row>
    <row r="308" spans="1:4" ht="12" customHeight="1" x14ac:dyDescent="0.3">
      <c r="A308" s="4">
        <v>1645</v>
      </c>
      <c r="B308" s="6" t="str">
        <f>VLOOKUP(TABLA_PRECIOS_LISTBOX_VENTAS[Código],LISTADO_PRODUCTOS[#All],4)</f>
        <v>Goma DELI Scribe Eraser H00110</v>
      </c>
      <c r="C308" s="6" t="str">
        <f>VLOOKUP(TABLA_PRECIOS_LISTBOX_VENTAS[Código],LISTADO_PRODUCTOS[#All],5)</f>
        <v>N/A</v>
      </c>
      <c r="D308" s="28">
        <f>VLOOKUP(TABLA_PRECIOS_LISTBOX_VENTAS[[#This Row],[Código]],TABLA_PRECIOS[#All],7)</f>
        <v>1</v>
      </c>
    </row>
    <row r="309" spans="1:4" ht="12" customHeight="1" x14ac:dyDescent="0.3">
      <c r="A309" s="4">
        <v>1648</v>
      </c>
      <c r="B309" s="6" t="str">
        <f>VLOOKUP(TABLA_PRECIOS_LISTBOX_VENTAS[Código],LISTADO_PRODUCTOS[#All],4)</f>
        <v>Carpeta Util-of</v>
      </c>
      <c r="C309" s="6" t="str">
        <f>VLOOKUP(TABLA_PRECIOS_LISTBOX_VENTAS[Código],LISTADO_PRODUCTOS[#All],5)</f>
        <v>N/A</v>
      </c>
      <c r="D309" s="28">
        <f>VLOOKUP(TABLA_PRECIOS_LISTBOX_VENTAS[[#This Row],[Código]],TABLA_PRECIOS[#All],7)</f>
        <v>1</v>
      </c>
    </row>
    <row r="310" spans="1:4" ht="12" customHeight="1" x14ac:dyDescent="0.3">
      <c r="A310" s="4">
        <v>1651</v>
      </c>
      <c r="B310" s="6" t="str">
        <f>VLOOKUP(TABLA_PRECIOS_LISTBOX_VENTAS[Código],LISTADO_PRODUCTOS[#All],4)</f>
        <v>Set Microfibras Filgo Liner 038 x 10</v>
      </c>
      <c r="C310" s="6" t="str">
        <f>VLOOKUP(TABLA_PRECIOS_LISTBOX_VENTAS[Código],LISTADO_PRODUCTOS[#All],5)</f>
        <v>N/A</v>
      </c>
      <c r="D310" s="28">
        <f>VLOOKUP(TABLA_PRECIOS_LISTBOX_VENTAS[[#This Row],[Código]],TABLA_PRECIOS[#All],7)</f>
        <v>1</v>
      </c>
    </row>
    <row r="311" spans="1:4" ht="12" customHeight="1" x14ac:dyDescent="0.3">
      <c r="A311" s="4">
        <v>1652</v>
      </c>
      <c r="B311" s="6" t="str">
        <f>VLOOKUP(TABLA_PRECIOS_LISTBOX_VENTAS[Código],LISTADO_PRODUCTOS[#All],4)</f>
        <v>Boligrafo Borrable Trabí Fantastic Tinta azul</v>
      </c>
      <c r="C311" s="6" t="str">
        <f>VLOOKUP(TABLA_PRECIOS_LISTBOX_VENTAS[Código],LISTADO_PRODUCTOS[#All],5)</f>
        <v>N/A</v>
      </c>
      <c r="D311" s="28">
        <f>VLOOKUP(TABLA_PRECIOS_LISTBOX_VENTAS[[#This Row],[Código]],TABLA_PRECIOS[#All],7)</f>
        <v>1</v>
      </c>
    </row>
    <row r="312" spans="1:4" ht="12" customHeight="1" x14ac:dyDescent="0.3">
      <c r="A312" s="4">
        <v>1661</v>
      </c>
      <c r="B312" s="6" t="str">
        <f>VLOOKUP(TABLA_PRECIOS_LISTBOX_VENTAS[Código],LISTADO_PRODUCTOS[#All],4)</f>
        <v xml:space="preserve">Repuesto Roller borrable Trabí </v>
      </c>
      <c r="C312" s="6" t="str">
        <f>VLOOKUP(TABLA_PRECIOS_LISTBOX_VENTAS[Código],LISTADO_PRODUCTOS[#All],5)</f>
        <v>N/A</v>
      </c>
      <c r="D312" s="28">
        <f>VLOOKUP(TABLA_PRECIOS_LISTBOX_VENTAS[[#This Row],[Código]],TABLA_PRECIOS[#All],7)</f>
        <v>1</v>
      </c>
    </row>
    <row r="313" spans="1:4" ht="12" customHeight="1" x14ac:dyDescent="0.3">
      <c r="A313" s="4">
        <v>1662</v>
      </c>
      <c r="B313" s="6" t="str">
        <f>VLOOKUP(TABLA_PRECIOS_LISTBOX_VENTAS[Código],LISTADO_PRODUCTOS[#All],4)</f>
        <v>Microfibra Filgo yo amo mis colores FLUO x 5 liner 038 - 7795513075296</v>
      </c>
      <c r="C313" s="6" t="str">
        <f>VLOOKUP(TABLA_PRECIOS_LISTBOX_VENTAS[Código],LISTADO_PRODUCTOS[#All],5)</f>
        <v>N/A</v>
      </c>
      <c r="D313" s="28">
        <f>VLOOKUP(TABLA_PRECIOS_LISTBOX_VENTAS[[#This Row],[Código]],TABLA_PRECIOS[#All],7)</f>
        <v>1</v>
      </c>
    </row>
    <row r="314" spans="1:4" ht="12" customHeight="1" x14ac:dyDescent="0.3">
      <c r="A314" s="4">
        <v>1666</v>
      </c>
      <c r="B314" s="6" t="str">
        <f>VLOOKUP(TABLA_PRECIOS_LISTBOX_VENTAS[Código],LISTADO_PRODUCTOS[#All],4)</f>
        <v xml:space="preserve">Portaminas BIC AI con grip 0.5 en presentacion </v>
      </c>
      <c r="C314" s="6" t="str">
        <f>VLOOKUP(TABLA_PRECIOS_LISTBOX_VENTAS[Código],LISTADO_PRODUCTOS[#All],5)</f>
        <v>N/A</v>
      </c>
      <c r="D314" s="28">
        <f>VLOOKUP(TABLA_PRECIOS_LISTBOX_VENTAS[[#This Row],[Código]],TABLA_PRECIOS[#All],7)</f>
        <v>1</v>
      </c>
    </row>
    <row r="315" spans="1:4" ht="12" customHeight="1" x14ac:dyDescent="0.3">
      <c r="A315" s="4">
        <v>1670</v>
      </c>
      <c r="B315" s="6" t="str">
        <f>VLOOKUP(TABLA_PRECIOS_LISTBOX_VENTAS[Código],LISTADO_PRODUCTOS[#All],4)</f>
        <v xml:space="preserve">Cuaderno LAPRIDA AB7 tradicional 21x27 100h Ray </v>
      </c>
      <c r="C315" s="6" t="str">
        <f>VLOOKUP(TABLA_PRECIOS_LISTBOX_VENTAS[Código],LISTADO_PRODUCTOS[#All],5)</f>
        <v>N/A</v>
      </c>
      <c r="D315" s="28">
        <f>VLOOKUP(TABLA_PRECIOS_LISTBOX_VENTAS[[#This Row],[Código]],TABLA_PRECIOS[#All],7)</f>
        <v>1</v>
      </c>
    </row>
    <row r="316" spans="1:4" ht="12" customHeight="1" x14ac:dyDescent="0.3">
      <c r="A316" s="4">
        <v>1671</v>
      </c>
      <c r="B316" s="6" t="str">
        <f>VLOOKUP(TABLA_PRECIOS_LISTBOX_VENTAS[Código],LISTADO_PRODUCTOS[#All],4)</f>
        <v>Block Muresco Kraft x 30h Muresco</v>
      </c>
      <c r="C316" s="6" t="str">
        <f>VLOOKUP(TABLA_PRECIOS_LISTBOX_VENTAS[Código],LISTADO_PRODUCTOS[#All],5)</f>
        <v>N/A</v>
      </c>
      <c r="D316" s="28">
        <f>VLOOKUP(TABLA_PRECIOS_LISTBOX_VENTAS[[#This Row],[Código]],TABLA_PRECIOS[#All],7)</f>
        <v>1</v>
      </c>
    </row>
    <row r="317" spans="1:4" ht="12" customHeight="1" x14ac:dyDescent="0.3">
      <c r="A317" s="4">
        <v>1672</v>
      </c>
      <c r="B317" s="6" t="str">
        <f>VLOOKUP(TABLA_PRECIOS_LISTBOX_VENTAS[Código],LISTADO_PRODUCTOS[#All],4)</f>
        <v>Marcadores Mooving Resaltador PWR Chic cuerpo triangular</v>
      </c>
      <c r="C317" s="6" t="str">
        <f>VLOOKUP(TABLA_PRECIOS_LISTBOX_VENTAS[Código],LISTADO_PRODUCTOS[#All],5)</f>
        <v>N/A</v>
      </c>
      <c r="D317" s="28">
        <f>VLOOKUP(TABLA_PRECIOS_LISTBOX_VENTAS[[#This Row],[Código]],TABLA_PRECIOS[#All],7)</f>
        <v>1</v>
      </c>
    </row>
    <row r="318" spans="1:4" ht="12" customHeight="1" x14ac:dyDescent="0.3">
      <c r="A318" s="4">
        <v>1674</v>
      </c>
      <c r="B318" s="6" t="str">
        <f>VLOOKUP(TABLA_PRECIOS_LISTBOX_VENTAS[Código],LISTADO_PRODUCTOS[#All],4)</f>
        <v>Microfibra Mooving punta metalica 0.4mm estuche x 10u</v>
      </c>
      <c r="C318" s="6" t="str">
        <f>VLOOKUP(TABLA_PRECIOS_LISTBOX_VENTAS[Código],LISTADO_PRODUCTOS[#All],5)</f>
        <v>N/A</v>
      </c>
      <c r="D318" s="28">
        <f>VLOOKUP(TABLA_PRECIOS_LISTBOX_VENTAS[[#This Row],[Código]],TABLA_PRECIOS[#All],7)</f>
        <v>1</v>
      </c>
    </row>
    <row r="319" spans="1:4" ht="12" customHeight="1" x14ac:dyDescent="0.3">
      <c r="A319" s="4">
        <v>1675</v>
      </c>
      <c r="B319" s="6" t="str">
        <f>VLOOKUP(TABLA_PRECIOS_LISTBOX_VENTAS[Código],LISTADO_PRODUCTOS[#All],4)</f>
        <v>Marcador Pizzini para vidrio x 9 colores</v>
      </c>
      <c r="C319" s="6" t="str">
        <f>VLOOKUP(TABLA_PRECIOS_LISTBOX_VENTAS[Código],LISTADO_PRODUCTOS[#All],5)</f>
        <v>N/A</v>
      </c>
      <c r="D319" s="28">
        <f>VLOOKUP(TABLA_PRECIOS_LISTBOX_VENTAS[[#This Row],[Código]],TABLA_PRECIOS[#All],7)</f>
        <v>1</v>
      </c>
    </row>
    <row r="320" spans="1:4" ht="12" customHeight="1" x14ac:dyDescent="0.3">
      <c r="A320" s="4">
        <v>1676</v>
      </c>
      <c r="B320" s="6" t="str">
        <f>VLOOKUP(TABLA_PRECIOS_LISTBOX_VENTAS[Código],LISTADO_PRODUCTOS[#All],4)</f>
        <v xml:space="preserve">Marcador Maped Window Color Peps para vidrio </v>
      </c>
      <c r="C320" s="6" t="str">
        <f>VLOOKUP(TABLA_PRECIOS_LISTBOX_VENTAS[Código],LISTADO_PRODUCTOS[#All],5)</f>
        <v>N/A</v>
      </c>
      <c r="D320" s="28">
        <f>VLOOKUP(TABLA_PRECIOS_LISTBOX_VENTAS[[#This Row],[Código]],TABLA_PRECIOS[#All],7)</f>
        <v>1</v>
      </c>
    </row>
    <row r="321" spans="1:4" ht="12" customHeight="1" x14ac:dyDescent="0.3">
      <c r="A321" s="4">
        <v>1678</v>
      </c>
      <c r="B321" s="6" t="str">
        <f>VLOOKUP(TABLA_PRECIOS_LISTBOX_VENTAS[Código],LISTADO_PRODUCTOS[#All],4)</f>
        <v>Goma de Borrar Dos Banderas 3036/ Minigoma Giotto Pastel</v>
      </c>
      <c r="C321" s="6" t="str">
        <f>VLOOKUP(TABLA_PRECIOS_LISTBOX_VENTAS[Código],LISTADO_PRODUCTOS[#All],5)</f>
        <v>N/A</v>
      </c>
      <c r="D321" s="28">
        <f>VLOOKUP(TABLA_PRECIOS_LISTBOX_VENTAS[[#This Row],[Código]],TABLA_PRECIOS[#All],7)</f>
        <v>1</v>
      </c>
    </row>
    <row r="322" spans="1:4" ht="12" customHeight="1" x14ac:dyDescent="0.3">
      <c r="A322" s="4">
        <v>1681</v>
      </c>
      <c r="B322" s="6" t="str">
        <f>VLOOKUP(TABLA_PRECIOS_LISTBOX_VENTAS[Código],LISTADO_PRODUCTOS[#All],4)</f>
        <v>Boligrafo Paper mate kilometrico economico</v>
      </c>
      <c r="C322" s="6" t="str">
        <f>VLOOKUP(TABLA_PRECIOS_LISTBOX_VENTAS[Código],LISTADO_PRODUCTOS[#All],5)</f>
        <v>N/A</v>
      </c>
      <c r="D322" s="28">
        <f>VLOOKUP(TABLA_PRECIOS_LISTBOX_VENTAS[[#This Row],[Código]],TABLA_PRECIOS[#All],7)</f>
        <v>1</v>
      </c>
    </row>
    <row r="323" spans="1:4" ht="12" customHeight="1" x14ac:dyDescent="0.3">
      <c r="A323" s="4">
        <v>1684</v>
      </c>
      <c r="B323" s="6" t="str">
        <f>VLOOKUP(TABLA_PRECIOS_LISTBOX_VENTAS[Código],LISTADO_PRODUCTOS[#All],4)</f>
        <v>Regla Flexible DELI 20cm</v>
      </c>
      <c r="C323" s="6" t="str">
        <f>VLOOKUP(TABLA_PRECIOS_LISTBOX_VENTAS[Código],LISTADO_PRODUCTOS[#All],5)</f>
        <v>N/A</v>
      </c>
      <c r="D323" s="28">
        <f>VLOOKUP(TABLA_PRECIOS_LISTBOX_VENTAS[[#This Row],[Código]],TABLA_PRECIOS[#All],7)</f>
        <v>1</v>
      </c>
    </row>
    <row r="324" spans="1:4" ht="12" customHeight="1" x14ac:dyDescent="0.3">
      <c r="A324" s="4">
        <v>1685</v>
      </c>
      <c r="B324" s="6" t="str">
        <f>VLOOKUP(TABLA_PRECIOS_LISTBOX_VENTAS[Código],LISTADO_PRODUCTOS[#All],4)</f>
        <v>Boligrafo Maped Visio Pen p/zurdos</v>
      </c>
      <c r="C324" s="6" t="str">
        <f>VLOOKUP(TABLA_PRECIOS_LISTBOX_VENTAS[Código],LISTADO_PRODUCTOS[#All],5)</f>
        <v>N/A</v>
      </c>
      <c r="D324" s="28">
        <f>VLOOKUP(TABLA_PRECIOS_LISTBOX_VENTAS[[#This Row],[Código]],TABLA_PRECIOS[#All],7)</f>
        <v>1</v>
      </c>
    </row>
    <row r="325" spans="1:4" ht="12" customHeight="1" x14ac:dyDescent="0.3">
      <c r="A325" s="4">
        <v>1686</v>
      </c>
      <c r="B325" s="6" t="str">
        <f>VLOOKUP(TABLA_PRECIOS_LISTBOX_VENTAS[Código],LISTADO_PRODUCTOS[#All],4)</f>
        <v>Lapices de colores Mooving Inseparables x 12 Doble punta (24 colore)</v>
      </c>
      <c r="C325" s="6" t="str">
        <f>VLOOKUP(TABLA_PRECIOS_LISTBOX_VENTAS[Código],LISTADO_PRODUCTOS[#All],5)</f>
        <v>N/A</v>
      </c>
      <c r="D325" s="28">
        <f>VLOOKUP(TABLA_PRECIOS_LISTBOX_VENTAS[[#This Row],[Código]],TABLA_PRECIOS[#All],7)</f>
        <v>1</v>
      </c>
    </row>
    <row r="326" spans="1:4" ht="12" customHeight="1" x14ac:dyDescent="0.3">
      <c r="A326" s="4">
        <v>1687</v>
      </c>
      <c r="B326" s="6" t="str">
        <f>VLOOKUP(TABLA_PRECIOS_LISTBOX_VENTAS[Código],LISTADO_PRODUCTOS[#All],4)</f>
        <v xml:space="preserve">Goma Maped Technic Duo  </v>
      </c>
      <c r="C326" s="6" t="str">
        <f>VLOOKUP(TABLA_PRECIOS_LISTBOX_VENTAS[Código],LISTADO_PRODUCTOS[#All],5)</f>
        <v>N/A</v>
      </c>
      <c r="D326" s="28">
        <f>VLOOKUP(TABLA_PRECIOS_LISTBOX_VENTAS[[#This Row],[Código]],TABLA_PRECIOS[#All],7)</f>
        <v>1</v>
      </c>
    </row>
    <row r="327" spans="1:4" ht="12" customHeight="1" x14ac:dyDescent="0.3">
      <c r="A327" s="4">
        <v>1688</v>
      </c>
      <c r="B327" s="6" t="str">
        <f>VLOOKUP(TABLA_PRECIOS_LISTBOX_VENTAS[Código],LISTADO_PRODUCTOS[#All],4)</f>
        <v>Cuaderno rivadavia  60h Tapa semi rigida metalizada ABC 21x27</v>
      </c>
      <c r="C327" s="6" t="str">
        <f>VLOOKUP(TABLA_PRECIOS_LISTBOX_VENTAS[Código],LISTADO_PRODUCTOS[#All],5)</f>
        <v>N/A</v>
      </c>
      <c r="D327" s="28">
        <f>VLOOKUP(TABLA_PRECIOS_LISTBOX_VENTAS[[#This Row],[Código]],TABLA_PRECIOS[#All],7)</f>
        <v>1</v>
      </c>
    </row>
    <row r="328" spans="1:4" ht="12" customHeight="1" x14ac:dyDescent="0.3">
      <c r="A328" s="4">
        <v>1689</v>
      </c>
      <c r="B328" s="6" t="str">
        <f>VLOOKUP(TABLA_PRECIOS_LISTBOX_VENTAS[Código],LISTADO_PRODUCTOS[#All],4)</f>
        <v>Set de Microfibras Maped Graph peps x 4u</v>
      </c>
      <c r="C328" s="6" t="str">
        <f>VLOOKUP(TABLA_PRECIOS_LISTBOX_VENTAS[Código],LISTADO_PRODUCTOS[#All],5)</f>
        <v>N/A</v>
      </c>
      <c r="D328" s="28">
        <f>VLOOKUP(TABLA_PRECIOS_LISTBOX_VENTAS[[#This Row],[Código]],TABLA_PRECIOS[#All],7)</f>
        <v>1</v>
      </c>
    </row>
    <row r="329" spans="1:4" ht="12" customHeight="1" x14ac:dyDescent="0.3">
      <c r="A329" s="4">
        <v>1691</v>
      </c>
      <c r="B329" s="6" t="str">
        <f>VLOOKUP(TABLA_PRECIOS_LISTBOX_VENTAS[Código],LISTADO_PRODUCTOS[#All],4)</f>
        <v>Boligrafo Paper Mate Kilometrico 100 3 x $300</v>
      </c>
      <c r="C329" s="6" t="str">
        <f>VLOOKUP(TABLA_PRECIOS_LISTBOX_VENTAS[Código],LISTADO_PRODUCTOS[#All],5)</f>
        <v>N/A</v>
      </c>
      <c r="D329" s="28">
        <f>VLOOKUP(TABLA_PRECIOS_LISTBOX_VENTAS[[#This Row],[Código]],TABLA_PRECIOS[#All],7)</f>
        <v>1</v>
      </c>
    </row>
    <row r="330" spans="1:4" ht="12" customHeight="1" x14ac:dyDescent="0.3">
      <c r="A330" s="4">
        <v>1692</v>
      </c>
      <c r="B330" s="6" t="str">
        <f>VLOOKUP(TABLA_PRECIOS_LISTBOX_VENTAS[Código],LISTADO_PRODUCTOS[#All],4)</f>
        <v>Microfibra Maped Graph Peps fine 0.4</v>
      </c>
      <c r="C330" s="6" t="str">
        <f>VLOOKUP(TABLA_PRECIOS_LISTBOX_VENTAS[Código],LISTADO_PRODUCTOS[#All],5)</f>
        <v>N/A</v>
      </c>
      <c r="D330" s="28">
        <f>VLOOKUP(TABLA_PRECIOS_LISTBOX_VENTAS[[#This Row],[Código]],TABLA_PRECIOS[#All],7)</f>
        <v>1</v>
      </c>
    </row>
    <row r="331" spans="1:4" ht="12" customHeight="1" x14ac:dyDescent="0.3">
      <c r="A331" s="4">
        <v>1693</v>
      </c>
      <c r="B331" s="6" t="str">
        <f>VLOOKUP(TABLA_PRECIOS_LISTBOX_VENTAS[Código],LISTADO_PRODUCTOS[#All],4)</f>
        <v>Block N°6 Luma Blanco</v>
      </c>
      <c r="C331" s="6" t="str">
        <f>VLOOKUP(TABLA_PRECIOS_LISTBOX_VENTAS[Código],LISTADO_PRODUCTOS[#All],5)</f>
        <v>N/A</v>
      </c>
      <c r="D331" s="28">
        <f>VLOOKUP(TABLA_PRECIOS_LISTBOX_VENTAS[[#This Row],[Código]],TABLA_PRECIOS[#All],7)</f>
        <v>1</v>
      </c>
    </row>
    <row r="332" spans="1:4" ht="12" customHeight="1" x14ac:dyDescent="0.3">
      <c r="A332" s="4">
        <v>1694</v>
      </c>
      <c r="B332" s="6" t="str">
        <f>VLOOKUP(TABLA_PRECIOS_LISTBOX_VENTAS[Código],LISTADO_PRODUCTOS[#All],4)</f>
        <v>Microfibra Maped Graph Peps Colores vivos x 4</v>
      </c>
      <c r="C332" s="6" t="str">
        <f>VLOOKUP(TABLA_PRECIOS_LISTBOX_VENTAS[Código],LISTADO_PRODUCTOS[#All],5)</f>
        <v>N/A</v>
      </c>
      <c r="D332" s="28">
        <f>VLOOKUP(TABLA_PRECIOS_LISTBOX_VENTAS[[#This Row],[Código]],TABLA_PRECIOS[#All],7)</f>
        <v>1</v>
      </c>
    </row>
    <row r="333" spans="1:4" ht="12" customHeight="1" x14ac:dyDescent="0.3">
      <c r="A333" s="4">
        <v>1698</v>
      </c>
      <c r="B333" s="6" t="str">
        <f>VLOOKUP(TABLA_PRECIOS_LISTBOX_VENTAS[Código],LISTADO_PRODUCTOS[#All],4)</f>
        <v>Lupa Maped ergo logic 75mm</v>
      </c>
      <c r="C333" s="6" t="str">
        <f>VLOOKUP(TABLA_PRECIOS_LISTBOX_VENTAS[Código],LISTADO_PRODUCTOS[#All],5)</f>
        <v>N/A</v>
      </c>
      <c r="D333" s="28">
        <f>VLOOKUP(TABLA_PRECIOS_LISTBOX_VENTAS[[#This Row],[Código]],TABLA_PRECIOS[#All],7)</f>
        <v>1</v>
      </c>
    </row>
    <row r="334" spans="1:4" ht="12" customHeight="1" x14ac:dyDescent="0.3">
      <c r="A334" s="4">
        <v>1701</v>
      </c>
      <c r="B334" s="6" t="str">
        <f>VLOOKUP(TABLA_PRECIOS_LISTBOX_VENTAS[Código],LISTADO_PRODUCTOS[#All],4)</f>
        <v>Canopla Mooving estilo Trend Pastel 1522210</v>
      </c>
      <c r="C334" s="6" t="str">
        <f>VLOOKUP(TABLA_PRECIOS_LISTBOX_VENTAS[Código],LISTADO_PRODUCTOS[#All],5)</f>
        <v>N/A</v>
      </c>
      <c r="D334" s="28">
        <f>VLOOKUP(TABLA_PRECIOS_LISTBOX_VENTAS[[#This Row],[Código]],TABLA_PRECIOS[#All],7)</f>
        <v>1</v>
      </c>
    </row>
    <row r="335" spans="1:4" ht="12" customHeight="1" x14ac:dyDescent="0.3">
      <c r="A335" s="4">
        <v>1709</v>
      </c>
      <c r="B335" s="6" t="str">
        <f>VLOOKUP(TABLA_PRECIOS_LISTBOX_VENTAS[Código],LISTADO_PRODUCTOS[#All],4)</f>
        <v>Folio Reforzado Borde color Luma N°3</v>
      </c>
      <c r="C335" s="6" t="str">
        <f>VLOOKUP(TABLA_PRECIOS_LISTBOX_VENTAS[Código],LISTADO_PRODUCTOS[#All],5)</f>
        <v>N/A</v>
      </c>
      <c r="D335" s="28">
        <f>VLOOKUP(TABLA_PRECIOS_LISTBOX_VENTAS[[#This Row],[Código]],TABLA_PRECIOS[#All],7)</f>
        <v>1</v>
      </c>
    </row>
    <row r="336" spans="1:4" ht="12" customHeight="1" x14ac:dyDescent="0.3">
      <c r="A336" s="4">
        <v>1713</v>
      </c>
      <c r="B336" s="6" t="str">
        <f>VLOOKUP(TABLA_PRECIOS_LISTBOX_VENTAS[Código],LISTADO_PRODUCTOS[#All],4)</f>
        <v>Carpeta para aros Ota Lama A4 Carpeta N°4</v>
      </c>
      <c r="C336" s="6" t="str">
        <f>VLOOKUP(TABLA_PRECIOS_LISTBOX_VENTAS[Código],LISTADO_PRODUCTOS[#All],5)</f>
        <v>N/A</v>
      </c>
      <c r="D336" s="28">
        <f>VLOOKUP(TABLA_PRECIOS_LISTBOX_VENTAS[[#This Row],[Código]],TABLA_PRECIOS[#All],7)</f>
        <v>1</v>
      </c>
    </row>
    <row r="337" spans="1:4" ht="12" customHeight="1" x14ac:dyDescent="0.3">
      <c r="A337" s="4">
        <v>1717</v>
      </c>
      <c r="B337" s="6" t="str">
        <f>VLOOKUP(TABLA_PRECIOS_LISTBOX_VENTAS[Código],LISTADO_PRODUCTOS[#All],4)</f>
        <v>Marcador doble punta Filgo Permanente 042</v>
      </c>
      <c r="C337" s="6" t="str">
        <f>VLOOKUP(TABLA_PRECIOS_LISTBOX_VENTAS[Código],LISTADO_PRODUCTOS[#All],5)</f>
        <v>N/A</v>
      </c>
      <c r="D337" s="28">
        <f>VLOOKUP(TABLA_PRECIOS_LISTBOX_VENTAS[[#This Row],[Código]],TABLA_PRECIOS[#All],7)</f>
        <v>1</v>
      </c>
    </row>
    <row r="338" spans="1:4" ht="12" customHeight="1" x14ac:dyDescent="0.3">
      <c r="A338" s="4">
        <v>1718</v>
      </c>
      <c r="B338" s="6" t="str">
        <f>VLOOKUP(TABLA_PRECIOS_LISTBOX_VENTAS[Código],LISTADO_PRODUCTOS[#All],4)</f>
        <v>Cuaderno Tapa dura A4 AB7 Laprida 21x27 60h</v>
      </c>
      <c r="C338" s="6" t="str">
        <f>VLOOKUP(TABLA_PRECIOS_LISTBOX_VENTAS[Código],LISTADO_PRODUCTOS[#All],5)</f>
        <v>N/A</v>
      </c>
      <c r="D338" s="28">
        <f>VLOOKUP(TABLA_PRECIOS_LISTBOX_VENTAS[[#This Row],[Código]],TABLA_PRECIOS[#All],7)</f>
        <v>1</v>
      </c>
    </row>
    <row r="339" spans="1:4" ht="12" customHeight="1" x14ac:dyDescent="0.3">
      <c r="A339" s="4">
        <v>1719</v>
      </c>
      <c r="B339" s="6" t="str">
        <f>VLOOKUP(TABLA_PRECIOS_LISTBOX_VENTAS[Código],LISTADO_PRODUCTOS[#All],4)</f>
        <v>Roller Mooving tinta Gel Silky Glitter x5</v>
      </c>
      <c r="C339" s="6" t="str">
        <f>VLOOKUP(TABLA_PRECIOS_LISTBOX_VENTAS[Código],LISTADO_PRODUCTOS[#All],5)</f>
        <v>N/A</v>
      </c>
      <c r="D339" s="28">
        <f>VLOOKUP(TABLA_PRECIOS_LISTBOX_VENTAS[[#This Row],[Código]],TABLA_PRECIOS[#All],7)</f>
        <v>1</v>
      </c>
    </row>
    <row r="340" spans="1:4" ht="12" customHeight="1" x14ac:dyDescent="0.3">
      <c r="A340" s="4">
        <v>1720</v>
      </c>
      <c r="B340" s="6" t="str">
        <f>VLOOKUP(TABLA_PRECIOS_LISTBOX_VENTAS[Código],LISTADO_PRODUCTOS[#All],4)</f>
        <v>Boligrafo Gel Glitter Simball x 5u</v>
      </c>
      <c r="C340" s="6" t="str">
        <f>VLOOKUP(TABLA_PRECIOS_LISTBOX_VENTAS[Código],LISTADO_PRODUCTOS[#All],5)</f>
        <v>N/A</v>
      </c>
      <c r="D340" s="28">
        <f>VLOOKUP(TABLA_PRECIOS_LISTBOX_VENTAS[[#This Row],[Código]],TABLA_PRECIOS[#All],7)</f>
        <v>1</v>
      </c>
    </row>
    <row r="341" spans="1:4" ht="12" customHeight="1" x14ac:dyDescent="0.3">
      <c r="A341" s="4">
        <v>1721</v>
      </c>
      <c r="B341" s="6" t="str">
        <f>VLOOKUP(TABLA_PRECIOS_LISTBOX_VENTAS[Código],LISTADO_PRODUCTOS[#All],4)</f>
        <v>Señaladore Deli Index Tab 100x4</v>
      </c>
      <c r="C341" s="6" t="str">
        <f>VLOOKUP(TABLA_PRECIOS_LISTBOX_VENTAS[Código],LISTADO_PRODUCTOS[#All],5)</f>
        <v>N/A</v>
      </c>
      <c r="D341" s="28">
        <f>VLOOKUP(TABLA_PRECIOS_LISTBOX_VENTAS[[#This Row],[Código]],TABLA_PRECIOS[#All],7)</f>
        <v>1</v>
      </c>
    </row>
    <row r="342" spans="1:4" ht="12" customHeight="1" x14ac:dyDescent="0.3">
      <c r="A342" s="4">
        <v>1722</v>
      </c>
      <c r="B342" s="6" t="str">
        <f>VLOOKUP(TABLA_PRECIOS_LISTBOX_VENTAS[Código],LISTADO_PRODUCTOS[#All],4)</f>
        <v>Blister boligrafo Paper mate Ink Joy x8u</v>
      </c>
      <c r="C342" s="6" t="str">
        <f>VLOOKUP(TABLA_PRECIOS_LISTBOX_VENTAS[Código],LISTADO_PRODUCTOS[#All],5)</f>
        <v>N/A</v>
      </c>
      <c r="D342" s="28">
        <f>VLOOKUP(TABLA_PRECIOS_LISTBOX_VENTAS[[#This Row],[Código]],TABLA_PRECIOS[#All],7)</f>
        <v>1</v>
      </c>
    </row>
    <row r="343" spans="1:4" ht="12" customHeight="1" x14ac:dyDescent="0.3">
      <c r="A343" s="4">
        <v>1723</v>
      </c>
      <c r="B343" s="6" t="str">
        <f>VLOOKUP(TABLA_PRECIOS_LISTBOX_VENTAS[Código],LISTADO_PRODUCTOS[#All],4)</f>
        <v>Pizarra blanca 30x40 Marco metal</v>
      </c>
      <c r="C343" s="6" t="str">
        <f>VLOOKUP(TABLA_PRECIOS_LISTBOX_VENTAS[Código],LISTADO_PRODUCTOS[#All],5)</f>
        <v>N/A</v>
      </c>
      <c r="D343" s="28">
        <f>VLOOKUP(TABLA_PRECIOS_LISTBOX_VENTAS[[#This Row],[Código]],TABLA_PRECIOS[#All],7)</f>
        <v>1</v>
      </c>
    </row>
    <row r="344" spans="1:4" ht="12" customHeight="1" x14ac:dyDescent="0.3">
      <c r="A344" s="4">
        <v>2000</v>
      </c>
      <c r="B344" s="6" t="str">
        <f>VLOOKUP(TABLA_PRECIOS_LISTBOX_VENTAS[Código],LISTADO_PRODUCTOS[#All],4)</f>
        <v xml:space="preserve">Resma A4 Autor 75g </v>
      </c>
      <c r="C344" s="6" t="str">
        <f>VLOOKUP(TABLA_PRECIOS_LISTBOX_VENTAS[Código],LISTADO_PRODUCTOS[#All],5)</f>
        <v>N/A</v>
      </c>
      <c r="D344" s="28">
        <f>VLOOKUP(TABLA_PRECIOS_LISTBOX_VENTAS[[#This Row],[Código]],TABLA_PRECIOS[#All],7)</f>
        <v>1</v>
      </c>
    </row>
    <row r="345" spans="1:4" ht="12" customHeight="1" x14ac:dyDescent="0.3">
      <c r="A345" s="4">
        <v>2001</v>
      </c>
      <c r="B345" s="6" t="str">
        <f>VLOOKUP(TABLA_PRECIOS_LISTBOX_VENTAS[Código],LISTADO_PRODUCTOS[#All],4)</f>
        <v>Resma A4 Autor 80g</v>
      </c>
      <c r="C345" s="6" t="str">
        <f>VLOOKUP(TABLA_PRECIOS_LISTBOX_VENTAS[Código],LISTADO_PRODUCTOS[#All],5)</f>
        <v>N/A</v>
      </c>
      <c r="D345" s="28">
        <f>VLOOKUP(TABLA_PRECIOS_LISTBOX_VENTAS[[#This Row],[Código]],TABLA_PRECIOS[#All],7)</f>
        <v>1</v>
      </c>
    </row>
    <row r="346" spans="1:4" ht="12" customHeight="1" x14ac:dyDescent="0.3">
      <c r="A346" s="4">
        <v>2002</v>
      </c>
      <c r="B346" s="6" t="str">
        <f>VLOOKUP(TABLA_PRECIOS_LISTBOX_VENTAS[Código],LISTADO_PRODUCTOS[#All],4)</f>
        <v>Resma A4 Autor 90g</v>
      </c>
      <c r="C346" s="6" t="str">
        <f>VLOOKUP(TABLA_PRECIOS_LISTBOX_VENTAS[Código],LISTADO_PRODUCTOS[#All],5)</f>
        <v>N/A</v>
      </c>
      <c r="D346" s="28">
        <f>VLOOKUP(TABLA_PRECIOS_LISTBOX_VENTAS[[#This Row],[Código]],TABLA_PRECIOS[#All],7)</f>
        <v>1</v>
      </c>
    </row>
    <row r="347" spans="1:4" ht="12" customHeight="1" x14ac:dyDescent="0.3">
      <c r="A347" s="4">
        <v>2003</v>
      </c>
      <c r="B347" s="6" t="str">
        <f>VLOOKUP(TABLA_PRECIOS_LISTBOX_VENTAS[Código],LISTADO_PRODUCTOS[#All],4)</f>
        <v>Resma Oficio Autor 75g</v>
      </c>
      <c r="C347" s="6" t="str">
        <f>VLOOKUP(TABLA_PRECIOS_LISTBOX_VENTAS[Código],LISTADO_PRODUCTOS[#All],5)</f>
        <v>N/A</v>
      </c>
      <c r="D347" s="28">
        <f>VLOOKUP(TABLA_PRECIOS_LISTBOX_VENTAS[[#This Row],[Código]],TABLA_PRECIOS[#All],7)</f>
        <v>1</v>
      </c>
    </row>
    <row r="348" spans="1:4" ht="12" customHeight="1" x14ac:dyDescent="0.3">
      <c r="A348" s="4">
        <v>2004</v>
      </c>
      <c r="B348" s="6" t="str">
        <f>VLOOKUP(TABLA_PRECIOS_LISTBOX_VENTAS[Código],LISTADO_PRODUCTOS[#All],4)</f>
        <v>Resma Oficio Autor 80g</v>
      </c>
      <c r="C348" s="6" t="str">
        <f>VLOOKUP(TABLA_PRECIOS_LISTBOX_VENTAS[Código],LISTADO_PRODUCTOS[#All],5)</f>
        <v>N/A</v>
      </c>
      <c r="D348" s="28">
        <f>VLOOKUP(TABLA_PRECIOS_LISTBOX_VENTAS[[#This Row],[Código]],TABLA_PRECIOS[#All],7)</f>
        <v>1</v>
      </c>
    </row>
    <row r="349" spans="1:4" ht="12" customHeight="1" x14ac:dyDescent="0.3">
      <c r="A349" s="4">
        <v>2005</v>
      </c>
      <c r="B349" s="6" t="str">
        <f>VLOOKUP(TABLA_PRECIOS_LISTBOX_VENTAS[Código],LISTADO_PRODUCTOS[#All],4)</f>
        <v>Resma A4 Chamex 75gr</v>
      </c>
      <c r="C349" s="6" t="str">
        <f>VLOOKUP(TABLA_PRECIOS_LISTBOX_VENTAS[Código],LISTADO_PRODUCTOS[#All],5)</f>
        <v>N/A</v>
      </c>
      <c r="D349" s="28">
        <f>VLOOKUP(TABLA_PRECIOS_LISTBOX_VENTAS[[#This Row],[Código]],TABLA_PRECIOS[#All],7)</f>
        <v>1</v>
      </c>
    </row>
    <row r="350" spans="1:4" ht="12" customHeight="1" x14ac:dyDescent="0.3">
      <c r="A350" s="4">
        <v>2006</v>
      </c>
      <c r="B350" s="6" t="str">
        <f>VLOOKUP(TABLA_PRECIOS_LISTBOX_VENTAS[Código],LISTADO_PRODUCTOS[#All],4)</f>
        <v>Resma Ledesma NAT A4</v>
      </c>
      <c r="C350" s="6" t="str">
        <f>VLOOKUP(TABLA_PRECIOS_LISTBOX_VENTAS[Código],LISTADO_PRODUCTOS[#All],5)</f>
        <v>N/A</v>
      </c>
      <c r="D350" s="28">
        <f>VLOOKUP(TABLA_PRECIOS_LISTBOX_VENTAS[[#This Row],[Código]],TABLA_PRECIOS[#All],7)</f>
        <v>1</v>
      </c>
    </row>
    <row r="351" spans="1:4" ht="12" customHeight="1" x14ac:dyDescent="0.3">
      <c r="A351" s="4">
        <v>2007</v>
      </c>
      <c r="B351" s="6" t="str">
        <f>VLOOKUP(TABLA_PRECIOS_LISTBOX_VENTAS[Código],LISTADO_PRODUCTOS[#All],4)</f>
        <v>Resma A4 color autor  x 250h</v>
      </c>
      <c r="C351" s="6" t="str">
        <f>VLOOKUP(TABLA_PRECIOS_LISTBOX_VENTAS[Código],LISTADO_PRODUCTOS[#All],5)</f>
        <v>N/A</v>
      </c>
      <c r="D351" s="28">
        <f>VLOOKUP(TABLA_PRECIOS_LISTBOX_VENTAS[[#This Row],[Código]],TABLA_PRECIOS[#All],7)</f>
        <v>1</v>
      </c>
    </row>
    <row r="352" spans="1:4" ht="12" customHeight="1" x14ac:dyDescent="0.3">
      <c r="A352" s="4">
        <v>2008</v>
      </c>
      <c r="B352" s="6" t="str">
        <f>VLOOKUP(TABLA_PRECIOS_LISTBOX_VENTAS[Código],LISTADO_PRODUCTOS[#All],4)</f>
        <v>Resma Oficio Autor Color</v>
      </c>
      <c r="C352" s="6" t="str">
        <f>VLOOKUP(TABLA_PRECIOS_LISTBOX_VENTAS[Código],LISTADO_PRODUCTOS[#All],5)</f>
        <v>N/A</v>
      </c>
      <c r="D352" s="28">
        <f>VLOOKUP(TABLA_PRECIOS_LISTBOX_VENTAS[[#This Row],[Código]],TABLA_PRECIOS[#All],7)</f>
        <v>1</v>
      </c>
    </row>
    <row r="353" spans="1:4" ht="12" customHeight="1" x14ac:dyDescent="0.3">
      <c r="A353" s="4">
        <v>2010</v>
      </c>
      <c r="B353" s="6" t="str">
        <f>VLOOKUP(TABLA_PRECIOS_LISTBOX_VENTAS[Código],LISTADO_PRODUCTOS[#All],4)</f>
        <v>Resma A4 Husares Fluo colores surtido x 20h</v>
      </c>
      <c r="C353" s="6" t="str">
        <f>VLOOKUP(TABLA_PRECIOS_LISTBOX_VENTAS[Código],LISTADO_PRODUCTOS[#All],5)</f>
        <v>N/A</v>
      </c>
      <c r="D353" s="28">
        <f>VLOOKUP(TABLA_PRECIOS_LISTBOX_VENTAS[[#This Row],[Código]],TABLA_PRECIOS[#All],7)</f>
        <v>1</v>
      </c>
    </row>
    <row r="354" spans="1:4" ht="12" customHeight="1" x14ac:dyDescent="0.3">
      <c r="A354" s="4">
        <v>2011</v>
      </c>
      <c r="B354" s="6" t="str">
        <f>VLOOKUP(TABLA_PRECIOS_LISTBOX_VENTAS[Código],LISTADO_PRODUCTOS[#All],4)</f>
        <v>Palitos Brochet cortos 15cm</v>
      </c>
      <c r="C354" s="6" t="str">
        <f>VLOOKUP(TABLA_PRECIOS_LISTBOX_VENTAS[Código],LISTADO_PRODUCTOS[#All],5)</f>
        <v>N/A</v>
      </c>
      <c r="D354" s="28">
        <f>VLOOKUP(TABLA_PRECIOS_LISTBOX_VENTAS[[#This Row],[Código]],TABLA_PRECIOS[#All],7)</f>
        <v>1</v>
      </c>
    </row>
    <row r="355" spans="1:4" ht="12" customHeight="1" x14ac:dyDescent="0.3">
      <c r="A355" s="4">
        <v>2012</v>
      </c>
      <c r="B355" s="6" t="str">
        <f>VLOOKUP(TABLA_PRECIOS_LISTBOX_VENTAS[Código],LISTADO_PRODUCTOS[#All],4)</f>
        <v>Palito de brochet largo 25cm</v>
      </c>
      <c r="C355" s="6" t="str">
        <f>VLOOKUP(TABLA_PRECIOS_LISTBOX_VENTAS[Código],LISTADO_PRODUCTOS[#All],5)</f>
        <v>N/A</v>
      </c>
      <c r="D355" s="28">
        <f>VLOOKUP(TABLA_PRECIOS_LISTBOX_VENTAS[[#This Row],[Código]],TABLA_PRECIOS[#All],7)</f>
        <v>1</v>
      </c>
    </row>
    <row r="356" spans="1:4" ht="12" customHeight="1" x14ac:dyDescent="0.3">
      <c r="A356" s="4">
        <v>2013</v>
      </c>
      <c r="B356" s="6" t="str">
        <f>VLOOKUP(TABLA_PRECIOS_LISTBOX_VENTAS[Código],LISTADO_PRODUCTOS[#All],4)</f>
        <v>Plastificado en Frio BinderPlus 200gr</v>
      </c>
      <c r="C356" s="6" t="str">
        <f>VLOOKUP(TABLA_PRECIOS_LISTBOX_VENTAS[Código],LISTADO_PRODUCTOS[#All],5)</f>
        <v>N/A</v>
      </c>
      <c r="D356" s="28">
        <f>VLOOKUP(TABLA_PRECIOS_LISTBOX_VENTAS[[#This Row],[Código]],TABLA_PRECIOS[#All],7)</f>
        <v>1</v>
      </c>
    </row>
    <row r="357" spans="1:4" ht="12" customHeight="1" x14ac:dyDescent="0.3">
      <c r="A357" s="4">
        <v>2014</v>
      </c>
      <c r="B357" s="6" t="str">
        <f>VLOOKUP(TABLA_PRECIOS_LISTBOX_VENTAS[Código],LISTADO_PRODUCTOS[#All],4)</f>
        <v xml:space="preserve">Plastificado en Frio LAMA </v>
      </c>
      <c r="C357" s="6" t="str">
        <f>VLOOKUP(TABLA_PRECIOS_LISTBOX_VENTAS[Código],LISTADO_PRODUCTOS[#All],5)</f>
        <v>N/A</v>
      </c>
      <c r="D357" s="28">
        <f>VLOOKUP(TABLA_PRECIOS_LISTBOX_VENTAS[[#This Row],[Código]],TABLA_PRECIOS[#All],7)</f>
        <v>1</v>
      </c>
    </row>
    <row r="358" spans="1:4" ht="12" customHeight="1" x14ac:dyDescent="0.3">
      <c r="A358" s="4">
        <v>2018</v>
      </c>
      <c r="B358" s="6" t="str">
        <f>VLOOKUP(TABLA_PRECIOS_LISTBOX_VENTAS[Código],LISTADO_PRODUCTOS[#All],4)</f>
        <v>Resma Chamex A4 x 500h color</v>
      </c>
      <c r="C358" s="6" t="str">
        <f>VLOOKUP(TABLA_PRECIOS_LISTBOX_VENTAS[Código],LISTADO_PRODUCTOS[#All],5)</f>
        <v>N/A</v>
      </c>
      <c r="D358" s="28">
        <f>VLOOKUP(TABLA_PRECIOS_LISTBOX_VENTAS[[#This Row],[Código]],TABLA_PRECIOS[#All],7)</f>
        <v>1</v>
      </c>
    </row>
    <row r="359" spans="1:4" ht="12" customHeight="1" x14ac:dyDescent="0.3">
      <c r="A359" s="4">
        <v>2019</v>
      </c>
      <c r="B359" s="6" t="str">
        <f>VLOOKUP(TABLA_PRECIOS_LISTBOX_VENTAS[Código],LISTADO_PRODUCTOS[#All],4)</f>
        <v>Papel celofan</v>
      </c>
      <c r="C359" s="6" t="str">
        <f>VLOOKUP(TABLA_PRECIOS_LISTBOX_VENTAS[Código],LISTADO_PRODUCTOS[#All],5)</f>
        <v>N/A</v>
      </c>
      <c r="D359" s="28">
        <f>VLOOKUP(TABLA_PRECIOS_LISTBOX_VENTAS[[#This Row],[Código]],TABLA_PRECIOS[#All],7)</f>
        <v>1</v>
      </c>
    </row>
    <row r="360" spans="1:4" ht="12" customHeight="1" x14ac:dyDescent="0.3">
      <c r="A360" s="4">
        <v>2020</v>
      </c>
      <c r="B360" s="6" t="str">
        <f>VLOOKUP(TABLA_PRECIOS_LISTBOX_VENTAS[Código],LISTADO_PRODUCTOS[#All],4)</f>
        <v>Resma A3 150gr x240h Husares $60 c/u o 4 x $200</v>
      </c>
      <c r="C360" s="6" t="str">
        <f>VLOOKUP(TABLA_PRECIOS_LISTBOX_VENTAS[Código],LISTADO_PRODUCTOS[#All],5)</f>
        <v>N/A</v>
      </c>
      <c r="D360" s="28">
        <f>VLOOKUP(TABLA_PRECIOS_LISTBOX_VENTAS[[#This Row],[Código]],TABLA_PRECIOS[#All],7)</f>
        <v>1</v>
      </c>
    </row>
    <row r="361" spans="1:4" ht="12" customHeight="1" x14ac:dyDescent="0.3">
      <c r="A361" s="4">
        <v>2024</v>
      </c>
      <c r="B361" s="6" t="str">
        <f>VLOOKUP(TABLA_PRECIOS_LISTBOX_VENTAS[Código],LISTADO_PRODUCTOS[#All],4)</f>
        <v xml:space="preserve">Brillantina x5u Fluo </v>
      </c>
      <c r="C361" s="6" t="str">
        <f>VLOOKUP(TABLA_PRECIOS_LISTBOX_VENTAS[Código],LISTADO_PRODUCTOS[#All],5)</f>
        <v>N/A</v>
      </c>
      <c r="D361" s="28">
        <f>VLOOKUP(TABLA_PRECIOS_LISTBOX_VENTAS[[#This Row],[Código]],TABLA_PRECIOS[#All],7)</f>
        <v>1</v>
      </c>
    </row>
    <row r="362" spans="1:4" ht="12" customHeight="1" x14ac:dyDescent="0.3">
      <c r="A362" s="4">
        <v>2025</v>
      </c>
      <c r="B362" s="6" t="str">
        <f>VLOOKUP(TABLA_PRECIOS_LISTBOX_VENTAS[Código],LISTADO_PRODUCTOS[#All],4)</f>
        <v>Brillantina x 5u</v>
      </c>
      <c r="C362" s="6" t="str">
        <f>VLOOKUP(TABLA_PRECIOS_LISTBOX_VENTAS[Código],LISTADO_PRODUCTOS[#All],5)</f>
        <v>N/A</v>
      </c>
      <c r="D362" s="28">
        <f>VLOOKUP(TABLA_PRECIOS_LISTBOX_VENTAS[[#This Row],[Código]],TABLA_PRECIOS[#All],7)</f>
        <v>1</v>
      </c>
    </row>
    <row r="363" spans="1:4" ht="12" customHeight="1" x14ac:dyDescent="0.3">
      <c r="A363" s="4">
        <v>2026</v>
      </c>
      <c r="B363" s="6" t="str">
        <f>VLOOKUP(TABLA_PRECIOS_LISTBOX_VENTAS[Código],LISTADO_PRODUCTOS[#All],4)</f>
        <v xml:space="preserve">Papel madera </v>
      </c>
      <c r="C363" s="6" t="str">
        <f>VLOOKUP(TABLA_PRECIOS_LISTBOX_VENTAS[Código],LISTADO_PRODUCTOS[#All],5)</f>
        <v>N/A</v>
      </c>
      <c r="D363" s="28">
        <f>VLOOKUP(TABLA_PRECIOS_LISTBOX_VENTAS[[#This Row],[Código]],TABLA_PRECIOS[#All],7)</f>
        <v>1</v>
      </c>
    </row>
    <row r="364" spans="1:4" ht="12" customHeight="1" x14ac:dyDescent="0.3">
      <c r="A364" s="4">
        <v>2027</v>
      </c>
      <c r="B364" s="6" t="str">
        <f>VLOOKUP(TABLA_PRECIOS_LISTBOX_VENTAS[Código],LISTADO_PRODUCTOS[#All],4)</f>
        <v xml:space="preserve">Cartulina Comun </v>
      </c>
      <c r="C364" s="6" t="str">
        <f>VLOOKUP(TABLA_PRECIOS_LISTBOX_VENTAS[Código],LISTADO_PRODUCTOS[#All],5)</f>
        <v>N/A</v>
      </c>
      <c r="D364" s="28">
        <f>VLOOKUP(TABLA_PRECIOS_LISTBOX_VENTAS[[#This Row],[Código]],TABLA_PRECIOS[#All],7)</f>
        <v>1</v>
      </c>
    </row>
    <row r="365" spans="1:4" ht="12" customHeight="1" x14ac:dyDescent="0.3">
      <c r="A365" s="4">
        <v>2028</v>
      </c>
      <c r="B365" s="6" t="str">
        <f>VLOOKUP(TABLA_PRECIOS_LISTBOX_VENTAS[Código],LISTADO_PRODUCTOS[#All],4)</f>
        <v xml:space="preserve">Cartulina Fluo </v>
      </c>
      <c r="C365" s="6" t="str">
        <f>VLOOKUP(TABLA_PRECIOS_LISTBOX_VENTAS[Código],LISTADO_PRODUCTOS[#All],5)</f>
        <v>N/A</v>
      </c>
      <c r="D365" s="28">
        <f>VLOOKUP(TABLA_PRECIOS_LISTBOX_VENTAS[[#This Row],[Código]],TABLA_PRECIOS[#All],7)</f>
        <v>1</v>
      </c>
    </row>
    <row r="366" spans="1:4" ht="12" customHeight="1" x14ac:dyDescent="0.3">
      <c r="A366" s="4">
        <v>2029</v>
      </c>
      <c r="B366" s="6" t="str">
        <f>VLOOKUP(TABLA_PRECIOS_LISTBOX_VENTAS[Código],LISTADO_PRODUCTOS[#All],4)</f>
        <v>Cartulina Metalizada</v>
      </c>
      <c r="C366" s="6" t="str">
        <f>VLOOKUP(TABLA_PRECIOS_LISTBOX_VENTAS[Código],LISTADO_PRODUCTOS[#All],5)</f>
        <v>N/A</v>
      </c>
      <c r="D366" s="28">
        <f>VLOOKUP(TABLA_PRECIOS_LISTBOX_VENTAS[[#This Row],[Código]],TABLA_PRECIOS[#All],7)</f>
        <v>1</v>
      </c>
    </row>
    <row r="367" spans="1:4" ht="12" customHeight="1" x14ac:dyDescent="0.3">
      <c r="A367" s="4">
        <v>2030</v>
      </c>
      <c r="B367" s="6" t="str">
        <f>VLOOKUP(TABLA_PRECIOS_LISTBOX_VENTAS[Código],LISTADO_PRODUCTOS[#All],4)</f>
        <v xml:space="preserve">Cartulina con Motivos </v>
      </c>
      <c r="C367" s="6" t="str">
        <f>VLOOKUP(TABLA_PRECIOS_LISTBOX_VENTAS[Código],LISTADO_PRODUCTOS[#All],5)</f>
        <v>N/A</v>
      </c>
      <c r="D367" s="28">
        <f>VLOOKUP(TABLA_PRECIOS_LISTBOX_VENTAS[[#This Row],[Código]],TABLA_PRECIOS[#All],7)</f>
        <v>1</v>
      </c>
    </row>
    <row r="368" spans="1:4" ht="12" customHeight="1" x14ac:dyDescent="0.3">
      <c r="A368" s="4">
        <v>2031</v>
      </c>
      <c r="B368" s="6" t="str">
        <f>VLOOKUP(TABLA_PRECIOS_LISTBOX_VENTAS[Código],LISTADO_PRODUCTOS[#All],4)</f>
        <v>Cartulina Entretenida</v>
      </c>
      <c r="C368" s="6" t="str">
        <f>VLOOKUP(TABLA_PRECIOS_LISTBOX_VENTAS[Código],LISTADO_PRODUCTOS[#All],5)</f>
        <v>N/A</v>
      </c>
      <c r="D368" s="28">
        <f>VLOOKUP(TABLA_PRECIOS_LISTBOX_VENTAS[[#This Row],[Código]],TABLA_PRECIOS[#All],7)</f>
        <v>1</v>
      </c>
    </row>
    <row r="369" spans="1:4" ht="12" customHeight="1" x14ac:dyDescent="0.3">
      <c r="A369" s="4">
        <v>2032</v>
      </c>
      <c r="B369" s="6" t="str">
        <f>VLOOKUP(TABLA_PRECIOS_LISTBOX_VENTAS[Código],LISTADO_PRODUCTOS[#All],4)</f>
        <v>Afiche</v>
      </c>
      <c r="C369" s="6" t="str">
        <f>VLOOKUP(TABLA_PRECIOS_LISTBOX_VENTAS[Código],LISTADO_PRODUCTOS[#All],5)</f>
        <v>N/A</v>
      </c>
      <c r="D369" s="28">
        <f>VLOOKUP(TABLA_PRECIOS_LISTBOX_VENTAS[[#This Row],[Código]],TABLA_PRECIOS[#All],7)</f>
        <v>1</v>
      </c>
    </row>
    <row r="370" spans="1:4" ht="12" customHeight="1" x14ac:dyDescent="0.3">
      <c r="A370" s="4">
        <v>2033</v>
      </c>
      <c r="B370" s="6" t="str">
        <f>VLOOKUP(TABLA_PRECIOS_LISTBOX_VENTAS[Código],LISTADO_PRODUCTOS[#All],4)</f>
        <v>Papel Crepe Comun</v>
      </c>
      <c r="C370" s="6" t="str">
        <f>VLOOKUP(TABLA_PRECIOS_LISTBOX_VENTAS[Código],LISTADO_PRODUCTOS[#All],5)</f>
        <v>N/A</v>
      </c>
      <c r="D370" s="28">
        <f>VLOOKUP(TABLA_PRECIOS_LISTBOX_VENTAS[[#This Row],[Código]],TABLA_PRECIOS[#All],7)</f>
        <v>1</v>
      </c>
    </row>
    <row r="371" spans="1:4" ht="12" customHeight="1" x14ac:dyDescent="0.3">
      <c r="A371" s="4">
        <v>2034</v>
      </c>
      <c r="B371" s="6" t="str">
        <f>VLOOKUP(TABLA_PRECIOS_LISTBOX_VENTAS[Código],LISTADO_PRODUCTOS[#All],4)</f>
        <v>Papel Crepe Perlado</v>
      </c>
      <c r="C371" s="6" t="str">
        <f>VLOOKUP(TABLA_PRECIOS_LISTBOX_VENTAS[Código],LISTADO_PRODUCTOS[#All],5)</f>
        <v>N/A</v>
      </c>
      <c r="D371" s="28">
        <f>VLOOKUP(TABLA_PRECIOS_LISTBOX_VENTAS[[#This Row],[Código]],TABLA_PRECIOS[#All],7)</f>
        <v>1</v>
      </c>
    </row>
    <row r="372" spans="1:4" ht="12" customHeight="1" x14ac:dyDescent="0.3">
      <c r="A372" s="4">
        <v>2035</v>
      </c>
      <c r="B372" s="6" t="str">
        <f>VLOOKUP(TABLA_PRECIOS_LISTBOX_VENTAS[Código],LISTADO_PRODUCTOS[#All],4)</f>
        <v>Papel Crepe Fluo</v>
      </c>
      <c r="C372" s="6" t="str">
        <f>VLOOKUP(TABLA_PRECIOS_LISTBOX_VENTAS[Código],LISTADO_PRODUCTOS[#All],5)</f>
        <v>N/A</v>
      </c>
      <c r="D372" s="28">
        <f>VLOOKUP(TABLA_PRECIOS_LISTBOX_VENTAS[[#This Row],[Código]],TABLA_PRECIOS[#All],7)</f>
        <v>1</v>
      </c>
    </row>
    <row r="373" spans="1:4" ht="12" customHeight="1" x14ac:dyDescent="0.3">
      <c r="A373" s="4">
        <v>2036</v>
      </c>
      <c r="B373" s="6" t="str">
        <f>VLOOKUP(TABLA_PRECIOS_LISTBOX_VENTAS[Código],LISTADO_PRODUCTOS[#All],4)</f>
        <v>Papel Crepe c/Motivos</v>
      </c>
      <c r="C373" s="6" t="str">
        <f>VLOOKUP(TABLA_PRECIOS_LISTBOX_VENTAS[Código],LISTADO_PRODUCTOS[#All],5)</f>
        <v>N/A</v>
      </c>
      <c r="D373" s="28">
        <f>VLOOKUP(TABLA_PRECIOS_LISTBOX_VENTAS[[#This Row],[Código]],TABLA_PRECIOS[#All],7)</f>
        <v>1</v>
      </c>
    </row>
    <row r="374" spans="1:4" ht="12" customHeight="1" x14ac:dyDescent="0.3">
      <c r="A374" s="4">
        <v>2037</v>
      </c>
      <c r="B374" s="6" t="str">
        <f>VLOOKUP(TABLA_PRECIOS_LISTBOX_VENTAS[Código],LISTADO_PRODUCTOS[#All],4)</f>
        <v>Papel Crepe Bandera Argentina</v>
      </c>
      <c r="C374" s="6" t="str">
        <f>VLOOKUP(TABLA_PRECIOS_LISTBOX_VENTAS[Código],LISTADO_PRODUCTOS[#All],5)</f>
        <v>N/A</v>
      </c>
      <c r="D374" s="28">
        <f>VLOOKUP(TABLA_PRECIOS_LISTBOX_VENTAS[[#This Row],[Código]],TABLA_PRECIOS[#All],7)</f>
        <v>1</v>
      </c>
    </row>
    <row r="375" spans="1:4" ht="12" customHeight="1" x14ac:dyDescent="0.3">
      <c r="A375" s="4">
        <v>2038</v>
      </c>
      <c r="B375" s="6" t="str">
        <f>VLOOKUP(TABLA_PRECIOS_LISTBOX_VENTAS[Código],LISTADO_PRODUCTOS[#All],4)</f>
        <v>Papel de Forrar Muresco</v>
      </c>
      <c r="C375" s="6" t="str">
        <f>VLOOKUP(TABLA_PRECIOS_LISTBOX_VENTAS[Código],LISTADO_PRODUCTOS[#All],5)</f>
        <v>N/A</v>
      </c>
      <c r="D375" s="28">
        <f>VLOOKUP(TABLA_PRECIOS_LISTBOX_VENTAS[[#This Row],[Código]],TABLA_PRECIOS[#All],7)</f>
        <v>1</v>
      </c>
    </row>
    <row r="376" spans="1:4" ht="12" customHeight="1" x14ac:dyDescent="0.3">
      <c r="A376" s="4">
        <v>2039</v>
      </c>
      <c r="B376" s="6" t="str">
        <f>VLOOKUP(TABLA_PRECIOS_LISTBOX_VENTAS[Código],LISTADO_PRODUCTOS[#All],4)</f>
        <v>Papel de Forrar Comun</v>
      </c>
      <c r="C376" s="6" t="str">
        <f>VLOOKUP(TABLA_PRECIOS_LISTBOX_VENTAS[Código],LISTADO_PRODUCTOS[#All],5)</f>
        <v>N/A</v>
      </c>
      <c r="D376" s="28">
        <f>VLOOKUP(TABLA_PRECIOS_LISTBOX_VENTAS[[#This Row],[Código]],TABLA_PRECIOS[#All],7)</f>
        <v>1</v>
      </c>
    </row>
    <row r="377" spans="1:4" ht="12" customHeight="1" x14ac:dyDescent="0.3">
      <c r="A377" s="4">
        <v>2040</v>
      </c>
      <c r="B377" s="6" t="str">
        <f>VLOOKUP(TABLA_PRECIOS_LISTBOX_VENTAS[Código],LISTADO_PRODUCTOS[#All],4)</f>
        <v>Marcador UNI ORO P. MEDIANA</v>
      </c>
      <c r="C377" s="6" t="str">
        <f>VLOOKUP(TABLA_PRECIOS_LISTBOX_VENTAS[Código],LISTADO_PRODUCTOS[#All],5)</f>
        <v>N/A</v>
      </c>
      <c r="D377" s="28">
        <f>VLOOKUP(TABLA_PRECIOS_LISTBOX_VENTAS[[#This Row],[Código]],TABLA_PRECIOS[#All],7)</f>
        <v>1</v>
      </c>
    </row>
    <row r="378" spans="1:4" ht="12" customHeight="1" x14ac:dyDescent="0.3">
      <c r="A378" s="4">
        <v>2041</v>
      </c>
      <c r="B378" s="6" t="str">
        <f>VLOOKUP(TABLA_PRECIOS_LISTBOX_VENTAS[Código],LISTADO_PRODUCTOS[#All],4)</f>
        <v>Pinceleta Nª1</v>
      </c>
      <c r="C378" s="6" t="str">
        <f>VLOOKUP(TABLA_PRECIOS_LISTBOX_VENTAS[Código],LISTADO_PRODUCTOS[#All],5)</f>
        <v>N/A</v>
      </c>
      <c r="D378" s="28">
        <f>VLOOKUP(TABLA_PRECIOS_LISTBOX_VENTAS[[#This Row],[Código]],TABLA_PRECIOS[#All],7)</f>
        <v>1</v>
      </c>
    </row>
    <row r="379" spans="1:4" ht="12" customHeight="1" x14ac:dyDescent="0.3">
      <c r="A379" s="4">
        <v>2042</v>
      </c>
      <c r="B379" s="6" t="str">
        <f>VLOOKUP(TABLA_PRECIOS_LISTBOX_VENTAS[Código],LISTADO_PRODUCTOS[#All],4)</f>
        <v>Pinceleta Nª2</v>
      </c>
      <c r="C379" s="6" t="str">
        <f>VLOOKUP(TABLA_PRECIOS_LISTBOX_VENTAS[Código],LISTADO_PRODUCTOS[#All],5)</f>
        <v>N/A</v>
      </c>
      <c r="D379" s="28">
        <f>VLOOKUP(TABLA_PRECIOS_LISTBOX_VENTAS[[#This Row],[Código]],TABLA_PRECIOS[#All],7)</f>
        <v>1</v>
      </c>
    </row>
    <row r="380" spans="1:4" ht="12" customHeight="1" x14ac:dyDescent="0.3">
      <c r="A380" s="4">
        <v>2043</v>
      </c>
      <c r="B380" s="6" t="str">
        <f>VLOOKUP(TABLA_PRECIOS_LISTBOX_VENTAS[Código],LISTADO_PRODUCTOS[#All],4)</f>
        <v>Pinceleta Nª3</v>
      </c>
      <c r="C380" s="6" t="str">
        <f>VLOOKUP(TABLA_PRECIOS_LISTBOX_VENTAS[Código],LISTADO_PRODUCTOS[#All],5)</f>
        <v>N/A</v>
      </c>
      <c r="D380" s="28">
        <f>VLOOKUP(TABLA_PRECIOS_LISTBOX_VENTAS[[#This Row],[Código]],TABLA_PRECIOS[#All],7)</f>
        <v>1</v>
      </c>
    </row>
    <row r="381" spans="1:4" ht="12" customHeight="1" x14ac:dyDescent="0.3">
      <c r="A381" s="4">
        <v>2044</v>
      </c>
      <c r="B381" s="6" t="str">
        <f>VLOOKUP(TABLA_PRECIOS_LISTBOX_VENTAS[Código],LISTADO_PRODUCTOS[#All],4)</f>
        <v>Pinceleta Nª4</v>
      </c>
      <c r="C381" s="6" t="str">
        <f>VLOOKUP(TABLA_PRECIOS_LISTBOX_VENTAS[Código],LISTADO_PRODUCTOS[#All],5)</f>
        <v>N/A</v>
      </c>
      <c r="D381" s="28">
        <f>VLOOKUP(TABLA_PRECIOS_LISTBOX_VENTAS[[#This Row],[Código]],TABLA_PRECIOS[#All],7)</f>
        <v>1</v>
      </c>
    </row>
    <row r="382" spans="1:4" ht="12" customHeight="1" x14ac:dyDescent="0.3">
      <c r="A382" s="4">
        <v>2045</v>
      </c>
      <c r="B382" s="6" t="str">
        <f>VLOOKUP(TABLA_PRECIOS_LISTBOX_VENTAS[Código],LISTADO_PRODUCTOS[#All],4)</f>
        <v>Pinceleta Nº5</v>
      </c>
      <c r="C382" s="6" t="str">
        <f>VLOOKUP(TABLA_PRECIOS_LISTBOX_VENTAS[Código],LISTADO_PRODUCTOS[#All],5)</f>
        <v>N/A</v>
      </c>
      <c r="D382" s="28">
        <f>VLOOKUP(TABLA_PRECIOS_LISTBOX_VENTAS[[#This Row],[Código]],TABLA_PRECIOS[#All],7)</f>
        <v>1</v>
      </c>
    </row>
    <row r="383" spans="1:4" ht="12" customHeight="1" x14ac:dyDescent="0.3">
      <c r="A383" s="4">
        <v>2046</v>
      </c>
      <c r="B383" s="6" t="str">
        <f>VLOOKUP(TABLA_PRECIOS_LISTBOX_VENTAS[Código],LISTADO_PRODUCTOS[#All],4)</f>
        <v>Pinceleta Nº6</v>
      </c>
      <c r="C383" s="6" t="str">
        <f>VLOOKUP(TABLA_PRECIOS_LISTBOX_VENTAS[Código],LISTADO_PRODUCTOS[#All],5)</f>
        <v>N/A</v>
      </c>
      <c r="D383" s="28">
        <f>VLOOKUP(TABLA_PRECIOS_LISTBOX_VENTAS[[#This Row],[Código]],TABLA_PRECIOS[#All],7)</f>
        <v>1</v>
      </c>
    </row>
    <row r="384" spans="1:4" ht="12" customHeight="1" x14ac:dyDescent="0.3">
      <c r="A384" s="4">
        <v>2047</v>
      </c>
      <c r="B384" s="6" t="str">
        <f>VLOOKUP(TABLA_PRECIOS_LISTBOX_VENTAS[Código],LISTADO_PRODUCTOS[#All],4)</f>
        <v>Pinceleta Nº7</v>
      </c>
      <c r="C384" s="6" t="str">
        <f>VLOOKUP(TABLA_PRECIOS_LISTBOX_VENTAS[Código],LISTADO_PRODUCTOS[#All],5)</f>
        <v>N/A</v>
      </c>
      <c r="D384" s="28">
        <f>VLOOKUP(TABLA_PRECIOS_LISTBOX_VENTAS[[#This Row],[Código]],TABLA_PRECIOS[#All],7)</f>
        <v>1</v>
      </c>
    </row>
    <row r="385" spans="1:4" ht="12" customHeight="1" x14ac:dyDescent="0.3">
      <c r="A385" s="4">
        <v>2048</v>
      </c>
      <c r="B385" s="6" t="str">
        <f>VLOOKUP(TABLA_PRECIOS_LISTBOX_VENTAS[Código],LISTADO_PRODUCTOS[#All],4)</f>
        <v>Broches CBX madera natural 45mm x 35u</v>
      </c>
      <c r="C385" s="6" t="str">
        <f>VLOOKUP(TABLA_PRECIOS_LISTBOX_VENTAS[Código],LISTADO_PRODUCTOS[#All],5)</f>
        <v>N/A</v>
      </c>
      <c r="D385" s="28">
        <f>VLOOKUP(TABLA_PRECIOS_LISTBOX_VENTAS[[#This Row],[Código]],TABLA_PRECIOS[#All],7)</f>
        <v>1</v>
      </c>
    </row>
    <row r="386" spans="1:4" ht="12" customHeight="1" x14ac:dyDescent="0.3">
      <c r="A386" s="4">
        <v>2049</v>
      </c>
      <c r="B386" s="6" t="str">
        <f>VLOOKUP(TABLA_PRECIOS_LISTBOX_VENTAS[Código],LISTADO_PRODUCTOS[#All],4)</f>
        <v>Goma eva color comun</v>
      </c>
      <c r="C386" s="6" t="str">
        <f>VLOOKUP(TABLA_PRECIOS_LISTBOX_VENTAS[Código],LISTADO_PRODUCTOS[#All],5)</f>
        <v>N/A</v>
      </c>
      <c r="D386" s="28">
        <f>VLOOKUP(TABLA_PRECIOS_LISTBOX_VENTAS[[#This Row],[Código]],TABLA_PRECIOS[#All],7)</f>
        <v>1</v>
      </c>
    </row>
    <row r="387" spans="1:4" ht="12" customHeight="1" x14ac:dyDescent="0.3">
      <c r="A387" s="4">
        <v>2050</v>
      </c>
      <c r="B387" s="6" t="str">
        <f>VLOOKUP(TABLA_PRECIOS_LISTBOX_VENTAS[Código],LISTADO_PRODUCTOS[#All],4)</f>
        <v>Goma eva corrugada</v>
      </c>
      <c r="C387" s="6" t="str">
        <f>VLOOKUP(TABLA_PRECIOS_LISTBOX_VENTAS[Código],LISTADO_PRODUCTOS[#All],5)</f>
        <v>N/A</v>
      </c>
      <c r="D387" s="28">
        <f>VLOOKUP(TABLA_PRECIOS_LISTBOX_VENTAS[[#This Row],[Código]],TABLA_PRECIOS[#All],7)</f>
        <v>1</v>
      </c>
    </row>
    <row r="388" spans="1:4" ht="12" customHeight="1" x14ac:dyDescent="0.3">
      <c r="A388" s="4">
        <v>2051</v>
      </c>
      <c r="B388" s="6" t="str">
        <f>VLOOKUP(TABLA_PRECIOS_LISTBOX_VENTAS[Código],LISTADO_PRODUCTOS[#All],4)</f>
        <v>Goma Eva Super Glitter</v>
      </c>
      <c r="C388" s="6" t="str">
        <f>VLOOKUP(TABLA_PRECIOS_LISTBOX_VENTAS[Código],LISTADO_PRODUCTOS[#All],5)</f>
        <v>N/A</v>
      </c>
      <c r="D388" s="28">
        <f>VLOOKUP(TABLA_PRECIOS_LISTBOX_VENTAS[[#This Row],[Código]],TABLA_PRECIOS[#All],7)</f>
        <v>1</v>
      </c>
    </row>
    <row r="389" spans="1:4" ht="12" customHeight="1" x14ac:dyDescent="0.3">
      <c r="A389" s="4">
        <v>2052</v>
      </c>
      <c r="B389" s="6" t="str">
        <f>VLOOKUP(TABLA_PRECIOS_LISTBOX_VENTAS[Código],LISTADO_PRODUCTOS[#All],4)</f>
        <v>Resma A3 Autor 80gr</v>
      </c>
      <c r="C389" s="6" t="str">
        <f>VLOOKUP(TABLA_PRECIOS_LISTBOX_VENTAS[Código],LISTADO_PRODUCTOS[#All],5)</f>
        <v>N/A</v>
      </c>
      <c r="D389" s="28">
        <f>VLOOKUP(TABLA_PRECIOS_LISTBOX_VENTAS[[#This Row],[Código]],TABLA_PRECIOS[#All],7)</f>
        <v>1</v>
      </c>
    </row>
    <row r="390" spans="1:4" ht="12" customHeight="1" x14ac:dyDescent="0.3">
      <c r="A390" s="4">
        <v>2054</v>
      </c>
      <c r="B390" s="6" t="str">
        <f>VLOOKUP(TABLA_PRECIOS_LISTBOX_VENTAS[Código],LISTADO_PRODUCTOS[#All],4)</f>
        <v xml:space="preserve">Carton Corrugado Colores </v>
      </c>
      <c r="C390" s="6" t="str">
        <f>VLOOKUP(TABLA_PRECIOS_LISTBOX_VENTAS[Código],LISTADO_PRODUCTOS[#All],5)</f>
        <v>N/A</v>
      </c>
      <c r="D390" s="28">
        <f>VLOOKUP(TABLA_PRECIOS_LISTBOX_VENTAS[[#This Row],[Código]],TABLA_PRECIOS[#All],7)</f>
        <v>1</v>
      </c>
    </row>
    <row r="391" spans="1:4" ht="12" customHeight="1" x14ac:dyDescent="0.3">
      <c r="A391" s="4">
        <v>2055</v>
      </c>
      <c r="B391" s="6" t="str">
        <f>VLOOKUP(TABLA_PRECIOS_LISTBOX_VENTAS[Código],LISTADO_PRODUCTOS[#All],4)</f>
        <v>Carton Corrugado Kraft</v>
      </c>
      <c r="C391" s="6" t="str">
        <f>VLOOKUP(TABLA_PRECIOS_LISTBOX_VENTAS[Código],LISTADO_PRODUCTOS[#All],5)</f>
        <v>N/A</v>
      </c>
      <c r="D391" s="28">
        <f>VLOOKUP(TABLA_PRECIOS_LISTBOX_VENTAS[[#This Row],[Código]],TABLA_PRECIOS[#All],7)</f>
        <v>1</v>
      </c>
    </row>
    <row r="392" spans="1:4" ht="12" customHeight="1" x14ac:dyDescent="0.3">
      <c r="A392" s="4">
        <v>2058</v>
      </c>
      <c r="B392" s="6" t="str">
        <f>VLOOKUP(TABLA_PRECIOS_LISTBOX_VENTAS[Código],LISTADO_PRODUCTOS[#All],4)</f>
        <v>Cartulina Hologlitter x plancha</v>
      </c>
      <c r="C392" s="6" t="str">
        <f>VLOOKUP(TABLA_PRECIOS_LISTBOX_VENTAS[Código],LISTADO_PRODUCTOS[#All],5)</f>
        <v>N/A</v>
      </c>
      <c r="D392" s="28">
        <f>VLOOKUP(TABLA_PRECIOS_LISTBOX_VENTAS[[#This Row],[Código]],TABLA_PRECIOS[#All],7)</f>
        <v>1</v>
      </c>
    </row>
    <row r="393" spans="1:4" ht="12" customHeight="1" x14ac:dyDescent="0.3">
      <c r="A393" s="4">
        <v>2059</v>
      </c>
      <c r="B393" s="6" t="str">
        <f>VLOOKUP(TABLA_PRECIOS_LISTBOX_VENTAS[Código],LISTADO_PRODUCTOS[#All],4)</f>
        <v>Papel Barrilete</v>
      </c>
      <c r="C393" s="6" t="str">
        <f>VLOOKUP(TABLA_PRECIOS_LISTBOX_VENTAS[Código],LISTADO_PRODUCTOS[#All],5)</f>
        <v>N/A</v>
      </c>
      <c r="D393" s="28">
        <f>VLOOKUP(TABLA_PRECIOS_LISTBOX_VENTAS[[#This Row],[Código]],TABLA_PRECIOS[#All],7)</f>
        <v>1</v>
      </c>
    </row>
    <row r="394" spans="1:4" ht="12" customHeight="1" x14ac:dyDescent="0.3">
      <c r="A394" s="4">
        <v>2060</v>
      </c>
      <c r="B394" s="6" t="str">
        <f>VLOOKUP(TABLA_PRECIOS_LISTBOX_VENTAS[Código],LISTADO_PRODUCTOS[#All],4)</f>
        <v>Papel Barrilete</v>
      </c>
      <c r="C394" s="6" t="str">
        <f>VLOOKUP(TABLA_PRECIOS_LISTBOX_VENTAS[Código],LISTADO_PRODUCTOS[#All],5)</f>
        <v>N/A</v>
      </c>
      <c r="D394" s="28">
        <f>VLOOKUP(TABLA_PRECIOS_LISTBOX_VENTAS[[#This Row],[Código]],TABLA_PRECIOS[#All],7)</f>
        <v>1</v>
      </c>
    </row>
    <row r="395" spans="1:4" ht="12" customHeight="1" x14ac:dyDescent="0.3">
      <c r="A395" s="4">
        <v>2062</v>
      </c>
      <c r="B395" s="6" t="str">
        <f>VLOOKUP(TABLA_PRECIOS_LISTBOX_VENTAS[Código],LISTADO_PRODUCTOS[#All],4)</f>
        <v>Papel de regalo Muresco</v>
      </c>
      <c r="C395" s="6" t="str">
        <f>VLOOKUP(TABLA_PRECIOS_LISTBOX_VENTAS[Código],LISTADO_PRODUCTOS[#All],5)</f>
        <v>N/A</v>
      </c>
      <c r="D395" s="28">
        <f>VLOOKUP(TABLA_PRECIOS_LISTBOX_VENTAS[[#This Row],[Código]],TABLA_PRECIOS[#All],7)</f>
        <v>1</v>
      </c>
    </row>
    <row r="396" spans="1:4" ht="12" customHeight="1" x14ac:dyDescent="0.3">
      <c r="A396" s="4">
        <v>2064</v>
      </c>
      <c r="B396" s="6" t="str">
        <f>VLOOKUP(TABLA_PRECIOS_LISTBOX_VENTAS[Código],LISTADO_PRODUCTOS[#All],4)</f>
        <v>Cinta Scotch 12 mm x 30mt Cablefix</v>
      </c>
      <c r="C396" s="6" t="str">
        <f>VLOOKUP(TABLA_PRECIOS_LISTBOX_VENTAS[Código],LISTADO_PRODUCTOS[#All],5)</f>
        <v>N/A</v>
      </c>
      <c r="D396" s="28">
        <f>VLOOKUP(TABLA_PRECIOS_LISTBOX_VENTAS[[#This Row],[Código]],TABLA_PRECIOS[#All],7)</f>
        <v>1</v>
      </c>
    </row>
    <row r="397" spans="1:4" ht="12" customHeight="1" x14ac:dyDescent="0.3">
      <c r="A397" s="4">
        <v>2065</v>
      </c>
      <c r="B397" s="6" t="str">
        <f>VLOOKUP(TABLA_PRECIOS_LISTBOX_VENTAS[Código],LISTADO_PRODUCTOS[#All],4)</f>
        <v>Banditas elasticas  caja x 250gr</v>
      </c>
      <c r="C397" s="6" t="str">
        <f>VLOOKUP(TABLA_PRECIOS_LISTBOX_VENTAS[Código],LISTADO_PRODUCTOS[#All],5)</f>
        <v>N/A</v>
      </c>
      <c r="D397" s="28">
        <f>VLOOKUP(TABLA_PRECIOS_LISTBOX_VENTAS[[#This Row],[Código]],TABLA_PRECIOS[#All],7)</f>
        <v>1</v>
      </c>
    </row>
    <row r="398" spans="1:4" ht="12" customHeight="1" x14ac:dyDescent="0.3">
      <c r="A398" s="4">
        <v>2066</v>
      </c>
      <c r="B398" s="6" t="str">
        <f>VLOOKUP(TABLA_PRECIOS_LISTBOX_VENTAS[Código],LISTADO_PRODUCTOS[#All],4)</f>
        <v>Banditas elasticas caja x 50gr</v>
      </c>
      <c r="C398" s="6" t="str">
        <f>VLOOKUP(TABLA_PRECIOS_LISTBOX_VENTAS[Código],LISTADO_PRODUCTOS[#All],5)</f>
        <v>N/A</v>
      </c>
      <c r="D398" s="28">
        <f>VLOOKUP(TABLA_PRECIOS_LISTBOX_VENTAS[[#This Row],[Código]],TABLA_PRECIOS[#All],7)</f>
        <v>1</v>
      </c>
    </row>
    <row r="399" spans="1:4" ht="12" customHeight="1" x14ac:dyDescent="0.3">
      <c r="A399" s="4">
        <v>2067</v>
      </c>
      <c r="B399" s="6" t="str">
        <f>VLOOKUP(TABLA_PRECIOS_LISTBOX_VENTAS[Código],LISTADO_PRODUCTOS[#All],4)</f>
        <v>Broche metalizado madera CBX m35mm x 25u</v>
      </c>
      <c r="C399" s="6" t="str">
        <f>VLOOKUP(TABLA_PRECIOS_LISTBOX_VENTAS[Código],LISTADO_PRODUCTOS[#All],5)</f>
        <v>N/A</v>
      </c>
      <c r="D399" s="28">
        <f>VLOOKUP(TABLA_PRECIOS_LISTBOX_VENTAS[[#This Row],[Código]],TABLA_PRECIOS[#All],7)</f>
        <v>1</v>
      </c>
    </row>
    <row r="400" spans="1:4" ht="12" customHeight="1" x14ac:dyDescent="0.3">
      <c r="A400" s="4">
        <v>2072</v>
      </c>
      <c r="B400" s="6" t="str">
        <f>VLOOKUP(TABLA_PRECIOS_LISTBOX_VENTAS[Código],LISTADO_PRODUCTOS[#All],4)</f>
        <v>Plastilina Tintoretto x 10u</v>
      </c>
      <c r="C400" s="6" t="str">
        <f>VLOOKUP(TABLA_PRECIOS_LISTBOX_VENTAS[Código],LISTADO_PRODUCTOS[#All],5)</f>
        <v>N/A</v>
      </c>
      <c r="D400" s="28">
        <f>VLOOKUP(TABLA_PRECIOS_LISTBOX_VENTAS[[#This Row],[Código]],TABLA_PRECIOS[#All],7)</f>
        <v>1</v>
      </c>
    </row>
    <row r="401" spans="1:4" ht="12" customHeight="1" x14ac:dyDescent="0.3">
      <c r="A401" s="4">
        <v>2075</v>
      </c>
      <c r="B401" s="6" t="str">
        <f>VLOOKUP(TABLA_PRECIOS_LISTBOX_VENTAS[Código],LISTADO_PRODUCTOS[#All],4)</f>
        <v>Plastilina Maped x 6u</v>
      </c>
      <c r="C401" s="6" t="str">
        <f>VLOOKUP(TABLA_PRECIOS_LISTBOX_VENTAS[Código],LISTADO_PRODUCTOS[#All],5)</f>
        <v>N/A</v>
      </c>
      <c r="D401" s="28">
        <f>VLOOKUP(TABLA_PRECIOS_LISTBOX_VENTAS[[#This Row],[Código]],TABLA_PRECIOS[#All],7)</f>
        <v>1</v>
      </c>
    </row>
    <row r="402" spans="1:4" ht="12" customHeight="1" x14ac:dyDescent="0.3">
      <c r="A402" s="4">
        <v>2076</v>
      </c>
      <c r="B402" s="6" t="str">
        <f>VLOOKUP(TABLA_PRECIOS_LISTBOX_VENTAS[Código],LISTADO_PRODUCTOS[#All],4)</f>
        <v>Tempera Alba magic/Playcolor x10u</v>
      </c>
      <c r="C402" s="6" t="str">
        <f>VLOOKUP(TABLA_PRECIOS_LISTBOX_VENTAS[Código],LISTADO_PRODUCTOS[#All],5)</f>
        <v>N/A</v>
      </c>
      <c r="D402" s="28">
        <f>VLOOKUP(TABLA_PRECIOS_LISTBOX_VENTAS[[#This Row],[Código]],TABLA_PRECIOS[#All],7)</f>
        <v>1</v>
      </c>
    </row>
    <row r="403" spans="1:4" ht="12" customHeight="1" x14ac:dyDescent="0.3">
      <c r="A403" s="4">
        <v>2079</v>
      </c>
      <c r="B403" s="6" t="str">
        <f>VLOOKUP(TABLA_PRECIOS_LISTBOX_VENTAS[Código],LISTADO_PRODUCTOS[#All],4)</f>
        <v>Tempera Alba x170gr</v>
      </c>
      <c r="C403" s="6" t="str">
        <f>VLOOKUP(TABLA_PRECIOS_LISTBOX_VENTAS[Código],LISTADO_PRODUCTOS[#All],5)</f>
        <v>N/A</v>
      </c>
      <c r="D403" s="28">
        <f>VLOOKUP(TABLA_PRECIOS_LISTBOX_VENTAS[[#This Row],[Código]],TABLA_PRECIOS[#All],7)</f>
        <v>1</v>
      </c>
    </row>
    <row r="404" spans="1:4" ht="12" customHeight="1" x14ac:dyDescent="0.3">
      <c r="A404" s="4">
        <v>2089</v>
      </c>
      <c r="B404" s="6" t="str">
        <f>VLOOKUP(TABLA_PRECIOS_LISTBOX_VENTAS[Código],LISTADO_PRODUCTOS[#All],4)</f>
        <v>Pistolita de silicona Liggo garnde barra gruesa 40w</v>
      </c>
      <c r="C404" s="6" t="str">
        <f>VLOOKUP(TABLA_PRECIOS_LISTBOX_VENTAS[Código],LISTADO_PRODUCTOS[#All],5)</f>
        <v>N/A</v>
      </c>
      <c r="D404" s="28">
        <f>VLOOKUP(TABLA_PRECIOS_LISTBOX_VENTAS[[#This Row],[Código]],TABLA_PRECIOS[#All],7)</f>
        <v>1</v>
      </c>
    </row>
    <row r="405" spans="1:4" ht="12" customHeight="1" x14ac:dyDescent="0.3">
      <c r="A405" s="4">
        <v>2091</v>
      </c>
      <c r="B405" s="6" t="str">
        <f>VLOOKUP(TABLA_PRECIOS_LISTBOX_VENTAS[Código],LISTADO_PRODUCTOS[#All],4)</f>
        <v>Pistolita encoladora chica 7mm LIGGO 10W</v>
      </c>
      <c r="C405" s="6" t="str">
        <f>VLOOKUP(TABLA_PRECIOS_LISTBOX_VENTAS[Código],LISTADO_PRODUCTOS[#All],5)</f>
        <v>N/A</v>
      </c>
      <c r="D405" s="28">
        <f>VLOOKUP(TABLA_PRECIOS_LISTBOX_VENTAS[[#This Row],[Código]],TABLA_PRECIOS[#All],7)</f>
        <v>1</v>
      </c>
    </row>
    <row r="406" spans="1:4" ht="12" customHeight="1" x14ac:dyDescent="0.3">
      <c r="A406" s="4">
        <v>2093</v>
      </c>
      <c r="B406" s="6" t="str">
        <f>VLOOKUP(TABLA_PRECIOS_LISTBOX_VENTAS[Código],LISTADO_PRODUCTOS[#All],4)</f>
        <v>Pintura p/Tela</v>
      </c>
      <c r="C406" s="6" t="str">
        <f>VLOOKUP(TABLA_PRECIOS_LISTBOX_VENTAS[Código],LISTADO_PRODUCTOS[#All],5)</f>
        <v>N/A</v>
      </c>
      <c r="D406" s="28">
        <f>VLOOKUP(TABLA_PRECIOS_LISTBOX_VENTAS[[#This Row],[Código]],TABLA_PRECIOS[#All],7)</f>
        <v>1</v>
      </c>
    </row>
    <row r="407" spans="1:4" ht="12" customHeight="1" x14ac:dyDescent="0.3">
      <c r="A407" s="4">
        <v>2094</v>
      </c>
      <c r="B407" s="6" t="str">
        <f>VLOOKUP(TABLA_PRECIOS_LISTBOX_VENTAS[Código],LISTADO_PRODUCTOS[#All],4)</f>
        <v>Acrilico EQ Arte 50cc</v>
      </c>
      <c r="C407" s="6" t="str">
        <f>VLOOKUP(TABLA_PRECIOS_LISTBOX_VENTAS[Código],LISTADO_PRODUCTOS[#All],5)</f>
        <v>N/A</v>
      </c>
      <c r="D407" s="28">
        <f>VLOOKUP(TABLA_PRECIOS_LISTBOX_VENTAS[[#This Row],[Código]],TABLA_PRECIOS[#All],7)</f>
        <v>1</v>
      </c>
    </row>
    <row r="408" spans="1:4" ht="12" customHeight="1" x14ac:dyDescent="0.3">
      <c r="A408" s="4">
        <v>2096</v>
      </c>
      <c r="B408" s="6" t="str">
        <f>VLOOKUP(TABLA_PRECIOS_LISTBOX_VENTAS[Código],LISTADO_PRODUCTOS[#All],4)</f>
        <v>Brillo en tarro Sifap 25gr</v>
      </c>
      <c r="C408" s="6" t="str">
        <f>VLOOKUP(TABLA_PRECIOS_LISTBOX_VENTAS[Código],LISTADO_PRODUCTOS[#All],5)</f>
        <v>N/A</v>
      </c>
      <c r="D408" s="28">
        <f>VLOOKUP(TABLA_PRECIOS_LISTBOX_VENTAS[[#This Row],[Código]],TABLA_PRECIOS[#All],7)</f>
        <v>1</v>
      </c>
    </row>
    <row r="409" spans="1:4" ht="12" customHeight="1" x14ac:dyDescent="0.3">
      <c r="A409" s="4">
        <v>2097</v>
      </c>
      <c r="B409" s="6" t="str">
        <f>VLOOKUP(TABLA_PRECIOS_LISTBOX_VENTAS[Código],LISTADO_PRODUCTOS[#All],4)</f>
        <v>Arcilla natural (color gris) Sifap x 300gr</v>
      </c>
      <c r="C409" s="6" t="str">
        <f>VLOOKUP(TABLA_PRECIOS_LISTBOX_VENTAS[Código],LISTADO_PRODUCTOS[#All],5)</f>
        <v>N/A</v>
      </c>
      <c r="D409" s="28">
        <f>VLOOKUP(TABLA_PRECIOS_LISTBOX_VENTAS[[#This Row],[Código]],TABLA_PRECIOS[#All],7)</f>
        <v>1</v>
      </c>
    </row>
    <row r="410" spans="1:4" ht="12" customHeight="1" x14ac:dyDescent="0.3">
      <c r="A410" s="4">
        <v>2262</v>
      </c>
      <c r="B410" s="6" t="str">
        <f>VLOOKUP(TABLA_PRECIOS_LISTBOX_VENTAS[Código],LISTADO_PRODUCTOS[#All],4)</f>
        <v>Acuarela Filgo x 12u</v>
      </c>
      <c r="C410" s="6" t="str">
        <f>VLOOKUP(TABLA_PRECIOS_LISTBOX_VENTAS[Código],LISTADO_PRODUCTOS[#All],5)</f>
        <v>N/A</v>
      </c>
      <c r="D410" s="28">
        <f>VLOOKUP(TABLA_PRECIOS_LISTBOX_VENTAS[[#This Row],[Código]],TABLA_PRECIOS[#All],7)</f>
        <v>1</v>
      </c>
    </row>
    <row r="411" spans="1:4" ht="12" customHeight="1" x14ac:dyDescent="0.3">
      <c r="A411" s="4">
        <v>2102</v>
      </c>
      <c r="B411" s="6" t="str">
        <f>VLOOKUP(TABLA_PRECIOS_LISTBOX_VENTAS[Código],LISTADO_PRODUCTOS[#All],4)</f>
        <v>Arcilla natural (color gris) Sifap x 300gr</v>
      </c>
      <c r="C411" s="6" t="str">
        <f>VLOOKUP(TABLA_PRECIOS_LISTBOX_VENTAS[Código],LISTADO_PRODUCTOS[#All],5)</f>
        <v>N/A</v>
      </c>
      <c r="D411" s="28">
        <f>VLOOKUP(TABLA_PRECIOS_LISTBOX_VENTAS[[#This Row],[Código]],TABLA_PRECIOS[#All],7)</f>
        <v>1</v>
      </c>
    </row>
    <row r="412" spans="1:4" ht="12" customHeight="1" x14ac:dyDescent="0.3">
      <c r="A412" s="4">
        <v>2103</v>
      </c>
      <c r="B412" s="6" t="str">
        <f>VLOOKUP(TABLA_PRECIOS_LISTBOX_VENTAS[Código],LISTADO_PRODUCTOS[#All],4)</f>
        <v>Pistola para silicona fina Suprabond Hx-100 diseños especiales</v>
      </c>
      <c r="C412" s="6" t="str">
        <f>VLOOKUP(TABLA_PRECIOS_LISTBOX_VENTAS[Código],LISTADO_PRODUCTOS[#All],5)</f>
        <v>N/A</v>
      </c>
      <c r="D412" s="28">
        <f>VLOOKUP(TABLA_PRECIOS_LISTBOX_VENTAS[[#This Row],[Código]],TABLA_PRECIOS[#All],7)</f>
        <v>1</v>
      </c>
    </row>
    <row r="413" spans="1:4" ht="12" customHeight="1" x14ac:dyDescent="0.3">
      <c r="A413" s="4">
        <v>2104</v>
      </c>
      <c r="B413" s="6" t="str">
        <f>VLOOKUP(TABLA_PRECIOS_LISTBOX_VENTAS[Código],LISTADO_PRODUCTOS[#All],4)</f>
        <v>Pistola para silicona gruesa Suprabond</v>
      </c>
      <c r="C413" s="6" t="str">
        <f>VLOOKUP(TABLA_PRECIOS_LISTBOX_VENTAS[Código],LISTADO_PRODUCTOS[#All],5)</f>
        <v>N/A</v>
      </c>
      <c r="D413" s="28">
        <f>VLOOKUP(TABLA_PRECIOS_LISTBOX_VENTAS[[#This Row],[Código]],TABLA_PRECIOS[#All],7)</f>
        <v>1</v>
      </c>
    </row>
    <row r="414" spans="1:4" ht="12" customHeight="1" x14ac:dyDescent="0.3">
      <c r="A414" s="4">
        <v>2105</v>
      </c>
      <c r="B414" s="6" t="str">
        <f>VLOOKUP(TABLA_PRECIOS_LISTBOX_VENTAS[Código],LISTADO_PRODUCTOS[#All],4)</f>
        <v>Yeso Paris</v>
      </c>
      <c r="C414" s="6" t="str">
        <f>VLOOKUP(TABLA_PRECIOS_LISTBOX_VENTAS[Código],LISTADO_PRODUCTOS[#All],5)</f>
        <v>N/A</v>
      </c>
      <c r="D414" s="28">
        <f>VLOOKUP(TABLA_PRECIOS_LISTBOX_VENTAS[[#This Row],[Código]],TABLA_PRECIOS[#All],7)</f>
        <v>1</v>
      </c>
    </row>
    <row r="415" spans="1:4" ht="12" customHeight="1" x14ac:dyDescent="0.3">
      <c r="A415" s="4">
        <v>2106</v>
      </c>
      <c r="B415" s="6" t="str">
        <f>VLOOKUP(TABLA_PRECIOS_LISTBOX_VENTAS[Código],LISTADO_PRODUCTOS[#All],4)</f>
        <v>Silicona Liquida Unipox ge 24ml</v>
      </c>
      <c r="C415" s="6" t="str">
        <f>VLOOKUP(TABLA_PRECIOS_LISTBOX_VENTAS[Código],LISTADO_PRODUCTOS[#All],5)</f>
        <v>N/A</v>
      </c>
      <c r="D415" s="28">
        <f>VLOOKUP(TABLA_PRECIOS_LISTBOX_VENTAS[[#This Row],[Código]],TABLA_PRECIOS[#All],7)</f>
        <v>1</v>
      </c>
    </row>
    <row r="416" spans="1:4" ht="12" customHeight="1" x14ac:dyDescent="0.3">
      <c r="A416" s="4">
        <v>2108</v>
      </c>
      <c r="B416" s="6" t="str">
        <f>VLOOKUP(TABLA_PRECIOS_LISTBOX_VENTAS[Código],LISTADO_PRODUCTOS[#All],4)</f>
        <v>Brillantina Gibre Sifap blister x 5u</v>
      </c>
      <c r="C416" s="6" t="str">
        <f>VLOOKUP(TABLA_PRECIOS_LISTBOX_VENTAS[Código],LISTADO_PRODUCTOS[#All],5)</f>
        <v>N/A</v>
      </c>
      <c r="D416" s="28">
        <f>VLOOKUP(TABLA_PRECIOS_LISTBOX_VENTAS[[#This Row],[Código]],TABLA_PRECIOS[#All],7)</f>
        <v>1</v>
      </c>
    </row>
    <row r="417" spans="1:4" ht="12" customHeight="1" x14ac:dyDescent="0.3">
      <c r="A417" s="4">
        <v>2109</v>
      </c>
      <c r="B417" s="6" t="str">
        <f>VLOOKUP(TABLA_PRECIOS_LISTBOX_VENTAS[Código],LISTADO_PRODUCTOS[#All],4)</f>
        <v>Chinche Forrada Sifap x 80u</v>
      </c>
      <c r="C417" s="6" t="str">
        <f>VLOOKUP(TABLA_PRECIOS_LISTBOX_VENTAS[Código],LISTADO_PRODUCTOS[#All],5)</f>
        <v>N/A</v>
      </c>
      <c r="D417" s="28">
        <f>VLOOKUP(TABLA_PRECIOS_LISTBOX_VENTAS[[#This Row],[Código]],TABLA_PRECIOS[#All],7)</f>
        <v>1</v>
      </c>
    </row>
    <row r="418" spans="1:4" ht="12" customHeight="1" x14ac:dyDescent="0.3">
      <c r="A418" s="4">
        <v>2111</v>
      </c>
      <c r="B418" s="6" t="str">
        <f>VLOOKUP(TABLA_PRECIOS_LISTBOX_VENTAS[Código],LISTADO_PRODUCTOS[#All],4)</f>
        <v>Sobre carta chico blanco</v>
      </c>
      <c r="C418" s="6" t="str">
        <f>VLOOKUP(TABLA_PRECIOS_LISTBOX_VENTAS[Código],LISTADO_PRODUCTOS[#All],5)</f>
        <v>N/A</v>
      </c>
      <c r="D418" s="28">
        <f>VLOOKUP(TABLA_PRECIOS_LISTBOX_VENTAS[[#This Row],[Código]],TABLA_PRECIOS[#All],7)</f>
        <v>1</v>
      </c>
    </row>
    <row r="419" spans="1:4" ht="12" customHeight="1" x14ac:dyDescent="0.3">
      <c r="A419" s="4">
        <v>2113</v>
      </c>
      <c r="B419" s="6" t="str">
        <f>VLOOKUP(TABLA_PRECIOS_LISTBOX_VENTAS[Código],LISTADO_PRODUCTOS[#All],4)</f>
        <v>Sobre Oficio ingles Blanco</v>
      </c>
      <c r="C419" s="6" t="str">
        <f>VLOOKUP(TABLA_PRECIOS_LISTBOX_VENTAS[Código],LISTADO_PRODUCTOS[#All],5)</f>
        <v>N/A</v>
      </c>
      <c r="D419" s="28">
        <f>VLOOKUP(TABLA_PRECIOS_LISTBOX_VENTAS[[#This Row],[Código]],TABLA_PRECIOS[#All],7)</f>
        <v>1</v>
      </c>
    </row>
    <row r="420" spans="1:4" ht="12" customHeight="1" x14ac:dyDescent="0.3">
      <c r="A420" s="4">
        <v>2114</v>
      </c>
      <c r="B420" s="6" t="str">
        <f>VLOOKUP(TABLA_PRECIOS_LISTBOX_VENTAS[Código],LISTADO_PRODUCTOS[#All],4)</f>
        <v>Cinta de embalar 48mm x 100mts</v>
      </c>
      <c r="C420" s="6" t="str">
        <f>VLOOKUP(TABLA_PRECIOS_LISTBOX_VENTAS[Código],LISTADO_PRODUCTOS[#All],5)</f>
        <v>N/A</v>
      </c>
      <c r="D420" s="28">
        <f>VLOOKUP(TABLA_PRECIOS_LISTBOX_VENTAS[[#This Row],[Código]],TABLA_PRECIOS[#All],7)</f>
        <v>1</v>
      </c>
    </row>
    <row r="421" spans="1:4" ht="12" customHeight="1" x14ac:dyDescent="0.3">
      <c r="A421" s="4">
        <v>2115</v>
      </c>
      <c r="B421" s="6" t="str">
        <f>VLOOKUP(TABLA_PRECIOS_LISTBOX_VENTAS[Código],LISTADO_PRODUCTOS[#All],4)</f>
        <v>Imanes Flexibles autoadhesivos A4 Sifap x plancha</v>
      </c>
      <c r="C421" s="6" t="str">
        <f>VLOOKUP(TABLA_PRECIOS_LISTBOX_VENTAS[Código],LISTADO_PRODUCTOS[#All],5)</f>
        <v>N/A</v>
      </c>
      <c r="D421" s="28">
        <f>VLOOKUP(TABLA_PRECIOS_LISTBOX_VENTAS[[#This Row],[Código]],TABLA_PRECIOS[#All],7)</f>
        <v>1</v>
      </c>
    </row>
    <row r="422" spans="1:4" ht="12" customHeight="1" x14ac:dyDescent="0.3">
      <c r="A422" s="4">
        <v>2119</v>
      </c>
      <c r="B422" s="6" t="str">
        <f>VLOOKUP(TABLA_PRECIOS_LISTBOX_VENTAS[Código],LISTADO_PRODUCTOS[#All],4)</f>
        <v>Adhesivo en barra Ezco 21grs</v>
      </c>
      <c r="C422" s="6" t="str">
        <f>VLOOKUP(TABLA_PRECIOS_LISTBOX_VENTAS[Código],LISTADO_PRODUCTOS[#All],5)</f>
        <v>N/A</v>
      </c>
      <c r="D422" s="28">
        <f>VLOOKUP(TABLA_PRECIOS_LISTBOX_VENTAS[[#This Row],[Código]],TABLA_PRECIOS[#All],7)</f>
        <v>1</v>
      </c>
    </row>
    <row r="423" spans="1:4" ht="12" customHeight="1" x14ac:dyDescent="0.3">
      <c r="A423" s="4">
        <v>2120</v>
      </c>
      <c r="B423" s="6" t="str">
        <f>VLOOKUP(TABLA_PRECIOS_LISTBOX_VENTAS[Código],LISTADO_PRODUCTOS[#All],4)</f>
        <v>Adhesivo en barra Giotto 36g</v>
      </c>
      <c r="C423" s="6" t="str">
        <f>VLOOKUP(TABLA_PRECIOS_LISTBOX_VENTAS[Código],LISTADO_PRODUCTOS[#All],5)</f>
        <v>N/A</v>
      </c>
      <c r="D423" s="28">
        <f>VLOOKUP(TABLA_PRECIOS_LISTBOX_VENTAS[[#This Row],[Código]],TABLA_PRECIOS[#All],7)</f>
        <v>1</v>
      </c>
    </row>
    <row r="424" spans="1:4" ht="12" customHeight="1" x14ac:dyDescent="0.3">
      <c r="A424" s="4">
        <v>2200</v>
      </c>
      <c r="B424" s="6" t="str">
        <f>VLOOKUP(TABLA_PRECIOS_LISTBOX_VENTAS[Código],LISTADO_PRODUCTOS[#All],4)</f>
        <v>Cinta scotch transparente 18mm x 25mt</v>
      </c>
      <c r="C424" s="6" t="str">
        <f>VLOOKUP(TABLA_PRECIOS_LISTBOX_VENTAS[Código],LISTADO_PRODUCTOS[#All],5)</f>
        <v>N/A</v>
      </c>
      <c r="D424" s="28">
        <f>VLOOKUP(TABLA_PRECIOS_LISTBOX_VENTAS[[#This Row],[Código]],TABLA_PRECIOS[#All],7)</f>
        <v>1</v>
      </c>
    </row>
    <row r="425" spans="1:4" ht="12" customHeight="1" x14ac:dyDescent="0.3">
      <c r="A425" s="4">
        <v>2220</v>
      </c>
      <c r="B425" s="6" t="str">
        <f>VLOOKUP(TABLA_PRECIOS_LISTBOX_VENTAS[Código],LISTADO_PRODUCTOS[#All],4)</f>
        <v>Cinta Scotch 18mm x 30m</v>
      </c>
      <c r="C425" s="6" t="str">
        <f>VLOOKUP(TABLA_PRECIOS_LISTBOX_VENTAS[Código],LISTADO_PRODUCTOS[#All],5)</f>
        <v>N/A</v>
      </c>
      <c r="D425" s="28">
        <f>VLOOKUP(TABLA_PRECIOS_LISTBOX_VENTAS[[#This Row],[Código]],TABLA_PRECIOS[#All],7)</f>
        <v>1</v>
      </c>
    </row>
    <row r="426" spans="1:4" ht="12" customHeight="1" x14ac:dyDescent="0.3">
      <c r="A426" s="4">
        <v>2221</v>
      </c>
      <c r="B426" s="6" t="str">
        <f>VLOOKUP(TABLA_PRECIOS_LISTBOX_VENTAS[Código],LISTADO_PRODUCTOS[#All],4)</f>
        <v>Cinta confitera</v>
      </c>
      <c r="C426" s="6" t="str">
        <f>VLOOKUP(TABLA_PRECIOS_LISTBOX_VENTAS[Código],LISTADO_PRODUCTOS[#All],5)</f>
        <v>N/A</v>
      </c>
      <c r="D426" s="28">
        <f>VLOOKUP(TABLA_PRECIOS_LISTBOX_VENTAS[[#This Row],[Código]],TABLA_PRECIOS[#All],7)</f>
        <v>1</v>
      </c>
    </row>
    <row r="427" spans="1:4" ht="12" customHeight="1" x14ac:dyDescent="0.3">
      <c r="A427" s="4">
        <v>2222</v>
      </c>
      <c r="B427" s="6" t="str">
        <f>VLOOKUP(TABLA_PRECIOS_LISTBOX_VENTAS[Código],LISTADO_PRODUCTOS[#All],4)</f>
        <v>Cinta embalar 48mm x 50m Stiko</v>
      </c>
      <c r="C427" s="6" t="str">
        <f>VLOOKUP(TABLA_PRECIOS_LISTBOX_VENTAS[Código],LISTADO_PRODUCTOS[#All],5)</f>
        <v>N/A</v>
      </c>
      <c r="D427" s="28">
        <f>VLOOKUP(TABLA_PRECIOS_LISTBOX_VENTAS[[#This Row],[Código]],TABLA_PRECIOS[#All],7)</f>
        <v>1</v>
      </c>
    </row>
    <row r="428" spans="1:4" ht="12" customHeight="1" x14ac:dyDescent="0.3">
      <c r="A428" s="4">
        <v>2113</v>
      </c>
      <c r="B428" s="6" t="str">
        <f>VLOOKUP(TABLA_PRECIOS_LISTBOX_VENTAS[Código],LISTADO_PRODUCTOS[#All],4)</f>
        <v>Sobre Oficio ingles Blanco</v>
      </c>
      <c r="C428" s="6" t="str">
        <f>VLOOKUP(TABLA_PRECIOS_LISTBOX_VENTAS[Código],LISTADO_PRODUCTOS[#All],5)</f>
        <v>N/A</v>
      </c>
      <c r="D428" s="28">
        <f>VLOOKUP(TABLA_PRECIOS_LISTBOX_VENTAS[[#This Row],[Código]],TABLA_PRECIOS[#All],7)</f>
        <v>1</v>
      </c>
    </row>
    <row r="429" spans="1:4" ht="12" customHeight="1" x14ac:dyDescent="0.3">
      <c r="A429" s="4">
        <v>2119</v>
      </c>
      <c r="B429" s="6" t="str">
        <f>VLOOKUP(TABLA_PRECIOS_LISTBOX_VENTAS[Código],LISTADO_PRODUCTOS[#All],4)</f>
        <v>Adhesivo en barra Ezco 21grs</v>
      </c>
      <c r="C429" s="6" t="str">
        <f>VLOOKUP(TABLA_PRECIOS_LISTBOX_VENTAS[Código],LISTADO_PRODUCTOS[#All],5)</f>
        <v>N/A</v>
      </c>
      <c r="D429" s="28">
        <f>VLOOKUP(TABLA_PRECIOS_LISTBOX_VENTAS[[#This Row],[Código]],TABLA_PRECIOS[#All],7)</f>
        <v>1</v>
      </c>
    </row>
    <row r="430" spans="1:4" ht="12" customHeight="1" x14ac:dyDescent="0.3">
      <c r="A430" s="4">
        <v>2120</v>
      </c>
      <c r="B430" s="6" t="str">
        <f>VLOOKUP(TABLA_PRECIOS_LISTBOX_VENTAS[Código],LISTADO_PRODUCTOS[#All],4)</f>
        <v>Adhesivo en barra Giotto 36g</v>
      </c>
      <c r="C430" s="6" t="str">
        <f>VLOOKUP(TABLA_PRECIOS_LISTBOX_VENTAS[Código],LISTADO_PRODUCTOS[#All],5)</f>
        <v>N/A</v>
      </c>
      <c r="D430" s="28">
        <f>VLOOKUP(TABLA_PRECIOS_LISTBOX_VENTAS[[#This Row],[Código]],TABLA_PRECIOS[#All],7)</f>
        <v>1</v>
      </c>
    </row>
    <row r="431" spans="1:4" ht="12" customHeight="1" x14ac:dyDescent="0.3">
      <c r="A431" s="4">
        <v>2127</v>
      </c>
      <c r="B431" s="6" t="str">
        <f>VLOOKUP(TABLA_PRECIOS_LISTBOX_VENTAS[Código],LISTADO_PRODUCTOS[#All],4)</f>
        <v>Adhesivo en barra Giotto 36g</v>
      </c>
      <c r="C431" s="6" t="str">
        <f>VLOOKUP(TABLA_PRECIOS_LISTBOX_VENTAS[Código],LISTADO_PRODUCTOS[#All],5)</f>
        <v>N/A</v>
      </c>
      <c r="D431" s="28">
        <f>VLOOKUP(TABLA_PRECIOS_LISTBOX_VENTAS[[#This Row],[Código]],TABLA_PRECIOS[#All],7)</f>
        <v>1</v>
      </c>
    </row>
    <row r="432" spans="1:4" ht="12" customHeight="1" x14ac:dyDescent="0.3">
      <c r="A432" s="4">
        <v>2125</v>
      </c>
      <c r="B432" s="6" t="str">
        <f>VLOOKUP(TABLA_PRECIOS_LISTBOX_VENTAS[Código],LISTADO_PRODUCTOS[#All],4)</f>
        <v>Adhesivo en barra Giotto 36g</v>
      </c>
      <c r="C432" s="6" t="str">
        <f>VLOOKUP(TABLA_PRECIOS_LISTBOX_VENTAS[Código],LISTADO_PRODUCTOS[#All],5)</f>
        <v>N/A</v>
      </c>
      <c r="D432" s="28">
        <f>VLOOKUP(TABLA_PRECIOS_LISTBOX_VENTAS[[#This Row],[Código]],TABLA_PRECIOS[#All],7)</f>
        <v>1</v>
      </c>
    </row>
    <row r="433" spans="1:4" ht="12" customHeight="1" x14ac:dyDescent="0.3">
      <c r="A433" s="4">
        <v>2226</v>
      </c>
      <c r="B433" s="6" t="str">
        <f>VLOOKUP(TABLA_PRECIOS_LISTBOX_VENTAS[Código],LISTADO_PRODUCTOS[#All],4)</f>
        <v>Tiza Giotto Color x 10</v>
      </c>
      <c r="C433" s="6" t="str">
        <f>VLOOKUP(TABLA_PRECIOS_LISTBOX_VENTAS[Código],LISTADO_PRODUCTOS[#All],5)</f>
        <v>N/A</v>
      </c>
      <c r="D433" s="28">
        <f>VLOOKUP(TABLA_PRECIOS_LISTBOX_VENTAS[[#This Row],[Código]],TABLA_PRECIOS[#All],7)</f>
        <v>1</v>
      </c>
    </row>
    <row r="434" spans="1:4" ht="12" customHeight="1" x14ac:dyDescent="0.3">
      <c r="A434" s="4">
        <v>2227</v>
      </c>
      <c r="B434" s="6" t="str">
        <f>VLOOKUP(TABLA_PRECIOS_LISTBOX_VENTAS[Código],LISTADO_PRODUCTOS[#All],4)</f>
        <v>Tiza Playcolor/Giotto Blanca x 12</v>
      </c>
      <c r="C434" s="6" t="str">
        <f>VLOOKUP(TABLA_PRECIOS_LISTBOX_VENTAS[Código],LISTADO_PRODUCTOS[#All],5)</f>
        <v>N/A</v>
      </c>
      <c r="D434" s="28">
        <f>VLOOKUP(TABLA_PRECIOS_LISTBOX_VENTAS[[#This Row],[Código]],TABLA_PRECIOS[#All],7)</f>
        <v>1</v>
      </c>
    </row>
    <row r="435" spans="1:4" ht="12" customHeight="1" x14ac:dyDescent="0.3">
      <c r="A435" s="4">
        <v>2228</v>
      </c>
      <c r="B435" s="6" t="str">
        <f>VLOOKUP(TABLA_PRECIOS_LISTBOX_VENTAS[Código],LISTADO_PRODUCTOS[#All],4)</f>
        <v>Palitos de helado natural x 50</v>
      </c>
      <c r="C435" s="6" t="str">
        <f>VLOOKUP(TABLA_PRECIOS_LISTBOX_VENTAS[Código],LISTADO_PRODUCTOS[#All],5)</f>
        <v>N/A</v>
      </c>
      <c r="D435" s="28">
        <f>VLOOKUP(TABLA_PRECIOS_LISTBOX_VENTAS[[#This Row],[Código]],TABLA_PRECIOS[#All],7)</f>
        <v>1</v>
      </c>
    </row>
    <row r="436" spans="1:4" ht="12" customHeight="1" x14ac:dyDescent="0.3">
      <c r="A436" s="4">
        <v>2233</v>
      </c>
      <c r="B436" s="6" t="str">
        <f>VLOOKUP(TABLA_PRECIOS_LISTBOX_VENTAS[Código],LISTADO_PRODUCTOS[#All],4)</f>
        <v>Tiza Blanca Giotto x 100</v>
      </c>
      <c r="C436" s="6" t="str">
        <f>VLOOKUP(TABLA_PRECIOS_LISTBOX_VENTAS[Código],LISTADO_PRODUCTOS[#All],5)</f>
        <v>N/A</v>
      </c>
      <c r="D436" s="28">
        <f>VLOOKUP(TABLA_PRECIOS_LISTBOX_VENTAS[[#This Row],[Código]],TABLA_PRECIOS[#All],7)</f>
        <v>1</v>
      </c>
    </row>
    <row r="437" spans="1:4" ht="12" customHeight="1" x14ac:dyDescent="0.3">
      <c r="A437" s="4">
        <v>2237</v>
      </c>
      <c r="B437" s="6" t="str">
        <f>VLOOKUP(TABLA_PRECIOS_LISTBOX_VENTAS[Código],LISTADO_PRODUCTOS[#All],4)</f>
        <v>Diamantina Maped</v>
      </c>
      <c r="C437" s="6" t="str">
        <f>VLOOKUP(TABLA_PRECIOS_LISTBOX_VENTAS[Código],LISTADO_PRODUCTOS[#All],5)</f>
        <v>N/A</v>
      </c>
      <c r="D437" s="28">
        <f>VLOOKUP(TABLA_PRECIOS_LISTBOX_VENTAS[[#This Row],[Código]],TABLA_PRECIOS[#All],7)</f>
        <v>1</v>
      </c>
    </row>
    <row r="438" spans="1:4" ht="12" customHeight="1" x14ac:dyDescent="0.3">
      <c r="A438" s="4">
        <v>2238</v>
      </c>
      <c r="B438" s="6" t="str">
        <f>VLOOKUP(TABLA_PRECIOS_LISTBOX_VENTAS[Código],LISTADO_PRODUCTOS[#All],4)</f>
        <v>Tempera Señorita Comun x 250ml</v>
      </c>
      <c r="C438" s="6" t="str">
        <f>VLOOKUP(TABLA_PRECIOS_LISTBOX_VENTAS[Código],LISTADO_PRODUCTOS[#All],5)</f>
        <v>N/A</v>
      </c>
      <c r="D438" s="28">
        <f>VLOOKUP(TABLA_PRECIOS_LISTBOX_VENTAS[[#This Row],[Código]],TABLA_PRECIOS[#All],7)</f>
        <v>1</v>
      </c>
    </row>
    <row r="439" spans="1:4" ht="12" customHeight="1" x14ac:dyDescent="0.3">
      <c r="A439" s="4">
        <v>2239</v>
      </c>
      <c r="B439" s="6" t="str">
        <f>VLOOKUP(TABLA_PRECIOS_LISTBOX_VENTAS[Código],LISTADO_PRODUCTOS[#All],4)</f>
        <v>Tempera Señorita FLUO x 250ml</v>
      </c>
      <c r="C439" s="6" t="str">
        <f>VLOOKUP(TABLA_PRECIOS_LISTBOX_VENTAS[Código],LISTADO_PRODUCTOS[#All],5)</f>
        <v>N/A</v>
      </c>
      <c r="D439" s="28">
        <f>VLOOKUP(TABLA_PRECIOS_LISTBOX_VENTAS[[#This Row],[Código]],TABLA_PRECIOS[#All],7)</f>
        <v>1</v>
      </c>
    </row>
    <row r="440" spans="1:4" ht="12" customHeight="1" x14ac:dyDescent="0.3">
      <c r="A440" s="4">
        <v>2240</v>
      </c>
      <c r="B440" s="6" t="str">
        <f>VLOOKUP(TABLA_PRECIOS_LISTBOX_VENTAS[Código],LISTADO_PRODUCTOS[#All],4)</f>
        <v>Tempera Señorita Metalizado x 250ml</v>
      </c>
      <c r="C440" s="6" t="str">
        <f>VLOOKUP(TABLA_PRECIOS_LISTBOX_VENTAS[Código],LISTADO_PRODUCTOS[#All],5)</f>
        <v>N/A</v>
      </c>
      <c r="D440" s="28">
        <f>VLOOKUP(TABLA_PRECIOS_LISTBOX_VENTAS[[#This Row],[Código]],TABLA_PRECIOS[#All],7)</f>
        <v>1</v>
      </c>
    </row>
    <row r="441" spans="1:4" ht="12" customHeight="1" x14ac:dyDescent="0.3">
      <c r="A441" s="4">
        <v>2255</v>
      </c>
      <c r="B441" s="6" t="str">
        <f>VLOOKUP(TABLA_PRECIOS_LISTBOX_VENTAS[Código],LISTADO_PRODUCTOS[#All],4)</f>
        <v>Acuarela Filgo x 12u</v>
      </c>
      <c r="C441" s="6" t="str">
        <f>VLOOKUP(TABLA_PRECIOS_LISTBOX_VENTAS[Código],LISTADO_PRODUCTOS[#All],5)</f>
        <v>N/A</v>
      </c>
      <c r="D441" s="28">
        <f>VLOOKUP(TABLA_PRECIOS_LISTBOX_VENTAS[[#This Row],[Código]],TABLA_PRECIOS[#All],7)</f>
        <v>1</v>
      </c>
    </row>
    <row r="442" spans="1:4" ht="12" customHeight="1" x14ac:dyDescent="0.3">
      <c r="A442" s="4">
        <v>2311</v>
      </c>
      <c r="B442" s="6" t="str">
        <f>VLOOKUP(TABLA_PRECIOS_LISTBOX_VENTAS[Código],LISTADO_PRODUCTOS[#All],4)</f>
        <v>Lentejuelas sifap x9 surt</v>
      </c>
      <c r="C442" s="6" t="str">
        <f>VLOOKUP(TABLA_PRECIOS_LISTBOX_VENTAS[Código],LISTADO_PRODUCTOS[#All],5)</f>
        <v>N/A</v>
      </c>
      <c r="D442" s="28">
        <f>VLOOKUP(TABLA_PRECIOS_LISTBOX_VENTAS[[#This Row],[Código]],TABLA_PRECIOS[#All],7)</f>
        <v>1</v>
      </c>
    </row>
    <row r="443" spans="1:4" ht="12" customHeight="1" x14ac:dyDescent="0.3">
      <c r="A443" s="4">
        <v>2315</v>
      </c>
      <c r="B443" s="6" t="str">
        <f>VLOOKUP(TABLA_PRECIOS_LISTBOX_VENTAS[Código],LISTADO_PRODUCTOS[#All],4)</f>
        <v xml:space="preserve">Pintura dimensional eterna colores </v>
      </c>
      <c r="C443" s="6" t="str">
        <f>VLOOKUP(TABLA_PRECIOS_LISTBOX_VENTAS[Código],LISTADO_PRODUCTOS[#All],5)</f>
        <v>N/A</v>
      </c>
      <c r="D443" s="28">
        <f>VLOOKUP(TABLA_PRECIOS_LISTBOX_VENTAS[[#This Row],[Código]],TABLA_PRECIOS[#All],7)</f>
        <v>1</v>
      </c>
    </row>
    <row r="444" spans="1:4" ht="12" customHeight="1" x14ac:dyDescent="0.3">
      <c r="A444" s="4">
        <v>2317</v>
      </c>
      <c r="B444" s="6" t="str">
        <f>VLOOKUP(TABLA_PRECIOS_LISTBOX_VENTAS[Código],LISTADO_PRODUCTOS[#All],4)</f>
        <v>Anilina Yacolor</v>
      </c>
      <c r="C444" s="6" t="str">
        <f>VLOOKUP(TABLA_PRECIOS_LISTBOX_VENTAS[Código],LISTADO_PRODUCTOS[#All],5)</f>
        <v>N/A</v>
      </c>
      <c r="D444" s="28">
        <f>VLOOKUP(TABLA_PRECIOS_LISTBOX_VENTAS[[#This Row],[Código]],TABLA_PRECIOS[#All],7)</f>
        <v>1</v>
      </c>
    </row>
    <row r="445" spans="1:4" ht="12" customHeight="1" x14ac:dyDescent="0.3">
      <c r="A445" s="4">
        <v>2318</v>
      </c>
      <c r="B445" s="6" t="str">
        <f>VLOOKUP(TABLA_PRECIOS_LISTBOX_VENTAS[Código],LISTADO_PRODUCTOS[#All],4)</f>
        <v>Block Nº6 Capitolio Fluo x 16h</v>
      </c>
      <c r="C445" s="6" t="str">
        <f>VLOOKUP(TABLA_PRECIOS_LISTBOX_VENTAS[Código],LISTADO_PRODUCTOS[#All],5)</f>
        <v>N/A</v>
      </c>
      <c r="D445" s="28">
        <f>VLOOKUP(TABLA_PRECIOS_LISTBOX_VENTAS[[#This Row],[Código]],TABLA_PRECIOS[#All],7)</f>
        <v>1</v>
      </c>
    </row>
    <row r="446" spans="1:4" ht="12" customHeight="1" x14ac:dyDescent="0.3">
      <c r="A446" s="4">
        <v>2320</v>
      </c>
      <c r="B446" s="6" t="str">
        <f>VLOOKUP(TABLA_PRECIOS_LISTBOX_VENTAS[Código],LISTADO_PRODUCTOS[#All],4)</f>
        <v>Cutter Olami 18mm Mango de goma</v>
      </c>
      <c r="C446" s="6" t="str">
        <f>VLOOKUP(TABLA_PRECIOS_LISTBOX_VENTAS[Código],LISTADO_PRODUCTOS[#All],5)</f>
        <v>N/A</v>
      </c>
      <c r="D446" s="28">
        <f>VLOOKUP(TABLA_PRECIOS_LISTBOX_VENTAS[[#This Row],[Código]],TABLA_PRECIOS[#All],7)</f>
        <v>1</v>
      </c>
    </row>
    <row r="447" spans="1:4" x14ac:dyDescent="0.3">
      <c r="A447" s="4">
        <v>2321</v>
      </c>
      <c r="B447" s="6" t="str">
        <f>VLOOKUP(TABLA_PRECIOS_LISTBOX_VENTAS[Código],LISTADO_PRODUCTOS[#All],4)</f>
        <v>Cutter Olami 9mm Guia metal Mango de Goma</v>
      </c>
      <c r="C447" s="6" t="str">
        <f>VLOOKUP(TABLA_PRECIOS_LISTBOX_VENTAS[Código],LISTADO_PRODUCTOS[#All],5)</f>
        <v>N/A</v>
      </c>
      <c r="D447" s="28">
        <f>VLOOKUP(TABLA_PRECIOS_LISTBOX_VENTAS[[#This Row],[Código]],TABLA_PRECIOS[#All],7)</f>
        <v>1</v>
      </c>
    </row>
    <row r="448" spans="1:4" x14ac:dyDescent="0.3">
      <c r="A448" s="4">
        <v>2326</v>
      </c>
      <c r="B448" s="6" t="str">
        <f>VLOOKUP(TABLA_PRECIOS_LISTBOX_VENTAS[Código],LISTADO_PRODUCTOS[#All],4)</f>
        <v xml:space="preserve">Barrita de silicona fina Suprabond </v>
      </c>
      <c r="C448" s="6" t="str">
        <f>VLOOKUP(TABLA_PRECIOS_LISTBOX_VENTAS[Código],LISTADO_PRODUCTOS[#All],5)</f>
        <v>N/A</v>
      </c>
      <c r="D448" s="28">
        <f>VLOOKUP(TABLA_PRECIOS_LISTBOX_VENTAS[[#This Row],[Código]],TABLA_PRECIOS[#All],7)</f>
        <v>1</v>
      </c>
    </row>
    <row r="449" spans="1:4" x14ac:dyDescent="0.3">
      <c r="A449" s="4">
        <v>2327</v>
      </c>
      <c r="B449" s="6" t="str">
        <f>VLOOKUP(TABLA_PRECIOS_LISTBOX_VENTAS[Código],LISTADO_PRODUCTOS[#All],4)</f>
        <v xml:space="preserve">Barrita de silicona Gruesa Suprabond </v>
      </c>
      <c r="C449" s="6" t="str">
        <f>VLOOKUP(TABLA_PRECIOS_LISTBOX_VENTAS[Código],LISTADO_PRODUCTOS[#All],5)</f>
        <v>N/A</v>
      </c>
      <c r="D449" s="28">
        <f>VLOOKUP(TABLA_PRECIOS_LISTBOX_VENTAS[[#This Row],[Código]],TABLA_PRECIOS[#All],7)</f>
        <v>1</v>
      </c>
    </row>
    <row r="450" spans="1:4" x14ac:dyDescent="0.3">
      <c r="A450" s="4">
        <v>2330</v>
      </c>
      <c r="B450" s="6" t="str">
        <f>VLOOKUP(TABLA_PRECIOS_LISTBOX_VENTAS[Código],LISTADO_PRODUCTOS[#All],4)</f>
        <v>Palitos de helado colores surtidos x 50u</v>
      </c>
      <c r="C450" s="6" t="str">
        <f>VLOOKUP(TABLA_PRECIOS_LISTBOX_VENTAS[Código],LISTADO_PRODUCTOS[#All],5)</f>
        <v>N/A</v>
      </c>
      <c r="D450" s="28">
        <f>VLOOKUP(TABLA_PRECIOS_LISTBOX_VENTAS[[#This Row],[Código]],TABLA_PRECIOS[#All],7)</f>
        <v>1</v>
      </c>
    </row>
    <row r="451" spans="1:4" x14ac:dyDescent="0.3">
      <c r="A451" s="4">
        <v>2332</v>
      </c>
      <c r="B451" s="6" t="str">
        <f>VLOOKUP(TABLA_PRECIOS_LISTBOX_VENTAS[Código],LISTADO_PRODUCTOS[#All],4)</f>
        <v>Block Origami El Nene x 24h bicolor</v>
      </c>
      <c r="C451" s="6" t="str">
        <f>VLOOKUP(TABLA_PRECIOS_LISTBOX_VENTAS[Código],LISTADO_PRODUCTOS[#All],5)</f>
        <v>N/A</v>
      </c>
      <c r="D451" s="28">
        <f>VLOOKUP(TABLA_PRECIOS_LISTBOX_VENTAS[[#This Row],[Código]],TABLA_PRECIOS[#All],7)</f>
        <v>1</v>
      </c>
    </row>
    <row r="452" spans="1:4" x14ac:dyDescent="0.3">
      <c r="A452" s="4">
        <v>2336</v>
      </c>
      <c r="B452" s="6" t="str">
        <f>VLOOKUP(TABLA_PRECIOS_LISTBOX_VENTAS[Código],LISTADO_PRODUCTOS[#All],4)</f>
        <v>Palito de helado paleta/jumbo colores x 50u</v>
      </c>
      <c r="C452" s="6" t="str">
        <f>VLOOKUP(TABLA_PRECIOS_LISTBOX_VENTAS[Código],LISTADO_PRODUCTOS[#All],5)</f>
        <v>N/A</v>
      </c>
      <c r="D452" s="28">
        <f>VLOOKUP(TABLA_PRECIOS_LISTBOX_VENTAS[[#This Row],[Código]],TABLA_PRECIOS[#All],7)</f>
        <v>1</v>
      </c>
    </row>
    <row r="453" spans="1:4" x14ac:dyDescent="0.3">
      <c r="A453" s="4">
        <v>2338</v>
      </c>
      <c r="B453" s="6" t="str">
        <f>VLOOKUP(TABLA_PRECIOS_LISTBOX_VENTAS[Código],LISTADO_PRODUCTOS[#All],4)</f>
        <v>Marcador Edding 4200 P/Porcelana x6u</v>
      </c>
      <c r="C453" s="6" t="str">
        <f>VLOOKUP(TABLA_PRECIOS_LISTBOX_VENTAS[Código],LISTADO_PRODUCTOS[#All],5)</f>
        <v>N/A</v>
      </c>
      <c r="D453" s="28">
        <f>VLOOKUP(TABLA_PRECIOS_LISTBOX_VENTAS[[#This Row],[Código]],TABLA_PRECIOS[#All],7)</f>
        <v>1</v>
      </c>
    </row>
    <row r="454" spans="1:4" x14ac:dyDescent="0.3">
      <c r="A454" s="4">
        <v>2348</v>
      </c>
      <c r="B454" s="6" t="str">
        <f>VLOOKUP(TABLA_PRECIOS_LISTBOX_VENTAS[Código],LISTADO_PRODUCTOS[#All],4)</f>
        <v>Cutter Maped 9mm</v>
      </c>
      <c r="C454" s="6" t="str">
        <f>VLOOKUP(TABLA_PRECIOS_LISTBOX_VENTAS[Código],LISTADO_PRODUCTOS[#All],5)</f>
        <v>N/A</v>
      </c>
      <c r="D454" s="28">
        <f>VLOOKUP(TABLA_PRECIOS_LISTBOX_VENTAS[[#This Row],[Código]],TABLA_PRECIOS[#All],7)</f>
        <v>1</v>
      </c>
    </row>
    <row r="455" spans="1:4" x14ac:dyDescent="0.3">
      <c r="A455" s="4">
        <v>2356</v>
      </c>
      <c r="B455" s="6" t="str">
        <f>VLOOKUP(TABLA_PRECIOS_LISTBOX_VENTAS[Código],LISTADO_PRODUCTOS[#All],4)</f>
        <v>Cutter Olami plastico en bolsa Hoja ancha</v>
      </c>
      <c r="C455" s="6" t="str">
        <f>VLOOKUP(TABLA_PRECIOS_LISTBOX_VENTAS[Código],LISTADO_PRODUCTOS[#All],5)</f>
        <v>N/A</v>
      </c>
      <c r="D455" s="28">
        <f>VLOOKUP(TABLA_PRECIOS_LISTBOX_VENTAS[[#This Row],[Código]],TABLA_PRECIOS[#All],7)</f>
        <v>1</v>
      </c>
    </row>
    <row r="456" spans="1:4" x14ac:dyDescent="0.3">
      <c r="A456" s="4">
        <v>2357</v>
      </c>
      <c r="B456" s="6" t="str">
        <f>VLOOKUP(TABLA_PRECIOS_LISTBOX_VENTAS[Código],LISTADO_PRODUCTOS[#All],4)</f>
        <v>Cutter Olami c/freno plastico en bolsa hoja fina</v>
      </c>
      <c r="C456" s="6" t="str">
        <f>VLOOKUP(TABLA_PRECIOS_LISTBOX_VENTAS[Código],LISTADO_PRODUCTOS[#All],5)</f>
        <v>N/A</v>
      </c>
      <c r="D456" s="28">
        <f>VLOOKUP(TABLA_PRECIOS_LISTBOX_VENTAS[[#This Row],[Código]],TABLA_PRECIOS[#All],7)</f>
        <v>1</v>
      </c>
    </row>
    <row r="457" spans="1:4" x14ac:dyDescent="0.3">
      <c r="A457" s="4">
        <v>2364</v>
      </c>
      <c r="B457" s="6" t="str">
        <f>VLOOKUP(TABLA_PRECIOS_LISTBOX_VENTAS[Código],LISTADO_PRODUCTOS[#All],4)</f>
        <v>Brillantina Stick/con formitas Sifap</v>
      </c>
      <c r="C457" s="6" t="str">
        <f>VLOOKUP(TABLA_PRECIOS_LISTBOX_VENTAS[Código],LISTADO_PRODUCTOS[#All],5)</f>
        <v>N/A</v>
      </c>
      <c r="D457" s="28">
        <f>VLOOKUP(TABLA_PRECIOS_LISTBOX_VENTAS[[#This Row],[Código]],TABLA_PRECIOS[#All],7)</f>
        <v>1</v>
      </c>
    </row>
    <row r="458" spans="1:4" x14ac:dyDescent="0.3">
      <c r="A458" s="4">
        <v>2374</v>
      </c>
      <c r="B458" s="6" t="str">
        <f>VLOOKUP(TABLA_PRECIOS_LISTBOX_VENTAS[Código],LISTADO_PRODUCTOS[#All],4)</f>
        <v>Cinta Ribbonete lisa 11mm x 50m Azul/rosa/lila/verde/naranja</v>
      </c>
      <c r="C458" s="6" t="str">
        <f>VLOOKUP(TABLA_PRECIOS_LISTBOX_VENTAS[Código],LISTADO_PRODUCTOS[#All],5)</f>
        <v>N/A</v>
      </c>
      <c r="D458" s="28">
        <f>VLOOKUP(TABLA_PRECIOS_LISTBOX_VENTAS[[#This Row],[Código]],TABLA_PRECIOS[#All],7)</f>
        <v>1</v>
      </c>
    </row>
    <row r="459" spans="1:4" x14ac:dyDescent="0.3">
      <c r="A459" s="4">
        <v>2380</v>
      </c>
      <c r="B459" s="6" t="str">
        <f>VLOOKUP(TABLA_PRECIOS_LISTBOX_VENTAS[Código],LISTADO_PRODUCTOS[#All],4)</f>
        <v>PVC contact Glitter x mt</v>
      </c>
      <c r="C459" s="6" t="str">
        <f>VLOOKUP(TABLA_PRECIOS_LISTBOX_VENTAS[Código],LISTADO_PRODUCTOS[#All],5)</f>
        <v>N/A</v>
      </c>
      <c r="D459" s="28">
        <f>VLOOKUP(TABLA_PRECIOS_LISTBOX_VENTAS[[#This Row],[Código]],TABLA_PRECIOS[#All],7)</f>
        <v>1</v>
      </c>
    </row>
    <row r="460" spans="1:4" x14ac:dyDescent="0.3">
      <c r="A460" s="4">
        <v>2381</v>
      </c>
      <c r="B460" s="6" t="str">
        <f>VLOOKUP(TABLA_PRECIOS_LISTBOX_VENTAS[Código],LISTADO_PRODUCTOS[#All],4)</f>
        <v>PVC contact transparente x mt</v>
      </c>
      <c r="C460" s="6" t="str">
        <f>VLOOKUP(TABLA_PRECIOS_LISTBOX_VENTAS[Código],LISTADO_PRODUCTOS[#All],5)</f>
        <v>N/A</v>
      </c>
      <c r="D460" s="28">
        <f>VLOOKUP(TABLA_PRECIOS_LISTBOX_VENTAS[[#This Row],[Código]],TABLA_PRECIOS[#All],7)</f>
        <v>1</v>
      </c>
    </row>
    <row r="461" spans="1:4" x14ac:dyDescent="0.3">
      <c r="A461" s="4">
        <v>2382</v>
      </c>
      <c r="B461" s="6" t="str">
        <f>VLOOKUP(TABLA_PRECIOS_LISTBOX_VENTAS[Código],LISTADO_PRODUCTOS[#All],4)</f>
        <v>PVC contact madera x mt</v>
      </c>
      <c r="C461" s="6" t="str">
        <f>VLOOKUP(TABLA_PRECIOS_LISTBOX_VENTAS[Código],LISTADO_PRODUCTOS[#All],5)</f>
        <v>N/A</v>
      </c>
      <c r="D461" s="28">
        <f>VLOOKUP(TABLA_PRECIOS_LISTBOX_VENTAS[[#This Row],[Código]],TABLA_PRECIOS[#All],7)</f>
        <v>1</v>
      </c>
    </row>
    <row r="462" spans="1:4" x14ac:dyDescent="0.3">
      <c r="A462" s="4">
        <v>2383</v>
      </c>
      <c r="B462" s="6" t="str">
        <f>VLOOKUP(TABLA_PRECIOS_LISTBOX_VENTAS[Código],LISTADO_PRODUCTOS[#All],4)</f>
        <v>PVC contact color x mt</v>
      </c>
      <c r="C462" s="6" t="str">
        <f>VLOOKUP(TABLA_PRECIOS_LISTBOX_VENTAS[Código],LISTADO_PRODUCTOS[#All],5)</f>
        <v>N/A</v>
      </c>
      <c r="D462" s="28">
        <f>VLOOKUP(TABLA_PRECIOS_LISTBOX_VENTAS[[#This Row],[Código]],TABLA_PRECIOS[#All],7)</f>
        <v>1</v>
      </c>
    </row>
    <row r="463" spans="1:4" x14ac:dyDescent="0.3">
      <c r="A463" s="4">
        <v>2384</v>
      </c>
      <c r="B463" s="6" t="str">
        <f>VLOOKUP(TABLA_PRECIOS_LISTBOX_VENTAS[Código],LISTADO_PRODUCTOS[#All],4)</f>
        <v>PVC holografiado x mt</v>
      </c>
      <c r="C463" s="6" t="str">
        <f>VLOOKUP(TABLA_PRECIOS_LISTBOX_VENTAS[Código],LISTADO_PRODUCTOS[#All],5)</f>
        <v>N/A</v>
      </c>
      <c r="D463" s="28">
        <f>VLOOKUP(TABLA_PRECIOS_LISTBOX_VENTAS[[#This Row],[Código]],TABLA_PRECIOS[#All],7)</f>
        <v>1</v>
      </c>
    </row>
    <row r="464" spans="1:4" x14ac:dyDescent="0.3">
      <c r="A464" s="4">
        <v>2385</v>
      </c>
      <c r="B464" s="6" t="str">
        <f>VLOOKUP(TABLA_PRECIOS_LISTBOX_VENTAS[Código],LISTADO_PRODUCTOS[#All],4)</f>
        <v>PVC traslucido x mt</v>
      </c>
      <c r="C464" s="6" t="str">
        <f>VLOOKUP(TABLA_PRECIOS_LISTBOX_VENTAS[Código],LISTADO_PRODUCTOS[#All],5)</f>
        <v>N/A</v>
      </c>
      <c r="D464" s="28">
        <f>VLOOKUP(TABLA_PRECIOS_LISTBOX_VENTAS[[#This Row],[Código]],TABLA_PRECIOS[#All],7)</f>
        <v>1</v>
      </c>
    </row>
    <row r="465" spans="1:4" x14ac:dyDescent="0.3">
      <c r="A465" s="4">
        <v>2386</v>
      </c>
      <c r="B465" s="6" t="str">
        <f>VLOOKUP(TABLA_PRECIOS_LISTBOX_VENTAS[Código],LISTADO_PRODUCTOS[#All],4)</f>
        <v>PVC contact ORO/PLATA x mt</v>
      </c>
      <c r="C465" s="6" t="str">
        <f>VLOOKUP(TABLA_PRECIOS_LISTBOX_VENTAS[Código],LISTADO_PRODUCTOS[#All],5)</f>
        <v>N/A</v>
      </c>
      <c r="D465" s="28">
        <f>VLOOKUP(TABLA_PRECIOS_LISTBOX_VENTAS[[#This Row],[Código]],TABLA_PRECIOS[#All],7)</f>
        <v>1</v>
      </c>
    </row>
    <row r="466" spans="1:4" x14ac:dyDescent="0.3">
      <c r="A466" s="4">
        <v>2387</v>
      </c>
      <c r="B466" s="6" t="str">
        <f>VLOOKUP(TABLA_PRECIOS_LISTBOX_VENTAS[Código],LISTADO_PRODUCTOS[#All],4)</f>
        <v>PVC contact dibujos x mt</v>
      </c>
      <c r="C466" s="6" t="str">
        <f>VLOOKUP(TABLA_PRECIOS_LISTBOX_VENTAS[Código],LISTADO_PRODUCTOS[#All],5)</f>
        <v>N/A</v>
      </c>
      <c r="D466" s="28">
        <f>VLOOKUP(TABLA_PRECIOS_LISTBOX_VENTAS[[#This Row],[Código]],TABLA_PRECIOS[#All],7)</f>
        <v>1</v>
      </c>
    </row>
    <row r="467" spans="1:4" x14ac:dyDescent="0.3">
      <c r="A467" s="4">
        <v>2388</v>
      </c>
      <c r="B467" s="6" t="str">
        <f>VLOOKUP(TABLA_PRECIOS_LISTBOX_VENTAS[Código],LISTADO_PRODUCTOS[#All],4)</f>
        <v>Cinta papel New-Tape 48mm x 40mts</v>
      </c>
      <c r="C467" s="6" t="str">
        <f>VLOOKUP(TABLA_PRECIOS_LISTBOX_VENTAS[Código],LISTADO_PRODUCTOS[#All],5)</f>
        <v>N/A</v>
      </c>
      <c r="D467" s="28">
        <f>VLOOKUP(TABLA_PRECIOS_LISTBOX_VENTAS[[#This Row],[Código]],TABLA_PRECIOS[#All],7)</f>
        <v>1</v>
      </c>
    </row>
    <row r="468" spans="1:4" x14ac:dyDescent="0.3">
      <c r="A468" s="4">
        <v>2389</v>
      </c>
      <c r="B468" s="6" t="str">
        <f>VLOOKUP(TABLA_PRECIOS_LISTBOX_VENTAS[Código],LISTADO_PRODUCTOS[#All],4)</f>
        <v>Cinta Papel New-Tape/Stioko 36mm x 40mts</v>
      </c>
      <c r="C468" s="6" t="str">
        <f>VLOOKUP(TABLA_PRECIOS_LISTBOX_VENTAS[Código],LISTADO_PRODUCTOS[#All],5)</f>
        <v>N/A</v>
      </c>
      <c r="D468" s="28">
        <f>VLOOKUP(TABLA_PRECIOS_LISTBOX_VENTAS[[#This Row],[Código]],TABLA_PRECIOS[#All],7)</f>
        <v>1</v>
      </c>
    </row>
    <row r="469" spans="1:4" x14ac:dyDescent="0.3">
      <c r="A469" s="4">
        <v>2390</v>
      </c>
      <c r="B469" s="6" t="str">
        <f>VLOOKUP(TABLA_PRECIOS_LISTBOX_VENTAS[Código],LISTADO_PRODUCTOS[#All],4)</f>
        <v>Cinta Papel New-Tape/Fijapel 24mm x 40mts</v>
      </c>
      <c r="C469" s="6" t="str">
        <f>VLOOKUP(TABLA_PRECIOS_LISTBOX_VENTAS[Código],LISTADO_PRODUCTOS[#All],5)</f>
        <v>N/A</v>
      </c>
      <c r="D469" s="28">
        <f>VLOOKUP(TABLA_PRECIOS_LISTBOX_VENTAS[[#This Row],[Código]],TABLA_PRECIOS[#All],7)</f>
        <v>1</v>
      </c>
    </row>
    <row r="470" spans="1:4" x14ac:dyDescent="0.3">
      <c r="A470" s="4">
        <v>2391</v>
      </c>
      <c r="B470" s="6" t="str">
        <f>VLOOKUP(TABLA_PRECIOS_LISTBOX_VENTAS[Código],LISTADO_PRODUCTOS[#All],4)</f>
        <v>Sticker perritos goma eva</v>
      </c>
      <c r="C470" s="6" t="str">
        <f>VLOOKUP(TABLA_PRECIOS_LISTBOX_VENTAS[Código],LISTADO_PRODUCTOS[#All],5)</f>
        <v>N/A</v>
      </c>
      <c r="D470" s="28">
        <f>VLOOKUP(TABLA_PRECIOS_LISTBOX_VENTAS[[#This Row],[Código]],TABLA_PRECIOS[#All],7)</f>
        <v>1</v>
      </c>
    </row>
    <row r="471" spans="1:4" x14ac:dyDescent="0.3">
      <c r="A471" s="4">
        <v>2394</v>
      </c>
      <c r="B471" s="6" t="str">
        <f>VLOOKUP(TABLA_PRECIOS_LISTBOX_VENTAS[Código],LISTADO_PRODUCTOS[#All],4)</f>
        <v>Repuesto cuchilla Cutter comun 18mm cuchilla ancha x10u $50 x u</v>
      </c>
      <c r="C471" s="6" t="str">
        <f>VLOOKUP(TABLA_PRECIOS_LISTBOX_VENTAS[Código],LISTADO_PRODUCTOS[#All],5)</f>
        <v>N/A</v>
      </c>
      <c r="D471" s="28">
        <f>VLOOKUP(TABLA_PRECIOS_LISTBOX_VENTAS[[#This Row],[Código]],TABLA_PRECIOS[#All],7)</f>
        <v>1</v>
      </c>
    </row>
    <row r="472" spans="1:4" x14ac:dyDescent="0.3">
      <c r="A472" s="4">
        <v>2395</v>
      </c>
      <c r="B472" s="6" t="str">
        <f>VLOOKUP(TABLA_PRECIOS_LISTBOX_VENTAS[Código],LISTADO_PRODUCTOS[#All],4)</f>
        <v>Repuesto Cutter cuchilla SDI 18mm ancha x10u (la grande) $150 x u</v>
      </c>
      <c r="C472" s="6" t="str">
        <f>VLOOKUP(TABLA_PRECIOS_LISTBOX_VENTAS[Código],LISTADO_PRODUCTOS[#All],5)</f>
        <v>N/A</v>
      </c>
      <c r="D472" s="28">
        <f>VLOOKUP(TABLA_PRECIOS_LISTBOX_VENTAS[[#This Row],[Código]],TABLA_PRECIOS[#All],7)</f>
        <v>1</v>
      </c>
    </row>
    <row r="473" spans="1:4" x14ac:dyDescent="0.3">
      <c r="A473" s="4">
        <v>2396</v>
      </c>
      <c r="B473" s="6" t="str">
        <f>VLOOKUP(TABLA_PRECIOS_LISTBOX_VENTAS[Código],LISTADO_PRODUCTOS[#All],4)</f>
        <v>Repuesto cuchilla Cutter x hoha 9mm (la chica) $50 x u</v>
      </c>
      <c r="C473" s="6" t="str">
        <f>VLOOKUP(TABLA_PRECIOS_LISTBOX_VENTAS[Código],LISTADO_PRODUCTOS[#All],5)</f>
        <v>N/A</v>
      </c>
      <c r="D473" s="28">
        <f>VLOOKUP(TABLA_PRECIOS_LISTBOX_VENTAS[[#This Row],[Código]],TABLA_PRECIOS[#All],7)</f>
        <v>1</v>
      </c>
    </row>
    <row r="474" spans="1:4" x14ac:dyDescent="0.3">
      <c r="A474" s="4">
        <v>2398</v>
      </c>
      <c r="B474" s="6" t="str">
        <f>VLOOKUP(TABLA_PRECIOS_LISTBOX_VENTAS[Código],LISTADO_PRODUCTOS[#All],4)</f>
        <v>Pvc Contac Transparente x 2mt</v>
      </c>
      <c r="C474" s="6" t="str">
        <f>VLOOKUP(TABLA_PRECIOS_LISTBOX_VENTAS[Código],LISTADO_PRODUCTOS[#All],5)</f>
        <v>N/A</v>
      </c>
      <c r="D474" s="28">
        <f>VLOOKUP(TABLA_PRECIOS_LISTBOX_VENTAS[[#This Row],[Código]],TABLA_PRECIOS[#All],7)</f>
        <v>1</v>
      </c>
    </row>
    <row r="475" spans="1:4" x14ac:dyDescent="0.3">
      <c r="A475" s="4">
        <v>2399</v>
      </c>
      <c r="B475" s="6" t="str">
        <f>VLOOKUP(TABLA_PRECIOS_LISTBOX_VENTAS[Código],LISTADO_PRODUCTOS[#All],4)</f>
        <v>Barrita de silicona Fina Liggo (85 x bolsa)</v>
      </c>
      <c r="C475" s="6" t="str">
        <f>VLOOKUP(TABLA_PRECIOS_LISTBOX_VENTAS[Código],LISTADO_PRODUCTOS[#All],5)</f>
        <v>N/A</v>
      </c>
      <c r="D475" s="28">
        <f>VLOOKUP(TABLA_PRECIOS_LISTBOX_VENTAS[[#This Row],[Código]],TABLA_PRECIOS[#All],7)</f>
        <v>1</v>
      </c>
    </row>
    <row r="476" spans="1:4" x14ac:dyDescent="0.3">
      <c r="A476" s="4">
        <v>2400</v>
      </c>
      <c r="B476" s="6" t="str">
        <f>VLOOKUP(TABLA_PRECIOS_LISTBOX_VENTAS[Código],LISTADO_PRODUCTOS[#All],4)</f>
        <v xml:space="preserve">Barrita de silicona Gruesa Liggo </v>
      </c>
      <c r="C476" s="6" t="str">
        <f>VLOOKUP(TABLA_PRECIOS_LISTBOX_VENTAS[Código],LISTADO_PRODUCTOS[#All],5)</f>
        <v>N/A</v>
      </c>
      <c r="D476" s="28">
        <f>VLOOKUP(TABLA_PRECIOS_LISTBOX_VENTAS[[#This Row],[Código]],TABLA_PRECIOS[#All],7)</f>
        <v>1</v>
      </c>
    </row>
    <row r="477" spans="1:4" x14ac:dyDescent="0.3">
      <c r="A477" s="4">
        <v>2401</v>
      </c>
      <c r="B477" s="6" t="str">
        <f>VLOOKUP(TABLA_PRECIOS_LISTBOX_VENTAS[Código],LISTADO_PRODUCTOS[#All],4)</f>
        <v>Tijera Maped Crea Cut 5 cortes</v>
      </c>
      <c r="C477" s="6" t="str">
        <f>VLOOKUP(TABLA_PRECIOS_LISTBOX_VENTAS[Código],LISTADO_PRODUCTOS[#All],5)</f>
        <v>N/A</v>
      </c>
      <c r="D477" s="28">
        <f>VLOOKUP(TABLA_PRECIOS_LISTBOX_VENTAS[[#This Row],[Código]],TABLA_PRECIOS[#All],7)</f>
        <v>1</v>
      </c>
    </row>
    <row r="478" spans="1:4" x14ac:dyDescent="0.3">
      <c r="A478" s="4">
        <v>2402</v>
      </c>
      <c r="B478" s="6" t="str">
        <f>VLOOKUP(TABLA_PRECIOS_LISTBOX_VENTAS[Código],LISTADO_PRODUCTOS[#All],4)</f>
        <v>Tubo lanza papel</v>
      </c>
      <c r="C478" s="6" t="str">
        <f>VLOOKUP(TABLA_PRECIOS_LISTBOX_VENTAS[Código],LISTADO_PRODUCTOS[#All],5)</f>
        <v>N/A</v>
      </c>
      <c r="D478" s="28">
        <f>VLOOKUP(TABLA_PRECIOS_LISTBOX_VENTAS[[#This Row],[Código]],TABLA_PRECIOS[#All],7)</f>
        <v>1</v>
      </c>
    </row>
    <row r="479" spans="1:4" x14ac:dyDescent="0.3">
      <c r="A479" s="4">
        <v>2405</v>
      </c>
      <c r="B479" s="6" t="str">
        <f>VLOOKUP(TABLA_PRECIOS_LISTBOX_VENTAS[Código],LISTADO_PRODUCTOS[#All],4)</f>
        <v>Tijera Ibi Craft corte con Formas</v>
      </c>
      <c r="C479" s="6" t="str">
        <f>VLOOKUP(TABLA_PRECIOS_LISTBOX_VENTAS[Código],LISTADO_PRODUCTOS[#All],5)</f>
        <v>N/A</v>
      </c>
      <c r="D479" s="28">
        <f>VLOOKUP(TABLA_PRECIOS_LISTBOX_VENTAS[[#This Row],[Código]],TABLA_PRECIOS[#All],7)</f>
        <v>1</v>
      </c>
    </row>
    <row r="480" spans="1:4" x14ac:dyDescent="0.3">
      <c r="A480" s="4">
        <v>2421</v>
      </c>
      <c r="B480" s="6" t="str">
        <f>VLOOKUP(TABLA_PRECIOS_LISTBOX_VENTAS[Código],LISTADO_PRODUCTOS[#All],4)</f>
        <v>Cinta papel Enmascarar Stiko escolar Rollo chico 18mm x 20m</v>
      </c>
      <c r="C480" s="6" t="str">
        <f>VLOOKUP(TABLA_PRECIOS_LISTBOX_VENTAS[Código],LISTADO_PRODUCTOS[#All],5)</f>
        <v>N/A</v>
      </c>
      <c r="D480" s="28">
        <f>VLOOKUP(TABLA_PRECIOS_LISTBOX_VENTAS[[#This Row],[Código]],TABLA_PRECIOS[#All],7)</f>
        <v>1</v>
      </c>
    </row>
    <row r="481" spans="1:4" x14ac:dyDescent="0.3">
      <c r="A481" s="4">
        <v>2422</v>
      </c>
      <c r="B481" s="6" t="str">
        <f>VLOOKUP(TABLA_PRECIOS_LISTBOX_VENTAS[Código],LISTADO_PRODUCTOS[#All],4)</f>
        <v>Stiker bien grande</v>
      </c>
      <c r="C481" s="6" t="str">
        <f>VLOOKUP(TABLA_PRECIOS_LISTBOX_VENTAS[Código],LISTADO_PRODUCTOS[#All],5)</f>
        <v>N/A</v>
      </c>
      <c r="D481" s="28">
        <f>VLOOKUP(TABLA_PRECIOS_LISTBOX_VENTAS[[#This Row],[Código]],TABLA_PRECIOS[#All],7)</f>
        <v>1</v>
      </c>
    </row>
    <row r="482" spans="1:4" x14ac:dyDescent="0.3">
      <c r="A482" s="4">
        <v>2424</v>
      </c>
      <c r="B482" s="6" t="str">
        <f>VLOOKUP(TABLA_PRECIOS_LISTBOX_VENTAS[Código],LISTADO_PRODUCTOS[#All],4)</f>
        <v>Repuesto America x96h M/Ref. Rayado</v>
      </c>
      <c r="C482" s="6" t="str">
        <f>VLOOKUP(TABLA_PRECIOS_LISTBOX_VENTAS[Código],LISTADO_PRODUCTOS[#All],5)</f>
        <v>N/A</v>
      </c>
      <c r="D482" s="28">
        <f>VLOOKUP(TABLA_PRECIOS_LISTBOX_VENTAS[[#This Row],[Código]],TABLA_PRECIOS[#All],7)</f>
        <v>1</v>
      </c>
    </row>
    <row r="483" spans="1:4" x14ac:dyDescent="0.3">
      <c r="A483" s="4">
        <v>2427</v>
      </c>
      <c r="B483" s="6" t="str">
        <f>VLOOKUP(TABLA_PRECIOS_LISTBOX_VENTAS[Código],LISTADO_PRODUCTOS[#All],4)</f>
        <v>Cinta New-tape enmascarar papel 18mm x 40mts</v>
      </c>
      <c r="C483" s="6" t="str">
        <f>VLOOKUP(TABLA_PRECIOS_LISTBOX_VENTAS[Código],LISTADO_PRODUCTOS[#All],5)</f>
        <v>N/A</v>
      </c>
      <c r="D483" s="28">
        <f>VLOOKUP(TABLA_PRECIOS_LISTBOX_VENTAS[[#This Row],[Código]],TABLA_PRECIOS[#All],7)</f>
        <v>1</v>
      </c>
    </row>
    <row r="484" spans="1:4" x14ac:dyDescent="0.3">
      <c r="A484" s="4">
        <v>2428</v>
      </c>
      <c r="B484" s="6" t="str">
        <f>VLOOKUP(TABLA_PRECIOS_LISTBOX_VENTAS[Código],LISTADO_PRODUCTOS[#All],4)</f>
        <v>Cinta New-tape enmascarar papel 12mm x 40mts</v>
      </c>
      <c r="C484" s="6" t="str">
        <f>VLOOKUP(TABLA_PRECIOS_LISTBOX_VENTAS[Código],LISTADO_PRODUCTOS[#All],5)</f>
        <v>N/A</v>
      </c>
      <c r="D484" s="28">
        <f>VLOOKUP(TABLA_PRECIOS_LISTBOX_VENTAS[[#This Row],[Código]],TABLA_PRECIOS[#All],7)</f>
        <v>1</v>
      </c>
    </row>
    <row r="485" spans="1:4" x14ac:dyDescent="0.3">
      <c r="A485" s="4">
        <v>2429</v>
      </c>
      <c r="B485" s="6" t="str">
        <f>VLOOKUP(TABLA_PRECIOS_LISTBOX_VENTAS[Código],LISTADO_PRODUCTOS[#All],4)</f>
        <v>Block/resma  A4 color Luma 100h 4 colores</v>
      </c>
      <c r="C485" s="6" t="str">
        <f>VLOOKUP(TABLA_PRECIOS_LISTBOX_VENTAS[Código],LISTADO_PRODUCTOS[#All],5)</f>
        <v>N/A</v>
      </c>
      <c r="D485" s="28">
        <f>VLOOKUP(TABLA_PRECIOS_LISTBOX_VENTAS[[#This Row],[Código]],TABLA_PRECIOS[#All],7)</f>
        <v>1</v>
      </c>
    </row>
    <row r="486" spans="1:4" x14ac:dyDescent="0.3">
      <c r="A486" s="4">
        <v>2443</v>
      </c>
      <c r="B486" s="6" t="str">
        <f>VLOOKUP(TABLA_PRECIOS_LISTBOX_VENTAS[Código],LISTADO_PRODUCTOS[#All],4)</f>
        <v>Pinceleta N°4</v>
      </c>
      <c r="C486" s="6" t="str">
        <f>VLOOKUP(TABLA_PRECIOS_LISTBOX_VENTAS[Código],LISTADO_PRODUCTOS[#All],5)</f>
        <v>N/A</v>
      </c>
      <c r="D486" s="28">
        <f>VLOOKUP(TABLA_PRECIOS_LISTBOX_VENTAS[[#This Row],[Código]],TABLA_PRECIOS[#All],7)</f>
        <v>1</v>
      </c>
    </row>
    <row r="487" spans="1:4" x14ac:dyDescent="0.3">
      <c r="A487" s="4">
        <v>2444</v>
      </c>
      <c r="B487" s="6" t="str">
        <f>VLOOKUP(TABLA_PRECIOS_LISTBOX_VENTAS[Código],LISTADO_PRODUCTOS[#All],4)</f>
        <v>Acuarela Trazos en caja plastica x12 + pincel</v>
      </c>
      <c r="C487" s="6" t="str">
        <f>VLOOKUP(TABLA_PRECIOS_LISTBOX_VENTAS[Código],LISTADO_PRODUCTOS[#All],5)</f>
        <v>N/A</v>
      </c>
      <c r="D487" s="28">
        <f>VLOOKUP(TABLA_PRECIOS_LISTBOX_VENTAS[[#This Row],[Código]],TABLA_PRECIOS[#All],7)</f>
        <v>1</v>
      </c>
    </row>
    <row r="488" spans="1:4" x14ac:dyDescent="0.3">
      <c r="A488" s="4">
        <v>2451</v>
      </c>
      <c r="B488" s="6" t="str">
        <f>VLOOKUP(TABLA_PRECIOS_LISTBOX_VENTAS[Código],LISTADO_PRODUCTOS[#All],4)</f>
        <v xml:space="preserve">Porcelana Fria Nicronx 500gr </v>
      </c>
      <c r="C488" s="6" t="str">
        <f>VLOOKUP(TABLA_PRECIOS_LISTBOX_VENTAS[Código],LISTADO_PRODUCTOS[#All],5)</f>
        <v>N/A</v>
      </c>
      <c r="D488" s="28">
        <f>VLOOKUP(TABLA_PRECIOS_LISTBOX_VENTAS[[#This Row],[Código]],TABLA_PRECIOS[#All],7)</f>
        <v>1</v>
      </c>
    </row>
    <row r="489" spans="1:4" x14ac:dyDescent="0.3">
      <c r="A489" s="4">
        <v>2458</v>
      </c>
      <c r="B489" s="6" t="str">
        <f>VLOOKUP(TABLA_PRECIOS_LISTBOX_VENTAS[Código],LISTADO_PRODUCTOS[#All],4)</f>
        <v>Tubo Pulceras luminicentes</v>
      </c>
      <c r="C489" s="6" t="str">
        <f>VLOOKUP(TABLA_PRECIOS_LISTBOX_VENTAS[Código],LISTADO_PRODUCTOS[#All],5)</f>
        <v>N/A</v>
      </c>
      <c r="D489" s="28">
        <f>VLOOKUP(TABLA_PRECIOS_LISTBOX_VENTAS[[#This Row],[Código]],TABLA_PRECIOS[#All],7)</f>
        <v>1</v>
      </c>
    </row>
    <row r="490" spans="1:4" x14ac:dyDescent="0.3">
      <c r="A490" s="4">
        <v>2466</v>
      </c>
      <c r="B490" s="6" t="str">
        <f>VLOOKUP(TABLA_PRECIOS_LISTBOX_VENTAS[Código],LISTADO_PRODUCTOS[#All],4)</f>
        <v>Sobre polietileno grueso porta credencial</v>
      </c>
      <c r="C490" s="6" t="str">
        <f>VLOOKUP(TABLA_PRECIOS_LISTBOX_VENTAS[Código],LISTADO_PRODUCTOS[#All],5)</f>
        <v>N/A</v>
      </c>
      <c r="D490" s="28">
        <f>VLOOKUP(TABLA_PRECIOS_LISTBOX_VENTAS[[#This Row],[Código]],TABLA_PRECIOS[#All],7)</f>
        <v>1</v>
      </c>
    </row>
    <row r="491" spans="1:4" x14ac:dyDescent="0.3">
      <c r="A491" s="4">
        <v>2468</v>
      </c>
      <c r="B491" s="6" t="str">
        <f>VLOOKUP(TABLA_PRECIOS_LISTBOX_VENTAS[Código],LISTADO_PRODUCTOS[#All],4)</f>
        <v>Papel metalizado Luma 5 mt X40cm / SE VENDE X METRO</v>
      </c>
      <c r="C491" s="6" t="str">
        <f>VLOOKUP(TABLA_PRECIOS_LISTBOX_VENTAS[Código],LISTADO_PRODUCTOS[#All],5)</f>
        <v>N/A</v>
      </c>
      <c r="D491" s="28">
        <f>VLOOKUP(TABLA_PRECIOS_LISTBOX_VENTAS[[#This Row],[Código]],TABLA_PRECIOS[#All],7)</f>
        <v>1</v>
      </c>
    </row>
    <row r="492" spans="1:4" x14ac:dyDescent="0.3">
      <c r="A492" s="4">
        <v>2471</v>
      </c>
      <c r="B492" s="6" t="str">
        <f>VLOOKUP(TABLA_PRECIOS_LISTBOX_VENTAS[Código],LISTADO_PRODUCTOS[#All],4)</f>
        <v>Tempera Maped color peps x 12u</v>
      </c>
      <c r="C492" s="6" t="str">
        <f>VLOOKUP(TABLA_PRECIOS_LISTBOX_VENTAS[Código],LISTADO_PRODUCTOS[#All],5)</f>
        <v>N/A</v>
      </c>
      <c r="D492" s="28">
        <f>VLOOKUP(TABLA_PRECIOS_LISTBOX_VENTAS[[#This Row],[Código]],TABLA_PRECIOS[#All],7)</f>
        <v>1</v>
      </c>
    </row>
    <row r="493" spans="1:4" x14ac:dyDescent="0.3">
      <c r="A493" s="4">
        <v>2472</v>
      </c>
      <c r="B493" s="6" t="str">
        <f>VLOOKUP(TABLA_PRECIOS_LISTBOX_VENTAS[Código],LISTADO_PRODUCTOS[#All],4)</f>
        <v>Hilo YUTE Natural ovillo x 20mts 2807</v>
      </c>
      <c r="C493" s="6" t="str">
        <f>VLOOKUP(TABLA_PRECIOS_LISTBOX_VENTAS[Código],LISTADO_PRODUCTOS[#All],5)</f>
        <v>N/A</v>
      </c>
      <c r="D493" s="28">
        <f>VLOOKUP(TABLA_PRECIOS_LISTBOX_VENTAS[[#This Row],[Código]],TABLA_PRECIOS[#All],7)</f>
        <v>1</v>
      </c>
    </row>
    <row r="494" spans="1:4" x14ac:dyDescent="0.3">
      <c r="A494" s="4">
        <v>2477</v>
      </c>
      <c r="B494" s="6" t="str">
        <f>VLOOKUP(TABLA_PRECIOS_LISTBOX_VENTAS[Código],LISTADO_PRODUCTOS[#All],4)</f>
        <v>Pintura a la tiza 200cc EQ ARTE</v>
      </c>
      <c r="C494" s="6" t="str">
        <f>VLOOKUP(TABLA_PRECIOS_LISTBOX_VENTAS[Código],LISTADO_PRODUCTOS[#All],5)</f>
        <v>N/A</v>
      </c>
      <c r="D494" s="28">
        <f>VLOOKUP(TABLA_PRECIOS_LISTBOX_VENTAS[[#This Row],[Código]],TABLA_PRECIOS[#All],7)</f>
        <v>1</v>
      </c>
    </row>
    <row r="495" spans="1:4" x14ac:dyDescent="0.3">
      <c r="A495" s="4">
        <v>2484</v>
      </c>
      <c r="B495" s="6" t="str">
        <f>VLOOKUP(TABLA_PRECIOS_LISTBOX_VENTAS[Código],LISTADO_PRODUCTOS[#All],4)</f>
        <v xml:space="preserve">Cinta regalo rollo (tipo ribbonete) 2cm x 50mt </v>
      </c>
      <c r="C495" s="6" t="str">
        <f>VLOOKUP(TABLA_PRECIOS_LISTBOX_VENTAS[Código],LISTADO_PRODUCTOS[#All],5)</f>
        <v>N/A</v>
      </c>
      <c r="D495" s="28">
        <f>VLOOKUP(TABLA_PRECIOS_LISTBOX_VENTAS[[#This Row],[Código]],TABLA_PRECIOS[#All],7)</f>
        <v>1</v>
      </c>
    </row>
    <row r="496" spans="1:4" x14ac:dyDescent="0.3">
      <c r="A496" s="4">
        <v>2487</v>
      </c>
      <c r="B496" s="6" t="str">
        <f>VLOOKUP(TABLA_PRECIOS_LISTBOX_VENTAS[Código],LISTADO_PRODUCTOS[#All],4)</f>
        <v>Cinta Doble faz Motex 12mm x 10m</v>
      </c>
      <c r="C496" s="6" t="str">
        <f>VLOOKUP(TABLA_PRECIOS_LISTBOX_VENTAS[Código],LISTADO_PRODUCTOS[#All],5)</f>
        <v>N/A</v>
      </c>
      <c r="D496" s="28">
        <f>VLOOKUP(TABLA_PRECIOS_LISTBOX_VENTAS[[#This Row],[Código]],TABLA_PRECIOS[#All],7)</f>
        <v>1</v>
      </c>
    </row>
    <row r="497" spans="1:4" x14ac:dyDescent="0.3">
      <c r="A497" s="4">
        <v>2488</v>
      </c>
      <c r="B497" s="6" t="str">
        <f>VLOOKUP(TABLA_PRECIOS_LISTBOX_VENTAS[Código],LISTADO_PRODUCTOS[#All],4)</f>
        <v>Broche Aprieta papel Sifap niquelado N°50 x unidad</v>
      </c>
      <c r="C497" s="6" t="str">
        <f>VLOOKUP(TABLA_PRECIOS_LISTBOX_VENTAS[Código],LISTADO_PRODUCTOS[#All],5)</f>
        <v>N/A</v>
      </c>
      <c r="D497" s="28">
        <f>VLOOKUP(TABLA_PRECIOS_LISTBOX_VENTAS[[#This Row],[Código]],TABLA_PRECIOS[#All],7)</f>
        <v>1</v>
      </c>
    </row>
    <row r="498" spans="1:4" x14ac:dyDescent="0.3">
      <c r="A498" s="4">
        <v>2489</v>
      </c>
      <c r="B498" s="6" t="str">
        <f>VLOOKUP(TABLA_PRECIOS_LISTBOX_VENTAS[Código],LISTADO_PRODUCTOS[#All],4)</f>
        <v>Broche Aprieta papel N°75 niquelado Sifap x unidad</v>
      </c>
      <c r="C498" s="6" t="str">
        <f>VLOOKUP(TABLA_PRECIOS_LISTBOX_VENTAS[Código],LISTADO_PRODUCTOS[#All],5)</f>
        <v>N/A</v>
      </c>
      <c r="D498" s="28">
        <f>VLOOKUP(TABLA_PRECIOS_LISTBOX_VENTAS[[#This Row],[Código]],TABLA_PRECIOS[#All],7)</f>
        <v>1</v>
      </c>
    </row>
    <row r="499" spans="1:4" x14ac:dyDescent="0.3">
      <c r="A499" s="4">
        <v>2495</v>
      </c>
      <c r="B499" s="6" t="str">
        <f>VLOOKUP(TABLA_PRECIOS_LISTBOX_VENTAS[Código],LISTADO_PRODUCTOS[#All],4)</f>
        <v>Plastilina Playcolor pastel x 6u</v>
      </c>
      <c r="C499" s="6" t="str">
        <f>VLOOKUP(TABLA_PRECIOS_LISTBOX_VENTAS[Código],LISTADO_PRODUCTOS[#All],5)</f>
        <v>N/A</v>
      </c>
      <c r="D499" s="28">
        <f>VLOOKUP(TABLA_PRECIOS_LISTBOX_VENTAS[[#This Row],[Código]],TABLA_PRECIOS[#All],7)</f>
        <v>1</v>
      </c>
    </row>
    <row r="500" spans="1:4" x14ac:dyDescent="0.3">
      <c r="A500" s="4">
        <v>2498</v>
      </c>
      <c r="B500" s="6" t="str">
        <f>VLOOKUP(TABLA_PRECIOS_LISTBOX_VENTAS[Código],LISTADO_PRODUCTOS[#All],4)</f>
        <v>Tempera Playcolor Fluo x 6u</v>
      </c>
      <c r="C500" s="6" t="str">
        <f>VLOOKUP(TABLA_PRECIOS_LISTBOX_VENTAS[Código],LISTADO_PRODUCTOS[#All],5)</f>
        <v>N/A</v>
      </c>
      <c r="D500" s="28">
        <f>VLOOKUP(TABLA_PRECIOS_LISTBOX_VENTAS[[#This Row],[Código]],TABLA_PRECIOS[#All],7)</f>
        <v>1</v>
      </c>
    </row>
    <row r="501" spans="1:4" x14ac:dyDescent="0.3">
      <c r="A501" s="4">
        <v>2499</v>
      </c>
      <c r="B501" s="6" t="str">
        <f>VLOOKUP(TABLA_PRECIOS_LISTBOX_VENTAS[Código],LISTADO_PRODUCTOS[#All],4)</f>
        <v>Cintas IBI CRAFT Glitter</v>
      </c>
      <c r="C501" s="6" t="str">
        <f>VLOOKUP(TABLA_PRECIOS_LISTBOX_VENTAS[Código],LISTADO_PRODUCTOS[#All],5)</f>
        <v>N/A</v>
      </c>
      <c r="D501" s="28">
        <f>VLOOKUP(TABLA_PRECIOS_LISTBOX_VENTAS[[#This Row],[Código]],TABLA_PRECIOS[#All],7)</f>
        <v>1</v>
      </c>
    </row>
    <row r="502" spans="1:4" x14ac:dyDescent="0.3">
      <c r="A502" s="4">
        <v>2500</v>
      </c>
      <c r="B502" s="6" t="str">
        <f>VLOOKUP(TABLA_PRECIOS_LISTBOX_VENTAS[Código],LISTADO_PRODUCTOS[#All],4)</f>
        <v>Barrita de silicona fina c/brillo</v>
      </c>
      <c r="C502" s="6" t="str">
        <f>VLOOKUP(TABLA_PRECIOS_LISTBOX_VENTAS[Código],LISTADO_PRODUCTOS[#All],5)</f>
        <v>N/A</v>
      </c>
      <c r="D502" s="28">
        <f>VLOOKUP(TABLA_PRECIOS_LISTBOX_VENTAS[[#This Row],[Código]],TABLA_PRECIOS[#All],7)</f>
        <v>1</v>
      </c>
    </row>
    <row r="503" spans="1:4" x14ac:dyDescent="0.3">
      <c r="A503" s="4">
        <v>2502</v>
      </c>
      <c r="B503" s="6" t="str">
        <f>VLOOKUP(TABLA_PRECIOS_LISTBOX_VENTAS[Código],LISTADO_PRODUCTOS[#All],4)</f>
        <v>Blister Pinceles Olami colores x 4</v>
      </c>
      <c r="C503" s="6" t="str">
        <f>VLOOKUP(TABLA_PRECIOS_LISTBOX_VENTAS[Código],LISTADO_PRODUCTOS[#All],5)</f>
        <v>N/A</v>
      </c>
      <c r="D503" s="28">
        <f>VLOOKUP(TABLA_PRECIOS_LISTBOX_VENTAS[[#This Row],[Código]],TABLA_PRECIOS[#All],7)</f>
        <v>1</v>
      </c>
    </row>
    <row r="504" spans="1:4" x14ac:dyDescent="0.3">
      <c r="A504" s="4">
        <v>2503</v>
      </c>
      <c r="B504" s="6" t="str">
        <f>VLOOKUP(TABLA_PRECIOS_LISTBOX_VENTAS[Código],LISTADO_PRODUCTOS[#All],4)</f>
        <v>Papel Kraft x hoja</v>
      </c>
      <c r="C504" s="6" t="str">
        <f>VLOOKUP(TABLA_PRECIOS_LISTBOX_VENTAS[Código],LISTADO_PRODUCTOS[#All],5)</f>
        <v>N/A</v>
      </c>
      <c r="D504" s="28">
        <f>VLOOKUP(TABLA_PRECIOS_LISTBOX_VENTAS[[#This Row],[Código]],TABLA_PRECIOS[#All],7)</f>
        <v>1</v>
      </c>
    </row>
    <row r="505" spans="1:4" x14ac:dyDescent="0.3">
      <c r="A505" s="4">
        <v>2504</v>
      </c>
      <c r="B505" s="6" t="str">
        <f>VLOOKUP(TABLA_PRECIOS_LISTBOX_VENTAS[Código],LISTADO_PRODUCTOS[#All],4)</f>
        <v>Alambre de aluminio CBX colores 1mm x 5mt</v>
      </c>
      <c r="C505" s="6" t="str">
        <f>VLOOKUP(TABLA_PRECIOS_LISTBOX_VENTAS[Código],LISTADO_PRODUCTOS[#All],5)</f>
        <v>N/A</v>
      </c>
      <c r="D505" s="28">
        <f>VLOOKUP(TABLA_PRECIOS_LISTBOX_VENTAS[[#This Row],[Código]],TABLA_PRECIOS[#All],7)</f>
        <v>1</v>
      </c>
    </row>
    <row r="506" spans="1:4" x14ac:dyDescent="0.3">
      <c r="A506" s="4">
        <v>3000</v>
      </c>
      <c r="B506" s="6" t="str">
        <f>VLOOKUP(TABLA_PRECIOS_LISTBOX_VENTAS[Código],LISTADO_PRODUCTOS[#All],4)</f>
        <v>Canopla cartuchera Mooving Como quieres que te quiera 1510136</v>
      </c>
      <c r="C506" s="6" t="str">
        <f>VLOOKUP(TABLA_PRECIOS_LISTBOX_VENTAS[Código],LISTADO_PRODUCTOS[#All],5)</f>
        <v>N/A</v>
      </c>
      <c r="D506" s="28">
        <f>VLOOKUP(TABLA_PRECIOS_LISTBOX_VENTAS[[#This Row],[Código]],TABLA_PRECIOS[#All],7)</f>
        <v>1</v>
      </c>
    </row>
    <row r="507" spans="1:4" x14ac:dyDescent="0.3">
      <c r="A507" s="4">
        <v>3001</v>
      </c>
      <c r="B507" s="6" t="str">
        <f>VLOOKUP(TABLA_PRECIOS_LISTBOX_VENTAS[Código],LISTADO_PRODUCTOS[#All],4)</f>
        <v>CANOPLA ALGAMA DOBLE CIERRE BRILLO/cuerina</v>
      </c>
      <c r="C507" s="6" t="str">
        <f>VLOOKUP(TABLA_PRECIOS_LISTBOX_VENTAS[Código],LISTADO_PRODUCTOS[#All],5)</f>
        <v>N/A</v>
      </c>
      <c r="D507" s="28">
        <f>VLOOKUP(TABLA_PRECIOS_LISTBOX_VENTAS[[#This Row],[Código]],TABLA_PRECIOS[#All],7)</f>
        <v>1</v>
      </c>
    </row>
    <row r="508" spans="1:4" x14ac:dyDescent="0.3">
      <c r="A508" s="4">
        <v>3005</v>
      </c>
      <c r="B508" s="6" t="str">
        <f>VLOOKUP(TABLA_PRECIOS_LISTBOX_VENTAS[Código],LISTADO_PRODUCTOS[#All],4)</f>
        <v>Mochila Fast Racing Art. No. 59060</v>
      </c>
      <c r="C508" s="6" t="str">
        <f>VLOOKUP(TABLA_PRECIOS_LISTBOX_VENTAS[Código],LISTADO_PRODUCTOS[#All],5)</f>
        <v>N/A</v>
      </c>
      <c r="D508" s="28">
        <f>VLOOKUP(TABLA_PRECIOS_LISTBOX_VENTAS[[#This Row],[Código]],TABLA_PRECIOS[#All],7)</f>
        <v>1</v>
      </c>
    </row>
    <row r="509" spans="1:4" x14ac:dyDescent="0.3">
      <c r="A509" s="4">
        <v>3026</v>
      </c>
      <c r="B509" s="6" t="str">
        <f>VLOOKUP(TABLA_PRECIOS_LISTBOX_VENTAS[Código],LISTADO_PRODUCTOS[#All],4)</f>
        <v>Canopla cartuchera FW con peluche organizador Fun Velvet</v>
      </c>
      <c r="C509" s="6" t="str">
        <f>VLOOKUP(TABLA_PRECIOS_LISTBOX_VENTAS[Código],LISTADO_PRODUCTOS[#All],5)</f>
        <v>N/A</v>
      </c>
      <c r="D509" s="28">
        <f>VLOOKUP(TABLA_PRECIOS_LISTBOX_VENTAS[[#This Row],[Código]],TABLA_PRECIOS[#All],7)</f>
        <v>1</v>
      </c>
    </row>
    <row r="510" spans="1:4" x14ac:dyDescent="0.3">
      <c r="A510" s="4">
        <v>3038</v>
      </c>
      <c r="B510" s="39" t="str">
        <f>VLOOKUP(TABLA_PRECIOS_LISTBOX_VENTAS[Código],LISTADO_PRODUCTOS[#All],4)</f>
        <v>Canopla Tubo LSyD dos cierres 97.3007.3</v>
      </c>
      <c r="C510" s="6" t="str">
        <f>VLOOKUP(TABLA_PRECIOS_LISTBOX_VENTAS[Código],LISTADO_PRODUCTOS[#All],5)</f>
        <v>N/A</v>
      </c>
      <c r="D510" s="28">
        <f>VLOOKUP(TABLA_PRECIOS_LISTBOX_VENTAS[[#This Row],[Código]],TABLA_PRECIOS[#All],7)</f>
        <v>1</v>
      </c>
    </row>
    <row r="511" spans="1:4" x14ac:dyDescent="0.3">
      <c r="A511" s="4">
        <v>3077</v>
      </c>
      <c r="B511" s="6" t="str">
        <f>VLOOKUP(TABLA_PRECIOS_LISTBOX_VENTAS[Código],LISTADO_PRODUCTOS[#All],4)</f>
        <v>Mochila LSyD Water War Art. No. 91.17800</v>
      </c>
      <c r="C511" s="6" t="str">
        <f>VLOOKUP(TABLA_PRECIOS_LISTBOX_VENTAS[Código],LISTADO_PRODUCTOS[#All],5)</f>
        <v>N/A</v>
      </c>
      <c r="D511" s="28">
        <f>VLOOKUP(TABLA_PRECIOS_LISTBOX_VENTAS[[#This Row],[Código]],TABLA_PRECIOS[#All],7)</f>
        <v>1</v>
      </c>
    </row>
    <row r="512" spans="1:4" x14ac:dyDescent="0.3">
      <c r="A512" s="4">
        <v>3078</v>
      </c>
      <c r="B512" s="6" t="str">
        <f>VLOOKUP(TABLA_PRECIOS_LISTBOX_VENTAS[Código],LISTADO_PRODUCTOS[#All],4)</f>
        <v>Mochila Disney Junior de Cresko</v>
      </c>
      <c r="C512" s="6" t="str">
        <f>VLOOKUP(TABLA_PRECIOS_LISTBOX_VENTAS[Código],LISTADO_PRODUCTOS[#All],5)</f>
        <v>N/A</v>
      </c>
      <c r="D512" s="28">
        <f>VLOOKUP(TABLA_PRECIOS_LISTBOX_VENTAS[[#This Row],[Código]],TABLA_PRECIOS[#All],7)</f>
        <v>1</v>
      </c>
    </row>
    <row r="513" spans="1:4" x14ac:dyDescent="0.3">
      <c r="A513" s="4">
        <v>3211</v>
      </c>
      <c r="B513" s="6" t="str">
        <f>VLOOKUP(TABLA_PRECIOS_LISTBOX_VENTAS[Código],LISTADO_PRODUCTOS[#All],4)</f>
        <v>Mochila IN Influencer Lesedife 68.3003</v>
      </c>
      <c r="C513" s="6" t="str">
        <f>VLOOKUP(TABLA_PRECIOS_LISTBOX_VENTAS[Código],LISTADO_PRODUCTOS[#All],5)</f>
        <v>N/A</v>
      </c>
      <c r="D513" s="28">
        <f>VLOOKUP(TABLA_PRECIOS_LISTBOX_VENTAS[[#This Row],[Código]],TABLA_PRECIOS[#All],7)</f>
        <v>1</v>
      </c>
    </row>
    <row r="514" spans="1:4" x14ac:dyDescent="0.3">
      <c r="A514" s="4">
        <v>3212</v>
      </c>
      <c r="B514" s="6" t="str">
        <f>VLOOKUP(TABLA_PRECIOS_LISTBOX_VENTAS[Código],LISTADO_PRODUCTOS[#All],4)</f>
        <v>Mochila LSyD BOMB Art. No. 91.1404</v>
      </c>
      <c r="C514" s="6" t="str">
        <f>VLOOKUP(TABLA_PRECIOS_LISTBOX_VENTAS[Código],LISTADO_PRODUCTOS[#All],5)</f>
        <v>N/A</v>
      </c>
      <c r="D514" s="28">
        <f>VLOOKUP(TABLA_PRECIOS_LISTBOX_VENTAS[[#This Row],[Código]],TABLA_PRECIOS[#All],7)</f>
        <v>1</v>
      </c>
    </row>
    <row r="515" spans="1:4" x14ac:dyDescent="0.3">
      <c r="A515" s="4">
        <v>3214</v>
      </c>
      <c r="B515" s="6" t="str">
        <f>VLOOKUP(TABLA_PRECIOS_LISTBOX_VENTAS[Código],LISTADO_PRODUCTOS[#All],4)</f>
        <v>Mochila LSyD Street Wear Art. No. 91.2805</v>
      </c>
      <c r="C515" s="6" t="str">
        <f>VLOOKUP(TABLA_PRECIOS_LISTBOX_VENTAS[Código],LISTADO_PRODUCTOS[#All],5)</f>
        <v>N/A</v>
      </c>
      <c r="D515" s="28">
        <f>VLOOKUP(TABLA_PRECIOS_LISTBOX_VENTAS[[#This Row],[Código]],TABLA_PRECIOS[#All],7)</f>
        <v>1</v>
      </c>
    </row>
    <row r="516" spans="1:4" x14ac:dyDescent="0.3">
      <c r="A516" s="4">
        <v>4000</v>
      </c>
      <c r="B516" s="6" t="str">
        <f>VLOOKUP(TABLA_PRECIOS_LISTBOX_VENTAS[Código],LISTADO_PRODUCTOS[#All],4)</f>
        <v>Borrador Sifap Goma eva</v>
      </c>
      <c r="C516" s="6" t="str">
        <f>VLOOKUP(TABLA_PRECIOS_LISTBOX_VENTAS[Código],LISTADO_PRODUCTOS[#All],5)</f>
        <v>N/A</v>
      </c>
      <c r="D516" s="46">
        <f>VLOOKUP(TABLA_PRECIOS_LISTBOX_VENTAS[[#This Row],[Código]],TABLA_PRECIOS[#All],7)</f>
        <v>1</v>
      </c>
    </row>
    <row r="517" spans="1:4" x14ac:dyDescent="0.3">
      <c r="A517" s="4">
        <v>4001</v>
      </c>
      <c r="B517" s="6" t="str">
        <f>VLOOKUP(TABLA_PRECIOS_LISTBOX_VENTAS[Código],LISTADO_PRODUCTOS[#All],4)</f>
        <v>Blister marcador de pizarra Filgo x 6u</v>
      </c>
      <c r="C517" s="6" t="str">
        <f>VLOOKUP(TABLA_PRECIOS_LISTBOX_VENTAS[Código],LISTADO_PRODUCTOS[#All],5)</f>
        <v>N/A</v>
      </c>
      <c r="D517" s="28">
        <f>VLOOKUP(TABLA_PRECIOS_LISTBOX_VENTAS[[#This Row],[Código]],TABLA_PRECIOS[#All],7)</f>
        <v>1</v>
      </c>
    </row>
    <row r="518" spans="1:4" x14ac:dyDescent="0.3">
      <c r="A518" s="4">
        <v>4006</v>
      </c>
      <c r="B518" s="6" t="str">
        <f>VLOOKUP(TABLA_PRECIOS_LISTBOX_VENTAS[Código],LISTADO_PRODUCTOS[#All],4)</f>
        <v>Repuesto Parker</v>
      </c>
      <c r="C518" s="6" t="str">
        <f>VLOOKUP(TABLA_PRECIOS_LISTBOX_VENTAS[Código],LISTADO_PRODUCTOS[#All],5)</f>
        <v>N/A</v>
      </c>
      <c r="D518" s="28">
        <f>VLOOKUP(TABLA_PRECIOS_LISTBOX_VENTAS[[#This Row],[Código]],TABLA_PRECIOS[#All],7)</f>
        <v>1</v>
      </c>
    </row>
    <row r="519" spans="1:4" x14ac:dyDescent="0.3">
      <c r="A519" s="4">
        <v>4007</v>
      </c>
      <c r="B519" s="6" t="str">
        <f>VLOOKUP(TABLA_PRECIOS_LISTBOX_VENTAS[Código],LISTADO_PRODUCTOS[#All],4)</f>
        <v>Abrochadora Maped Vivo Nº10</v>
      </c>
      <c r="C519" s="6" t="str">
        <f>VLOOKUP(TABLA_PRECIOS_LISTBOX_VENTAS[Código],LISTADO_PRODUCTOS[#All],5)</f>
        <v>N/A</v>
      </c>
      <c r="D519" s="28">
        <f>VLOOKUP(TABLA_PRECIOS_LISTBOX_VENTAS[[#This Row],[Código]],TABLA_PRECIOS[#All],7)</f>
        <v>1</v>
      </c>
    </row>
    <row r="520" spans="1:4" x14ac:dyDescent="0.3">
      <c r="A520" s="4">
        <v>4008</v>
      </c>
      <c r="B520" s="6" t="str">
        <f>VLOOKUP(TABLA_PRECIOS_LISTBOX_VENTAS[Código],LISTADO_PRODUCTOS[#All],4)</f>
        <v>Abrochadora General Office de bolsillo N°10 str-2102</v>
      </c>
      <c r="C520" s="6" t="str">
        <f>VLOOKUP(TABLA_PRECIOS_LISTBOX_VENTAS[Código],LISTADO_PRODUCTOS[#All],5)</f>
        <v>N/A</v>
      </c>
      <c r="D520" s="28">
        <f>VLOOKUP(TABLA_PRECIOS_LISTBOX_VENTAS[[#This Row],[Código]],TABLA_PRECIOS[#All],7)</f>
        <v>1</v>
      </c>
    </row>
    <row r="521" spans="1:4" x14ac:dyDescent="0.3">
      <c r="A521" s="4">
        <v>4010</v>
      </c>
      <c r="B521" s="6" t="str">
        <f>VLOOKUP(TABLA_PRECIOS_LISTBOX_VENTAS[Código],LISTADO_PRODUCTOS[#All],4)</f>
        <v>Abrochadora Maped Mini Office Nº10 metal</v>
      </c>
      <c r="C521" s="6" t="str">
        <f>VLOOKUP(TABLA_PRECIOS_LISTBOX_VENTAS[Código],LISTADO_PRODUCTOS[#All],5)</f>
        <v>N/A</v>
      </c>
      <c r="D521" s="28">
        <f>VLOOKUP(TABLA_PRECIOS_LISTBOX_VENTAS[[#This Row],[Código]],TABLA_PRECIOS[#All],7)</f>
        <v>1</v>
      </c>
    </row>
    <row r="522" spans="1:4" x14ac:dyDescent="0.3">
      <c r="A522" s="4">
        <v>4014</v>
      </c>
      <c r="B522" s="6" t="str">
        <f>VLOOKUP(TABLA_PRECIOS_LISTBOX_VENTAS[Código],LISTADO_PRODUCTOS[#All],4)</f>
        <v>Perforadora Kangaroo one hole</v>
      </c>
      <c r="C522" s="6" t="str">
        <f>VLOOKUP(TABLA_PRECIOS_LISTBOX_VENTAS[Código],LISTADO_PRODUCTOS[#All],5)</f>
        <v>N/A</v>
      </c>
      <c r="D522" s="28">
        <f>VLOOKUP(TABLA_PRECIOS_LISTBOX_VENTAS[[#This Row],[Código]],TABLA_PRECIOS[#All],7)</f>
        <v>1</v>
      </c>
    </row>
    <row r="523" spans="1:4" x14ac:dyDescent="0.3">
      <c r="A523" s="4">
        <v>4017</v>
      </c>
      <c r="B523" s="6" t="str">
        <f>VLOOKUP(TABLA_PRECIOS_LISTBOX_VENTAS[Código],LISTADO_PRODUCTOS[#All],4)</f>
        <v>Portarrollo Dispensador de cinta 30/60mm Olami MT903</v>
      </c>
      <c r="C523" s="6" t="str">
        <f>VLOOKUP(TABLA_PRECIOS_LISTBOX_VENTAS[Código],LISTADO_PRODUCTOS[#All],5)</f>
        <v>N/A</v>
      </c>
      <c r="D523" s="28">
        <f>VLOOKUP(TABLA_PRECIOS_LISTBOX_VENTAS[[#This Row],[Código]],TABLA_PRECIOS[#All],7)</f>
        <v>1</v>
      </c>
    </row>
    <row r="524" spans="1:4" x14ac:dyDescent="0.3">
      <c r="A524" s="4">
        <v>4018</v>
      </c>
      <c r="B524" s="6" t="str">
        <f>VLOOKUP(TABLA_PRECIOS_LISTBOX_VENTAS[Código],LISTADO_PRODUCTOS[#All],4)</f>
        <v>Tinta para sellos Negro Eureka</v>
      </c>
      <c r="C524" s="6" t="str">
        <f>VLOOKUP(TABLA_PRECIOS_LISTBOX_VENTAS[Código],LISTADO_PRODUCTOS[#All],5)</f>
        <v>N/A</v>
      </c>
      <c r="D524" s="28">
        <f>VLOOKUP(TABLA_PRECIOS_LISTBOX_VENTAS[[#This Row],[Código]],TABLA_PRECIOS[#All],7)</f>
        <v>1</v>
      </c>
    </row>
    <row r="525" spans="1:4" x14ac:dyDescent="0.3">
      <c r="A525" s="4">
        <v>4020</v>
      </c>
      <c r="B525" s="6" t="str">
        <f>VLOOKUP(TABLA_PRECIOS_LISTBOX_VENTAS[Código],LISTADO_PRODUCTOS[#All],4)</f>
        <v>Libro indice corona 2 manos</v>
      </c>
      <c r="C525" s="6" t="str">
        <f>VLOOKUP(TABLA_PRECIOS_LISTBOX_VENTAS[Código],LISTADO_PRODUCTOS[#All],5)</f>
        <v>N/A</v>
      </c>
      <c r="D525" s="28">
        <f>VLOOKUP(TABLA_PRECIOS_LISTBOX_VENTAS[[#This Row],[Código]],TABLA_PRECIOS[#All],7)</f>
        <v>1</v>
      </c>
    </row>
    <row r="526" spans="1:4" x14ac:dyDescent="0.3">
      <c r="A526" s="4">
        <v>4021</v>
      </c>
      <c r="B526" s="6" t="str">
        <f>VLOOKUP(TABLA_PRECIOS_LISTBOX_VENTAS[Código],LISTADO_PRODUCTOS[#All],4)</f>
        <v>Ficha Congreso- TRIUNFANTE x100 Nº3</v>
      </c>
      <c r="C526" s="6" t="str">
        <f>VLOOKUP(TABLA_PRECIOS_LISTBOX_VENTAS[Código],LISTADO_PRODUCTOS[#All],5)</f>
        <v>N/A</v>
      </c>
      <c r="D526" s="28">
        <f>VLOOKUP(TABLA_PRECIOS_LISTBOX_VENTAS[[#This Row],[Código]],TABLA_PRECIOS[#All],7)</f>
        <v>1</v>
      </c>
    </row>
    <row r="527" spans="1:4" x14ac:dyDescent="0.3">
      <c r="A527" s="4">
        <v>4022</v>
      </c>
      <c r="B527" s="6" t="str">
        <f>VLOOKUP(TABLA_PRECIOS_LISTBOX_VENTAS[Código],LISTADO_PRODUCTOS[#All],4)</f>
        <v>Ficha Triunfante x100 Nº2 - 7796569076114</v>
      </c>
      <c r="C527" s="6" t="str">
        <f>VLOOKUP(TABLA_PRECIOS_LISTBOX_VENTAS[Código],LISTADO_PRODUCTOS[#All],5)</f>
        <v>N/A</v>
      </c>
      <c r="D527" s="28">
        <f>VLOOKUP(TABLA_PRECIOS_LISTBOX_VENTAS[[#This Row],[Código]],TABLA_PRECIOS[#All],7)</f>
        <v>1</v>
      </c>
    </row>
    <row r="528" spans="1:4" x14ac:dyDescent="0.3">
      <c r="A528" s="4">
        <v>4024</v>
      </c>
      <c r="B528" s="6" t="str">
        <f>VLOOKUP(TABLA_PRECIOS_LISTBOX_VENTAS[Código],LISTADO_PRODUCTOS[#All],4)</f>
        <v>Pagare sin protesto Igneo pesos</v>
      </c>
      <c r="C528" s="6" t="str">
        <f>VLOOKUP(TABLA_PRECIOS_LISTBOX_VENTAS[Código],LISTADO_PRODUCTOS[#All],5)</f>
        <v>N/A</v>
      </c>
      <c r="D528" s="28">
        <f>VLOOKUP(TABLA_PRECIOS_LISTBOX_VENTAS[[#This Row],[Código]],TABLA_PRECIOS[#All],7)</f>
        <v>1</v>
      </c>
    </row>
    <row r="529" spans="1:4" x14ac:dyDescent="0.3">
      <c r="A529" s="4">
        <v>4025</v>
      </c>
      <c r="B529" s="6" t="str">
        <f>VLOOKUP(TABLA_PRECIOS_LISTBOX_VENTAS[Código],LISTADO_PRODUCTOS[#All],4)</f>
        <v>Recibo Husares Duplicado quimico</v>
      </c>
      <c r="C529" s="6" t="str">
        <f>VLOOKUP(TABLA_PRECIOS_LISTBOX_VENTAS[Código],LISTADO_PRODUCTOS[#All],5)</f>
        <v>N/A</v>
      </c>
      <c r="D529" s="28">
        <f>VLOOKUP(TABLA_PRECIOS_LISTBOX_VENTAS[[#This Row],[Código]],TABLA_PRECIOS[#All],7)</f>
        <v>1</v>
      </c>
    </row>
    <row r="530" spans="1:4" x14ac:dyDescent="0.3">
      <c r="A530" s="4">
        <v>4027</v>
      </c>
      <c r="B530" s="6" t="str">
        <f>VLOOKUP(TABLA_PRECIOS_LISTBOX_VENTAS[Código],LISTADO_PRODUCTOS[#All],4)</f>
        <v>Perforadora Kangaroo DP-280 - 376224</v>
      </c>
      <c r="C530" s="6" t="str">
        <f>VLOOKUP(TABLA_PRECIOS_LISTBOX_VENTAS[Código],LISTADO_PRODUCTOS[#All],5)</f>
        <v>N/A</v>
      </c>
      <c r="D530" s="28">
        <f>VLOOKUP(TABLA_PRECIOS_LISTBOX_VENTAS[[#This Row],[Código]],TABLA_PRECIOS[#All],7)</f>
        <v>1</v>
      </c>
    </row>
    <row r="531" spans="1:4" x14ac:dyDescent="0.3">
      <c r="A531" s="4">
        <v>4028</v>
      </c>
      <c r="B531" s="6" t="str">
        <f>VLOOKUP(TABLA_PRECIOS_LISTBOX_VENTAS[Código],LISTADO_PRODUCTOS[#All],4)</f>
        <v>Racionador de cinta de empaque metalico Liggo</v>
      </c>
      <c r="C531" s="6" t="str">
        <f>VLOOKUP(TABLA_PRECIOS_LISTBOX_VENTAS[Código],LISTADO_PRODUCTOS[#All],5)</f>
        <v>N/A</v>
      </c>
      <c r="D531" s="28">
        <f>VLOOKUP(TABLA_PRECIOS_LISTBOX_VENTAS[[#This Row],[Código]],TABLA_PRECIOS[#All],7)</f>
        <v>1</v>
      </c>
    </row>
    <row r="532" spans="1:4" x14ac:dyDescent="0.3">
      <c r="A532" s="4">
        <v>4030</v>
      </c>
      <c r="B532" s="6" t="str">
        <f>VLOOKUP(TABLA_PRECIOS_LISTBOX_VENTAS[Código],LISTADO_PRODUCTOS[#All],4)</f>
        <v>Chinche para dibujo  3 puntas Sifap 50u</v>
      </c>
      <c r="C532" s="6" t="str">
        <f>VLOOKUP(TABLA_PRECIOS_LISTBOX_VENTAS[Código],LISTADO_PRODUCTOS[#All],5)</f>
        <v>N/A</v>
      </c>
      <c r="D532" s="28">
        <f>VLOOKUP(TABLA_PRECIOS_LISTBOX_VENTAS[[#This Row],[Código]],TABLA_PRECIOS[#All],7)</f>
        <v>1</v>
      </c>
    </row>
    <row r="533" spans="1:4" x14ac:dyDescent="0.3">
      <c r="A533" s="4">
        <v>4032</v>
      </c>
      <c r="B533" s="6" t="str">
        <f>VLOOKUP(TABLA_PRECIOS_LISTBOX_VENTAS[Código],LISTADO_PRODUCTOS[#All],4)</f>
        <v>Tinta para Sellos Pelikan</v>
      </c>
      <c r="C533" s="6" t="str">
        <f>VLOOKUP(TABLA_PRECIOS_LISTBOX_VENTAS[Código],LISTADO_PRODUCTOS[#All],5)</f>
        <v>N/A</v>
      </c>
      <c r="D533" s="28">
        <f>VLOOKUP(TABLA_PRECIOS_LISTBOX_VENTAS[[#This Row],[Código]],TABLA_PRECIOS[#All],7)</f>
        <v>1</v>
      </c>
    </row>
    <row r="534" spans="1:4" x14ac:dyDescent="0.3">
      <c r="A534" s="4">
        <v>4033</v>
      </c>
      <c r="B534" s="6" t="str">
        <f>VLOOKUP(TABLA_PRECIOS_LISTBOX_VENTAS[Código],LISTADO_PRODUCTOS[#All],4)</f>
        <v>Tinta pàra Sellos Toyo</v>
      </c>
      <c r="C534" s="6" t="str">
        <f>VLOOKUP(TABLA_PRECIOS_LISTBOX_VENTAS[Código],LISTADO_PRODUCTOS[#All],5)</f>
        <v>N/A</v>
      </c>
      <c r="D534" s="28">
        <f>VLOOKUP(TABLA_PRECIOS_LISTBOX_VENTAS[[#This Row],[Código]],TABLA_PRECIOS[#All],7)</f>
        <v>1</v>
      </c>
    </row>
    <row r="535" spans="1:4" x14ac:dyDescent="0.3">
      <c r="A535" s="4">
        <v>4036</v>
      </c>
      <c r="B535" s="6" t="str">
        <f>VLOOKUP(TABLA_PRECIOS_LISTBOX_VENTAS[Código],LISTADO_PRODUCTOS[#All],4)</f>
        <v>Señalador Bolita SIFAP chico x 150u</v>
      </c>
      <c r="C535" s="6" t="str">
        <f>VLOOKUP(TABLA_PRECIOS_LISTBOX_VENTAS[Código],LISTADO_PRODUCTOS[#All],5)</f>
        <v>N/A</v>
      </c>
      <c r="D535" s="28">
        <f>VLOOKUP(TABLA_PRECIOS_LISTBOX_VENTAS[[#This Row],[Código]],TABLA_PRECIOS[#All],7)</f>
        <v>1</v>
      </c>
    </row>
    <row r="536" spans="1:4" x14ac:dyDescent="0.3">
      <c r="A536" s="4">
        <v>4044</v>
      </c>
      <c r="B536" s="6" t="str">
        <f>VLOOKUP(TABLA_PRECIOS_LISTBOX_VENTAS[Código],LISTADO_PRODUCTOS[#All],4)</f>
        <v>Broche Dorado Nº8 x100 Sifap 35mm</v>
      </c>
      <c r="C536" s="6" t="str">
        <f>VLOOKUP(TABLA_PRECIOS_LISTBOX_VENTAS[Código],LISTADO_PRODUCTOS[#All],5)</f>
        <v>N/A</v>
      </c>
      <c r="D536" s="28">
        <f>VLOOKUP(TABLA_PRECIOS_LISTBOX_VENTAS[[#This Row],[Código]],TABLA_PRECIOS[#All],7)</f>
        <v>1</v>
      </c>
    </row>
    <row r="537" spans="1:4" x14ac:dyDescent="0.3">
      <c r="A537" s="4">
        <v>4047</v>
      </c>
      <c r="B537" s="6" t="str">
        <f>VLOOKUP(TABLA_PRECIOS_LISTBOX_VENTAS[Código],LISTADO_PRODUCTOS[#All],4)</f>
        <v>Marcador Permanente Sharpie Negro Punta Fina</v>
      </c>
      <c r="C537" s="6" t="str">
        <f>VLOOKUP(TABLA_PRECIOS_LISTBOX_VENTAS[Código],LISTADO_PRODUCTOS[#All],5)</f>
        <v>N/A</v>
      </c>
      <c r="D537" s="28">
        <f>VLOOKUP(TABLA_PRECIOS_LISTBOX_VENTAS[[#This Row],[Código]],TABLA_PRECIOS[#All],7)</f>
        <v>1</v>
      </c>
    </row>
    <row r="538" spans="1:4" x14ac:dyDescent="0.3">
      <c r="A538" s="4">
        <v>4049</v>
      </c>
      <c r="B538" s="6" t="str">
        <f>VLOOKUP(TABLA_PRECIOS_LISTBOX_VENTAS[Código],LISTADO_PRODUCTOS[#All],4)</f>
        <v>Marcador sharpie Duo Color</v>
      </c>
      <c r="C538" s="6" t="str">
        <f>VLOOKUP(TABLA_PRECIOS_LISTBOX_VENTAS[Código],LISTADO_PRODUCTOS[#All],5)</f>
        <v>N/A</v>
      </c>
      <c r="D538" s="28">
        <f>VLOOKUP(TABLA_PRECIOS_LISTBOX_VENTAS[[#This Row],[Código]],TABLA_PRECIOS[#All],7)</f>
        <v>1</v>
      </c>
    </row>
    <row r="539" spans="1:4" x14ac:dyDescent="0.3">
      <c r="A539" s="4">
        <v>4053</v>
      </c>
      <c r="B539" s="6" t="str">
        <f>VLOOKUP(TABLA_PRECIOS_LISTBOX_VENTAS[Código],LISTADO_PRODUCTOS[#All],4)</f>
        <v>Tinta Trabí Permanente</v>
      </c>
      <c r="C539" s="6" t="str">
        <f>VLOOKUP(TABLA_PRECIOS_LISTBOX_VENTAS[Código],LISTADO_PRODUCTOS[#All],5)</f>
        <v>N/A</v>
      </c>
      <c r="D539" s="28">
        <f>VLOOKUP(TABLA_PRECIOS_LISTBOX_VENTAS[[#This Row],[Código]],TABLA_PRECIOS[#All],7)</f>
        <v>1</v>
      </c>
    </row>
    <row r="540" spans="1:4" x14ac:dyDescent="0.3">
      <c r="A540" s="4">
        <v>4055</v>
      </c>
      <c r="B540" s="6" t="str">
        <f>VLOOKUP(TABLA_PRECIOS_LISTBOX_VENTAS[Código],LISTADO_PRODUCTOS[#All],4)</f>
        <v>Banda elasticas Credencial x 100g</v>
      </c>
      <c r="C540" s="6" t="str">
        <f>VLOOKUP(TABLA_PRECIOS_LISTBOX_VENTAS[Código],LISTADO_PRODUCTOS[#All],5)</f>
        <v>N/A</v>
      </c>
      <c r="D540" s="28">
        <f>VLOOKUP(TABLA_PRECIOS_LISTBOX_VENTAS[[#This Row],[Código]],TABLA_PRECIOS[#All],7)</f>
        <v>1</v>
      </c>
    </row>
    <row r="541" spans="1:4" x14ac:dyDescent="0.3">
      <c r="A541" s="4">
        <v>4058</v>
      </c>
      <c r="B541" s="6" t="str">
        <f>VLOOKUP(TABLA_PRECIOS_LISTBOX_VENTAS[Código],LISTADO_PRODUCTOS[#All],4)</f>
        <v>Broche metalico con arandela tipo Binder 63mm</v>
      </c>
      <c r="C541" s="6" t="str">
        <f>VLOOKUP(TABLA_PRECIOS_LISTBOX_VENTAS[Código],LISTADO_PRODUCTOS[#All],5)</f>
        <v>N/A</v>
      </c>
      <c r="D541" s="28">
        <f>VLOOKUP(TABLA_PRECIOS_LISTBOX_VENTAS[[#This Row],[Código]],TABLA_PRECIOS[#All],7)</f>
        <v>1</v>
      </c>
    </row>
    <row r="542" spans="1:4" x14ac:dyDescent="0.3">
      <c r="A542" s="4">
        <v>4059</v>
      </c>
      <c r="B542" s="6" t="str">
        <f>VLOOKUP(TABLA_PRECIOS_LISTBOX_VENTAS[Código],LISTADO_PRODUCTOS[#All],4)</f>
        <v>Marcador de Billetes Trabi</v>
      </c>
      <c r="C542" s="6" t="str">
        <f>VLOOKUP(TABLA_PRECIOS_LISTBOX_VENTAS[Código],LISTADO_PRODUCTOS[#All],5)</f>
        <v>N/A</v>
      </c>
      <c r="D542" s="28">
        <f>VLOOKUP(TABLA_PRECIOS_LISTBOX_VENTAS[[#This Row],[Código]],TABLA_PRECIOS[#All],7)</f>
        <v>1</v>
      </c>
    </row>
    <row r="543" spans="1:4" x14ac:dyDescent="0.3">
      <c r="A543" s="4">
        <v>4061</v>
      </c>
      <c r="B543" s="6" t="str">
        <f>VLOOKUP(TABLA_PRECIOS_LISTBOX_VENTAS[Código],LISTADO_PRODUCTOS[#All],4)</f>
        <v>Borrador de Madera</v>
      </c>
      <c r="C543" s="6" t="str">
        <f>VLOOKUP(TABLA_PRECIOS_LISTBOX_VENTAS[Código],LISTADO_PRODUCTOS[#All],5)</f>
        <v>N/A</v>
      </c>
      <c r="D543" s="28">
        <f>VLOOKUP(TABLA_PRECIOS_LISTBOX_VENTAS[[#This Row],[Código]],TABLA_PRECIOS[#All],7)</f>
        <v>1</v>
      </c>
    </row>
    <row r="544" spans="1:4" x14ac:dyDescent="0.3">
      <c r="A544" s="4">
        <v>4062</v>
      </c>
      <c r="B544" s="6" t="str">
        <f>VLOOKUP(TABLA_PRECIOS_LISTBOX_VENTAS[Código],LISTADO_PRODUCTOS[#All],4)</f>
        <v>Plumines</v>
      </c>
      <c r="C544" s="6" t="str">
        <f>VLOOKUP(TABLA_PRECIOS_LISTBOX_VENTAS[Código],LISTADO_PRODUCTOS[#All],5)</f>
        <v>N/A</v>
      </c>
      <c r="D544" s="28">
        <f>VLOOKUP(TABLA_PRECIOS_LISTBOX_VENTAS[[#This Row],[Código]],TABLA_PRECIOS[#All],7)</f>
        <v>1</v>
      </c>
    </row>
    <row r="545" spans="1:4" x14ac:dyDescent="0.3">
      <c r="A545" s="4">
        <v>4066</v>
      </c>
      <c r="B545" s="6" t="str">
        <f>VLOOKUP(TABLA_PRECIOS_LISTBOX_VENTAS[Código],LISTADO_PRODUCTOS[#All],4)</f>
        <v>Broche doble clip Isofit 25mm</v>
      </c>
      <c r="C545" s="6" t="str">
        <f>VLOOKUP(TABLA_PRECIOS_LISTBOX_VENTAS[Código],LISTADO_PRODUCTOS[#All],5)</f>
        <v>N/A</v>
      </c>
      <c r="D545" s="28">
        <f>VLOOKUP(TABLA_PRECIOS_LISTBOX_VENTAS[[#This Row],[Código]],TABLA_PRECIOS[#All],7)</f>
        <v>1</v>
      </c>
    </row>
    <row r="546" spans="1:4" x14ac:dyDescent="0.3">
      <c r="A546" s="4">
        <v>4067</v>
      </c>
      <c r="B546" s="6" t="str">
        <f>VLOOKUP(TABLA_PRECIOS_LISTBOX_VENTAS[Código],LISTADO_PRODUCTOS[#All],4)</f>
        <v>Broche Doble Clip 40mm/51mm</v>
      </c>
      <c r="C546" s="6" t="str">
        <f>VLOOKUP(TABLA_PRECIOS_LISTBOX_VENTAS[Código],LISTADO_PRODUCTOS[#All],5)</f>
        <v>N/A</v>
      </c>
      <c r="D546" s="28">
        <f>VLOOKUP(TABLA_PRECIOS_LISTBOX_VENTAS[[#This Row],[Código]],TABLA_PRECIOS[#All],7)</f>
        <v>1</v>
      </c>
    </row>
    <row r="547" spans="1:4" x14ac:dyDescent="0.3">
      <c r="A547" s="4">
        <v>4068</v>
      </c>
      <c r="B547" s="6" t="str">
        <f>VLOOKUP(TABLA_PRECIOS_LISTBOX_VENTAS[Código],LISTADO_PRODUCTOS[#All],4)</f>
        <v>Tinta Trabi para pizarra blanca - 7790578034202</v>
      </c>
      <c r="C547" s="6" t="str">
        <f>VLOOKUP(TABLA_PRECIOS_LISTBOX_VENTAS[Código],LISTADO_PRODUCTOS[#All],5)</f>
        <v>N/A</v>
      </c>
      <c r="D547" s="28">
        <f>VLOOKUP(TABLA_PRECIOS_LISTBOX_VENTAS[[#This Row],[Código]],TABLA_PRECIOS[#All],7)</f>
        <v>1</v>
      </c>
    </row>
    <row r="548" spans="1:4" x14ac:dyDescent="0.3">
      <c r="A548" s="4">
        <v>4073</v>
      </c>
      <c r="B548" s="6" t="str">
        <f>VLOOKUP(TABLA_PRECIOS_LISTBOX_VENTAS[Código],LISTADO_PRODUCTOS[#All],4)</f>
        <v>Broche  Maped Nº 24/6 - 26/6 x1000</v>
      </c>
      <c r="C548" s="6" t="str">
        <f>VLOOKUP(TABLA_PRECIOS_LISTBOX_VENTAS[Código],LISTADO_PRODUCTOS[#All],5)</f>
        <v>N/A</v>
      </c>
      <c r="D548" s="28">
        <f>VLOOKUP(TABLA_PRECIOS_LISTBOX_VENTAS[[#This Row],[Código]],TABLA_PRECIOS[#All],7)</f>
        <v>1</v>
      </c>
    </row>
    <row r="549" spans="1:4" x14ac:dyDescent="0.3">
      <c r="A549" s="4">
        <v>4075</v>
      </c>
      <c r="B549" s="6" t="str">
        <f>VLOOKUP(TABLA_PRECIOS_LISTBOX_VENTAS[Código],LISTADO_PRODUCTOS[#All],4)</f>
        <v>Broche 21/6 x 1000</v>
      </c>
      <c r="C549" s="6" t="str">
        <f>VLOOKUP(TABLA_PRECIOS_LISTBOX_VENTAS[Código],LISTADO_PRODUCTOS[#All],5)</f>
        <v>N/A</v>
      </c>
      <c r="D549" s="28">
        <f>VLOOKUP(TABLA_PRECIOS_LISTBOX_VENTAS[[#This Row],[Código]],TABLA_PRECIOS[#All],7)</f>
        <v>1</v>
      </c>
    </row>
    <row r="550" spans="1:4" x14ac:dyDescent="0.3">
      <c r="A550" s="4">
        <v>4077</v>
      </c>
      <c r="B550" s="6" t="str">
        <f>VLOOKUP(TABLA_PRECIOS_LISTBOX_VENTAS[Código],LISTADO_PRODUCTOS[#All],4)</f>
        <v>Broche MIT N°64 x 1000</v>
      </c>
      <c r="C550" s="6" t="str">
        <f>VLOOKUP(TABLA_PRECIOS_LISTBOX_VENTAS[Código],LISTADO_PRODUCTOS[#All],5)</f>
        <v>N/A</v>
      </c>
      <c r="D550" s="28">
        <f>VLOOKUP(TABLA_PRECIOS_LISTBOX_VENTAS[[#This Row],[Código]],TABLA_PRECIOS[#All],7)</f>
        <v>1</v>
      </c>
    </row>
    <row r="551" spans="1:4" x14ac:dyDescent="0.3">
      <c r="A551" s="4">
        <v>4078</v>
      </c>
      <c r="B551" s="6" t="str">
        <f>VLOOKUP(TABLA_PRECIOS_LISTBOX_VENTAS[Código],LISTADO_PRODUCTOS[#All],4)</f>
        <v>Broche 50 x 1000 MIT</v>
      </c>
      <c r="C551" s="6" t="str">
        <f>VLOOKUP(TABLA_PRECIOS_LISTBOX_VENTAS[Código],LISTADO_PRODUCTOS[#All],5)</f>
        <v>N/A</v>
      </c>
      <c r="D551" s="28">
        <f>VLOOKUP(TABLA_PRECIOS_LISTBOX_VENTAS[[#This Row],[Código]],TABLA_PRECIOS[#All],7)</f>
        <v>1</v>
      </c>
    </row>
    <row r="552" spans="1:4" x14ac:dyDescent="0.3">
      <c r="A552" s="4">
        <v>4080</v>
      </c>
      <c r="B552" s="6" t="str">
        <f>VLOOKUP(TABLA_PRECIOS_LISTBOX_VENTAS[Código],LISTADO_PRODUCTOS[#All],4)</f>
        <v>Broche Mit Nº10 x 1000</v>
      </c>
      <c r="C552" s="6" t="str">
        <f>VLOOKUP(TABLA_PRECIOS_LISTBOX_VENTAS[Código],LISTADO_PRODUCTOS[#All],5)</f>
        <v>N/A</v>
      </c>
      <c r="D552" s="28">
        <f>VLOOKUP(TABLA_PRECIOS_LISTBOX_VENTAS[[#This Row],[Código]],TABLA_PRECIOS[#All],7)</f>
        <v>1</v>
      </c>
    </row>
    <row r="553" spans="1:4" x14ac:dyDescent="0.3">
      <c r="A553" s="4">
        <v>4082</v>
      </c>
      <c r="B553" s="6" t="str">
        <f>VLOOKUP(TABLA_PRECIOS_LISTBOX_VENTAS[Código],LISTADO_PRODUCTOS[#All],4)</f>
        <v xml:space="preserve">Bibliorato color </v>
      </c>
      <c r="C553" s="6" t="str">
        <f>VLOOKUP(TABLA_PRECIOS_LISTBOX_VENTAS[Código],LISTADO_PRODUCTOS[#All],5)</f>
        <v>N/A</v>
      </c>
      <c r="D553" s="28">
        <f>VLOOKUP(TABLA_PRECIOS_LISTBOX_VENTAS[[#This Row],[Código]],TABLA_PRECIOS[#All],7)</f>
        <v>1</v>
      </c>
    </row>
    <row r="554" spans="1:4" x14ac:dyDescent="0.3">
      <c r="A554" s="4">
        <v>4083</v>
      </c>
      <c r="B554" s="6" t="str">
        <f>VLOOKUP(TABLA_PRECIOS_LISTBOX_VENTAS[Código],LISTADO_PRODUCTOS[#All],4)</f>
        <v>Bilbliorato color A4 lomo Ancho</v>
      </c>
      <c r="C554" s="6" t="str">
        <f>VLOOKUP(TABLA_PRECIOS_LISTBOX_VENTAS[Código],LISTADO_PRODUCTOS[#All],5)</f>
        <v>N/A</v>
      </c>
      <c r="D554" s="28">
        <f>VLOOKUP(TABLA_PRECIOS_LISTBOX_VENTAS[[#This Row],[Código]],TABLA_PRECIOS[#All],7)</f>
        <v>1</v>
      </c>
    </row>
    <row r="555" spans="1:4" x14ac:dyDescent="0.3">
      <c r="A555" s="4">
        <v>4084</v>
      </c>
      <c r="B555" s="6" t="str">
        <f>VLOOKUP(TABLA_PRECIOS_LISTBOX_VENTAS[Código],LISTADO_PRODUCTOS[#All],4)</f>
        <v>Bibliorato Color Oficio Lomo Angosto</v>
      </c>
      <c r="C555" s="6" t="str">
        <f>VLOOKUP(TABLA_PRECIOS_LISTBOX_VENTAS[Código],LISTADO_PRODUCTOS[#All],5)</f>
        <v>N/A</v>
      </c>
      <c r="D555" s="28">
        <f>VLOOKUP(TABLA_PRECIOS_LISTBOX_VENTAS[[#This Row],[Código]],TABLA_PRECIOS[#All],7)</f>
        <v>1</v>
      </c>
    </row>
    <row r="556" spans="1:4" x14ac:dyDescent="0.3">
      <c r="A556" s="4">
        <v>4085</v>
      </c>
      <c r="B556" s="6" t="str">
        <f>VLOOKUP(TABLA_PRECIOS_LISTBOX_VENTAS[Código],LISTADO_PRODUCTOS[#All],4)</f>
        <v>Bibliorato Color Oficio Lomo Ancho</v>
      </c>
      <c r="C556" s="6" t="str">
        <f>VLOOKUP(TABLA_PRECIOS_LISTBOX_VENTAS[Código],LISTADO_PRODUCTOS[#All],5)</f>
        <v>N/A</v>
      </c>
      <c r="D556" s="28">
        <f>VLOOKUP(TABLA_PRECIOS_LISTBOX_VENTAS[[#This Row],[Código]],TABLA_PRECIOS[#All],7)</f>
        <v>1</v>
      </c>
    </row>
    <row r="557" spans="1:4" x14ac:dyDescent="0.3">
      <c r="A557" s="4">
        <v>4086</v>
      </c>
      <c r="B557" s="6" t="str">
        <f>VLOOKUP(TABLA_PRECIOS_LISTBOX_VENTAS[Código],LISTADO_PRODUCTOS[#All],4)</f>
        <v>Bibliorato Marmolado A4</v>
      </c>
      <c r="C557" s="6" t="str">
        <f>VLOOKUP(TABLA_PRECIOS_LISTBOX_VENTAS[Código],LISTADO_PRODUCTOS[#All],5)</f>
        <v>N/A</v>
      </c>
      <c r="D557" s="28">
        <f>VLOOKUP(TABLA_PRECIOS_LISTBOX_VENTAS[[#This Row],[Código]],TABLA_PRECIOS[#All],7)</f>
        <v>1</v>
      </c>
    </row>
    <row r="558" spans="1:4" x14ac:dyDescent="0.3">
      <c r="A558" s="4">
        <v>4087</v>
      </c>
      <c r="B558" s="6" t="str">
        <f>VLOOKUP(TABLA_PRECIOS_LISTBOX_VENTAS[Código],LISTADO_PRODUCTOS[#All],4)</f>
        <v>Bibliorato Marmolado Oficio</v>
      </c>
      <c r="C558" s="6" t="str">
        <f>VLOOKUP(TABLA_PRECIOS_LISTBOX_VENTAS[Código],LISTADO_PRODUCTOS[#All],5)</f>
        <v>N/A</v>
      </c>
      <c r="D558" s="28">
        <f>VLOOKUP(TABLA_PRECIOS_LISTBOX_VENTAS[[#This Row],[Código]],TABLA_PRECIOS[#All],7)</f>
        <v>1</v>
      </c>
    </row>
    <row r="559" spans="1:4" x14ac:dyDescent="0.3">
      <c r="A559" s="4">
        <v>4088</v>
      </c>
      <c r="B559" s="6" t="str">
        <f>VLOOKUP(TABLA_PRECIOS_LISTBOX_VENTAS[Código],LISTADO_PRODUCTOS[#All],4)</f>
        <v>Papel Carbonico Pelikan x u</v>
      </c>
      <c r="C559" s="6" t="str">
        <f>VLOOKUP(TABLA_PRECIOS_LISTBOX_VENTAS[Código],LISTADO_PRODUCTOS[#All],5)</f>
        <v>N/A</v>
      </c>
      <c r="D559" s="28">
        <f>VLOOKUP(TABLA_PRECIOS_LISTBOX_VENTAS[[#This Row],[Código]],TABLA_PRECIOS[#All],7)</f>
        <v>1</v>
      </c>
    </row>
    <row r="560" spans="1:4" x14ac:dyDescent="0.3">
      <c r="A560" s="4">
        <v>4089</v>
      </c>
      <c r="B560" s="6" t="str">
        <f>VLOOKUP(TABLA_PRECIOS_LISTBOX_VENTAS[Código],LISTADO_PRODUCTOS[#All],4)</f>
        <v>Papel Carbonico Coxi x u</v>
      </c>
      <c r="C560" s="6" t="str">
        <f>VLOOKUP(TABLA_PRECIOS_LISTBOX_VENTAS[Código],LISTADO_PRODUCTOS[#All],5)</f>
        <v>N/A</v>
      </c>
      <c r="D560" s="28">
        <f>VLOOKUP(TABLA_PRECIOS_LISTBOX_VENTAS[[#This Row],[Código]],TABLA_PRECIOS[#All],7)</f>
        <v>1</v>
      </c>
    </row>
    <row r="561" spans="1:4" x14ac:dyDescent="0.3">
      <c r="A561" s="4">
        <v>4090</v>
      </c>
      <c r="B561" s="6" t="str">
        <f>VLOOKUP(TABLA_PRECIOS_LISTBOX_VENTAS[Código],LISTADO_PRODUCTOS[#All],4)</f>
        <v>Caja Archivo plastica grande c/tapa</v>
      </c>
      <c r="C561" s="6" t="str">
        <f>VLOOKUP(TABLA_PRECIOS_LISTBOX_VENTAS[Código],LISTADO_PRODUCTOS[#All],5)</f>
        <v>N/A</v>
      </c>
      <c r="D561" s="28">
        <f>VLOOKUP(TABLA_PRECIOS_LISTBOX_VENTAS[[#This Row],[Código]],TABLA_PRECIOS[#All],7)</f>
        <v>1</v>
      </c>
    </row>
    <row r="562" spans="1:4" x14ac:dyDescent="0.3">
      <c r="A562" s="4">
        <v>4092</v>
      </c>
      <c r="B562" s="6" t="str">
        <f>VLOOKUP(TABLA_PRECIOS_LISTBOX_VENTAS[Código],LISTADO_PRODUCTOS[#All],4)</f>
        <v>Marcador Bic Marking Pizarra</v>
      </c>
      <c r="C562" s="6" t="str">
        <f>VLOOKUP(TABLA_PRECIOS_LISTBOX_VENTAS[Código],LISTADO_PRODUCTOS[#All],5)</f>
        <v>N/A</v>
      </c>
      <c r="D562" s="28">
        <f>VLOOKUP(TABLA_PRECIOS_LISTBOX_VENTAS[[#This Row],[Código]],TABLA_PRECIOS[#All],7)</f>
        <v>1</v>
      </c>
    </row>
    <row r="563" spans="1:4" x14ac:dyDescent="0.3">
      <c r="A563" s="4">
        <v>4094</v>
      </c>
      <c r="B563" s="6" t="str">
        <f>VLOOKUP(TABLA_PRECIOS_LISTBOX_VENTAS[Código],LISTADO_PRODUCTOS[#All],4)</f>
        <v>Talonario Neutro duplicado Alianza - Grande</v>
      </c>
      <c r="C563" s="6" t="str">
        <f>VLOOKUP(TABLA_PRECIOS_LISTBOX_VENTAS[Código],LISTADO_PRODUCTOS[#All],5)</f>
        <v>N/A</v>
      </c>
      <c r="D563" s="28">
        <f>VLOOKUP(TABLA_PRECIOS_LISTBOX_VENTAS[[#This Row],[Código]],TABLA_PRECIOS[#All],7)</f>
        <v>1</v>
      </c>
    </row>
    <row r="564" spans="1:4" x14ac:dyDescent="0.3">
      <c r="A564" s="4">
        <v>4095</v>
      </c>
      <c r="B564" s="6" t="str">
        <f>VLOOKUP(TABLA_PRECIOS_LISTBOX_VENTAS[Código],LISTADO_PRODUCTOS[#All],4)</f>
        <v>Broche Kangaroo/buffalo Nº10 - 793600660100</v>
      </c>
      <c r="C564" s="6" t="str">
        <f>VLOOKUP(TABLA_PRECIOS_LISTBOX_VENTAS[Código],LISTADO_PRODUCTOS[#All],5)</f>
        <v>N/A</v>
      </c>
      <c r="D564" s="28">
        <f>VLOOKUP(TABLA_PRECIOS_LISTBOX_VENTAS[[#This Row],[Código]],TABLA_PRECIOS[#All],7)</f>
        <v>1</v>
      </c>
    </row>
    <row r="565" spans="1:4" x14ac:dyDescent="0.3">
      <c r="A565" s="4">
        <v>4096</v>
      </c>
      <c r="B565" s="6" t="str">
        <f>VLOOKUP(TABLA_PRECIOS_LISTBOX_VENTAS[Código],LISTADO_PRODUCTOS[#All],4)</f>
        <v>Talonario contado Husares N 1831</v>
      </c>
      <c r="C565" s="6" t="str">
        <f>VLOOKUP(TABLA_PRECIOS_LISTBOX_VENTAS[Código],LISTADO_PRODUCTOS[#All],5)</f>
        <v>N/A</v>
      </c>
      <c r="D565" s="28">
        <f>VLOOKUP(TABLA_PRECIOS_LISTBOX_VENTAS[[#This Row],[Código]],TABLA_PRECIOS[#All],7)</f>
        <v>1</v>
      </c>
    </row>
    <row r="566" spans="1:4" x14ac:dyDescent="0.3">
      <c r="A566" s="4">
        <v>4097</v>
      </c>
      <c r="B566" s="6" t="str">
        <f>VLOOKUP(TABLA_PRECIOS_LISTBOX_VENTAS[Código],LISTADO_PRODUCTOS[#All],4)</f>
        <v>Talonario Husares duplicado multiuso N1929</v>
      </c>
      <c r="C566" s="6" t="str">
        <f>VLOOKUP(TABLA_PRECIOS_LISTBOX_VENTAS[Código],LISTADO_PRODUCTOS[#All],5)</f>
        <v>N/A</v>
      </c>
      <c r="D566" s="28">
        <f>VLOOKUP(TABLA_PRECIOS_LISTBOX_VENTAS[[#This Row],[Código]],TABLA_PRECIOS[#All],7)</f>
        <v>1</v>
      </c>
    </row>
    <row r="567" spans="1:4" x14ac:dyDescent="0.3">
      <c r="A567" s="4">
        <v>4098</v>
      </c>
      <c r="B567" s="6" t="str">
        <f>VLOOKUP(TABLA_PRECIOS_LISTBOX_VENTAS[Código],LISTADO_PRODUCTOS[#All],4)</f>
        <v>Banda elasticas Flexiband x 50gr</v>
      </c>
      <c r="C567" s="6" t="str">
        <f>VLOOKUP(TABLA_PRECIOS_LISTBOX_VENTAS[Código],LISTADO_PRODUCTOS[#All],5)</f>
        <v>N/A</v>
      </c>
      <c r="D567" s="28">
        <f>VLOOKUP(TABLA_PRECIOS_LISTBOX_VENTAS[[#This Row],[Código]],TABLA_PRECIOS[#All],7)</f>
        <v>1</v>
      </c>
    </row>
    <row r="568" spans="1:4" x14ac:dyDescent="0.3">
      <c r="A568" s="4">
        <v>4101</v>
      </c>
      <c r="B568" s="6" t="str">
        <f>VLOOKUP(TABLA_PRECIOS_LISTBOX_VENTAS[Código],LISTADO_PRODUCTOS[#All],4)</f>
        <v>Folio Oficio Micro/LUMA x100 x bolsa completa $2750 - 7796893002148</v>
      </c>
      <c r="C568" s="6" t="str">
        <f>VLOOKUP(TABLA_PRECIOS_LISTBOX_VENTAS[Código],LISTADO_PRODUCTOS[#All],5)</f>
        <v>N/A</v>
      </c>
      <c r="D568" s="28">
        <f>VLOOKUP(TABLA_PRECIOS_LISTBOX_VENTAS[[#This Row],[Código]],TABLA_PRECIOS[#All],7)</f>
        <v>1</v>
      </c>
    </row>
    <row r="569" spans="1:4" x14ac:dyDescent="0.3">
      <c r="A569" s="4">
        <v>4102</v>
      </c>
      <c r="B569" s="6" t="str">
        <f>VLOOKUP(TABLA_PRECIOS_LISTBOX_VENTAS[Código],LISTADO_PRODUCTOS[#All],4)</f>
        <v>Folio A4 Micro/LUMA x100 x bolsa completa $2300- 7796893002124</v>
      </c>
      <c r="C569" s="6" t="str">
        <f>VLOOKUP(TABLA_PRECIOS_LISTBOX_VENTAS[Código],LISTADO_PRODUCTOS[#All],5)</f>
        <v>N/A</v>
      </c>
      <c r="D569" s="28">
        <f>VLOOKUP(TABLA_PRECIOS_LISTBOX_VENTAS[[#This Row],[Código]],TABLA_PRECIOS[#All],7)</f>
        <v>1</v>
      </c>
    </row>
    <row r="570" spans="1:4" x14ac:dyDescent="0.3">
      <c r="A570" s="4">
        <v>4105</v>
      </c>
      <c r="B570" s="6" t="str">
        <f>VLOOKUP(TABLA_PRECIOS_LISTBOX_VENTAS[Código],LISTADO_PRODUCTOS[#All],4)</f>
        <v>Folio Nº3 Luma/Liggo Comun x100 - Pack $1260</v>
      </c>
      <c r="C570" s="6" t="str">
        <f>VLOOKUP(TABLA_PRECIOS_LISTBOX_VENTAS[Código],LISTADO_PRODUCTOS[#All],5)</f>
        <v>N/A</v>
      </c>
      <c r="D570" s="28">
        <f>VLOOKUP(TABLA_PRECIOS_LISTBOX_VENTAS[[#This Row],[Código]],TABLA_PRECIOS[#All],7)</f>
        <v>1</v>
      </c>
    </row>
    <row r="571" spans="1:4" x14ac:dyDescent="0.3">
      <c r="A571" s="4">
        <v>4108</v>
      </c>
      <c r="B571" s="6" t="str">
        <f>VLOOKUP(TABLA_PRECIOS_LISTBOX_VENTAS[Código],LISTADO_PRODUCTOS[#All],4)</f>
        <v>Broche GRAP N°65 x 1000u</v>
      </c>
      <c r="C571" s="6" t="str">
        <f>VLOOKUP(TABLA_PRECIOS_LISTBOX_VENTAS[Código],LISTADO_PRODUCTOS[#All],5)</f>
        <v>N/A</v>
      </c>
      <c r="D571" s="28">
        <f>VLOOKUP(TABLA_PRECIOS_LISTBOX_VENTAS[[#This Row],[Código]],TABLA_PRECIOS[#All],7)</f>
        <v>1</v>
      </c>
    </row>
    <row r="572" spans="1:4" x14ac:dyDescent="0.3">
      <c r="A572" s="4">
        <v>4109</v>
      </c>
      <c r="B572" s="6" t="str">
        <f>VLOOKUP(TABLA_PRECIOS_LISTBOX_VENTAS[Código],LISTADO_PRODUCTOS[#All],4)</f>
        <v>Chinche dorado Sifap</v>
      </c>
      <c r="C572" s="6" t="str">
        <f>VLOOKUP(TABLA_PRECIOS_LISTBOX_VENTAS[Código],LISTADO_PRODUCTOS[#All],5)</f>
        <v>N/A</v>
      </c>
      <c r="D572" s="28">
        <f>VLOOKUP(TABLA_PRECIOS_LISTBOX_VENTAS[[#This Row],[Código]],TABLA_PRECIOS[#All],7)</f>
        <v>1</v>
      </c>
    </row>
    <row r="573" spans="1:4" x14ac:dyDescent="0.3">
      <c r="A573" s="4">
        <v>4127</v>
      </c>
      <c r="B573" s="6" t="str">
        <f>VLOOKUP(TABLA_PRECIOS_LISTBOX_VENTAS[Código],LISTADO_PRODUCTOS[#All],4)</f>
        <v>Alfiler SIFAP CX 50gr</v>
      </c>
      <c r="C573" s="6" t="str">
        <f>VLOOKUP(TABLA_PRECIOS_LISTBOX_VENTAS[Código],LISTADO_PRODUCTOS[#All],5)</f>
        <v>N/A</v>
      </c>
      <c r="D573" s="28">
        <f>VLOOKUP(TABLA_PRECIOS_LISTBOX_VENTAS[[#This Row],[Código]],TABLA_PRECIOS[#All],7)</f>
        <v>1</v>
      </c>
    </row>
    <row r="574" spans="1:4" x14ac:dyDescent="0.3">
      <c r="A574" s="4">
        <v>4129</v>
      </c>
      <c r="B574" s="6" t="str">
        <f>VLOOKUP(TABLA_PRECIOS_LISTBOX_VENTAS[Código],LISTADO_PRODUCTOS[#All],4)</f>
        <v>Alfiler SIFAP CX 50gr</v>
      </c>
      <c r="C574" s="6" t="str">
        <f>VLOOKUP(TABLA_PRECIOS_LISTBOX_VENTAS[Código],LISTADO_PRODUCTOS[#All],5)</f>
        <v>N/A</v>
      </c>
      <c r="D574" s="28">
        <f>VLOOKUP(TABLA_PRECIOS_LISTBOX_VENTAS[[#This Row],[Código]],TABLA_PRECIOS[#All],7)</f>
        <v>1</v>
      </c>
    </row>
    <row r="575" spans="1:4" x14ac:dyDescent="0.3">
      <c r="A575" s="4">
        <v>4133</v>
      </c>
      <c r="B575" s="6" t="str">
        <f>VLOOKUP(TABLA_PRECIOS_LISTBOX_VENTAS[Código],LISTADO_PRODUCTOS[#All],4)</f>
        <v>Alfiler SIFAP CX 50gr</v>
      </c>
      <c r="C575" s="6" t="str">
        <f>VLOOKUP(TABLA_PRECIOS_LISTBOX_VENTAS[Código],LISTADO_PRODUCTOS[#All],5)</f>
        <v>N/A</v>
      </c>
      <c r="D575" s="28">
        <f>VLOOKUP(TABLA_PRECIOS_LISTBOX_VENTAS[[#This Row],[Código]],TABLA_PRECIOS[#All],7)</f>
        <v>1</v>
      </c>
    </row>
    <row r="576" spans="1:4" x14ac:dyDescent="0.3">
      <c r="A576" s="4">
        <v>4207</v>
      </c>
      <c r="B576" s="6" t="str">
        <f>VLOOKUP(TABLA_PRECIOS_LISTBOX_VENTAS[Código],LISTADO_PRODUCTOS[#All],4)</f>
        <v>Libro de Actas Potosi 2 manos Clochet</v>
      </c>
      <c r="C576" s="6" t="str">
        <f>VLOOKUP(TABLA_PRECIOS_LISTBOX_VENTAS[Código],LISTADO_PRODUCTOS[#All],5)</f>
        <v>N/A</v>
      </c>
      <c r="D576" s="28">
        <f>VLOOKUP(TABLA_PRECIOS_LISTBOX_VENTAS[[#This Row],[Código]],TABLA_PRECIOS[#All],7)</f>
        <v>1</v>
      </c>
    </row>
    <row r="577" spans="1:4" x14ac:dyDescent="0.3">
      <c r="A577" s="4">
        <v>4117</v>
      </c>
      <c r="B577" s="6" t="str">
        <f>VLOOKUP(TABLA_PRECIOS_LISTBOX_VENTAS[Código],LISTADO_PRODUCTOS[#All],4)</f>
        <v>Carpeta Foliada x20 f util-off/display - 7794765003668</v>
      </c>
      <c r="C577" s="6" t="str">
        <f>VLOOKUP(TABLA_PRECIOS_LISTBOX_VENTAS[Código],LISTADO_PRODUCTOS[#All],5)</f>
        <v>N/A</v>
      </c>
      <c r="D577" s="28">
        <f>VLOOKUP(TABLA_PRECIOS_LISTBOX_VENTAS[[#This Row],[Código]],TABLA_PRECIOS[#All],7)</f>
        <v>1</v>
      </c>
    </row>
    <row r="578" spans="1:4" x14ac:dyDescent="0.3">
      <c r="A578" s="4">
        <v>4120</v>
      </c>
      <c r="B578" s="6" t="str">
        <f>VLOOKUP(TABLA_PRECIOS_LISTBOX_VENTAS[Código],LISTADO_PRODUCTOS[#All],4)</f>
        <v>Alfiler SIFAP CX 50gr</v>
      </c>
      <c r="C578" s="6" t="str">
        <f>VLOOKUP(TABLA_PRECIOS_LISTBOX_VENTAS[Código],LISTADO_PRODUCTOS[#All],5)</f>
        <v>N/A</v>
      </c>
      <c r="D578" s="28">
        <f>VLOOKUP(TABLA_PRECIOS_LISTBOX_VENTAS[[#This Row],[Código]],TABLA_PRECIOS[#All],7)</f>
        <v>1</v>
      </c>
    </row>
    <row r="579" spans="1:4" x14ac:dyDescent="0.3">
      <c r="A579" s="4">
        <v>4143</v>
      </c>
      <c r="B579" s="6" t="str">
        <f>VLOOKUP(TABLA_PRECIOS_LISTBOX_VENTAS[Código],LISTADO_PRODUCTOS[#All],4)</f>
        <v>Rollo Motex Blanco P/maquina</v>
      </c>
      <c r="C579" s="6" t="str">
        <f>VLOOKUP(TABLA_PRECIOS_LISTBOX_VENTAS[Código],LISTADO_PRODUCTOS[#All],5)</f>
        <v>N/A</v>
      </c>
      <c r="D579" s="28">
        <f>VLOOKUP(TABLA_PRECIOS_LISTBOX_VENTAS[[#This Row],[Código]],TABLA_PRECIOS[#All],7)</f>
        <v>1</v>
      </c>
    </row>
    <row r="580" spans="1:4" x14ac:dyDescent="0.3">
      <c r="A580" s="4">
        <v>4146</v>
      </c>
      <c r="B580" s="6" t="str">
        <f>VLOOKUP(TABLA_PRECIOS_LISTBOX_VENTAS[Código],LISTADO_PRODUCTOS[#All],4)</f>
        <v>Fichero Metallico Nº2 300 fichas</v>
      </c>
      <c r="C580" s="6" t="str">
        <f>VLOOKUP(TABLA_PRECIOS_LISTBOX_VENTAS[Código],LISTADO_PRODUCTOS[#All],5)</f>
        <v>N/A</v>
      </c>
      <c r="D580" s="28">
        <f>VLOOKUP(TABLA_PRECIOS_LISTBOX_VENTAS[[#This Row],[Código]],TABLA_PRECIOS[#All],7)</f>
        <v>1</v>
      </c>
    </row>
    <row r="581" spans="1:4" x14ac:dyDescent="0.3">
      <c r="A581" s="4">
        <v>4147</v>
      </c>
      <c r="B581" s="6" t="str">
        <f>VLOOKUP(TABLA_PRECIOS_LISTBOX_VENTAS[Código],LISTADO_PRODUCTOS[#All],4)</f>
        <v>Fichero Metallico Nº3 300 fichas</v>
      </c>
      <c r="C581" s="6" t="str">
        <f>VLOOKUP(TABLA_PRECIOS_LISTBOX_VENTAS[Código],LISTADO_PRODUCTOS[#All],5)</f>
        <v>N/A</v>
      </c>
      <c r="D581" s="28">
        <f>VLOOKUP(TABLA_PRECIOS_LISTBOX_VENTAS[[#This Row],[Código]],TABLA_PRECIOS[#All],7)</f>
        <v>1</v>
      </c>
    </row>
    <row r="582" spans="1:4" x14ac:dyDescent="0.3">
      <c r="A582" s="4">
        <v>4148</v>
      </c>
      <c r="B582" s="6" t="str">
        <f>VLOOKUP(TABLA_PRECIOS_LISTBOX_VENTAS[Código],LISTADO_PRODUCTOS[#All],4)</f>
        <v>Notas adhesivas Mooving Tropical 45x 50 x 20hj</v>
      </c>
      <c r="C582" s="6" t="str">
        <f>VLOOKUP(TABLA_PRECIOS_LISTBOX_VENTAS[Código],LISTADO_PRODUCTOS[#All],5)</f>
        <v>N/A</v>
      </c>
      <c r="D582" s="28">
        <f>VLOOKUP(TABLA_PRECIOS_LISTBOX_VENTAS[[#This Row],[Código]],TABLA_PRECIOS[#All],7)</f>
        <v>1</v>
      </c>
    </row>
    <row r="583" spans="1:4" x14ac:dyDescent="0.3">
      <c r="A583" s="4">
        <v>4150</v>
      </c>
      <c r="B583" s="6" t="str">
        <f>VLOOKUP(TABLA_PRECIOS_LISTBOX_VENTAS[Código],LISTADO_PRODUCTOS[#All],4)</f>
        <v>Banderitas Ezco FLUO</v>
      </c>
      <c r="C583" s="6" t="str">
        <f>VLOOKUP(TABLA_PRECIOS_LISTBOX_VENTAS[Código],LISTADO_PRODUCTOS[#All],5)</f>
        <v>N/A</v>
      </c>
      <c r="D583" s="28">
        <f>VLOOKUP(TABLA_PRECIOS_LISTBOX_VENTAS[[#This Row],[Código]],TABLA_PRECIOS[#All],7)</f>
        <v>1</v>
      </c>
    </row>
    <row r="584" spans="1:4" x14ac:dyDescent="0.3">
      <c r="A584" s="4">
        <v>4154</v>
      </c>
      <c r="B584" s="6" t="str">
        <f>VLOOKUP(TABLA_PRECIOS_LISTBOX_VENTAS[Código],LISTADO_PRODUCTOS[#All],4)</f>
        <v>Carpeta fondo base opaca Oficio T/T</v>
      </c>
      <c r="C584" s="6" t="str">
        <f>VLOOKUP(TABLA_PRECIOS_LISTBOX_VENTAS[Código],LISTADO_PRODUCTOS[#All],5)</f>
        <v>N/A</v>
      </c>
      <c r="D584" s="28">
        <f>VLOOKUP(TABLA_PRECIOS_LISTBOX_VENTAS[[#This Row],[Código]],TABLA_PRECIOS[#All],7)</f>
        <v>1</v>
      </c>
    </row>
    <row r="585" spans="1:4" x14ac:dyDescent="0.3">
      <c r="A585" s="4">
        <v>4155</v>
      </c>
      <c r="B585" s="6" t="str">
        <f>VLOOKUP(TABLA_PRECIOS_LISTBOX_VENTAS[Código],LISTADO_PRODUCTOS[#All],4)</f>
        <v>Carpeta Fondo base Opaca A4</v>
      </c>
      <c r="C585" s="6" t="str">
        <f>VLOOKUP(TABLA_PRECIOS_LISTBOX_VENTAS[Código],LISTADO_PRODUCTOS[#All],5)</f>
        <v>N/A</v>
      </c>
      <c r="D585" s="28">
        <f>VLOOKUP(TABLA_PRECIOS_LISTBOX_VENTAS[[#This Row],[Código]],TABLA_PRECIOS[#All],7)</f>
        <v>1</v>
      </c>
    </row>
    <row r="586" spans="1:4" x14ac:dyDescent="0.3">
      <c r="A586" s="4">
        <v>4157</v>
      </c>
      <c r="B586" s="6" t="str">
        <f>VLOOKUP(TABLA_PRECIOS_LISTBOX_VENTAS[Código],LISTADO_PRODUCTOS[#All],4)</f>
        <v>Carpeta C/Vaina Oficio</v>
      </c>
      <c r="C586" s="6" t="str">
        <f>VLOOKUP(TABLA_PRECIOS_LISTBOX_VENTAS[Código],LISTADO_PRODUCTOS[#All],5)</f>
        <v>N/A</v>
      </c>
      <c r="D586" s="28">
        <f>VLOOKUP(TABLA_PRECIOS_LISTBOX_VENTAS[[#This Row],[Código]],TABLA_PRECIOS[#All],7)</f>
        <v>1</v>
      </c>
    </row>
    <row r="587" spans="1:4" x14ac:dyDescent="0.3">
      <c r="A587" s="4">
        <v>4158</v>
      </c>
      <c r="B587" s="6" t="str">
        <f>VLOOKUP(TABLA_PRECIOS_LISTBOX_VENTAS[Código],LISTADO_PRODUCTOS[#All],4)</f>
        <v>Carpeta c/Vaina A4</v>
      </c>
      <c r="C587" s="6" t="str">
        <f>VLOOKUP(TABLA_PRECIOS_LISTBOX_VENTAS[Código],LISTADO_PRODUCTOS[#All],5)</f>
        <v>N/A</v>
      </c>
      <c r="D587" s="28">
        <f>VLOOKUP(TABLA_PRECIOS_LISTBOX_VENTAS[[#This Row],[Código]],TABLA_PRECIOS[#All],7)</f>
        <v>1</v>
      </c>
    </row>
    <row r="588" spans="1:4" x14ac:dyDescent="0.3">
      <c r="A588" s="4">
        <v>4159</v>
      </c>
      <c r="B588" s="6" t="str">
        <f>VLOOKUP(TABLA_PRECIOS_LISTBOX_VENTAS[Código],LISTADO_PRODUCTOS[#All],4)</f>
        <v>Carpeta Veloz</v>
      </c>
      <c r="C588" s="6" t="str">
        <f>VLOOKUP(TABLA_PRECIOS_LISTBOX_VENTAS[Código],LISTADO_PRODUCTOS[#All],5)</f>
        <v>N/A</v>
      </c>
      <c r="D588" s="28">
        <f>VLOOKUP(TABLA_PRECIOS_LISTBOX_VENTAS[[#This Row],[Código]],TABLA_PRECIOS[#All],7)</f>
        <v>1</v>
      </c>
    </row>
    <row r="589" spans="1:4" x14ac:dyDescent="0.3">
      <c r="A589" s="4">
        <v>4160</v>
      </c>
      <c r="B589" s="6" t="str">
        <f>VLOOKUP(TABLA_PRECIOS_LISTBOX_VENTAS[Código],LISTADO_PRODUCTOS[#All],4)</f>
        <v>Carpeta c/vaina color</v>
      </c>
      <c r="C589" s="6" t="str">
        <f>VLOOKUP(TABLA_PRECIOS_LISTBOX_VENTAS[Código],LISTADO_PRODUCTOS[#All],5)</f>
        <v>N/A</v>
      </c>
      <c r="D589" s="28">
        <f>VLOOKUP(TABLA_PRECIOS_LISTBOX_VENTAS[[#This Row],[Código]],TABLA_PRECIOS[#All],7)</f>
        <v>1</v>
      </c>
    </row>
    <row r="590" spans="1:4" x14ac:dyDescent="0.3">
      <c r="A590" s="4">
        <v>4166</v>
      </c>
      <c r="B590" s="6" t="str">
        <f>VLOOKUP(TABLA_PRECIOS_LISTBOX_VENTAS[Código],LISTADO_PRODUCTOS[#All],4)</f>
        <v>Carpeta foliada Lama 100f A4</v>
      </c>
      <c r="C590" s="6" t="str">
        <f>VLOOKUP(TABLA_PRECIOS_LISTBOX_VENTAS[Código],LISTADO_PRODUCTOS[#All],5)</f>
        <v>N/A</v>
      </c>
      <c r="D590" s="28">
        <f>VLOOKUP(TABLA_PRECIOS_LISTBOX_VENTAS[[#This Row],[Código]],TABLA_PRECIOS[#All],7)</f>
        <v>1</v>
      </c>
    </row>
    <row r="591" spans="1:4" x14ac:dyDescent="0.3">
      <c r="A591" s="4">
        <v>4167</v>
      </c>
      <c r="B591" s="6" t="str">
        <f>VLOOKUP(TABLA_PRECIOS_LISTBOX_VENTAS[Código],LISTADO_PRODUCTOS[#All],4)</f>
        <v>Cartuchera para cuaderno/agenda FW A5</v>
      </c>
      <c r="C591" s="6" t="str">
        <f>VLOOKUP(TABLA_PRECIOS_LISTBOX_VENTAS[Código],LISTADO_PRODUCTOS[#All],5)</f>
        <v>N/A</v>
      </c>
      <c r="D591" s="28">
        <f>VLOOKUP(TABLA_PRECIOS_LISTBOX_VENTAS[[#This Row],[Código]],TABLA_PRECIOS[#All],7)</f>
        <v>1</v>
      </c>
    </row>
    <row r="592" spans="1:4" x14ac:dyDescent="0.3">
      <c r="A592" s="4">
        <v>4207</v>
      </c>
      <c r="B592" s="6" t="str">
        <f>VLOOKUP(TABLA_PRECIOS_LISTBOX_VENTAS[Código],LISTADO_PRODUCTOS[#All],4)</f>
        <v>Libro de Actas Potosi 2 manos Clochet</v>
      </c>
      <c r="C592" s="6" t="str">
        <f>VLOOKUP(TABLA_PRECIOS_LISTBOX_VENTAS[Código],LISTADO_PRODUCTOS[#All],5)</f>
        <v>N/A</v>
      </c>
      <c r="D592" s="28">
        <f>VLOOKUP(TABLA_PRECIOS_LISTBOX_VENTAS[[#This Row],[Código]],TABLA_PRECIOS[#All],7)</f>
        <v>1</v>
      </c>
    </row>
    <row r="593" spans="1:4" x14ac:dyDescent="0.3">
      <c r="A593" s="4">
        <v>4208</v>
      </c>
      <c r="B593" s="6" t="str">
        <f>VLOOKUP(TABLA_PRECIOS_LISTBOX_VENTAS[Código],LISTADO_PRODUCTOS[#All],4)</f>
        <v>Libro de Actas Oficio Potosi Corona 2 manos</v>
      </c>
      <c r="C593" s="6" t="str">
        <f>VLOOKUP(TABLA_PRECIOS_LISTBOX_VENTAS[Código],LISTADO_PRODUCTOS[#All],5)</f>
        <v>N/A</v>
      </c>
      <c r="D593" s="28">
        <f>VLOOKUP(TABLA_PRECIOS_LISTBOX_VENTAS[[#This Row],[Código]],TABLA_PRECIOS[#All],7)</f>
        <v>1</v>
      </c>
    </row>
    <row r="594" spans="1:4" x14ac:dyDescent="0.3">
      <c r="A594" s="4">
        <v>4209</v>
      </c>
      <c r="B594" s="6" t="str">
        <f>VLOOKUP(TABLA_PRECIOS_LISTBOX_VENTAS[Código],LISTADO_PRODUCTOS[#All],4)</f>
        <v>Tinta BIC para marcador de Pizarra Blanca</v>
      </c>
      <c r="C594" s="6" t="str">
        <f>VLOOKUP(TABLA_PRECIOS_LISTBOX_VENTAS[Código],LISTADO_PRODUCTOS[#All],5)</f>
        <v>N/A</v>
      </c>
      <c r="D594" s="28">
        <f>VLOOKUP(TABLA_PRECIOS_LISTBOX_VENTAS[[#This Row],[Código]],TABLA_PRECIOS[#All],7)</f>
        <v>1</v>
      </c>
    </row>
    <row r="595" spans="1:4" x14ac:dyDescent="0.3">
      <c r="A595" s="4">
        <v>4211</v>
      </c>
      <c r="B595" s="6" t="str">
        <f>VLOOKUP(TABLA_PRECIOS_LISTBOX_VENTAS[Código],LISTADO_PRODUCTOS[#All],4)</f>
        <v>Clasificador A4 LAMA EF202NE</v>
      </c>
      <c r="C595" s="6" t="str">
        <f>VLOOKUP(TABLA_PRECIOS_LISTBOX_VENTAS[Código],LISTADO_PRODUCTOS[#All],5)</f>
        <v>N/A</v>
      </c>
      <c r="D595" s="28">
        <f>VLOOKUP(TABLA_PRECIOS_LISTBOX_VENTAS[[#This Row],[Código]],TABLA_PRECIOS[#All],7)</f>
        <v>1</v>
      </c>
    </row>
    <row r="596" spans="1:4" x14ac:dyDescent="0.3">
      <c r="A596" s="4">
        <v>4301</v>
      </c>
      <c r="B596" s="6" t="str">
        <f>VLOOKUP(TABLA_PRECIOS_LISTBOX_VENTAS[Código],LISTADO_PRODUCTOS[#All],4)</f>
        <v>Broche Clip Sifap Forrado Color Nº6</v>
      </c>
      <c r="C596" s="6" t="str">
        <f>VLOOKUP(TABLA_PRECIOS_LISTBOX_VENTAS[Código],LISTADO_PRODUCTOS[#All],5)</f>
        <v>N/A</v>
      </c>
      <c r="D596" s="28">
        <f>VLOOKUP(TABLA_PRECIOS_LISTBOX_VENTAS[[#This Row],[Código]],TABLA_PRECIOS[#All],7)</f>
        <v>1</v>
      </c>
    </row>
    <row r="597" spans="1:4" x14ac:dyDescent="0.3">
      <c r="A597" s="4">
        <v>4302</v>
      </c>
      <c r="B597" s="6" t="str">
        <f>VLOOKUP(TABLA_PRECIOS_LISTBOX_VENTAS[Código],LISTADO_PRODUCTOS[#All],4)</f>
        <v>Marcador Sharpie Metal plateado/rojo/azul/verde</v>
      </c>
      <c r="C597" s="6" t="str">
        <f>VLOOKUP(TABLA_PRECIOS_LISTBOX_VENTAS[Código],LISTADO_PRODUCTOS[#All],5)</f>
        <v>N/A</v>
      </c>
      <c r="D597" s="28">
        <f>VLOOKUP(TABLA_PRECIOS_LISTBOX_VENTAS[[#This Row],[Código]],TABLA_PRECIOS[#All],7)</f>
        <v>1</v>
      </c>
    </row>
    <row r="598" spans="1:4" x14ac:dyDescent="0.3">
      <c r="A598" s="4">
        <v>4305</v>
      </c>
      <c r="B598" s="6" t="str">
        <f>VLOOKUP(TABLA_PRECIOS_LISTBOX_VENTAS[Código],LISTADO_PRODUCTOS[#All],4)</f>
        <v>Banderitas flecha Mooving Pastel</v>
      </c>
      <c r="C598" s="6" t="str">
        <f>VLOOKUP(TABLA_PRECIOS_LISTBOX_VENTAS[Código],LISTADO_PRODUCTOS[#All],5)</f>
        <v>N/A</v>
      </c>
      <c r="D598" s="28">
        <f>VLOOKUP(TABLA_PRECIOS_LISTBOX_VENTAS[[#This Row],[Código]],TABLA_PRECIOS[#All],7)</f>
        <v>1</v>
      </c>
    </row>
    <row r="599" spans="1:4" x14ac:dyDescent="0.3">
      <c r="A599" s="4">
        <v>4308</v>
      </c>
      <c r="B599" s="6" t="str">
        <f>VLOOKUP(TABLA_PRECIOS_LISTBOX_VENTAS[Código],LISTADO_PRODUCTOS[#All],4)</f>
        <v>Clip Sifap N°8 78mm</v>
      </c>
      <c r="C599" s="6" t="str">
        <f>VLOOKUP(TABLA_PRECIOS_LISTBOX_VENTAS[Código],LISTADO_PRODUCTOS[#All],5)</f>
        <v>N/A</v>
      </c>
      <c r="D599" s="28">
        <f>VLOOKUP(TABLA_PRECIOS_LISTBOX_VENTAS[[#This Row],[Código]],TABLA_PRECIOS[#All],7)</f>
        <v>1</v>
      </c>
    </row>
    <row r="600" spans="1:4" x14ac:dyDescent="0.3">
      <c r="A600" s="4">
        <v>4322</v>
      </c>
      <c r="B600" s="6" t="str">
        <f>VLOOKUP(TABLA_PRECIOS_LISTBOX_VENTAS[Código],LISTADO_PRODUCTOS[#All],4)</f>
        <v>Clip 50mm Trazos</v>
      </c>
      <c r="C600" s="6" t="str">
        <f>VLOOKUP(TABLA_PRECIOS_LISTBOX_VENTAS[Código],LISTADO_PRODUCTOS[#All],5)</f>
        <v>N/A</v>
      </c>
      <c r="D600" s="28">
        <f>VLOOKUP(TABLA_PRECIOS_LISTBOX_VENTAS[[#This Row],[Código]],TABLA_PRECIOS[#All],7)</f>
        <v>1</v>
      </c>
    </row>
    <row r="601" spans="1:4" x14ac:dyDescent="0.3">
      <c r="A601" s="4">
        <v>4323</v>
      </c>
      <c r="B601" s="6" t="str">
        <f>VLOOKUP(TABLA_PRECIOS_LISTBOX_VENTAS[Código],LISTADO_PRODUCTOS[#All],4)</f>
        <v>Libro Recibos expediente Potosi</v>
      </c>
      <c r="C601" s="6" t="str">
        <f>VLOOKUP(TABLA_PRECIOS_LISTBOX_VENTAS[Código],LISTADO_PRODUCTOS[#All],5)</f>
        <v>N/A</v>
      </c>
      <c r="D601" s="28">
        <f>VLOOKUP(TABLA_PRECIOS_LISTBOX_VENTAS[[#This Row],[Código]],TABLA_PRECIOS[#All],7)</f>
        <v>1</v>
      </c>
    </row>
    <row r="602" spans="1:4" x14ac:dyDescent="0.3">
      <c r="A602" s="4">
        <v>4325</v>
      </c>
      <c r="B602" s="6" t="str">
        <f>VLOOKUP(TABLA_PRECIOS_LISTBOX_VENTAS[Código],LISTADO_PRODUCTOS[#All],4)</f>
        <v>Carpeta foliada Oficio Util-off 60f - 7794765003712</v>
      </c>
      <c r="C602" s="6" t="str">
        <f>VLOOKUP(TABLA_PRECIOS_LISTBOX_VENTAS[Código],LISTADO_PRODUCTOS[#All],5)</f>
        <v>N/A</v>
      </c>
      <c r="D602" s="28">
        <f>VLOOKUP(TABLA_PRECIOS_LISTBOX_VENTAS[[#This Row],[Código]],TABLA_PRECIOS[#All],7)</f>
        <v>1</v>
      </c>
    </row>
    <row r="603" spans="1:4" x14ac:dyDescent="0.3">
      <c r="A603" s="4">
        <v>4328</v>
      </c>
      <c r="B603" s="6" t="str">
        <f>VLOOKUP(TABLA_PRECIOS_LISTBOX_VENTAS[Código],LISTADO_PRODUCTOS[#All],4)</f>
        <v>Broche Clip Sifap metal Nº5 / Nº6</v>
      </c>
      <c r="C603" s="6" t="str">
        <f>VLOOKUP(TABLA_PRECIOS_LISTBOX_VENTAS[Código],LISTADO_PRODUCTOS[#All],5)</f>
        <v>N/A</v>
      </c>
      <c r="D603" s="28">
        <f>VLOOKUP(TABLA_PRECIOS_LISTBOX_VENTAS[[#This Row],[Código]],TABLA_PRECIOS[#All],7)</f>
        <v>1</v>
      </c>
    </row>
    <row r="604" spans="1:4" x14ac:dyDescent="0.3">
      <c r="A604" s="4">
        <v>4332</v>
      </c>
      <c r="B604" s="6" t="str">
        <f>VLOOKUP(TABLA_PRECIOS_LISTBOX_VENTAS[Código],LISTADO_PRODUCTOS[#All],4)</f>
        <v>Carpeta colgante nepaco delta</v>
      </c>
      <c r="C604" s="6" t="str">
        <f>VLOOKUP(TABLA_PRECIOS_LISTBOX_VENTAS[Código],LISTADO_PRODUCTOS[#All],5)</f>
        <v>N/A</v>
      </c>
      <c r="D604" s="28">
        <f>VLOOKUP(TABLA_PRECIOS_LISTBOX_VENTAS[[#This Row],[Código]],TABLA_PRECIOS[#All],7)</f>
        <v>1</v>
      </c>
    </row>
    <row r="605" spans="1:4" x14ac:dyDescent="0.3">
      <c r="A605" s="4">
        <v>4335</v>
      </c>
      <c r="B605" s="6" t="str">
        <f>VLOOKUP(TABLA_PRECIOS_LISTBOX_VENTAS[Código],LISTADO_PRODUCTOS[#All],4)</f>
        <v>Carpeta foliada 10f util-off oficio - 7794765003644</v>
      </c>
      <c r="C605" s="6" t="str">
        <f>VLOOKUP(TABLA_PRECIOS_LISTBOX_VENTAS[Código],LISTADO_PRODUCTOS[#All],5)</f>
        <v>N/A</v>
      </c>
      <c r="D605" s="28">
        <f>VLOOKUP(TABLA_PRECIOS_LISTBOX_VENTAS[[#This Row],[Código]],TABLA_PRECIOS[#All],7)</f>
        <v>1</v>
      </c>
    </row>
    <row r="606" spans="1:4" x14ac:dyDescent="0.3">
      <c r="A606" s="4">
        <v>4336</v>
      </c>
      <c r="B606" s="6" t="str">
        <f>VLOOKUP(TABLA_PRECIOS_LISTBOX_VENTAS[Código],LISTADO_PRODUCTOS[#All],4)</f>
        <v>Plancha de ojalillos Ori-Tec C/U</v>
      </c>
      <c r="C606" s="6" t="str">
        <f>VLOOKUP(TABLA_PRECIOS_LISTBOX_VENTAS[Código],LISTADO_PRODUCTOS[#All],5)</f>
        <v>N/A</v>
      </c>
      <c r="D606" s="28">
        <f>VLOOKUP(TABLA_PRECIOS_LISTBOX_VENTAS[[#This Row],[Código]],TABLA_PRECIOS[#All],7)</f>
        <v>1</v>
      </c>
    </row>
    <row r="607" spans="1:4" x14ac:dyDescent="0.3">
      <c r="A607" s="4">
        <v>4337</v>
      </c>
      <c r="B607" s="6" t="str">
        <f>VLOOKUP(TABLA_PRECIOS_LISTBOX_VENTAS[Código],LISTADO_PRODUCTOS[#All],4)</f>
        <v>Banderitas Mickey de Mooving</v>
      </c>
      <c r="C607" s="6" t="str">
        <f>VLOOKUP(TABLA_PRECIOS_LISTBOX_VENTAS[Código],LISTADO_PRODUCTOS[#All],5)</f>
        <v>N/A</v>
      </c>
      <c r="D607" s="28">
        <f>VLOOKUP(TABLA_PRECIOS_LISTBOX_VENTAS[[#This Row],[Código]],TABLA_PRECIOS[#All],7)</f>
        <v>1</v>
      </c>
    </row>
    <row r="608" spans="1:4" x14ac:dyDescent="0.3">
      <c r="A608" s="4">
        <v>4338</v>
      </c>
      <c r="B608" s="6" t="str">
        <f>VLOOKUP(TABLA_PRECIOS_LISTBOX_VENTAS[Código],LISTADO_PRODUCTOS[#All],4)</f>
        <v>Banderitas mooving 2100203 / 2</v>
      </c>
      <c r="C608" s="6" t="str">
        <f>VLOOKUP(TABLA_PRECIOS_LISTBOX_VENTAS[Código],LISTADO_PRODUCTOS[#All],5)</f>
        <v>N/A</v>
      </c>
      <c r="D608" s="28">
        <f>VLOOKUP(TABLA_PRECIOS_LISTBOX_VENTAS[[#This Row],[Código]],TABLA_PRECIOS[#All],7)</f>
        <v>1</v>
      </c>
    </row>
    <row r="609" spans="1:4" x14ac:dyDescent="0.3">
      <c r="A609" s="4">
        <v>4340</v>
      </c>
      <c r="B609" s="6" t="str">
        <f>VLOOKUP(TABLA_PRECIOS_LISTBOX_VENTAS[Código],LISTADO_PRODUCTOS[#All],4)</f>
        <v>banderitas mooving 2100207</v>
      </c>
      <c r="C609" s="6" t="str">
        <f>VLOOKUP(TABLA_PRECIOS_LISTBOX_VENTAS[Código],LISTADO_PRODUCTOS[#All],5)</f>
        <v>N/A</v>
      </c>
      <c r="D609" s="28">
        <f>VLOOKUP(TABLA_PRECIOS_LISTBOX_VENTAS[[#This Row],[Código]],TABLA_PRECIOS[#All],7)</f>
        <v>1</v>
      </c>
    </row>
    <row r="610" spans="1:4" x14ac:dyDescent="0.3">
      <c r="A610" s="4">
        <v>4341</v>
      </c>
      <c r="B610" s="6" t="str">
        <f>VLOOKUP(TABLA_PRECIOS_LISTBOX_VENTAS[Código],LISTADO_PRODUCTOS[#All],4)</f>
        <v>banderitas mooving 2100402</v>
      </c>
      <c r="C610" s="6" t="str">
        <f>VLOOKUP(TABLA_PRECIOS_LISTBOX_VENTAS[Código],LISTADO_PRODUCTOS[#All],5)</f>
        <v>N/A</v>
      </c>
      <c r="D610" s="28">
        <f>VLOOKUP(TABLA_PRECIOS_LISTBOX_VENTAS[[#This Row],[Código]],TABLA_PRECIOS[#All],7)</f>
        <v>1</v>
      </c>
    </row>
    <row r="611" spans="1:4" x14ac:dyDescent="0.3">
      <c r="A611" s="4">
        <v>4342</v>
      </c>
      <c r="B611" s="6" t="str">
        <f>VLOOKUP(TABLA_PRECIOS_LISTBOX_VENTAS[Código],LISTADO_PRODUCTOS[#All],4)</f>
        <v>Flechas Adhesivas Mooving pastel</v>
      </c>
      <c r="C611" s="6" t="str">
        <f>VLOOKUP(TABLA_PRECIOS_LISTBOX_VENTAS[Código],LISTADO_PRODUCTOS[#All],5)</f>
        <v>N/A</v>
      </c>
      <c r="D611" s="28">
        <f>VLOOKUP(TABLA_PRECIOS_LISTBOX_VENTAS[[#This Row],[Código]],TABLA_PRECIOS[#All],7)</f>
        <v>1</v>
      </c>
    </row>
    <row r="612" spans="1:4" x14ac:dyDescent="0.3">
      <c r="A612" s="4">
        <v>4345</v>
      </c>
      <c r="B612" s="6" t="str">
        <f>VLOOKUP(TABLA_PRECIOS_LISTBOX_VENTAS[Código],LISTADO_PRODUCTOS[#All],4)</f>
        <v>Banderitas mooving 2100205</v>
      </c>
      <c r="C612" s="6" t="str">
        <f>VLOOKUP(TABLA_PRECIOS_LISTBOX_VENTAS[Código],LISTADO_PRODUCTOS[#All],5)</f>
        <v>N/A</v>
      </c>
      <c r="D612" s="28">
        <f>VLOOKUP(TABLA_PRECIOS_LISTBOX_VENTAS[[#This Row],[Código]],TABLA_PRECIOS[#All],7)</f>
        <v>1</v>
      </c>
    </row>
    <row r="613" spans="1:4" x14ac:dyDescent="0.3">
      <c r="A613" s="4">
        <v>4346</v>
      </c>
      <c r="B613" s="6" t="str">
        <f>VLOOKUP(TABLA_PRECIOS_LISTBOX_VENTAS[Código],LISTADO_PRODUCTOS[#All],4)</f>
        <v>Carpeta catalogo foliada 10F General Office A4</v>
      </c>
      <c r="C613" s="6" t="str">
        <f>VLOOKUP(TABLA_PRECIOS_LISTBOX_VENTAS[Código],LISTADO_PRODUCTOS[#All],5)</f>
        <v>N/A</v>
      </c>
      <c r="D613" s="28">
        <f>VLOOKUP(TABLA_PRECIOS_LISTBOX_VENTAS[[#This Row],[Código]],TABLA_PRECIOS[#All],7)</f>
        <v>1</v>
      </c>
    </row>
    <row r="614" spans="1:4" x14ac:dyDescent="0.3">
      <c r="A614" s="4">
        <v>4354</v>
      </c>
      <c r="B614" s="6" t="str">
        <f>VLOOKUP(TABLA_PRECIOS_LISTBOX_VENTAS[Código],LISTADO_PRODUCTOS[#All],4)</f>
        <v>Marcador SHARPIE STAINED P/TELA PUNTA PINCEL blister x8u</v>
      </c>
      <c r="C614" s="6" t="str">
        <f>VLOOKUP(TABLA_PRECIOS_LISTBOX_VENTAS[Código],LISTADO_PRODUCTOS[#All],5)</f>
        <v>N/A</v>
      </c>
      <c r="D614" s="28">
        <f>VLOOKUP(TABLA_PRECIOS_LISTBOX_VENTAS[[#This Row],[Código]],TABLA_PRECIOS[#All],7)</f>
        <v>1</v>
      </c>
    </row>
    <row r="615" spans="1:4" x14ac:dyDescent="0.3">
      <c r="A615" s="4">
        <v>4362</v>
      </c>
      <c r="B615" s="6" t="str">
        <f>VLOOKUP(TABLA_PRECIOS_LISTBOX_VENTAS[Código],LISTADO_PRODUCTOS[#All],4)</f>
        <v>Abrochadora brazo largo 31cm + 1000 broche 26/6</v>
      </c>
      <c r="C615" s="6" t="str">
        <f>VLOOKUP(TABLA_PRECIOS_LISTBOX_VENTAS[Código],LISTADO_PRODUCTOS[#All],5)</f>
        <v>N/A</v>
      </c>
      <c r="D615" s="28">
        <f>VLOOKUP(TABLA_PRECIOS_LISTBOX_VENTAS[[#This Row],[Código]],TABLA_PRECIOS[#All],7)</f>
        <v>1</v>
      </c>
    </row>
    <row r="616" spans="1:4" x14ac:dyDescent="0.3">
      <c r="A616" s="4">
        <v>4363</v>
      </c>
      <c r="B616" s="6" t="str">
        <f>VLOOKUP(TABLA_PRECIOS_LISTBOX_VENTAS[Código],LISTADO_PRODUCTOS[#All],4)</f>
        <v>Almohadilla Pelikan N°0</v>
      </c>
      <c r="C616" s="6" t="str">
        <f>VLOOKUP(TABLA_PRECIOS_LISTBOX_VENTAS[Código],LISTADO_PRODUCTOS[#All],5)</f>
        <v>N/A</v>
      </c>
      <c r="D616" s="28">
        <f>VLOOKUP(TABLA_PRECIOS_LISTBOX_VENTAS[[#This Row],[Código]],TABLA_PRECIOS[#All],7)</f>
        <v>1</v>
      </c>
    </row>
    <row r="617" spans="1:4" x14ac:dyDescent="0.3">
      <c r="A617" s="4">
        <v>4364</v>
      </c>
      <c r="B617" s="6" t="str">
        <f>VLOOKUP(TABLA_PRECIOS_LISTBOX_VENTAS[Código],LISTADO_PRODUCTOS[#All],4)</f>
        <v>Almohadilla Pelikan N°1</v>
      </c>
      <c r="C617" s="6" t="str">
        <f>VLOOKUP(TABLA_PRECIOS_LISTBOX_VENTAS[Código],LISTADO_PRODUCTOS[#All],5)</f>
        <v>N/A</v>
      </c>
      <c r="D617" s="28">
        <f>VLOOKUP(TABLA_PRECIOS_LISTBOX_VENTAS[[#This Row],[Código]],TABLA_PRECIOS[#All],7)</f>
        <v>1</v>
      </c>
    </row>
    <row r="618" spans="1:4" x14ac:dyDescent="0.3">
      <c r="A618" s="4">
        <v>4366</v>
      </c>
      <c r="B618" s="6" t="str">
        <f>VLOOKUP(TABLA_PRECIOS_LISTBOX_VENTAS[Código],LISTADO_PRODUCTOS[#All],4)</f>
        <v>Marcador Simball metaizado doble punta pinta 2</v>
      </c>
      <c r="C618" s="6" t="str">
        <f>VLOOKUP(TABLA_PRECIOS_LISTBOX_VENTAS[Código],LISTADO_PRODUCTOS[#All],5)</f>
        <v>N/A</v>
      </c>
      <c r="D618" s="28">
        <f>VLOOKUP(TABLA_PRECIOS_LISTBOX_VENTAS[[#This Row],[Código]],TABLA_PRECIOS[#All],7)</f>
        <v>1</v>
      </c>
    </row>
    <row r="619" spans="1:4" x14ac:dyDescent="0.3">
      <c r="A619" s="4">
        <v>4367</v>
      </c>
      <c r="B619" s="6" t="str">
        <f>VLOOKUP(TABLA_PRECIOS_LISTBOX_VENTAS[Código],LISTADO_PRODUCTOS[#All],4)</f>
        <v>Abrochadora huvito Eagle Omax Mini N°10 s-5150D</v>
      </c>
      <c r="C619" s="6" t="str">
        <f>VLOOKUP(TABLA_PRECIOS_LISTBOX_VENTAS[Código],LISTADO_PRODUCTOS[#All],5)</f>
        <v>N/A</v>
      </c>
      <c r="D619" s="28">
        <f>VLOOKUP(TABLA_PRECIOS_LISTBOX_VENTAS[[#This Row],[Código]],TABLA_PRECIOS[#All],7)</f>
        <v>1</v>
      </c>
    </row>
    <row r="620" spans="1:4" x14ac:dyDescent="0.3">
      <c r="A620" s="4">
        <v>4368</v>
      </c>
      <c r="B620" s="6" t="str">
        <f>VLOOKUP(TABLA_PRECIOS_LISTBOX_VENTAS[Código],LISTADO_PRODUCTOS[#All],4)</f>
        <v>Abrochadora Deli Animalitos + broches</v>
      </c>
      <c r="C620" s="6" t="str">
        <f>VLOOKUP(TABLA_PRECIOS_LISTBOX_VENTAS[Código],LISTADO_PRODUCTOS[#All],5)</f>
        <v>N/A</v>
      </c>
      <c r="D620" s="28">
        <f>VLOOKUP(TABLA_PRECIOS_LISTBOX_VENTAS[[#This Row],[Código]],TABLA_PRECIOS[#All],7)</f>
        <v>1</v>
      </c>
    </row>
    <row r="621" spans="1:4" x14ac:dyDescent="0.3">
      <c r="A621" s="4">
        <v>4369</v>
      </c>
      <c r="B621" s="6" t="str">
        <f>VLOOKUP(TABLA_PRECIOS_LISTBOX_VENTAS[Código],LISTADO_PRODUCTOS[#All],4)</f>
        <v>Abrochadora Metal Kangaroo HP-10 Pinza</v>
      </c>
      <c r="C621" s="6" t="str">
        <f>VLOOKUP(TABLA_PRECIOS_LISTBOX_VENTAS[Código],LISTADO_PRODUCTOS[#All],5)</f>
        <v>N/A</v>
      </c>
      <c r="D621" s="28">
        <f>VLOOKUP(TABLA_PRECIOS_LISTBOX_VENTAS[[#This Row],[Código]],TABLA_PRECIOS[#All],7)</f>
        <v>1</v>
      </c>
    </row>
    <row r="622" spans="1:4" x14ac:dyDescent="0.3">
      <c r="A622" s="4">
        <v>4372</v>
      </c>
      <c r="B622" s="6" t="str">
        <f>VLOOKUP(TABLA_PRECIOS_LISTBOX_VENTAS[Código],LISTADO_PRODUCTOS[#All],4)</f>
        <v>Broche dorado Sifap en bolsa N°14 63mm</v>
      </c>
      <c r="C622" s="6" t="str">
        <f>VLOOKUP(TABLA_PRECIOS_LISTBOX_VENTAS[Código],LISTADO_PRODUCTOS[#All],5)</f>
        <v>N/A</v>
      </c>
      <c r="D622" s="28">
        <f>VLOOKUP(TABLA_PRECIOS_LISTBOX_VENTAS[[#This Row],[Código]],TABLA_PRECIOS[#All],7)</f>
        <v>1</v>
      </c>
    </row>
    <row r="623" spans="1:4" x14ac:dyDescent="0.3">
      <c r="A623" s="4">
        <v>4377</v>
      </c>
      <c r="B623" s="6" t="str">
        <f>VLOOKUP(TABLA_PRECIOS_LISTBOX_VENTAS[Código],LISTADO_PRODUCTOS[#All],4)</f>
        <v>Resaltador Trabí Pastel/FLUO High Texter</v>
      </c>
      <c r="C623" s="6" t="str">
        <f>VLOOKUP(TABLA_PRECIOS_LISTBOX_VENTAS[Código],LISTADO_PRODUCTOS[#All],5)</f>
        <v>N/A</v>
      </c>
      <c r="D623" s="28">
        <f>VLOOKUP(TABLA_PRECIOS_LISTBOX_VENTAS[[#This Row],[Código]],TABLA_PRECIOS[#All],7)</f>
        <v>1</v>
      </c>
    </row>
    <row r="624" spans="1:4" x14ac:dyDescent="0.3">
      <c r="A624" s="4">
        <v>4382</v>
      </c>
      <c r="B624" s="6" t="str">
        <f>VLOOKUP(TABLA_PRECIOS_LISTBOX_VENTAS[Código],LISTADO_PRODUCTOS[#All],4)</f>
        <v>Notas adhesivas traslucidas extra fuerte super adhesiva</v>
      </c>
      <c r="C624" s="6" t="str">
        <f>VLOOKUP(TABLA_PRECIOS_LISTBOX_VENTAS[Código],LISTADO_PRODUCTOS[#All],5)</f>
        <v>N/A</v>
      </c>
      <c r="D624" s="28">
        <f>VLOOKUP(TABLA_PRECIOS_LISTBOX_VENTAS[[#This Row],[Código]],TABLA_PRECIOS[#All],7)</f>
        <v>1</v>
      </c>
    </row>
    <row r="625" spans="1:4" x14ac:dyDescent="0.3">
      <c r="A625" s="4">
        <v>4384</v>
      </c>
      <c r="B625" s="6" t="str">
        <f>VLOOKUP(TABLA_PRECIOS_LISTBOX_VENTAS[Código],LISTADO_PRODUCTOS[#All],4)</f>
        <v>Resaltador Pelikan textmarker Flash</v>
      </c>
      <c r="C625" s="6" t="str">
        <f>VLOOKUP(TABLA_PRECIOS_LISTBOX_VENTAS[Código],LISTADO_PRODUCTOS[#All],5)</f>
        <v>N/A</v>
      </c>
      <c r="D625" s="28">
        <f>VLOOKUP(TABLA_PRECIOS_LISTBOX_VENTAS[[#This Row],[Código]],TABLA_PRECIOS[#All],7)</f>
        <v>1</v>
      </c>
    </row>
    <row r="626" spans="1:4" x14ac:dyDescent="0.3">
      <c r="A626" s="4">
        <v>4391</v>
      </c>
      <c r="B626" s="6" t="str">
        <f>VLOOKUP(TABLA_PRECIOS_LISTBOX_VENTAS[Código],LISTADO_PRODUCTOS[#All],4)</f>
        <v>Anotador MEMO FIX formas varias Pastel</v>
      </c>
      <c r="C626" s="6" t="str">
        <f>VLOOKUP(TABLA_PRECIOS_LISTBOX_VENTAS[Código],LISTADO_PRODUCTOS[#All],5)</f>
        <v>N/A</v>
      </c>
      <c r="D626" s="28">
        <f>VLOOKUP(TABLA_PRECIOS_LISTBOX_VENTAS[[#This Row],[Código]],TABLA_PRECIOS[#All],7)</f>
        <v>1</v>
      </c>
    </row>
    <row r="627" spans="1:4" x14ac:dyDescent="0.3">
      <c r="A627" s="4">
        <v>4392</v>
      </c>
      <c r="B627" s="6" t="str">
        <f>VLOOKUP(TABLA_PRECIOS_LISTBOX_VENTAS[Código],LISTADO_PRODUCTOS[#All],4)</f>
        <v>Notas MEMO FIX Phantone 25x74</v>
      </c>
      <c r="C627" s="6" t="str">
        <f>VLOOKUP(TABLA_PRECIOS_LISTBOX_VENTAS[Código],LISTADO_PRODUCTOS[#All],5)</f>
        <v>N/A</v>
      </c>
      <c r="D627" s="28">
        <f>VLOOKUP(TABLA_PRECIOS_LISTBOX_VENTAS[[#This Row],[Código]],TABLA_PRECIOS[#All],7)</f>
        <v>1</v>
      </c>
    </row>
    <row r="628" spans="1:4" x14ac:dyDescent="0.3">
      <c r="A628" s="4">
        <v>4393</v>
      </c>
      <c r="B628" s="6" t="str">
        <f>VLOOKUP(TABLA_PRECIOS_LISTBOX_VENTAS[Código],LISTADO_PRODUCTOS[#All],4)</f>
        <v>Mini cubo notas pastel Memo Fix200h 74x74</v>
      </c>
      <c r="C628" s="6" t="str">
        <f>VLOOKUP(TABLA_PRECIOS_LISTBOX_VENTAS[Código],LISTADO_PRODUCTOS[#All],5)</f>
        <v>N/A</v>
      </c>
      <c r="D628" s="28">
        <f>VLOOKUP(TABLA_PRECIOS_LISTBOX_VENTAS[[#This Row],[Código]],TABLA_PRECIOS[#All],7)</f>
        <v>1</v>
      </c>
    </row>
    <row r="629" spans="1:4" x14ac:dyDescent="0.3">
      <c r="A629" s="4">
        <v>4395</v>
      </c>
      <c r="B629" s="6" t="str">
        <f>VLOOKUP(TABLA_PRECIOS_LISTBOX_VENTAS[Código],LISTADO_PRODUCTOS[#All],4)</f>
        <v>Clasificador LAMA Oficio colores vivos y negro EF202FCR</v>
      </c>
      <c r="C629" s="6" t="str">
        <f>VLOOKUP(TABLA_PRECIOS_LISTBOX_VENTAS[Código],LISTADO_PRODUCTOS[#All],5)</f>
        <v>N/A</v>
      </c>
      <c r="D629" s="28">
        <f>VLOOKUP(TABLA_PRECIOS_LISTBOX_VENTAS[[#This Row],[Código]],TABLA_PRECIOS[#All],7)</f>
        <v>1</v>
      </c>
    </row>
    <row r="630" spans="1:4" x14ac:dyDescent="0.3">
      <c r="A630" s="4">
        <v>4399</v>
      </c>
      <c r="B630" s="6" t="str">
        <f>VLOOKUP(TABLA_PRECIOS_LISTBOX_VENTAS[Código],LISTADO_PRODUCTOS[#All],4)</f>
        <v>Taco MEMOFIX CUBO 200h 50x50 PASTEL surt-226</v>
      </c>
      <c r="C630" s="6" t="str">
        <f>VLOOKUP(TABLA_PRECIOS_LISTBOX_VENTAS[Código],LISTADO_PRODUCTOS[#All],5)</f>
        <v>N/A</v>
      </c>
      <c r="D630" s="28">
        <f>VLOOKUP(TABLA_PRECIOS_LISTBOX_VENTAS[[#This Row],[Código]],TABLA_PRECIOS[#All],7)</f>
        <v>1</v>
      </c>
    </row>
    <row r="631" spans="1:4" x14ac:dyDescent="0.3">
      <c r="A631" s="4">
        <v>4405</v>
      </c>
      <c r="B631" s="6" t="str">
        <f>VLOOKUP(TABLA_PRECIOS_LISTBOX_VENTAS[Código],LISTADO_PRODUCTOS[#All],4)</f>
        <v>Taco Notas adhesivas NEON Ezco</v>
      </c>
      <c r="C631" s="6" t="str">
        <f>VLOOKUP(TABLA_PRECIOS_LISTBOX_VENTAS[Código],LISTADO_PRODUCTOS[#All],5)</f>
        <v>N/A</v>
      </c>
      <c r="D631" s="28">
        <f>VLOOKUP(TABLA_PRECIOS_LISTBOX_VENTAS[[#This Row],[Código]],TABLA_PRECIOS[#All],7)</f>
        <v>1</v>
      </c>
    </row>
    <row r="632" spans="1:4" x14ac:dyDescent="0.3">
      <c r="A632" s="4">
        <v>4407</v>
      </c>
      <c r="B632" s="6" t="str">
        <f>VLOOKUP(TABLA_PRECIOS_LISTBOX_VENTAS[Código],LISTADO_PRODUCTOS[#All],4)</f>
        <v>Adaptador OTG USB</v>
      </c>
      <c r="C632" s="6" t="str">
        <f>VLOOKUP(TABLA_PRECIOS_LISTBOX_VENTAS[Código],LISTADO_PRODUCTOS[#All],5)</f>
        <v>N/A</v>
      </c>
      <c r="D632" s="28">
        <f>VLOOKUP(TABLA_PRECIOS_LISTBOX_VENTAS[[#This Row],[Código]],TABLA_PRECIOS[#All],7)</f>
        <v>1</v>
      </c>
    </row>
    <row r="633" spans="1:4" x14ac:dyDescent="0.3">
      <c r="A633" s="4">
        <v>4408</v>
      </c>
      <c r="B633" s="6" t="str">
        <f>VLOOKUP(TABLA_PRECIOS_LISTBOX_VENTAS[Código],LISTADO_PRODUCTOS[#All],4)</f>
        <v>Cable HDMI Apro</v>
      </c>
      <c r="C633" s="6" t="str">
        <f>VLOOKUP(TABLA_PRECIOS_LISTBOX_VENTAS[Código],LISTADO_PRODUCTOS[#All],5)</f>
        <v>N/A</v>
      </c>
      <c r="D633" s="28">
        <f>VLOOKUP(TABLA_PRECIOS_LISTBOX_VENTAS[[#This Row],[Código]],TABLA_PRECIOS[#All],7)</f>
        <v>1</v>
      </c>
    </row>
    <row r="634" spans="1:4" x14ac:dyDescent="0.3">
      <c r="A634" s="4">
        <v>4410</v>
      </c>
      <c r="B634" s="6" t="str">
        <f>VLOOKUP(TABLA_PRECIOS_LISTBOX_VENTAS[Código],LISTADO_PRODUCTOS[#All],4)</f>
        <v>Notas adhesivas Util-of 76x127 amarillo 100h</v>
      </c>
      <c r="C634" s="6" t="str">
        <f>VLOOKUP(TABLA_PRECIOS_LISTBOX_VENTAS[Código],LISTADO_PRODUCTOS[#All],5)</f>
        <v>N/A</v>
      </c>
      <c r="D634" s="28">
        <f>VLOOKUP(TABLA_PRECIOS_LISTBOX_VENTAS[[#This Row],[Código]],TABLA_PRECIOS[#All],7)</f>
        <v>1</v>
      </c>
    </row>
    <row r="635" spans="1:4" x14ac:dyDescent="0.3">
      <c r="A635" s="4">
        <v>4411</v>
      </c>
      <c r="B635" s="6" t="str">
        <f>VLOOKUP(TABLA_PRECIOS_LISTBOX_VENTAS[Código],LISTADO_PRODUCTOS[#All],4)</f>
        <v>Notas adhesivas Util-of 76x102 amarilla 100h</v>
      </c>
      <c r="C635" s="6" t="str">
        <f>VLOOKUP(TABLA_PRECIOS_LISTBOX_VENTAS[Código],LISTADO_PRODUCTOS[#All],5)</f>
        <v>N/A</v>
      </c>
      <c r="D635" s="28">
        <f>VLOOKUP(TABLA_PRECIOS_LISTBOX_VENTAS[[#This Row],[Código]],TABLA_PRECIOS[#All],7)</f>
        <v>1</v>
      </c>
    </row>
    <row r="636" spans="1:4" x14ac:dyDescent="0.3">
      <c r="A636" s="4">
        <v>4414</v>
      </c>
      <c r="B636" s="6" t="str">
        <f>VLOOKUP(TABLA_PRECIOS_LISTBOX_VENTAS[Código],LISTADO_PRODUCTOS[#All],4)</f>
        <v xml:space="preserve">Abrochadora MIT 24/6 Pintada </v>
      </c>
      <c r="C636" s="6" t="str">
        <f>VLOOKUP(TABLA_PRECIOS_LISTBOX_VENTAS[Código],LISTADO_PRODUCTOS[#All],5)</f>
        <v>N/A</v>
      </c>
      <c r="D636" s="28">
        <f>VLOOKUP(TABLA_PRECIOS_LISTBOX_VENTAS[[#This Row],[Código]],TABLA_PRECIOS[#All],7)</f>
        <v>1</v>
      </c>
    </row>
    <row r="637" spans="1:4" x14ac:dyDescent="0.3">
      <c r="A637" s="4">
        <v>4415</v>
      </c>
      <c r="B637" s="6" t="str">
        <f>VLOOKUP(TABLA_PRECIOS_LISTBOX_VENTAS[Código],LISTADO_PRODUCTOS[#All],4)</f>
        <v xml:space="preserve">Perforador MIT Mediano Pintado </v>
      </c>
      <c r="C637" s="6" t="str">
        <f>VLOOKUP(TABLA_PRECIOS_LISTBOX_VENTAS[Código],LISTADO_PRODUCTOS[#All],5)</f>
        <v>N/A</v>
      </c>
      <c r="D637" s="28">
        <f>VLOOKUP(TABLA_PRECIOS_LISTBOX_VENTAS[[#This Row],[Código]],TABLA_PRECIOS[#All],7)</f>
        <v>1</v>
      </c>
    </row>
    <row r="638" spans="1:4" x14ac:dyDescent="0.3">
      <c r="A638" s="4">
        <v>4416</v>
      </c>
      <c r="B638" s="6" t="str">
        <f>VLOOKUP(TABLA_PRECIOS_LISTBOX_VENTAS[Código],LISTADO_PRODUCTOS[#All],4)</f>
        <v>Pizarra Blanca C/Iman alto impacto N°7 61*91</v>
      </c>
      <c r="C638" s="6" t="str">
        <f>VLOOKUP(TABLA_PRECIOS_LISTBOX_VENTAS[Código],LISTADO_PRODUCTOS[#All],5)</f>
        <v>N/A</v>
      </c>
      <c r="D638" s="28">
        <f>VLOOKUP(TABLA_PRECIOS_LISTBOX_VENTAS[[#This Row],[Código]],TABLA_PRECIOS[#All],7)</f>
        <v>1</v>
      </c>
    </row>
    <row r="639" spans="1:4" x14ac:dyDescent="0.3">
      <c r="A639" s="4">
        <v>4417</v>
      </c>
      <c r="B639" s="6" t="str">
        <f>VLOOKUP(TABLA_PRECIOS_LISTBOX_VENTAS[Código],LISTADO_PRODUCTOS[#All],4)</f>
        <v>Pizarra Blanca C/Iman Alto Impacto N°9 91*123</v>
      </c>
      <c r="C639" s="6" t="str">
        <f>VLOOKUP(TABLA_PRECIOS_LISTBOX_VENTAS[Código],LISTADO_PRODUCTOS[#All],5)</f>
        <v>N/A</v>
      </c>
      <c r="D639" s="28">
        <f>VLOOKUP(TABLA_PRECIOS_LISTBOX_VENTAS[[#This Row],[Código]],TABLA_PRECIOS[#All],7)</f>
        <v>1</v>
      </c>
    </row>
    <row r="640" spans="1:4" x14ac:dyDescent="0.3">
      <c r="A640" s="4">
        <v>4418</v>
      </c>
      <c r="B640" s="6" t="str">
        <f>VLOOKUP(TABLA_PRECIOS_LISTBOX_VENTAS[Código],LISTADO_PRODUCTOS[#All],4)</f>
        <v>Pizarra Blanca N°8 Alto Impacto 70*123</v>
      </c>
      <c r="C640" s="6" t="str">
        <f>VLOOKUP(TABLA_PRECIOS_LISTBOX_VENTAS[Código],LISTADO_PRODUCTOS[#All],5)</f>
        <v>N/A</v>
      </c>
      <c r="D640" s="28">
        <f>VLOOKUP(TABLA_PRECIOS_LISTBOX_VENTAS[[#This Row],[Código]],TABLA_PRECIOS[#All],7)</f>
        <v>1</v>
      </c>
    </row>
    <row r="641" spans="1:4" x14ac:dyDescent="0.3">
      <c r="A641" s="4">
        <v>4419</v>
      </c>
      <c r="B641" s="6" t="str">
        <f>VLOOKUP(TABLA_PRECIOS_LISTBOX_VENTAS[Código],LISTADO_PRODUCTOS[#All],4)</f>
        <v>Notas Adhesivas Deli animales</v>
      </c>
      <c r="C641" s="6" t="str">
        <f>VLOOKUP(TABLA_PRECIOS_LISTBOX_VENTAS[Código],LISTADO_PRODUCTOS[#All],5)</f>
        <v>N/A</v>
      </c>
      <c r="D641" s="28">
        <f>VLOOKUP(TABLA_PRECIOS_LISTBOX_VENTAS[[#This Row],[Código]],TABLA_PRECIOS[#All],7)</f>
        <v>1</v>
      </c>
    </row>
    <row r="642" spans="1:4" x14ac:dyDescent="0.3">
      <c r="A642" s="4">
        <v>4420</v>
      </c>
      <c r="B642" s="6" t="str">
        <f>VLOOKUP(TABLA_PRECIOS_LISTBOX_VENTAS[Código],LISTADO_PRODUCTOS[#All],4)</f>
        <v>Notas adhesivas Memo Fix 74x74 8h  decoradas</v>
      </c>
      <c r="C642" s="6" t="str">
        <f>VLOOKUP(TABLA_PRECIOS_LISTBOX_VENTAS[Código],LISTADO_PRODUCTOS[#All],5)</f>
        <v>N/A</v>
      </c>
      <c r="D642" s="28">
        <f>VLOOKUP(TABLA_PRECIOS_LISTBOX_VENTAS[[#This Row],[Código]],TABLA_PRECIOS[#All],7)</f>
        <v>1</v>
      </c>
    </row>
    <row r="643" spans="1:4" x14ac:dyDescent="0.3">
      <c r="A643" s="4">
        <v>4421</v>
      </c>
      <c r="B643" s="6" t="str">
        <f>VLOOKUP(TABLA_PRECIOS_LISTBOX_VENTAS[Código],LISTADO_PRODUCTOS[#All],4)</f>
        <v>Pizarra Blanca N°9 Alto Impacto 91*123</v>
      </c>
      <c r="C643" s="6" t="str">
        <f>VLOOKUP(TABLA_PRECIOS_LISTBOX_VENTAS[Código],LISTADO_PRODUCTOS[#All],5)</f>
        <v>N/A</v>
      </c>
      <c r="D643" s="28">
        <f>VLOOKUP(TABLA_PRECIOS_LISTBOX_VENTAS[[#This Row],[Código]],TABLA_PRECIOS[#All],7)</f>
        <v>1</v>
      </c>
    </row>
    <row r="644" spans="1:4" x14ac:dyDescent="0.3">
      <c r="A644" s="4">
        <v>4422</v>
      </c>
      <c r="B644" s="6" t="str">
        <f>VLOOKUP(TABLA_PRECIOS_LISTBOX_VENTAS[Código],LISTADO_PRODUCTOS[#All],4)</f>
        <v>Clasificador Oficio Avios Combinado</v>
      </c>
      <c r="C644" s="6" t="str">
        <f>VLOOKUP(TABLA_PRECIOS_LISTBOX_VENTAS[Código],LISTADO_PRODUCTOS[#All],5)</f>
        <v>N/A</v>
      </c>
      <c r="D644" s="28">
        <f>VLOOKUP(TABLA_PRECIOS_LISTBOX_VENTAS[[#This Row],[Código]],TABLA_PRECIOS[#All],7)</f>
        <v>1</v>
      </c>
    </row>
    <row r="645" spans="1:4" x14ac:dyDescent="0.3">
      <c r="A645" s="4">
        <v>4423</v>
      </c>
      <c r="B645" s="6" t="str">
        <f>VLOOKUP(TABLA_PRECIOS_LISTBOX_VENTAS[Código],LISTADO_PRODUCTOS[#All],4)</f>
        <v>Marcador de pizarra Simball</v>
      </c>
      <c r="C645" s="6" t="str">
        <f>VLOOKUP(TABLA_PRECIOS_LISTBOX_VENTAS[Código],LISTADO_PRODUCTOS[#All],5)</f>
        <v>N/A</v>
      </c>
      <c r="D645" s="28">
        <f>VLOOKUP(TABLA_PRECIOS_LISTBOX_VENTAS[[#This Row],[Código]],TABLA_PRECIOS[#All],7)</f>
        <v>1</v>
      </c>
    </row>
    <row r="646" spans="1:4" x14ac:dyDescent="0.3">
      <c r="A646" s="4">
        <v>4424</v>
      </c>
      <c r="B646" s="6" t="str">
        <f>VLOOKUP(TABLA_PRECIOS_LISTBOX_VENTAS[Código],LISTADO_PRODUCTOS[#All],4)</f>
        <v>Taco color FLUO Simball Office 75x75 80h</v>
      </c>
      <c r="C646" s="6" t="str">
        <f>VLOOKUP(TABLA_PRECIOS_LISTBOX_VENTAS[Código],LISTADO_PRODUCTOS[#All],5)</f>
        <v>N/A</v>
      </c>
      <c r="D646" s="28">
        <f>VLOOKUP(TABLA_PRECIOS_LISTBOX_VENTAS[[#This Row],[Código]],TABLA_PRECIOS[#All],7)</f>
        <v>1</v>
      </c>
    </row>
    <row r="647" spans="1:4" x14ac:dyDescent="0.3">
      <c r="A647" s="4">
        <v>4425</v>
      </c>
      <c r="B647" s="6" t="str">
        <f>VLOOKUP(TABLA_PRECIOS_LISTBOX_VENTAS[Código],LISTADO_PRODUCTOS[#All],4)</f>
        <v>Pizarra Blanca Magnetica OLAMI 35 x 43</v>
      </c>
      <c r="C647" s="6" t="str">
        <f>VLOOKUP(TABLA_PRECIOS_LISTBOX_VENTAS[Código],LISTADO_PRODUCTOS[#All],5)</f>
        <v>N/A</v>
      </c>
      <c r="D647" s="28">
        <f>VLOOKUP(TABLA_PRECIOS_LISTBOX_VENTAS[[#This Row],[Código]],TABLA_PRECIOS[#All],7)</f>
        <v>1</v>
      </c>
    </row>
    <row r="648" spans="1:4" x14ac:dyDescent="0.3">
      <c r="A648" s="4">
        <v>4426</v>
      </c>
      <c r="B648" s="6" t="str">
        <f>VLOOKUP(TABLA_PRECIOS_LISTBOX_VENTAS[Código],LISTADO_PRODUCTOS[#All],4)</f>
        <v>Pizarra Blanca Magnetica OLAMI 43 x 58</v>
      </c>
      <c r="C648" s="6" t="str">
        <f>VLOOKUP(TABLA_PRECIOS_LISTBOX_VENTAS[Código],LISTADO_PRODUCTOS[#All],5)</f>
        <v>N/A</v>
      </c>
      <c r="D648" s="28">
        <f>VLOOKUP(TABLA_PRECIOS_LISTBOX_VENTAS[[#This Row],[Código]],TABLA_PRECIOS[#All],7)</f>
        <v>1</v>
      </c>
    </row>
    <row r="649" spans="1:4" x14ac:dyDescent="0.3">
      <c r="A649" s="4">
        <v>4428</v>
      </c>
      <c r="B649" s="6" t="str">
        <f>VLOOKUP(TABLA_PRECIOS_LISTBOX_VENTAS[Código],LISTADO_PRODUCTOS[#All],4)</f>
        <v>Notas Adhesivas BOHO FW 17 stick notes distintas</v>
      </c>
      <c r="C649" s="6" t="str">
        <f>VLOOKUP(TABLA_PRECIOS_LISTBOX_VENTAS[Código],LISTADO_PRODUCTOS[#All],5)</f>
        <v>N/A</v>
      </c>
      <c r="D649" s="28">
        <f>VLOOKUP(TABLA_PRECIOS_LISTBOX_VENTAS[[#This Row],[Código]],TABLA_PRECIOS[#All],7)</f>
        <v>1</v>
      </c>
    </row>
    <row r="650" spans="1:4" x14ac:dyDescent="0.3">
      <c r="A650" s="4">
        <v>4431</v>
      </c>
      <c r="B650" s="6" t="str">
        <f>VLOOKUP(TABLA_PRECIOS_LISTBOX_VENTAS[Código],LISTADO_PRODUCTOS[#All],4)</f>
        <v>Blister Marcadores Permanentes NEON Sharpie x 5</v>
      </c>
      <c r="C650" s="6" t="str">
        <f>VLOOKUP(TABLA_PRECIOS_LISTBOX_VENTAS[Código],LISTADO_PRODUCTOS[#All],5)</f>
        <v>N/A</v>
      </c>
      <c r="D650" s="28">
        <f>VLOOKUP(TABLA_PRECIOS_LISTBOX_VENTAS[[#This Row],[Código]],TABLA_PRECIOS[#All],7)</f>
        <v>1</v>
      </c>
    </row>
    <row r="651" spans="1:4" x14ac:dyDescent="0.3">
      <c r="A651" s="4">
        <v>5001</v>
      </c>
      <c r="B651" s="6" t="str">
        <f>VLOOKUP(TABLA_PRECIOS_LISTBOX_VENTAS[Código],LISTADO_PRODUCTOS[#All],4)</f>
        <v>Pen Drive Verbatim 32GB Pin Stripe</v>
      </c>
      <c r="C651" s="6" t="str">
        <f>VLOOKUP(TABLA_PRECIOS_LISTBOX_VENTAS[Código],LISTADO_PRODUCTOS[#All],5)</f>
        <v>N/A</v>
      </c>
      <c r="D651" s="28">
        <f>VLOOKUP(TABLA_PRECIOS_LISTBOX_VENTAS[[#This Row],[Código]],TABLA_PRECIOS[#All],7)</f>
        <v>1</v>
      </c>
    </row>
    <row r="652" spans="1:4" x14ac:dyDescent="0.3">
      <c r="A652" s="4">
        <v>5002</v>
      </c>
      <c r="B652" s="6" t="str">
        <f>VLOOKUP(TABLA_PRECIOS_LISTBOX_VENTAS[Código],LISTADO_PRODUCTOS[#All],4)</f>
        <v>Pen Drive Verbatim 16GB Store n Go</v>
      </c>
      <c r="C652" s="6" t="str">
        <f>VLOOKUP(TABLA_PRECIOS_LISTBOX_VENTAS[Código],LISTADO_PRODUCTOS[#All],5)</f>
        <v>N/A</v>
      </c>
      <c r="D652" s="28">
        <f>VLOOKUP(TABLA_PRECIOS_LISTBOX_VENTAS[[#This Row],[Código]],TABLA_PRECIOS[#All],7)</f>
        <v>1</v>
      </c>
    </row>
    <row r="653" spans="1:4" x14ac:dyDescent="0.3">
      <c r="A653" s="4">
        <v>5003</v>
      </c>
      <c r="B653" s="6" t="str">
        <f>VLOOKUP(TABLA_PRECIOS_LISTBOX_VENTAS[Código],LISTADO_PRODUCTOS[#All],4)</f>
        <v>Pen drive Vervatim 64gb 2.0 Microban Pin Strip</v>
      </c>
      <c r="C653" s="6" t="str">
        <f>VLOOKUP(TABLA_PRECIOS_LISTBOX_VENTAS[Código],LISTADO_PRODUCTOS[#All],5)</f>
        <v>N/A</v>
      </c>
      <c r="D653" s="28">
        <f>VLOOKUP(TABLA_PRECIOS_LISTBOX_VENTAS[[#This Row],[Código]],TABLA_PRECIOS[#All],7)</f>
        <v>1</v>
      </c>
    </row>
    <row r="654" spans="1:4" x14ac:dyDescent="0.3">
      <c r="A654" s="4">
        <v>5009</v>
      </c>
      <c r="B654" s="6" t="str">
        <f>VLOOKUP(TABLA_PRECIOS_LISTBOX_VENTAS[Código],LISTADO_PRODUCTOS[#All],4)</f>
        <v>Clasificador 5 divisiones Pastel</v>
      </c>
      <c r="C654" s="6" t="str">
        <f>VLOOKUP(TABLA_PRECIOS_LISTBOX_VENTAS[Código],LISTADO_PRODUCTOS[#All],5)</f>
        <v>N/A</v>
      </c>
      <c r="D654" s="28">
        <f>VLOOKUP(TABLA_PRECIOS_LISTBOX_VENTAS[[#This Row],[Código]],TABLA_PRECIOS[#All],7)</f>
        <v>1</v>
      </c>
    </row>
    <row r="655" spans="1:4" x14ac:dyDescent="0.3">
      <c r="A655" s="4">
        <v>5010</v>
      </c>
      <c r="B655" s="6" t="str">
        <f>VLOOKUP(TABLA_PRECIOS_LISTBOX_VENTAS[Código],LISTADO_PRODUCTOS[#All],4)</f>
        <v>Auricular economico</v>
      </c>
      <c r="C655" s="6" t="str">
        <f>VLOOKUP(TABLA_PRECIOS_LISTBOX_VENTAS[Código],LISTADO_PRODUCTOS[#All],5)</f>
        <v>N/A</v>
      </c>
      <c r="D655" s="28">
        <f>VLOOKUP(TABLA_PRECIOS_LISTBOX_VENTAS[[#This Row],[Código]],TABLA_PRECIOS[#All],7)</f>
        <v>1</v>
      </c>
    </row>
    <row r="656" spans="1:4" x14ac:dyDescent="0.3">
      <c r="A656" s="4">
        <v>5013</v>
      </c>
      <c r="B656" s="6" t="str">
        <f>VLOOKUP(TABLA_PRECIOS_LISTBOX_VENTAS[Código],LISTADO_PRODUCTOS[#All],4)</f>
        <v>Disco externo Seagate 2tb</v>
      </c>
      <c r="C656" s="6" t="str">
        <f>VLOOKUP(TABLA_PRECIOS_LISTBOX_VENTAS[Código],LISTADO_PRODUCTOS[#All],5)</f>
        <v>N/A</v>
      </c>
      <c r="D656" s="28">
        <f>VLOOKUP(TABLA_PRECIOS_LISTBOX_VENTAS[[#This Row],[Código]],TABLA_PRECIOS[#All],7)</f>
        <v>1</v>
      </c>
    </row>
    <row r="657" spans="1:4" x14ac:dyDescent="0.3">
      <c r="A657" s="4">
        <v>5018</v>
      </c>
      <c r="B657" s="6" t="str">
        <f>VLOOKUP(TABLA_PRECIOS_LISTBOX_VENTAS[Código],LISTADO_PRODUCTOS[#All],4)</f>
        <v>Consola ALIEN PRO 2 videojuegos</v>
      </c>
      <c r="C657" s="6" t="str">
        <f>VLOOKUP(TABLA_PRECIOS_LISTBOX_VENTAS[Código],LISTADO_PRODUCTOS[#All],5)</f>
        <v>N/A</v>
      </c>
      <c r="D657" s="28">
        <f>VLOOKUP(TABLA_PRECIOS_LISTBOX_VENTAS[[#This Row],[Código]],TABLA_PRECIOS[#All],7)</f>
        <v>1</v>
      </c>
    </row>
    <row r="658" spans="1:4" x14ac:dyDescent="0.3">
      <c r="A658" s="4">
        <v>5108</v>
      </c>
      <c r="B658" s="6" t="str">
        <f>VLOOKUP(TABLA_PRECIOS_LISTBOX_VENTAS[Código],LISTADO_PRODUCTOS[#All],4)</f>
        <v>Calculadora Kenko de Bolsillo KK-402</v>
      </c>
      <c r="C658" s="6" t="str">
        <f>VLOOKUP(TABLA_PRECIOS_LISTBOX_VENTAS[Código],LISTADO_PRODUCTOS[#All],5)</f>
        <v>N/A</v>
      </c>
      <c r="D658" s="28">
        <f>VLOOKUP(TABLA_PRECIOS_LISTBOX_VENTAS[[#This Row],[Código]],TABLA_PRECIOS[#All],7)</f>
        <v>1</v>
      </c>
    </row>
    <row r="659" spans="1:4" x14ac:dyDescent="0.3">
      <c r="A659" s="4">
        <v>5109</v>
      </c>
      <c r="B659" s="6" t="str">
        <f>VLOOKUP(TABLA_PRECIOS_LISTBOX_VENTAS[Código],LISTADO_PRODUCTOS[#All],4)</f>
        <v>Calculadora Ecal TC37</v>
      </c>
      <c r="C659" s="6" t="str">
        <f>VLOOKUP(TABLA_PRECIOS_LISTBOX_VENTAS[Código],LISTADO_PRODUCTOS[#All],5)</f>
        <v>N/A</v>
      </c>
      <c r="D659" s="28">
        <f>VLOOKUP(TABLA_PRECIOS_LISTBOX_VENTAS[[#This Row],[Código]],TABLA_PRECIOS[#All],7)</f>
        <v>1</v>
      </c>
    </row>
    <row r="660" spans="1:4" x14ac:dyDescent="0.3">
      <c r="A660" s="4">
        <v>5111</v>
      </c>
      <c r="B660" s="6" t="str">
        <f>VLOOKUP(TABLA_PRECIOS_LISTBOX_VENTAS[Código],LISTADO_PRODUCTOS[#All],4)</f>
        <v>Calculadora Casio Fx-82 cientifica</v>
      </c>
      <c r="C660" s="6" t="str">
        <f>VLOOKUP(TABLA_PRECIOS_LISTBOX_VENTAS[Código],LISTADO_PRODUCTOS[#All],5)</f>
        <v>N/A</v>
      </c>
      <c r="D660" s="28">
        <f>VLOOKUP(TABLA_PRECIOS_LISTBOX_VENTAS[[#This Row],[Código]],TABLA_PRECIOS[#All],7)</f>
        <v>1</v>
      </c>
    </row>
    <row r="661" spans="1:4" x14ac:dyDescent="0.3">
      <c r="A661" s="4">
        <v>5113</v>
      </c>
      <c r="B661" s="6" t="str">
        <f>VLOOKUP(TABLA_PRECIOS_LISTBOX_VENTAS[Código],LISTADO_PRODUCTOS[#All],4)</f>
        <v>Calculadora Ecal TC 95 MS</v>
      </c>
      <c r="C661" s="6" t="str">
        <f>VLOOKUP(TABLA_PRECIOS_LISTBOX_VENTAS[Código],LISTADO_PRODUCTOS[#All],5)</f>
        <v>N/A</v>
      </c>
      <c r="D661" s="28">
        <f>VLOOKUP(TABLA_PRECIOS_LISTBOX_VENTAS[[#This Row],[Código]],TABLA_PRECIOS[#All],7)</f>
        <v>1</v>
      </c>
    </row>
    <row r="662" spans="1:4" x14ac:dyDescent="0.3">
      <c r="A662" s="4">
        <v>5114</v>
      </c>
      <c r="B662" s="6" t="str">
        <f>VLOOKUP(TABLA_PRECIOS_LISTBOX_VENTAS[Código],LISTADO_PRODUCTOS[#All],4)</f>
        <v>Calculadora Casio HL-820LV</v>
      </c>
      <c r="C662" s="6" t="str">
        <f>VLOOKUP(TABLA_PRECIOS_LISTBOX_VENTAS[Código],LISTADO_PRODUCTOS[#All],5)</f>
        <v>N/A</v>
      </c>
      <c r="D662" s="28">
        <f>VLOOKUP(TABLA_PRECIOS_LISTBOX_VENTAS[[#This Row],[Código]],TABLA_PRECIOS[#All],7)</f>
        <v>1</v>
      </c>
    </row>
    <row r="663" spans="1:4" x14ac:dyDescent="0.3">
      <c r="A663" s="4">
        <v>5115</v>
      </c>
      <c r="B663" s="6" t="str">
        <f>VLOOKUP(TABLA_PRECIOS_LISTBOX_VENTAS[Código],LISTADO_PRODUCTOS[#All],4)</f>
        <v>Calculadora Ecal TC 82</v>
      </c>
      <c r="C663" s="6" t="str">
        <f>VLOOKUP(TABLA_PRECIOS_LISTBOX_VENTAS[Código],LISTADO_PRODUCTOS[#All],5)</f>
        <v>N/A</v>
      </c>
      <c r="D663" s="28">
        <f>VLOOKUP(TABLA_PRECIOS_LISTBOX_VENTAS[[#This Row],[Código]],TABLA_PRECIOS[#All],7)</f>
        <v>1</v>
      </c>
    </row>
    <row r="664" spans="1:4" x14ac:dyDescent="0.3">
      <c r="A664" s="4">
        <v>5118</v>
      </c>
      <c r="B664" s="6" t="str">
        <f>VLOOKUP(TABLA_PRECIOS_LISTBOX_VENTAS[Código],LISTADO_PRODUCTOS[#All],4)</f>
        <v>Mouse Genius retractil</v>
      </c>
      <c r="C664" s="6" t="str">
        <f>VLOOKUP(TABLA_PRECIOS_LISTBOX_VENTAS[Código],LISTADO_PRODUCTOS[#All],5)</f>
        <v>N/A</v>
      </c>
      <c r="D664" s="28">
        <f>VLOOKUP(TABLA_PRECIOS_LISTBOX_VENTAS[[#This Row],[Código]],TABLA_PRECIOS[#All],7)</f>
        <v>1</v>
      </c>
    </row>
    <row r="665" spans="1:4" x14ac:dyDescent="0.3">
      <c r="A665" s="4">
        <v>5120</v>
      </c>
      <c r="B665" s="6" t="str">
        <f>VLOOKUP(TABLA_PRECIOS_LISTBOX_VENTAS[Código],LISTADO_PRODUCTOS[#All],4)</f>
        <v>Mouse Gamer GX AMMOX X1-400</v>
      </c>
      <c r="C665" s="6" t="str">
        <f>VLOOKUP(TABLA_PRECIOS_LISTBOX_VENTAS[Código],LISTADO_PRODUCTOS[#All],5)</f>
        <v>N/A</v>
      </c>
      <c r="D665" s="28">
        <f>VLOOKUP(TABLA_PRECIOS_LISTBOX_VENTAS[[#This Row],[Código]],TABLA_PRECIOS[#All],7)</f>
        <v>1</v>
      </c>
    </row>
    <row r="666" spans="1:4" x14ac:dyDescent="0.3">
      <c r="A666" s="4">
        <v>5129</v>
      </c>
      <c r="B666" s="6" t="str">
        <f>VLOOKUP(TABLA_PRECIOS_LISTBOX_VENTAS[Código],LISTADO_PRODUCTOS[#All],4)</f>
        <v>Mouse FLICA Diseños especiales inalambrico</v>
      </c>
      <c r="C666" s="6" t="str">
        <f>VLOOKUP(TABLA_PRECIOS_LISTBOX_VENTAS[Código],LISTADO_PRODUCTOS[#All],5)</f>
        <v>N/A</v>
      </c>
      <c r="D666" s="28">
        <f>VLOOKUP(TABLA_PRECIOS_LISTBOX_VENTAS[[#This Row],[Código]],TABLA_PRECIOS[#All],7)</f>
        <v>1</v>
      </c>
    </row>
    <row r="667" spans="1:4" x14ac:dyDescent="0.3">
      <c r="A667" s="4">
        <v>5133</v>
      </c>
      <c r="B667" s="6" t="str">
        <f>VLOOKUP(TABLA_PRECIOS_LISTBOX_VENTAS[Código],LISTADO_PRODUCTOS[#All],4)</f>
        <v>Brick Game 9999 in 1</v>
      </c>
      <c r="C667" s="6" t="str">
        <f>VLOOKUP(TABLA_PRECIOS_LISTBOX_VENTAS[Código],LISTADO_PRODUCTOS[#All],5)</f>
        <v>N/A</v>
      </c>
      <c r="D667" s="28">
        <f>VLOOKUP(TABLA_PRECIOS_LISTBOX_VENTAS[[#This Row],[Código]],TABLA_PRECIOS[#All],7)</f>
        <v>1</v>
      </c>
    </row>
    <row r="668" spans="1:4" x14ac:dyDescent="0.3">
      <c r="A668" s="4">
        <v>5134</v>
      </c>
      <c r="B668" s="6" t="str">
        <f>VLOOKUP(TABLA_PRECIOS_LISTBOX_VENTAS[Código],LISTADO_PRODUCTOS[#All],4)</f>
        <v>Pad Mouse FLICA Eco Cuero</v>
      </c>
      <c r="C668" s="6" t="str">
        <f>VLOOKUP(TABLA_PRECIOS_LISTBOX_VENTAS[Código],LISTADO_PRODUCTOS[#All],5)</f>
        <v>N/A</v>
      </c>
      <c r="D668" s="28">
        <f>VLOOKUP(TABLA_PRECIOS_LISTBOX_VENTAS[[#This Row],[Código]],TABLA_PRECIOS[#All],7)</f>
        <v>1</v>
      </c>
    </row>
    <row r="669" spans="1:4" x14ac:dyDescent="0.3">
      <c r="A669" s="4">
        <v>5140</v>
      </c>
      <c r="B669" s="6" t="str">
        <f>VLOOKUP(TABLA_PRECIOS_LISTBOX_VENTAS[Código],LISTADO_PRODUCTOS[#All],4)</f>
        <v>Funda tablet 7" NOGA</v>
      </c>
      <c r="C669" s="6" t="str">
        <f>VLOOKUP(TABLA_PRECIOS_LISTBOX_VENTAS[Código],LISTADO_PRODUCTOS[#All],5)</f>
        <v>N/A</v>
      </c>
      <c r="D669" s="28">
        <f>VLOOKUP(TABLA_PRECIOS_LISTBOX_VENTAS[[#This Row],[Código]],TABLA_PRECIOS[#All],7)</f>
        <v>1</v>
      </c>
    </row>
    <row r="670" spans="1:4" x14ac:dyDescent="0.3">
      <c r="A670" s="4">
        <v>5143</v>
      </c>
      <c r="B670" s="6" t="str">
        <f>VLOOKUP(TABLA_PRECIOS_LISTBOX_VENTAS[Código],LISTADO_PRODUCTOS[#All],4)</f>
        <v>Parlante Genius SP-HF180 6wRMS</v>
      </c>
      <c r="C670" s="6" t="str">
        <f>VLOOKUP(TABLA_PRECIOS_LISTBOX_VENTAS[Código],LISTADO_PRODUCTOS[#All],5)</f>
        <v>N/A</v>
      </c>
      <c r="D670" s="28">
        <f>VLOOKUP(TABLA_PRECIOS_LISTBOX_VENTAS[[#This Row],[Código]],TABLA_PRECIOS[#All],7)</f>
        <v>1</v>
      </c>
    </row>
    <row r="671" spans="1:4" x14ac:dyDescent="0.3">
      <c r="A671" s="4">
        <v>5146</v>
      </c>
      <c r="B671" s="6" t="str">
        <f>VLOOKUP(TABLA_PRECIOS_LISTBOX_VENTAS[Código],LISTADO_PRODUCTOS[#All],4)</f>
        <v>Auricular Genius sobre oreja HS-M270</v>
      </c>
      <c r="C671" s="6" t="str">
        <f>VLOOKUP(TABLA_PRECIOS_LISTBOX_VENTAS[Código],LISTADO_PRODUCTOS[#All],5)</f>
        <v>N/A</v>
      </c>
      <c r="D671" s="28">
        <f>VLOOKUP(TABLA_PRECIOS_LISTBOX_VENTAS[[#This Row],[Código]],TABLA_PRECIOS[#All],7)</f>
        <v>1</v>
      </c>
    </row>
    <row r="672" spans="1:4" x14ac:dyDescent="0.3">
      <c r="A672" s="4">
        <v>5148</v>
      </c>
      <c r="B672" s="6" t="str">
        <f>VLOOKUP(TABLA_PRECIOS_LISTBOX_VENTAS[Código],LISTADO_PRODUCTOS[#All],4)</f>
        <v>Teclado inalambrico compacto LOGITECH K230</v>
      </c>
      <c r="C672" s="6" t="str">
        <f>VLOOKUP(TABLA_PRECIOS_LISTBOX_VENTAS[Código],LISTADO_PRODUCTOS[#All],5)</f>
        <v>N/A</v>
      </c>
      <c r="D672" s="28">
        <f>VLOOKUP(TABLA_PRECIOS_LISTBOX_VENTAS[[#This Row],[Código]],TABLA_PRECIOS[#All],7)</f>
        <v>1</v>
      </c>
    </row>
    <row r="673" spans="1:4" x14ac:dyDescent="0.3">
      <c r="A673" s="4">
        <v>5167</v>
      </c>
      <c r="B673" s="6" t="str">
        <f>VLOOKUP(TABLA_PRECIOS_LISTBOX_VENTAS[Código],LISTADO_PRODUCTOS[#All],4)</f>
        <v>Mini teclado numerico NETMAK NM KB240</v>
      </c>
      <c r="C673" s="6" t="str">
        <f>VLOOKUP(TABLA_PRECIOS_LISTBOX_VENTAS[Código],LISTADO_PRODUCTOS[#All],5)</f>
        <v>N/A</v>
      </c>
      <c r="D673" s="28">
        <f>VLOOKUP(TABLA_PRECIOS_LISTBOX_VENTAS[[#This Row],[Código]],TABLA_PRECIOS[#All],7)</f>
        <v>1</v>
      </c>
    </row>
    <row r="674" spans="1:4" x14ac:dyDescent="0.3">
      <c r="A674" s="4">
        <v>5170</v>
      </c>
      <c r="B674" s="6" t="str">
        <f>VLOOKUP(TABLA_PRECIOS_LISTBOX_VENTAS[Código],LISTADO_PRODUCTOS[#All],4)</f>
        <v>Cargador USB Energizer</v>
      </c>
      <c r="C674" s="6" t="str">
        <f>VLOOKUP(TABLA_PRECIOS_LISTBOX_VENTAS[Código],LISTADO_PRODUCTOS[#All],5)</f>
        <v>N/A</v>
      </c>
      <c r="D674" s="28">
        <f>VLOOKUP(TABLA_PRECIOS_LISTBOX_VENTAS[[#This Row],[Código]],TABLA_PRECIOS[#All],7)</f>
        <v>1</v>
      </c>
    </row>
    <row r="675" spans="1:4" x14ac:dyDescent="0.3">
      <c r="A675" s="4">
        <v>5189</v>
      </c>
      <c r="B675" s="6" t="str">
        <f>VLOOKUP(TABLA_PRECIOS_LISTBOX_VENTAS[Código],LISTADO_PRODUCTOS[#All],4)</f>
        <v>Cable audio Mini plug - mini plug (Rojo)</v>
      </c>
      <c r="C675" s="6" t="str">
        <f>VLOOKUP(TABLA_PRECIOS_LISTBOX_VENTAS[Código],LISTADO_PRODUCTOS[#All],5)</f>
        <v>N/A</v>
      </c>
      <c r="D675" s="28">
        <f>VLOOKUP(TABLA_PRECIOS_LISTBOX_VENTAS[[#This Row],[Código]],TABLA_PRECIOS[#All],7)</f>
        <v>1</v>
      </c>
    </row>
    <row r="676" spans="1:4" x14ac:dyDescent="0.3">
      <c r="A676" s="4">
        <v>5192</v>
      </c>
      <c r="B676" s="6" t="str">
        <f>VLOOKUP(TABLA_PRECIOS_LISTBOX_VENTAS[Código],LISTADO_PRODUCTOS[#All],4)</f>
        <v>Equipo de audio para motos</v>
      </c>
      <c r="C676" s="6" t="str">
        <f>VLOOKUP(TABLA_PRECIOS_LISTBOX_VENTAS[Código],LISTADO_PRODUCTOS[#All],5)</f>
        <v>N/A</v>
      </c>
      <c r="D676" s="28">
        <f>VLOOKUP(TABLA_PRECIOS_LISTBOX_VENTAS[[#This Row],[Código]],TABLA_PRECIOS[#All],7)</f>
        <v>1</v>
      </c>
    </row>
    <row r="677" spans="1:4" x14ac:dyDescent="0.3">
      <c r="A677" s="4">
        <v>5194</v>
      </c>
      <c r="B677" s="6" t="str">
        <f>VLOOKUP(TABLA_PRECIOS_LISTBOX_VENTAS[Código],LISTADO_PRODUCTOS[#All],4)</f>
        <v>Mouse inalambrico Genius NX-7000</v>
      </c>
      <c r="C677" s="6" t="str">
        <f>VLOOKUP(TABLA_PRECIOS_LISTBOX_VENTAS[Código],LISTADO_PRODUCTOS[#All],5)</f>
        <v>N/A</v>
      </c>
      <c r="D677" s="28">
        <f>VLOOKUP(TABLA_PRECIOS_LISTBOX_VENTAS[[#This Row],[Código]],TABLA_PRECIOS[#All],7)</f>
        <v>1</v>
      </c>
    </row>
    <row r="678" spans="1:4" x14ac:dyDescent="0.3">
      <c r="A678" s="4">
        <v>5202</v>
      </c>
      <c r="B678" s="6" t="str">
        <f>VLOOKUP(TABLA_PRECIOS_LISTBOX_VENTAS[Código],LISTADO_PRODUCTOS[#All],4)</f>
        <v>Joestick para Celu</v>
      </c>
      <c r="C678" s="6" t="str">
        <f>VLOOKUP(TABLA_PRECIOS_LISTBOX_VENTAS[Código],LISTADO_PRODUCTOS[#All],5)</f>
        <v>N/A</v>
      </c>
      <c r="D678" s="28">
        <f>VLOOKUP(TABLA_PRECIOS_LISTBOX_VENTAS[[#This Row],[Código]],TABLA_PRECIOS[#All],7)</f>
        <v>1</v>
      </c>
    </row>
    <row r="679" spans="1:4" x14ac:dyDescent="0.3">
      <c r="A679" s="4">
        <v>5204</v>
      </c>
      <c r="B679" s="6" t="str">
        <f>VLOOKUP(TABLA_PRECIOS_LISTBOX_VENTAS[Código],LISTADO_PRODUCTOS[#All],4)</f>
        <v>Reposa celular piramide soporte diferentes angulos 228747</v>
      </c>
      <c r="C679" s="6" t="str">
        <f>VLOOKUP(TABLA_PRECIOS_LISTBOX_VENTAS[Código],LISTADO_PRODUCTOS[#All],5)</f>
        <v>N/A</v>
      </c>
      <c r="D679" s="28">
        <f>VLOOKUP(TABLA_PRECIOS_LISTBOX_VENTAS[[#This Row],[Código]],TABLA_PRECIOS[#All],7)</f>
        <v>1</v>
      </c>
    </row>
    <row r="680" spans="1:4" x14ac:dyDescent="0.3">
      <c r="A680" s="4">
        <v>5207</v>
      </c>
      <c r="B680" s="6" t="str">
        <f>VLOOKUP(TABLA_PRECIOS_LISTBOX_VENTAS[Código],LISTADO_PRODUCTOS[#All],4)</f>
        <v>Cable iphone en bolsita suelto</v>
      </c>
      <c r="C680" s="6" t="str">
        <f>VLOOKUP(TABLA_PRECIOS_LISTBOX_VENTAS[Código],LISTADO_PRODUCTOS[#All],5)</f>
        <v>N/A</v>
      </c>
      <c r="D680" s="28">
        <f>VLOOKUP(TABLA_PRECIOS_LISTBOX_VENTAS[[#This Row],[Código]],TABLA_PRECIOS[#All],7)</f>
        <v>1</v>
      </c>
    </row>
    <row r="681" spans="1:4" x14ac:dyDescent="0.3">
      <c r="A681" s="4">
        <v>5213</v>
      </c>
      <c r="B681" s="6" t="str">
        <f>VLOOKUP(TABLA_PRECIOS_LISTBOX_VENTAS[Código],LISTADO_PRODUCTOS[#All],4)</f>
        <v>Auricular sobre oreja</v>
      </c>
      <c r="C681" s="6" t="str">
        <f>VLOOKUP(TABLA_PRECIOS_LISTBOX_VENTAS[Código],LISTADO_PRODUCTOS[#All],5)</f>
        <v>N/A</v>
      </c>
      <c r="D681" s="28">
        <f>VLOOKUP(TABLA_PRECIOS_LISTBOX_VENTAS[[#This Row],[Código]],TABLA_PRECIOS[#All],7)</f>
        <v>1</v>
      </c>
    </row>
    <row r="682" spans="1:4" x14ac:dyDescent="0.3">
      <c r="A682" s="4">
        <v>5219</v>
      </c>
      <c r="B682" s="6" t="str">
        <f>VLOOKUP(TABLA_PRECIOS_LISTBOX_VENTAS[Código],LISTADO_PRODUCTOS[#All],4)</f>
        <v>Calculadora ECAL TC63</v>
      </c>
      <c r="C682" s="6" t="str">
        <f>VLOOKUP(TABLA_PRECIOS_LISTBOX_VENTAS[Código],LISTADO_PRODUCTOS[#All],5)</f>
        <v>N/A</v>
      </c>
      <c r="D682" s="28">
        <f>VLOOKUP(TABLA_PRECIOS_LISTBOX_VENTAS[[#This Row],[Código]],TABLA_PRECIOS[#All],7)</f>
        <v>1</v>
      </c>
    </row>
    <row r="683" spans="1:4" x14ac:dyDescent="0.3">
      <c r="A683" s="4">
        <v>5226</v>
      </c>
      <c r="B683" s="6" t="str">
        <f>VLOOKUP(TABLA_PRECIOS_LISTBOX_VENTAS[Código],LISTADO_PRODUCTOS[#All],4)</f>
        <v>Bateria cargador  Power Bank chato</v>
      </c>
      <c r="C683" s="6" t="str">
        <f>VLOOKUP(TABLA_PRECIOS_LISTBOX_VENTAS[Código],LISTADO_PRODUCTOS[#All],5)</f>
        <v>N/A</v>
      </c>
      <c r="D683" s="28">
        <f>VLOOKUP(TABLA_PRECIOS_LISTBOX_VENTAS[[#This Row],[Código]],TABLA_PRECIOS[#All],7)</f>
        <v>1</v>
      </c>
    </row>
    <row r="684" spans="1:4" x14ac:dyDescent="0.3">
      <c r="A684" s="4">
        <v>5227</v>
      </c>
      <c r="B684" s="6" t="str">
        <f>VLOOKUP(TABLA_PRECIOS_LISTBOX_VENTAS[Código],LISTADO_PRODUCTOS[#All],4)</f>
        <v>Teclado + mouse IBEK BK-811</v>
      </c>
      <c r="C684" s="6" t="str">
        <f>VLOOKUP(TABLA_PRECIOS_LISTBOX_VENTAS[Código],LISTADO_PRODUCTOS[#All],5)</f>
        <v>N/A</v>
      </c>
      <c r="D684" s="28">
        <f>VLOOKUP(TABLA_PRECIOS_LISTBOX_VENTAS[[#This Row],[Código]],TABLA_PRECIOS[#All],7)</f>
        <v>1</v>
      </c>
    </row>
    <row r="685" spans="1:4" x14ac:dyDescent="0.3">
      <c r="A685" s="4">
        <v>5228</v>
      </c>
      <c r="B685" s="6" t="str">
        <f>VLOOKUP(TABLA_PRECIOS_LISTBOX_VENTAS[Código],LISTADO_PRODUCTOS[#All],4)</f>
        <v>Calculadora Motex doble visor KK-8585-12</v>
      </c>
      <c r="C685" s="6" t="str">
        <f>VLOOKUP(TABLA_PRECIOS_LISTBOX_VENTAS[Código],LISTADO_PRODUCTOS[#All],5)</f>
        <v>N/A</v>
      </c>
      <c r="D685" s="28">
        <f>VLOOKUP(TABLA_PRECIOS_LISTBOX_VENTAS[[#This Row],[Código]],TABLA_PRECIOS[#All],7)</f>
        <v>1</v>
      </c>
    </row>
    <row r="686" spans="1:4" x14ac:dyDescent="0.3">
      <c r="A686" s="4">
        <v>5229</v>
      </c>
      <c r="B686" s="6" t="str">
        <f>VLOOKUP(TABLA_PRECIOS_LISTBOX_VENTAS[Código],LISTADO_PRODUCTOS[#All],4)</f>
        <v>Cable Samsung USB - Type C</v>
      </c>
      <c r="C686" s="6" t="str">
        <f>VLOOKUP(TABLA_PRECIOS_LISTBOX_VENTAS[Código],LISTADO_PRODUCTOS[#All],5)</f>
        <v>N/A</v>
      </c>
      <c r="D686" s="28">
        <f>VLOOKUP(TABLA_PRECIOS_LISTBOX_VENTAS[[#This Row],[Código]],TABLA_PRECIOS[#All],7)</f>
        <v>1</v>
      </c>
    </row>
    <row r="687" spans="1:4" x14ac:dyDescent="0.3">
      <c r="A687" s="4">
        <v>5230</v>
      </c>
      <c r="B687" s="6" t="str">
        <f>VLOOKUP(TABLA_PRECIOS_LISTBOX_VENTAS[Código],LISTADO_PRODUCTOS[#All],4)</f>
        <v>Calculadora Casio MW-5V-WE</v>
      </c>
      <c r="C687" s="6" t="str">
        <f>VLOOKUP(TABLA_PRECIOS_LISTBOX_VENTAS[Código],LISTADO_PRODUCTOS[#All],5)</f>
        <v>N/A</v>
      </c>
      <c r="D687" s="28">
        <f>VLOOKUP(TABLA_PRECIOS_LISTBOX_VENTAS[[#This Row],[Código]],TABLA_PRECIOS[#All],7)</f>
        <v>1</v>
      </c>
    </row>
    <row r="688" spans="1:4" x14ac:dyDescent="0.3">
      <c r="A688" s="4">
        <v>5231</v>
      </c>
      <c r="B688" s="6" t="str">
        <f>VLOOKUP(TABLA_PRECIOS_LISTBOX_VENTAS[Código],LISTADO_PRODUCTOS[#All],4)</f>
        <v>Cable Fast Charging Samsung Galaxy Note</v>
      </c>
      <c r="C688" s="6" t="str">
        <f>VLOOKUP(TABLA_PRECIOS_LISTBOX_VENTAS[Código],LISTADO_PRODUCTOS[#All],5)</f>
        <v>N/A</v>
      </c>
      <c r="D688" s="28">
        <f>VLOOKUP(TABLA_PRECIOS_LISTBOX_VENTAS[[#This Row],[Código]],TABLA_PRECIOS[#All],7)</f>
        <v>1</v>
      </c>
    </row>
    <row r="689" spans="1:4" x14ac:dyDescent="0.3">
      <c r="A689" s="4">
        <v>5233</v>
      </c>
      <c r="B689" s="6" t="str">
        <f>VLOOKUP(TABLA_PRECIOS_LISTBOX_VENTAS[Código],LISTADO_PRODUCTOS[#All],4)</f>
        <v>Toner Global para Xerox Phaser 3020</v>
      </c>
      <c r="C689" s="6" t="str">
        <f>VLOOKUP(TABLA_PRECIOS_LISTBOX_VENTAS[Código],LISTADO_PRODUCTOS[#All],5)</f>
        <v>N/A</v>
      </c>
      <c r="D689" s="28">
        <f>VLOOKUP(TABLA_PRECIOS_LISTBOX_VENTAS[[#This Row],[Código]],TABLA_PRECIOS[#All],7)</f>
        <v>1</v>
      </c>
    </row>
    <row r="690" spans="1:4" x14ac:dyDescent="0.3">
      <c r="A690" s="4">
        <v>6100</v>
      </c>
      <c r="B690" s="6" t="str">
        <f>VLOOKUP(TABLA_PRECIOS_LISTBOX_VENTAS[Código],LISTADO_PRODUCTOS[#All],4)</f>
        <v>El Principito Catapulta Junior</v>
      </c>
      <c r="C690" s="6" t="str">
        <f>VLOOKUP(TABLA_PRECIOS_LISTBOX_VENTAS[Código],LISTADO_PRODUCTOS[#All],5)</f>
        <v>N/A</v>
      </c>
      <c r="D690" s="28">
        <f>VLOOKUP(TABLA_PRECIOS_LISTBOX_VENTAS[[#This Row],[Código]],TABLA_PRECIOS[#All],7)</f>
        <v>1</v>
      </c>
    </row>
    <row r="691" spans="1:4" x14ac:dyDescent="0.3">
      <c r="A691" s="4">
        <v>6101</v>
      </c>
      <c r="B691" s="6" t="str">
        <f>VLOOKUP(TABLA_PRECIOS_LISTBOX_VENTAS[Código],LISTADO_PRODUCTOS[#All],4)</f>
        <v>Set Mi primer libro de actividades + 24 colores Filgo</v>
      </c>
      <c r="C691" s="6" t="str">
        <f>VLOOKUP(TABLA_PRECIOS_LISTBOX_VENTAS[Código],LISTADO_PRODUCTOS[#All],5)</f>
        <v>N/A</v>
      </c>
      <c r="D691" s="28">
        <f>VLOOKUP(TABLA_PRECIOS_LISTBOX_VENTAS[[#This Row],[Código]],TABLA_PRECIOS[#All],7)</f>
        <v>1</v>
      </c>
    </row>
    <row r="692" spans="1:4" x14ac:dyDescent="0.3">
      <c r="A692" s="4">
        <v>6102</v>
      </c>
      <c r="B692" s="6" t="str">
        <f>VLOOKUP(TABLA_PRECIOS_LISTBOX_VENTAS[Código],LISTADO_PRODUCTOS[#All],4)</f>
        <v xml:space="preserve">Libro Paleta Magica de colores (12 Posters con acuarelas en cada pagina) </v>
      </c>
      <c r="C692" s="6" t="str">
        <f>VLOOKUP(TABLA_PRECIOS_LISTBOX_VENTAS[Código],LISTADO_PRODUCTOS[#All],5)</f>
        <v>N/A</v>
      </c>
      <c r="D692" s="28">
        <f>VLOOKUP(TABLA_PRECIOS_LISTBOX_VENTAS[[#This Row],[Código]],TABLA_PRECIOS[#All],7)</f>
        <v>1</v>
      </c>
    </row>
    <row r="693" spans="1:4" x14ac:dyDescent="0.3">
      <c r="A693" s="4">
        <v>6105</v>
      </c>
      <c r="B693" s="6" t="str">
        <f>VLOOKUP(TABLA_PRECIOS_LISTBOX_VENTAS[Código],LISTADO_PRODUCTOS[#All],4)</f>
        <v>Largo petalo de mar- Isabel Allende</v>
      </c>
      <c r="C693" s="6" t="str">
        <f>VLOOKUP(TABLA_PRECIOS_LISTBOX_VENTAS[Código],LISTADO_PRODUCTOS[#All],5)</f>
        <v>N/A</v>
      </c>
      <c r="D693" s="28">
        <f>VLOOKUP(TABLA_PRECIOS_LISTBOX_VENTAS[[#This Row],[Código]],TABLA_PRECIOS[#All],7)</f>
        <v>1</v>
      </c>
    </row>
    <row r="694" spans="1:4" x14ac:dyDescent="0.3">
      <c r="A694" s="4">
        <v>6106</v>
      </c>
      <c r="B694" s="6" t="str">
        <f>VLOOKUP(TABLA_PRECIOS_LISTBOX_VENTAS[Código],LISTADO_PRODUCTOS[#All],4)</f>
        <v>Las neuronas de dios de Diego Golombek</v>
      </c>
      <c r="C694" s="6" t="str">
        <f>VLOOKUP(TABLA_PRECIOS_LISTBOX_VENTAS[Código],LISTADO_PRODUCTOS[#All],5)</f>
        <v>N/A</v>
      </c>
      <c r="D694" s="28">
        <f>VLOOKUP(TABLA_PRECIOS_LISTBOX_VENTAS[[#This Row],[Código]],TABLA_PRECIOS[#All],7)</f>
        <v>1</v>
      </c>
    </row>
    <row r="695" spans="1:4" x14ac:dyDescent="0.3">
      <c r="A695" s="4">
        <v>6107</v>
      </c>
      <c r="B695" s="6" t="str">
        <f>VLOOKUP(TABLA_PRECIOS_LISTBOX_VENTAS[Código],LISTADO_PRODUCTOS[#All],4)</f>
        <v>Cruzar la noche de Alicia Barberis</v>
      </c>
      <c r="C695" s="6" t="str">
        <f>VLOOKUP(TABLA_PRECIOS_LISTBOX_VENTAS[Código],LISTADO_PRODUCTOS[#All],5)</f>
        <v>N/A</v>
      </c>
      <c r="D695" s="28">
        <f>VLOOKUP(TABLA_PRECIOS_LISTBOX_VENTAS[[#This Row],[Código]],TABLA_PRECIOS[#All],7)</f>
        <v>1</v>
      </c>
    </row>
    <row r="696" spans="1:4" x14ac:dyDescent="0.3">
      <c r="A696" s="4">
        <v>6108</v>
      </c>
      <c r="B696" s="6" t="str">
        <f>VLOOKUP(TABLA_PRECIOS_LISTBOX_VENTAS[Código],LISTADO_PRODUCTOS[#All],4)</f>
        <v>Una caza de secretos de paula bombara</v>
      </c>
      <c r="C696" s="6" t="str">
        <f>VLOOKUP(TABLA_PRECIOS_LISTBOX_VENTAS[Código],LISTADO_PRODUCTOS[#All],5)</f>
        <v>N/A</v>
      </c>
      <c r="D696" s="28">
        <f>VLOOKUP(TABLA_PRECIOS_LISTBOX_VENTAS[[#This Row],[Código]],TABLA_PRECIOS[#All],7)</f>
        <v>1</v>
      </c>
    </row>
    <row r="697" spans="1:4" x14ac:dyDescent="0.3">
      <c r="A697" s="4">
        <v>6109</v>
      </c>
      <c r="B697" s="6" t="str">
        <f>VLOOKUP(TABLA_PRECIOS_LISTBOX_VENTAS[Código],LISTADO_PRODUCTOS[#All],4)</f>
        <v>Cuando me muera quiero que me toquen cumbia de cristian alarcon</v>
      </c>
      <c r="C697" s="6" t="str">
        <f>VLOOKUP(TABLA_PRECIOS_LISTBOX_VENTAS[Código],LISTADO_PRODUCTOS[#All],5)</f>
        <v>N/A</v>
      </c>
      <c r="D697" s="28">
        <f>VLOOKUP(TABLA_PRECIOS_LISTBOX_VENTAS[[#This Row],[Código]],TABLA_PRECIOS[#All],7)</f>
        <v>1</v>
      </c>
    </row>
    <row r="698" spans="1:4" x14ac:dyDescent="0.3">
      <c r="A698" s="4">
        <v>6110</v>
      </c>
      <c r="B698" s="6" t="str">
        <f>VLOOKUP(TABLA_PRECIOS_LISTBOX_VENTAS[Código],LISTADO_PRODUCTOS[#All],4)</f>
        <v>La chica pajaro de paula bombara</v>
      </c>
      <c r="C698" s="6" t="str">
        <f>VLOOKUP(TABLA_PRECIOS_LISTBOX_VENTAS[Código],LISTADO_PRODUCTOS[#All],5)</f>
        <v>N/A</v>
      </c>
      <c r="D698" s="28">
        <f>VLOOKUP(TABLA_PRECIOS_LISTBOX_VENTAS[[#This Row],[Código]],TABLA_PRECIOS[#All],7)</f>
        <v>1</v>
      </c>
    </row>
    <row r="699" spans="1:4" x14ac:dyDescent="0.3">
      <c r="A699" s="4">
        <v>6149</v>
      </c>
      <c r="B699" s="6" t="str">
        <f>VLOOKUP(TABLA_PRECIOS_LISTBOX_VENTAS[Código],LISTADO_PRODUCTOS[#All],4)</f>
        <v>Libritos Mandalitas Ed. Betina</v>
      </c>
      <c r="C699" s="6" t="str">
        <f>VLOOKUP(TABLA_PRECIOS_LISTBOX_VENTAS[Código],LISTADO_PRODUCTOS[#All],5)</f>
        <v>N/A</v>
      </c>
      <c r="D699" s="28">
        <f>VLOOKUP(TABLA_PRECIOS_LISTBOX_VENTAS[[#This Row],[Código]],TABLA_PRECIOS[#All],7)</f>
        <v>1</v>
      </c>
    </row>
    <row r="700" spans="1:4" x14ac:dyDescent="0.3">
      <c r="A700" s="4">
        <v>6165</v>
      </c>
      <c r="B700" s="6" t="str">
        <f>VLOOKUP(TABLA_PRECIOS_LISTBOX_VENTAS[Código],LISTADO_PRODUCTOS[#All],4)</f>
        <v>El Retrato de Doria Grey</v>
      </c>
      <c r="C700" s="6" t="str">
        <f>VLOOKUP(TABLA_PRECIOS_LISTBOX_VENTAS[Código],LISTADO_PRODUCTOS[#All],5)</f>
        <v>N/A</v>
      </c>
      <c r="D700" s="28">
        <f>VLOOKUP(TABLA_PRECIOS_LISTBOX_VENTAS[[#This Row],[Código]],TABLA_PRECIOS[#All],7)</f>
        <v>1</v>
      </c>
    </row>
    <row r="701" spans="1:4" x14ac:dyDescent="0.3">
      <c r="A701" s="4">
        <v>6166</v>
      </c>
      <c r="B701" s="6" t="str">
        <f>VLOOKUP(TABLA_PRECIOS_LISTBOX_VENTAS[Código],LISTADO_PRODUCTOS[#All],4)</f>
        <v>La Gitanilla</v>
      </c>
      <c r="C701" s="6" t="str">
        <f>VLOOKUP(TABLA_PRECIOS_LISTBOX_VENTAS[Código],LISTADO_PRODUCTOS[#All],5)</f>
        <v>N/A</v>
      </c>
      <c r="D701" s="28">
        <f>VLOOKUP(TABLA_PRECIOS_LISTBOX_VENTAS[[#This Row],[Código]],TABLA_PRECIOS[#All],7)</f>
        <v>1</v>
      </c>
    </row>
    <row r="702" spans="1:4" x14ac:dyDescent="0.3">
      <c r="A702" s="4">
        <v>6167</v>
      </c>
      <c r="B702" s="6" t="str">
        <f>VLOOKUP(TABLA_PRECIOS_LISTBOX_VENTAS[Código],LISTADO_PRODUCTOS[#All],4)</f>
        <v>La Isla del Tesoro</v>
      </c>
      <c r="C702" s="6" t="str">
        <f>VLOOKUP(TABLA_PRECIOS_LISTBOX_VENTAS[Código],LISTADO_PRODUCTOS[#All],5)</f>
        <v>N/A</v>
      </c>
      <c r="D702" s="28">
        <f>VLOOKUP(TABLA_PRECIOS_LISTBOX_VENTAS[[#This Row],[Código]],TABLA_PRECIOS[#All],7)</f>
        <v>1</v>
      </c>
    </row>
    <row r="703" spans="1:4" x14ac:dyDescent="0.3">
      <c r="A703" s="4">
        <v>6180</v>
      </c>
      <c r="B703" s="6" t="str">
        <f>VLOOKUP(TABLA_PRECIOS_LISTBOX_VENTAS[Código],LISTADO_PRODUCTOS[#All],4)</f>
        <v>Diccionario de sinonimos y antonimos Estrada</v>
      </c>
      <c r="C703" s="6" t="str">
        <f>VLOOKUP(TABLA_PRECIOS_LISTBOX_VENTAS[Código],LISTADO_PRODUCTOS[#All],5)</f>
        <v>N/A</v>
      </c>
      <c r="D703" s="28">
        <f>VLOOKUP(TABLA_PRECIOS_LISTBOX_VENTAS[[#This Row],[Código]],TABLA_PRECIOS[#All],7)</f>
        <v>1</v>
      </c>
    </row>
    <row r="704" spans="1:4" x14ac:dyDescent="0.3">
      <c r="A704" s="4">
        <v>6185</v>
      </c>
      <c r="B704" s="6" t="str">
        <f>VLOOKUP(TABLA_PRECIOS_LISTBOX_VENTAS[Código],LISTADO_PRODUCTOS[#All],4)</f>
        <v>Juega y Colorea (Libro para pintar+ Stikers + crayones)</v>
      </c>
      <c r="C704" s="6" t="str">
        <f>VLOOKUP(TABLA_PRECIOS_LISTBOX_VENTAS[Código],LISTADO_PRODUCTOS[#All],5)</f>
        <v>N/A</v>
      </c>
      <c r="D704" s="28">
        <f>VLOOKUP(TABLA_PRECIOS_LISTBOX_VENTAS[[#This Row],[Código]],TABLA_PRECIOS[#All],7)</f>
        <v>1</v>
      </c>
    </row>
    <row r="705" spans="1:4" x14ac:dyDescent="0.3">
      <c r="A705" s="4">
        <v>6187</v>
      </c>
      <c r="B705" s="6" t="str">
        <f>VLOOKUP(TABLA_PRECIOS_LISTBOX_VENTAS[Código],LISTADO_PRODUCTOS[#All],4)</f>
        <v>Mamá gracias por tu amor VyR</v>
      </c>
      <c r="C705" s="6" t="str">
        <f>VLOOKUP(TABLA_PRECIOS_LISTBOX_VENTAS[Código],LISTADO_PRODUCTOS[#All],5)</f>
        <v>N/A</v>
      </c>
      <c r="D705" s="28">
        <f>VLOOKUP(TABLA_PRECIOS_LISTBOX_VENTAS[[#This Row],[Código]],TABLA_PRECIOS[#All],7)</f>
        <v>1</v>
      </c>
    </row>
    <row r="706" spans="1:4" x14ac:dyDescent="0.3">
      <c r="A706" s="4">
        <v>6190</v>
      </c>
      <c r="B706" s="6" t="str">
        <f>VLOOKUP(TABLA_PRECIOS_LISTBOX_VENTAS[Código],LISTADO_PRODUCTOS[#All],4)</f>
        <v>Premio a la mejor Madre VyR</v>
      </c>
      <c r="C706" s="6" t="str">
        <f>VLOOKUP(TABLA_PRECIOS_LISTBOX_VENTAS[Código],LISTADO_PRODUCTOS[#All],5)</f>
        <v>N/A</v>
      </c>
      <c r="D706" s="28">
        <f>VLOOKUP(TABLA_PRECIOS_LISTBOX_VENTAS[[#This Row],[Código]],TABLA_PRECIOS[#All],7)</f>
        <v>1</v>
      </c>
    </row>
    <row r="707" spans="1:4" x14ac:dyDescent="0.3">
      <c r="A707" s="4">
        <v>6191</v>
      </c>
      <c r="B707" s="6" t="str">
        <f>VLOOKUP(TABLA_PRECIOS_LISTBOX_VENTAS[Código],LISTADO_PRODUCTOS[#All],4)</f>
        <v>Querida Mama VyR</v>
      </c>
      <c r="C707" s="6" t="str">
        <f>VLOOKUP(TABLA_PRECIOS_LISTBOX_VENTAS[Código],LISTADO_PRODUCTOS[#All],5)</f>
        <v>N/A</v>
      </c>
      <c r="D707" s="28">
        <f>VLOOKUP(TABLA_PRECIOS_LISTBOX_VENTAS[[#This Row],[Código]],TABLA_PRECIOS[#All],7)</f>
        <v>1</v>
      </c>
    </row>
    <row r="708" spans="1:4" x14ac:dyDescent="0.3">
      <c r="A708" s="4">
        <v>6193</v>
      </c>
      <c r="B708" s="6" t="str">
        <f>VLOOKUP(TABLA_PRECIOS_LISTBOX_VENTAS[Código],LISTADO_PRODUCTOS[#All],4)</f>
        <v>cuento uno y cuento dos</v>
      </c>
      <c r="C708" s="6" t="str">
        <f>VLOOKUP(TABLA_PRECIOS_LISTBOX_VENTAS[Código],LISTADO_PRODUCTOS[#All],5)</f>
        <v>N/A</v>
      </c>
      <c r="D708" s="28">
        <f>VLOOKUP(TABLA_PRECIOS_LISTBOX_VENTAS[[#This Row],[Código]],TABLA_PRECIOS[#All],7)</f>
        <v>1</v>
      </c>
    </row>
    <row r="709" spans="1:4" x14ac:dyDescent="0.3">
      <c r="A709" s="4">
        <v>6209</v>
      </c>
      <c r="B709" s="6" t="str">
        <f>VLOOKUP(TABLA_PRECIOS_LISTBOX_VENTAS[Código],LISTADO_PRODUCTOS[#All],4)</f>
        <v>Libro Biblia para niños de Giuseppino de Roma</v>
      </c>
      <c r="C709" s="6" t="str">
        <f>VLOOKUP(TABLA_PRECIOS_LISTBOX_VENTAS[Código],LISTADO_PRODUCTOS[#All],5)</f>
        <v>N/A</v>
      </c>
      <c r="D709" s="28">
        <f>VLOOKUP(TABLA_PRECIOS_LISTBOX_VENTAS[[#This Row],[Código]],TABLA_PRECIOS[#All],7)</f>
        <v>1</v>
      </c>
    </row>
    <row r="710" spans="1:4" x14ac:dyDescent="0.3">
      <c r="A710" s="4">
        <v>6220</v>
      </c>
      <c r="B710" s="6" t="str">
        <f>VLOOKUP(TABLA_PRECIOS_LISTBOX_VENTAS[Código],LISTADO_PRODUCTOS[#All],4)</f>
        <v>Diccionario escolar Rivadavia</v>
      </c>
      <c r="C710" s="6" t="str">
        <f>VLOOKUP(TABLA_PRECIOS_LISTBOX_VENTAS[Código],LISTADO_PRODUCTOS[#All],5)</f>
        <v>N/A</v>
      </c>
      <c r="D710" s="28">
        <f>VLOOKUP(TABLA_PRECIOS_LISTBOX_VENTAS[[#This Row],[Código]],TABLA_PRECIOS[#All],7)</f>
        <v>1</v>
      </c>
    </row>
    <row r="711" spans="1:4" x14ac:dyDescent="0.3">
      <c r="A711" s="4">
        <v>6226</v>
      </c>
      <c r="B711" s="6" t="str">
        <f>VLOOKUP(TABLA_PRECIOS_LISTBOX_VENTAS[Código],LISTADO_PRODUCTOS[#All],4)</f>
        <v>Stiker grande</v>
      </c>
      <c r="C711" s="6" t="str">
        <f>VLOOKUP(TABLA_PRECIOS_LISTBOX_VENTAS[Código],LISTADO_PRODUCTOS[#All],5)</f>
        <v>N/A</v>
      </c>
      <c r="D711" s="28">
        <f>VLOOKUP(TABLA_PRECIOS_LISTBOX_VENTAS[[#This Row],[Código]],TABLA_PRECIOS[#All],7)</f>
        <v>1</v>
      </c>
    </row>
    <row r="712" spans="1:4" x14ac:dyDescent="0.3">
      <c r="A712" s="4">
        <v>6235</v>
      </c>
      <c r="B712" s="6" t="str">
        <f>VLOOKUP(TABLA_PRECIOS_LISTBOX_VENTAS[Código],LISTADO_PRODUCTOS[#All],4)</f>
        <v>DESAPARECIDA de Gabriel Barnes</v>
      </c>
      <c r="C712" s="6" t="str">
        <f>VLOOKUP(TABLA_PRECIOS_LISTBOX_VENTAS[Código],LISTADO_PRODUCTOS[#All],5)</f>
        <v>N/A</v>
      </c>
      <c r="D712" s="28">
        <f>VLOOKUP(TABLA_PRECIOS_LISTBOX_VENTAS[[#This Row],[Código]],TABLA_PRECIOS[#All],7)</f>
        <v>1</v>
      </c>
    </row>
    <row r="713" spans="1:4" x14ac:dyDescent="0.3">
      <c r="A713" s="4">
        <v>6240</v>
      </c>
      <c r="B713" s="6" t="str">
        <f>VLOOKUP(TABLA_PRECIOS_LISTBOX_VENTAS[Código],LISTADO_PRODUCTOS[#All],4)</f>
        <v>PROHIBIDO SOÑAR Carlos Marianidis</v>
      </c>
      <c r="C713" s="6" t="str">
        <f>VLOOKUP(TABLA_PRECIOS_LISTBOX_VENTAS[Código],LISTADO_PRODUCTOS[#All],5)</f>
        <v>N/A</v>
      </c>
      <c r="D713" s="28">
        <f>VLOOKUP(TABLA_PRECIOS_LISTBOX_VENTAS[[#This Row],[Código]],TABLA_PRECIOS[#All],7)</f>
        <v>1</v>
      </c>
    </row>
    <row r="714" spans="1:4" x14ac:dyDescent="0.3">
      <c r="A714" s="4">
        <v>6251</v>
      </c>
      <c r="B714" s="6" t="str">
        <f>VLOOKUP(TABLA_PRECIOS_LISTBOX_VENTAS[Código],LISTADO_PRODUCTOS[#All],4)</f>
        <v>QUIEN SE ANIMA A BAJAR AL SOTANO</v>
      </c>
      <c r="C714" s="6" t="str">
        <f>VLOOKUP(TABLA_PRECIOS_LISTBOX_VENTAS[Código],LISTADO_PRODUCTOS[#All],5)</f>
        <v>N/A</v>
      </c>
      <c r="D714" s="28">
        <f>VLOOKUP(TABLA_PRECIOS_LISTBOX_VENTAS[[#This Row],[Código]],TABLA_PRECIOS[#All],7)</f>
        <v>1</v>
      </c>
    </row>
    <row r="715" spans="1:4" x14ac:dyDescent="0.3">
      <c r="A715" s="4">
        <v>6257</v>
      </c>
      <c r="B715" s="6" t="str">
        <f>VLOOKUP(TABLA_PRECIOS_LISTBOX_VENTAS[Código],LISTADO_PRODUCTOS[#All],4)</f>
        <v>LA PUERTA SECRETA</v>
      </c>
      <c r="C715" s="6" t="str">
        <f>VLOOKUP(TABLA_PRECIOS_LISTBOX_VENTAS[Código],LISTADO_PRODUCTOS[#All],5)</f>
        <v>N/A</v>
      </c>
      <c r="D715" s="28">
        <f>VLOOKUP(TABLA_PRECIOS_LISTBOX_VENTAS[[#This Row],[Código]],TABLA_PRECIOS[#All],7)</f>
        <v>1</v>
      </c>
    </row>
    <row r="716" spans="1:4" x14ac:dyDescent="0.3">
      <c r="A716" s="4">
        <v>6268</v>
      </c>
      <c r="B716" s="6" t="str">
        <f>VLOOKUP(TABLA_PRECIOS_LISTBOX_VENTAS[Código],LISTADO_PRODUCTOS[#All],4)</f>
        <v>LA FAMA ES PURO CUENTO</v>
      </c>
      <c r="C716" s="6" t="str">
        <f>VLOOKUP(TABLA_PRECIOS_LISTBOX_VENTAS[Código],LISTADO_PRODUCTOS[#All],5)</f>
        <v>N/A</v>
      </c>
      <c r="D716" s="28">
        <f>VLOOKUP(TABLA_PRECIOS_LISTBOX_VENTAS[[#This Row],[Código]],TABLA_PRECIOS[#All],7)</f>
        <v>1</v>
      </c>
    </row>
    <row r="717" spans="1:4" x14ac:dyDescent="0.3">
      <c r="A717" s="4">
        <v>6272</v>
      </c>
      <c r="B717" s="6" t="str">
        <f>VLOOKUP(TABLA_PRECIOS_LISTBOX_VENTAS[Código],LISTADO_PRODUCTOS[#All],4)</f>
        <v>Elegi el nombre para tu bebe</v>
      </c>
      <c r="C717" s="6" t="str">
        <f>VLOOKUP(TABLA_PRECIOS_LISTBOX_VENTAS[Código],LISTADO_PRODUCTOS[#All],5)</f>
        <v>N/A</v>
      </c>
      <c r="D717" s="28">
        <f>VLOOKUP(TABLA_PRECIOS_LISTBOX_VENTAS[[#This Row],[Código]],TABLA_PRECIOS[#All],7)</f>
        <v>1</v>
      </c>
    </row>
    <row r="718" spans="1:4" x14ac:dyDescent="0.3">
      <c r="A718" s="4">
        <v>6274</v>
      </c>
      <c r="B718" s="6" t="str">
        <f>VLOOKUP(TABLA_PRECIOS_LISTBOX_VENTAS[Código],LISTADO_PRODUCTOS[#All],4)</f>
        <v>Libro Busca y Encuentra</v>
      </c>
      <c r="C718" s="6" t="str">
        <f>VLOOKUP(TABLA_PRECIOS_LISTBOX_VENTAS[Código],LISTADO_PRODUCTOS[#All],5)</f>
        <v>N/A</v>
      </c>
      <c r="D718" s="28">
        <f>VLOOKUP(TABLA_PRECIOS_LISTBOX_VENTAS[[#This Row],[Código]],TABLA_PRECIOS[#All],7)</f>
        <v>1</v>
      </c>
    </row>
    <row r="719" spans="1:4" x14ac:dyDescent="0.3">
      <c r="A719" s="4">
        <v>6286</v>
      </c>
      <c r="B719" s="6" t="str">
        <f>VLOOKUP(TABLA_PRECIOS_LISTBOX_VENTAS[Código],LISTADO_PRODUCTOS[#All],4)</f>
        <v>Libro colección bilingüe latinbooks Toco y aprendo colección x 4</v>
      </c>
      <c r="C719" s="6" t="str">
        <f>VLOOKUP(TABLA_PRECIOS_LISTBOX_VENTAS[Código],LISTADO_PRODUCTOS[#All],5)</f>
        <v>N/A</v>
      </c>
      <c r="D719" s="28">
        <f>VLOOKUP(TABLA_PRECIOS_LISTBOX_VENTAS[[#This Row],[Código]],TABLA_PRECIOS[#All],7)</f>
        <v>1</v>
      </c>
    </row>
    <row r="720" spans="1:4" x14ac:dyDescent="0.3">
      <c r="A720" s="4">
        <v>6290</v>
      </c>
      <c r="B720" s="6" t="str">
        <f>VLOOKUP(TABLA_PRECIOS_LISTBOX_VENTAS[Código],LISTADO_PRODUCTOS[#All],4)</f>
        <v>Cuerpos que importan de Judith Butler</v>
      </c>
      <c r="C720" s="6" t="str">
        <f>VLOOKUP(TABLA_PRECIOS_LISTBOX_VENTAS[Código],LISTADO_PRODUCTOS[#All],5)</f>
        <v>N/A</v>
      </c>
      <c r="D720" s="28">
        <f>VLOOKUP(TABLA_PRECIOS_LISTBOX_VENTAS[[#This Row],[Código]],TABLA_PRECIOS[#All],7)</f>
        <v>1</v>
      </c>
    </row>
    <row r="721" spans="1:4" x14ac:dyDescent="0.3">
      <c r="A721" s="4">
        <v>7001</v>
      </c>
      <c r="B721" s="6" t="str">
        <f>VLOOKUP(TABLA_PRECIOS_LISTBOX_VENTAS[Código],LISTADO_PRODUCTOS[#All],4)</f>
        <v>Cuaderno FW Travel Journal Colección Feel Cuero Buffalo</v>
      </c>
      <c r="C721" s="6" t="str">
        <f>VLOOKUP(TABLA_PRECIOS_LISTBOX_VENTAS[Código],LISTADO_PRODUCTOS[#All],5)</f>
        <v>N/A</v>
      </c>
      <c r="D721" s="28">
        <f>VLOOKUP(TABLA_PRECIOS_LISTBOX_VENTAS[[#This Row],[Código]],TABLA_PRECIOS[#All],7)</f>
        <v>1</v>
      </c>
    </row>
    <row r="722" spans="1:4" x14ac:dyDescent="0.3">
      <c r="A722" s="4">
        <v>7002</v>
      </c>
      <c r="B722" s="6" t="str">
        <f>VLOOKUP(TABLA_PRECIOS_LISTBOX_VENTAS[Código],LISTADO_PRODUCTOS[#All],4)</f>
        <v>Cuaderno FW Sketch Book Colección Feel Tela Texturada</v>
      </c>
      <c r="C722" s="6" t="str">
        <f>VLOOKUP(TABLA_PRECIOS_LISTBOX_VENTAS[Código],LISTADO_PRODUCTOS[#All],5)</f>
        <v>N/A</v>
      </c>
      <c r="D722" s="28">
        <f>VLOOKUP(TABLA_PRECIOS_LISTBOX_VENTAS[[#This Row],[Código]],TABLA_PRECIOS[#All],7)</f>
        <v>1</v>
      </c>
    </row>
    <row r="723" spans="1:4" x14ac:dyDescent="0.3">
      <c r="A723" s="4">
        <v>7003</v>
      </c>
      <c r="B723" s="6" t="str">
        <f>VLOOKUP(TABLA_PRECIOS_LISTBOX_VENTAS[Código],LISTADO_PRODUCTOS[#All],4)</f>
        <v>Cuaderno Fw Love Journal Feel Tela Satinada</v>
      </c>
      <c r="C723" s="6" t="str">
        <f>VLOOKUP(TABLA_PRECIOS_LISTBOX_VENTAS[Código],LISTADO_PRODUCTOS[#All],5)</f>
        <v>N/A</v>
      </c>
      <c r="D723" s="28">
        <f>VLOOKUP(TABLA_PRECIOS_LISTBOX_VENTAS[[#This Row],[Código]],TABLA_PRECIOS[#All],7)</f>
        <v>1</v>
      </c>
    </row>
    <row r="724" spans="1:4" x14ac:dyDescent="0.3">
      <c r="A724" s="4">
        <v>7004</v>
      </c>
      <c r="B724" s="6" t="str">
        <f>VLOOKUP(TABLA_PRECIOS_LISTBOX_VENTAS[Código],LISTADO_PRODUCTOS[#All],4)</f>
        <v>Cuaderno Onix 16.21 anillado 120h T/C</v>
      </c>
      <c r="C724" s="6" t="str">
        <f>VLOOKUP(TABLA_PRECIOS_LISTBOX_VENTAS[Código],LISTADO_PRODUCTOS[#All],5)</f>
        <v>N/A</v>
      </c>
      <c r="D724" s="28">
        <f>VLOOKUP(TABLA_PRECIOS_LISTBOX_VENTAS[[#This Row],[Código]],TABLA_PRECIOS[#All],7)</f>
        <v>1</v>
      </c>
    </row>
    <row r="725" spans="1:4" x14ac:dyDescent="0.3">
      <c r="A725" s="4">
        <v>7005</v>
      </c>
      <c r="B725" s="6" t="str">
        <f>VLOOKUP(TABLA_PRECIOS_LISTBOX_VENTAS[Código],LISTADO_PRODUCTOS[#All],4)</f>
        <v>Cuaderno Onix 16.21 anillado 96hs T/C Hojas decoradas</v>
      </c>
      <c r="C725" s="6" t="str">
        <f>VLOOKUP(TABLA_PRECIOS_LISTBOX_VENTAS[Código],LISTADO_PRODUCTOS[#All],5)</f>
        <v>N/A</v>
      </c>
      <c r="D725" s="28">
        <f>VLOOKUP(TABLA_PRECIOS_LISTBOX_VENTAS[[#This Row],[Código]],TABLA_PRECIOS[#All],7)</f>
        <v>1</v>
      </c>
    </row>
    <row r="726" spans="1:4" x14ac:dyDescent="0.3">
      <c r="A726" s="4">
        <v>7006</v>
      </c>
      <c r="B726" s="6" t="str">
        <f>VLOOKUP(TABLA_PRECIOS_LISTBOX_VENTAS[Código],LISTADO_PRODUCTOS[#All],4)</f>
        <v>Cuaderno Onix 16.21 anillado 120hs T/C hojas decoradas</v>
      </c>
      <c r="C726" s="6" t="str">
        <f>VLOOKUP(TABLA_PRECIOS_LISTBOX_VENTAS[Código],LISTADO_PRODUCTOS[#All],5)</f>
        <v>N/A</v>
      </c>
      <c r="D726" s="28">
        <f>VLOOKUP(TABLA_PRECIOS_LISTBOX_VENTAS[[#This Row],[Código]],TABLA_PRECIOS[#All],7)</f>
        <v>1</v>
      </c>
    </row>
    <row r="727" spans="1:4" x14ac:dyDescent="0.3">
      <c r="A727" s="4">
        <v>7007</v>
      </c>
      <c r="B727" s="6" t="str">
        <f>VLOOKUP(TABLA_PRECIOS_LISTBOX_VENTAS[Código],LISTADO_PRODUCTOS[#All],4)</f>
        <v>Agenda FW 12x17 Diaria Linea Travel Marmol</v>
      </c>
      <c r="C727" s="6" t="str">
        <f>VLOOKUP(TABLA_PRECIOS_LISTBOX_VENTAS[Código],LISTADO_PRODUCTOS[#All],5)</f>
        <v>N/A</v>
      </c>
      <c r="D727" s="28">
        <f>VLOOKUP(TABLA_PRECIOS_LISTBOX_VENTAS[[#This Row],[Código]],TABLA_PRECIOS[#All],7)</f>
        <v>1</v>
      </c>
    </row>
    <row r="728" spans="1:4" x14ac:dyDescent="0.3">
      <c r="A728" s="4">
        <v>7008</v>
      </c>
      <c r="B728" s="6" t="str">
        <f>VLOOKUP(TABLA_PRECIOS_LISTBOX_VENTAS[Código],LISTADO_PRODUCTOS[#All],4)</f>
        <v>Agenda 12x17 dos dias x pagina Linea Universo</v>
      </c>
      <c r="C728" s="6" t="str">
        <f>VLOOKUP(TABLA_PRECIOS_LISTBOX_VENTAS[Código],LISTADO_PRODUCTOS[#All],5)</f>
        <v>N/A</v>
      </c>
      <c r="D728" s="28">
        <f>VLOOKUP(TABLA_PRECIOS_LISTBOX_VENTAS[[#This Row],[Código]],TABLA_PRECIOS[#All],7)</f>
        <v>1</v>
      </c>
    </row>
    <row r="729" spans="1:4" x14ac:dyDescent="0.3">
      <c r="A729" s="4">
        <v>7009</v>
      </c>
      <c r="B729" s="6" t="str">
        <f>VLOOKUP(TABLA_PRECIOS_LISTBOX_VENTAS[Código],LISTADO_PRODUCTOS[#All],4)</f>
        <v>Agenda Onix Batik 16 x 22 352 paginas 1dia x pag</v>
      </c>
      <c r="C729" s="6" t="str">
        <f>VLOOKUP(TABLA_PRECIOS_LISTBOX_VENTAS[Código],LISTADO_PRODUCTOS[#All],5)</f>
        <v>N/A</v>
      </c>
      <c r="D729" s="28">
        <f>VLOOKUP(TABLA_PRECIOS_LISTBOX_VENTAS[[#This Row],[Código]],TABLA_PRECIOS[#All],7)</f>
        <v>1</v>
      </c>
    </row>
    <row r="730" spans="1:4" x14ac:dyDescent="0.3">
      <c r="A730" s="4">
        <v>7071</v>
      </c>
      <c r="B730" s="6" t="str">
        <f>VLOOKUP(TABLA_PRECIOS_LISTBOX_VENTAS[Código],LISTADO_PRODUCTOS[#All],4)</f>
        <v>Cuaderno anillado Bookcel ahuesado Ediciones de la Montaña 80h 80gr</v>
      </c>
      <c r="C730" s="6" t="str">
        <f>VLOOKUP(TABLA_PRECIOS_LISTBOX_VENTAS[Código],LISTADO_PRODUCTOS[#All],5)</f>
        <v>N/A</v>
      </c>
      <c r="D730" s="28">
        <f>VLOOKUP(TABLA_PRECIOS_LISTBOX_VENTAS[[#This Row],[Código]],TABLA_PRECIOS[#All],7)</f>
        <v>1</v>
      </c>
    </row>
    <row r="731" spans="1:4" x14ac:dyDescent="0.3">
      <c r="A731" s="4">
        <v>7072</v>
      </c>
      <c r="B731" s="6" t="str">
        <f>VLOOKUP(TABLA_PRECIOS_LISTBOX_VENTAS[Código],LISTADO_PRODUCTOS[#All],4)</f>
        <v>Libreta Ediciones de la Montaña 64 hojas lisas Bookcel ahuesado 80gr</v>
      </c>
      <c r="C731" s="6" t="str">
        <f>VLOOKUP(TABLA_PRECIOS_LISTBOX_VENTAS[Código],LISTADO_PRODUCTOS[#All],5)</f>
        <v>N/A</v>
      </c>
      <c r="D731" s="28">
        <f>VLOOKUP(TABLA_PRECIOS_LISTBOX_VENTAS[[#This Row],[Código]],TABLA_PRECIOS[#All],7)</f>
        <v>1</v>
      </c>
    </row>
    <row r="732" spans="1:4" x14ac:dyDescent="0.3">
      <c r="A732" s="4">
        <v>7073</v>
      </c>
      <c r="B732" s="6" t="str">
        <f>VLOOKUP(TABLA_PRECIOS_LISTBOX_VENTAS[Código],LISTADO_PRODUCTOS[#All],4)</f>
        <v>Notepad Block de notas con imán 50h</v>
      </c>
      <c r="C732" s="6" t="str">
        <f>VLOOKUP(TABLA_PRECIOS_LISTBOX_VENTAS[Código],LISTADO_PRODUCTOS[#All],5)</f>
        <v>N/A</v>
      </c>
      <c r="D732" s="28">
        <f>VLOOKUP(TABLA_PRECIOS_LISTBOX_VENTAS[[#This Row],[Código]],TABLA_PRECIOS[#All],7)</f>
        <v>1</v>
      </c>
    </row>
    <row r="733" spans="1:4" x14ac:dyDescent="0.3">
      <c r="A733" s="4">
        <v>7075</v>
      </c>
      <c r="B733" s="6" t="str">
        <f>VLOOKUP(TABLA_PRECIOS_LISTBOX_VENTAS[Código],LISTADO_PRODUCTOS[#All],4)</f>
        <v>Libro de recetas y paisajes del sur</v>
      </c>
      <c r="C733" s="6" t="str">
        <f>VLOOKUP(TABLA_PRECIOS_LISTBOX_VENTAS[Código],LISTADO_PRODUCTOS[#All],5)</f>
        <v>N/A</v>
      </c>
      <c r="D733" s="28">
        <f>VLOOKUP(TABLA_PRECIOS_LISTBOX_VENTAS[[#This Row],[Código]],TABLA_PRECIOS[#All],7)</f>
        <v>1</v>
      </c>
    </row>
    <row r="734" spans="1:4" x14ac:dyDescent="0.3">
      <c r="A734" s="4">
        <v>7076</v>
      </c>
      <c r="B734" s="6" t="str">
        <f>VLOOKUP(TABLA_PRECIOS_LISTBOX_VENTAS[Código],LISTADO_PRODUCTOS[#All],4)</f>
        <v>Taza de Genko grande</v>
      </c>
      <c r="C734" s="6" t="str">
        <f>VLOOKUP(TABLA_PRECIOS_LISTBOX_VENTAS[Código],LISTADO_PRODUCTOS[#All],5)</f>
        <v>N/A</v>
      </c>
      <c r="D734" s="28">
        <f>VLOOKUP(TABLA_PRECIOS_LISTBOX_VENTAS[[#This Row],[Código]],TABLA_PRECIOS[#All],7)</f>
        <v>1</v>
      </c>
    </row>
    <row r="735" spans="1:4" x14ac:dyDescent="0.3">
      <c r="A735" s="4">
        <v>7077</v>
      </c>
      <c r="B735" s="6" t="str">
        <f>VLOOKUP(TABLA_PRECIOS_LISTBOX_VENTAS[Código],LISTADO_PRODUCTOS[#All],4)</f>
        <v>Taza de Genko chica</v>
      </c>
      <c r="C735" s="6" t="str">
        <f>VLOOKUP(TABLA_PRECIOS_LISTBOX_VENTAS[Código],LISTADO_PRODUCTOS[#All],5)</f>
        <v>N/A</v>
      </c>
      <c r="D735" s="28">
        <f>VLOOKUP(TABLA_PRECIOS_LISTBOX_VENTAS[[#This Row],[Código]],TABLA_PRECIOS[#All],7)</f>
        <v>1</v>
      </c>
    </row>
    <row r="736" spans="1:4" x14ac:dyDescent="0.3">
      <c r="A736" s="4">
        <v>7078</v>
      </c>
      <c r="B736" s="6" t="str">
        <f>VLOOKUP(TABLA_PRECIOS_LISTBOX_VENTAS[Código],LISTADO_PRODUCTOS[#All],4)</f>
        <v>Boligrafo Vaquita Vaca Wero</v>
      </c>
      <c r="C736" s="6" t="str">
        <f>VLOOKUP(TABLA_PRECIOS_LISTBOX_VENTAS[Código],LISTADO_PRODUCTOS[#All],5)</f>
        <v>N/A</v>
      </c>
      <c r="D736" s="28">
        <f>VLOOKUP(TABLA_PRECIOS_LISTBOX_VENTAS[[#This Row],[Código]],TABLA_PRECIOS[#All],7)</f>
        <v>1</v>
      </c>
    </row>
    <row r="737" spans="1:4" x14ac:dyDescent="0.3">
      <c r="A737" s="4">
        <v>7080</v>
      </c>
      <c r="B737" s="6" t="str">
        <f>VLOOKUP(TABLA_PRECIOS_LISTBOX_VENTAS[Código],LISTADO_PRODUCTOS[#All],4)</f>
        <v>MAPED Creativ PAT DOUGH Masas c/ extrusor</v>
      </c>
      <c r="C737" s="6" t="str">
        <f>VLOOKUP(TABLA_PRECIOS_LISTBOX_VENTAS[Código],LISTADO_PRODUCTOS[#All],5)</f>
        <v>N/A</v>
      </c>
      <c r="D737" s="28">
        <f>VLOOKUP(TABLA_PRECIOS_LISTBOX_VENTAS[[#This Row],[Código]],TABLA_PRECIOS[#All],7)</f>
        <v>1</v>
      </c>
    </row>
    <row r="738" spans="1:4" x14ac:dyDescent="0.3">
      <c r="A738" s="4">
        <v>7081</v>
      </c>
      <c r="B738" s="6" t="str">
        <f>VLOOKUP(TABLA_PRECIOS_LISTBOX_VENTAS[Código],LISTADO_PRODUCTOS[#All],4)</f>
        <v>Maped Creativ 50 Pieces Kit para colorear</v>
      </c>
      <c r="C738" s="6" t="str">
        <f>VLOOKUP(TABLA_PRECIOS_LISTBOX_VENTAS[Código],LISTADO_PRODUCTOS[#All],5)</f>
        <v>N/A</v>
      </c>
      <c r="D738" s="28">
        <f>VLOOKUP(TABLA_PRECIOS_LISTBOX_VENTAS[[#This Row],[Código]],TABLA_PRECIOS[#All],7)</f>
        <v>1</v>
      </c>
    </row>
    <row r="739" spans="1:4" x14ac:dyDescent="0.3">
      <c r="A739" s="4">
        <v>7082</v>
      </c>
      <c r="B739" s="6" t="str">
        <f>VLOOKUP(TABLA_PRECIOS_LISTBOX_VENTAS[Código],LISTADO_PRODUCTOS[#All],4)</f>
        <v>Maped Creativ VELVET MOSAICS</v>
      </c>
      <c r="C739" s="6" t="str">
        <f>VLOOKUP(TABLA_PRECIOS_LISTBOX_VENTAS[Código],LISTADO_PRODUCTOS[#All],5)</f>
        <v>N/A</v>
      </c>
      <c r="D739" s="28">
        <f>VLOOKUP(TABLA_PRECIOS_LISTBOX_VENTAS[[#This Row],[Código]],TABLA_PRECIOS[#All],7)</f>
        <v>1</v>
      </c>
    </row>
    <row r="740" spans="1:4" x14ac:dyDescent="0.3">
      <c r="A740" s="4">
        <v>7094</v>
      </c>
      <c r="B740" s="6" t="str">
        <f>VLOOKUP(TABLA_PRECIOS_LISTBOX_VENTAS[Código],LISTADO_PRODUCTOS[#All],4)</f>
        <v>Plasticlips crea sin limites 40 piezas</v>
      </c>
      <c r="C740" s="6" t="str">
        <f>VLOOKUP(TABLA_PRECIOS_LISTBOX_VENTAS[Código],LISTADO_PRODUCTOS[#All],5)</f>
        <v>N/A</v>
      </c>
      <c r="D740" s="28">
        <f>VLOOKUP(TABLA_PRECIOS_LISTBOX_VENTAS[[#This Row],[Código]],TABLA_PRECIOS[#All],7)</f>
        <v>1</v>
      </c>
    </row>
    <row r="741" spans="1:4" x14ac:dyDescent="0.3">
      <c r="A741" s="4">
        <v>7100</v>
      </c>
      <c r="B741" s="6" t="str">
        <f>VLOOKUP(TABLA_PRECIOS_LISTBOX_VENTAS[Código],LISTADO_PRODUCTOS[#All],4)</f>
        <v>Cartelito de puerta infantil colours</v>
      </c>
      <c r="C741" s="6" t="str">
        <f>VLOOKUP(TABLA_PRECIOS_LISTBOX_VENTAS[Código],LISTADO_PRODUCTOS[#All],5)</f>
        <v>N/A</v>
      </c>
      <c r="D741" s="28">
        <f>VLOOKUP(TABLA_PRECIOS_LISTBOX_VENTAS[[#This Row],[Código]],TABLA_PRECIOS[#All],7)</f>
        <v>1</v>
      </c>
    </row>
    <row r="742" spans="1:4" x14ac:dyDescent="0.3">
      <c r="A742" s="4">
        <v>7103</v>
      </c>
      <c r="B742" s="6" t="str">
        <f>VLOOKUP(TABLA_PRECIOS_LISTBOX_VENTAS[Código],LISTADO_PRODUCTOS[#All],4)</f>
        <v>Porta lapices para Cuadernos / Agendas Para 1 Lapicera FW Metal</v>
      </c>
      <c r="C742" s="6" t="str">
        <f>VLOOKUP(TABLA_PRECIOS_LISTBOX_VENTAS[Código],LISTADO_PRODUCTOS[#All],5)</f>
        <v>N/A</v>
      </c>
      <c r="D742" s="28">
        <f>VLOOKUP(TABLA_PRECIOS_LISTBOX_VENTAS[[#This Row],[Código]],TABLA_PRECIOS[#All],7)</f>
        <v>1</v>
      </c>
    </row>
    <row r="743" spans="1:4" x14ac:dyDescent="0.3">
      <c r="A743" s="4">
        <v>9000</v>
      </c>
      <c r="B743" s="6" t="str">
        <f>VLOOKUP(TABLA_PRECIOS_LISTBOX_VENTAS[Código],LISTADO_PRODUCTOS[#All],4)</f>
        <v>Masas con cortante Dido</v>
      </c>
      <c r="C743" s="6" t="str">
        <f>VLOOKUP(TABLA_PRECIOS_LISTBOX_VENTAS[Código],LISTADO_PRODUCTOS[#All],5)</f>
        <v>N/A</v>
      </c>
      <c r="D743" s="28">
        <f>VLOOKUP(TABLA_PRECIOS_LISTBOX_VENTAS[[#This Row],[Código]],TABLA_PRECIOS[#All],7)</f>
        <v>1</v>
      </c>
    </row>
    <row r="744" spans="1:4" x14ac:dyDescent="0.3">
      <c r="A744" s="4">
        <v>9001</v>
      </c>
      <c r="B744" s="6" t="str">
        <f>VLOOKUP(TABLA_PRECIOS_LISTBOX_VENTAS[Código],LISTADO_PRODUCTOS[#All],4)</f>
        <v>Masas Maped Creativ Pote x 114gr</v>
      </c>
      <c r="C744" s="6" t="str">
        <f>VLOOKUP(TABLA_PRECIOS_LISTBOX_VENTAS[Código],LISTADO_PRODUCTOS[#All],5)</f>
        <v>N/A</v>
      </c>
      <c r="D744" s="28">
        <f>VLOOKUP(TABLA_PRECIOS_LISTBOX_VENTAS[[#This Row],[Código]],TABLA_PRECIOS[#All],7)</f>
        <v>1</v>
      </c>
    </row>
    <row r="745" spans="1:4" x14ac:dyDescent="0.3">
      <c r="A745" s="4">
        <v>9006</v>
      </c>
      <c r="B745" s="6" t="str">
        <f>VLOOKUP(TABLA_PRECIOS_LISTBOX_VENTAS[Código],LISTADO_PRODUCTOS[#All],4)</f>
        <v>Cerebronia conexión mental</v>
      </c>
      <c r="C745" s="6" t="str">
        <f>VLOOKUP(TABLA_PRECIOS_LISTBOX_VENTAS[Código],LISTADO_PRODUCTOS[#All],5)</f>
        <v>N/A</v>
      </c>
      <c r="D745" s="28">
        <f>VLOOKUP(TABLA_PRECIOS_LISTBOX_VENTAS[[#This Row],[Código]],TABLA_PRECIOS[#All],7)</f>
        <v>1</v>
      </c>
    </row>
    <row r="746" spans="1:4" x14ac:dyDescent="0.3">
      <c r="A746" s="4">
        <v>9010</v>
      </c>
      <c r="B746" s="6" t="str">
        <f>VLOOKUP(TABLA_PRECIOS_LISTBOX_VENTAS[Código],LISTADO_PRODUCTOS[#All],4)</f>
        <v>Cartas Naipes Truco Habana Plastificadas x 40c</v>
      </c>
      <c r="C746" s="6" t="str">
        <f>VLOOKUP(TABLA_PRECIOS_LISTBOX_VENTAS[Código],LISTADO_PRODUCTOS[#All],5)</f>
        <v>N/A</v>
      </c>
      <c r="D746" s="28">
        <f>VLOOKUP(TABLA_PRECIOS_LISTBOX_VENTAS[[#This Row],[Código]],TABLA_PRECIOS[#All],7)</f>
        <v>1</v>
      </c>
    </row>
    <row r="747" spans="1:4" x14ac:dyDescent="0.3">
      <c r="A747" s="4">
        <v>9012</v>
      </c>
      <c r="B747" s="6" t="str">
        <f>VLOOKUP(TABLA_PRECIOS_LISTBOX_VENTAS[Código],LISTADO_PRODUCTOS[#All],4)</f>
        <v>Agenda FW Inspire Diaria Batik</v>
      </c>
      <c r="C747" s="6" t="str">
        <f>VLOOKUP(TABLA_PRECIOS_LISTBOX_VENTAS[Código],LISTADO_PRODUCTOS[#All],5)</f>
        <v>N/A</v>
      </c>
      <c r="D747" s="28">
        <f>VLOOKUP(TABLA_PRECIOS_LISTBOX_VENTAS[[#This Row],[Código]],TABLA_PRECIOS[#All],7)</f>
        <v>1</v>
      </c>
    </row>
    <row r="748" spans="1:4" x14ac:dyDescent="0.3">
      <c r="A748" s="4">
        <v>9014</v>
      </c>
      <c r="B748" s="6" t="str">
        <f>VLOOKUP(TABLA_PRECIOS_LISTBOX_VENTAS[Código],LISTADO_PRODUCTOS[#All],4)</f>
        <v>Set regadera con pala y rastrillo chico</v>
      </c>
      <c r="C748" s="6" t="str">
        <f>VLOOKUP(TABLA_PRECIOS_LISTBOX_VENTAS[Código],LISTADO_PRODUCTOS[#All],5)</f>
        <v>N/A</v>
      </c>
      <c r="D748" s="28">
        <f>VLOOKUP(TABLA_PRECIOS_LISTBOX_VENTAS[[#This Row],[Código]],TABLA_PRECIOS[#All],7)</f>
        <v>1</v>
      </c>
    </row>
    <row r="749" spans="1:4" x14ac:dyDescent="0.3">
      <c r="A749" s="4">
        <v>9023</v>
      </c>
      <c r="B749" s="6" t="str">
        <f>VLOOKUP(TABLA_PRECIOS_LISTBOX_VENTAS[Código],LISTADO_PRODUCTOS[#All],4)</f>
        <v>Set DURAVIT PALITA RASTRILLO Y MOLDES</v>
      </c>
      <c r="C749" s="6" t="str">
        <f>VLOOKUP(TABLA_PRECIOS_LISTBOX_VENTAS[Código],LISTADO_PRODUCTOS[#All],5)</f>
        <v>N/A</v>
      </c>
      <c r="D749" s="28">
        <f>VLOOKUP(TABLA_PRECIOS_LISTBOX_VENTAS[[#This Row],[Código]],TABLA_PRECIOS[#All],7)</f>
        <v>1</v>
      </c>
    </row>
    <row r="750" spans="1:4" x14ac:dyDescent="0.3">
      <c r="A750" s="4">
        <v>9028</v>
      </c>
      <c r="B750" s="6" t="str">
        <f>VLOOKUP(TABLA_PRECIOS_LISTBOX_VENTAS[Código],LISTADO_PRODUCTOS[#All],4)</f>
        <v>Juego de mesa LA GRANJA MILLONARIA 3200 RUIBAL</v>
      </c>
      <c r="C750" s="6" t="str">
        <f>VLOOKUP(TABLA_PRECIOS_LISTBOX_VENTAS[Código],LISTADO_PRODUCTOS[#All],5)</f>
        <v>N/A</v>
      </c>
      <c r="D750" s="28">
        <f>VLOOKUP(TABLA_PRECIOS_LISTBOX_VENTAS[[#This Row],[Código]],TABLA_PRECIOS[#All],7)</f>
        <v>1</v>
      </c>
    </row>
    <row r="751" spans="1:4" x14ac:dyDescent="0.3">
      <c r="A751" s="4">
        <v>9040</v>
      </c>
      <c r="B751" s="6" t="str">
        <f>VLOOKUP(TABLA_PRECIOS_LISTBOX_VENTAS[Código],LISTADO_PRODUCTOS[#All],4)</f>
        <v>Juego de mesa Conquista del Mundo</v>
      </c>
      <c r="C751" s="6" t="str">
        <f>VLOOKUP(TABLA_PRECIOS_LISTBOX_VENTAS[Código],LISTADO_PRODUCTOS[#All],5)</f>
        <v>N/A</v>
      </c>
      <c r="D751" s="28">
        <f>VLOOKUP(TABLA_PRECIOS_LISTBOX_VENTAS[[#This Row],[Código]],TABLA_PRECIOS[#All],7)</f>
        <v>1</v>
      </c>
    </row>
    <row r="752" spans="1:4" x14ac:dyDescent="0.3">
      <c r="A752" s="4">
        <v>9078</v>
      </c>
      <c r="B752" s="6" t="str">
        <f>VLOOKUP(TABLA_PRECIOS_LISTBOX_VENTAS[Código],LISTADO_PRODUCTOS[#All],4)</f>
        <v>Set balde con rastrillo y pala mediano Luni/Duravit</v>
      </c>
      <c r="C752" s="6" t="str">
        <f>VLOOKUP(TABLA_PRECIOS_LISTBOX_VENTAS[Código],LISTADO_PRODUCTOS[#All],5)</f>
        <v>N/A</v>
      </c>
      <c r="D752" s="28">
        <f>VLOOKUP(TABLA_PRECIOS_LISTBOX_VENTAS[[#This Row],[Código]],TABLA_PRECIOS[#All],7)</f>
        <v>1</v>
      </c>
    </row>
    <row r="753" spans="1:4" x14ac:dyDescent="0.3">
      <c r="A753" s="4">
        <v>9100</v>
      </c>
      <c r="B753" s="6" t="str">
        <f>VLOOKUP(TABLA_PRECIOS_LISTBOX_VENTAS[Código],LISTADO_PRODUCTOS[#All],4)</f>
        <v>Rompecabezas c/iman grande PIPI KUKU</v>
      </c>
      <c r="C753" s="6" t="str">
        <f>VLOOKUP(TABLA_PRECIOS_LISTBOX_VENTAS[Código],LISTADO_PRODUCTOS[#All],5)</f>
        <v>N/A</v>
      </c>
      <c r="D753" s="28">
        <f>VLOOKUP(TABLA_PRECIOS_LISTBOX_VENTAS[[#This Row],[Código]],TABLA_PRECIOS[#All],7)</f>
        <v>1</v>
      </c>
    </row>
    <row r="754" spans="1:4" x14ac:dyDescent="0.3">
      <c r="A754" s="4">
        <v>9101</v>
      </c>
      <c r="B754" s="6" t="str">
        <f>VLOOKUP(TABLA_PRECIOS_LISTBOX_VENTAS[Código],LISTADO_PRODUCTOS[#All],4)</f>
        <v>Rompecabezas inicial de PIPIKUKU madera c/iman 4 piezas</v>
      </c>
      <c r="C754" s="6" t="str">
        <f>VLOOKUP(TABLA_PRECIOS_LISTBOX_VENTAS[Código],LISTADO_PRODUCTOS[#All],5)</f>
        <v>N/A</v>
      </c>
      <c r="D754" s="28">
        <f>VLOOKUP(TABLA_PRECIOS_LISTBOX_VENTAS[[#This Row],[Código]],TABLA_PRECIOS[#All],7)</f>
        <v>1</v>
      </c>
    </row>
    <row r="755" spans="1:4" x14ac:dyDescent="0.3">
      <c r="A755" s="4">
        <v>9102</v>
      </c>
      <c r="B755" s="6" t="str">
        <f>VLOOKUP(TABLA_PRECIOS_LISTBOX_VENTAS[Código],LISTADO_PRODUCTOS[#All],4)</f>
        <v>Rompecabezas de en plancha de encastre PIPIU KUKU 36 piezas madera</v>
      </c>
      <c r="C755" s="6" t="str">
        <f>VLOOKUP(TABLA_PRECIOS_LISTBOX_VENTAS[Código],LISTADO_PRODUCTOS[#All],5)</f>
        <v>N/A</v>
      </c>
      <c r="D755" s="28">
        <f>VLOOKUP(TABLA_PRECIOS_LISTBOX_VENTAS[[#This Row],[Código]],TABLA_PRECIOS[#All],7)</f>
        <v>1</v>
      </c>
    </row>
    <row r="756" spans="1:4" x14ac:dyDescent="0.3">
      <c r="A756" s="4">
        <v>9103</v>
      </c>
      <c r="B756" s="6" t="str">
        <f>VLOOKUP(TABLA_PRECIOS_LISTBOX_VENTAS[Código],LISTADO_PRODUCTOS[#All],4)</f>
        <v xml:space="preserve">Arrastre madera </v>
      </c>
      <c r="C756" s="6" t="str">
        <f>VLOOKUP(TABLA_PRECIOS_LISTBOX_VENTAS[Código],LISTADO_PRODUCTOS[#All],5)</f>
        <v>N/A</v>
      </c>
      <c r="D756" s="28">
        <f>VLOOKUP(TABLA_PRECIOS_LISTBOX_VENTAS[[#This Row],[Código]],TABLA_PRECIOS[#All],7)</f>
        <v>1</v>
      </c>
    </row>
    <row r="757" spans="1:4" x14ac:dyDescent="0.3">
      <c r="A757" s="4">
        <v>9104</v>
      </c>
      <c r="B757" s="6" t="str">
        <f>VLOOKUP(TABLA_PRECIOS_LISTBOX_VENTAS[Código],LISTADO_PRODUCTOS[#All],4)</f>
        <v>Memo test madera PIPI KUKU</v>
      </c>
      <c r="C757" s="6" t="str">
        <f>VLOOKUP(TABLA_PRECIOS_LISTBOX_VENTAS[Código],LISTADO_PRODUCTOS[#All],5)</f>
        <v>N/A</v>
      </c>
      <c r="D757" s="28">
        <f>VLOOKUP(TABLA_PRECIOS_LISTBOX_VENTAS[[#This Row],[Código]],TABLA_PRECIOS[#All],7)</f>
        <v>1</v>
      </c>
    </row>
    <row r="758" spans="1:4" x14ac:dyDescent="0.3">
      <c r="A758" s="4">
        <v>9105</v>
      </c>
      <c r="B758" s="6" t="str">
        <f>VLOOKUP(TABLA_PRECIOS_LISTBOX_VENTAS[Código],LISTADO_PRODUCTOS[#All],4)</f>
        <v>Piezas de madera Aprendiendo PIPI KUKU 48 piezas</v>
      </c>
      <c r="C758" s="6" t="str">
        <f>VLOOKUP(TABLA_PRECIOS_LISTBOX_VENTAS[Código],LISTADO_PRODUCTOS[#All],5)</f>
        <v>N/A</v>
      </c>
      <c r="D758" s="28">
        <f>VLOOKUP(TABLA_PRECIOS_LISTBOX_VENTAS[[#This Row],[Código]],TABLA_PRECIOS[#All],7)</f>
        <v>1</v>
      </c>
    </row>
    <row r="759" spans="1:4" x14ac:dyDescent="0.3">
      <c r="A759" s="4">
        <v>9113</v>
      </c>
      <c r="B759" s="6" t="str">
        <f>VLOOKUP(TABLA_PRECIOS_LISTBOX_VENTAS[Código],LISTADO_PRODUCTOS[#All],4)</f>
        <v>Juego de cartas CONQUISTA DEL MUNDO</v>
      </c>
      <c r="C759" s="6" t="str">
        <f>VLOOKUP(TABLA_PRECIOS_LISTBOX_VENTAS[Código],LISTADO_PRODUCTOS[#All],5)</f>
        <v>N/A</v>
      </c>
      <c r="D759" s="28">
        <f>VLOOKUP(TABLA_PRECIOS_LISTBOX_VENTAS[[#This Row],[Código]],TABLA_PRECIOS[#All],7)</f>
        <v>1</v>
      </c>
    </row>
    <row r="760" spans="1:4" x14ac:dyDescent="0.3">
      <c r="A760" s="4">
        <v>9114</v>
      </c>
      <c r="B760" s="6" t="str">
        <f>VLOOKUP(TABLA_PRECIOS_LISTBOX_VENTAS[Código],LISTADO_PRODUCTOS[#All],4)</f>
        <v>Juego de bolsillo LA CASA DE LOS FANTASMAS 506</v>
      </c>
      <c r="C760" s="6" t="str">
        <f>VLOOKUP(TABLA_PRECIOS_LISTBOX_VENTAS[Código],LISTADO_PRODUCTOS[#All],5)</f>
        <v>N/A</v>
      </c>
      <c r="D760" s="28">
        <f>VLOOKUP(TABLA_PRECIOS_LISTBOX_VENTAS[[#This Row],[Código]],TABLA_PRECIOS[#All],7)</f>
        <v>1</v>
      </c>
    </row>
    <row r="761" spans="1:4" x14ac:dyDescent="0.3">
      <c r="A761" s="4">
        <v>9120</v>
      </c>
      <c r="B761" s="6" t="str">
        <f>VLOOKUP(TABLA_PRECIOS_LISTBOX_VENTAS[Código],LISTADO_PRODUCTOS[#All],4)</f>
        <v>Duravit</v>
      </c>
      <c r="C761" s="6" t="str">
        <f>VLOOKUP(TABLA_PRECIOS_LISTBOX_VENTAS[Código],LISTADO_PRODUCTOS[#All],5)</f>
        <v>N/A</v>
      </c>
      <c r="D761" s="28">
        <f>VLOOKUP(TABLA_PRECIOS_LISTBOX_VENTAS[[#This Row],[Código]],TABLA_PRECIOS[#All],7)</f>
        <v>1</v>
      </c>
    </row>
    <row r="762" spans="1:4" x14ac:dyDescent="0.3">
      <c r="A762" s="4">
        <v>9246</v>
      </c>
      <c r="B762" s="6" t="str">
        <f>VLOOKUP(TABLA_PRECIOS_LISTBOX_VENTAS[Código],LISTADO_PRODUCTOS[#All],4)</f>
        <v>Porta mfoto PIPI KUKU</v>
      </c>
      <c r="C762" s="6" t="str">
        <f>VLOOKUP(TABLA_PRECIOS_LISTBOX_VENTAS[Código],LISTADO_PRODUCTOS[#All],5)</f>
        <v>N/A</v>
      </c>
      <c r="D762" s="28">
        <f>VLOOKUP(TABLA_PRECIOS_LISTBOX_VENTAS[[#This Row],[Código]],TABLA_PRECIOS[#All],7)</f>
        <v>1</v>
      </c>
    </row>
    <row r="763" spans="1:4" x14ac:dyDescent="0.3">
      <c r="A763" s="4">
        <v>9298</v>
      </c>
      <c r="B763" s="6" t="str">
        <f>VLOOKUP(TABLA_PRECIOS_LISTBOX_VENTAS[Código],LISTADO_PRODUCTOS[#All],4)</f>
        <v>Trencito Feliz JNG Childy plast Art. 012193</v>
      </c>
      <c r="C763" s="6" t="str">
        <f>VLOOKUP(TABLA_PRECIOS_LISTBOX_VENTAS[Código],LISTADO_PRODUCTOS[#All],5)</f>
        <v>N/A</v>
      </c>
      <c r="D763" s="28">
        <f>VLOOKUP(TABLA_PRECIOS_LISTBOX_VENTAS[[#This Row],[Código]],TABLA_PRECIOS[#All],7)</f>
        <v>1</v>
      </c>
    </row>
    <row r="764" spans="1:4" x14ac:dyDescent="0.3">
      <c r="A764" s="4">
        <v>9303</v>
      </c>
      <c r="B764" s="6" t="str">
        <f>VLOOKUP(TABLA_PRECIOS_LISTBOX_VENTAS[Código],LISTADO_PRODUCTOS[#All],4)</f>
        <v>Masa perfumada en Pote Expresa Emocion</v>
      </c>
      <c r="C764" s="6" t="str">
        <f>VLOOKUP(TABLA_PRECIOS_LISTBOX_VENTAS[Código],LISTADO_PRODUCTOS[#All],5)</f>
        <v>N/A</v>
      </c>
      <c r="D764" s="28">
        <f>VLOOKUP(TABLA_PRECIOS_LISTBOX_VENTAS[[#This Row],[Código]],TABLA_PRECIOS[#All],7)</f>
        <v>1</v>
      </c>
    </row>
    <row r="765" spans="1:4" x14ac:dyDescent="0.3">
      <c r="A765" s="4">
        <v>9322</v>
      </c>
      <c r="B765" s="6" t="str">
        <f>VLOOKUP(TABLA_PRECIOS_LISTBOX_VENTAS[Código],LISTADO_PRODUCTOS[#All],4)</f>
        <v>Bitacora La cuadra/animalitos imantados</v>
      </c>
      <c r="C765" s="6" t="str">
        <f>VLOOKUP(TABLA_PRECIOS_LISTBOX_VENTAS[Código],LISTADO_PRODUCTOS[#All],5)</f>
        <v>N/A</v>
      </c>
      <c r="D765" s="28">
        <f>VLOOKUP(TABLA_PRECIOS_LISTBOX_VENTAS[[#This Row],[Código]],TABLA_PRECIOS[#All],7)</f>
        <v>1</v>
      </c>
    </row>
    <row r="766" spans="1:4" x14ac:dyDescent="0.3">
      <c r="A766" s="4">
        <v>9331</v>
      </c>
      <c r="B766" s="6" t="str">
        <f>VLOOKUP(TABLA_PRECIOS_LISTBOX_VENTAS[Código],LISTADO_PRODUCTOS[#All],4)</f>
        <v>Veo veo El Espacio - 50 personajes del espacio para buscarlos por el tablero</v>
      </c>
      <c r="C766" s="6" t="str">
        <f>VLOOKUP(TABLA_PRECIOS_LISTBOX_VENTAS[Código],LISTADO_PRODUCTOS[#All],5)</f>
        <v>N/A</v>
      </c>
      <c r="D766" s="28">
        <f>VLOOKUP(TABLA_PRECIOS_LISTBOX_VENTAS[[#This Row],[Código]],TABLA_PRECIOS[#All],7)</f>
        <v>1</v>
      </c>
    </row>
    <row r="767" spans="1:4" x14ac:dyDescent="0.3">
      <c r="A767" s="4">
        <v>9353</v>
      </c>
      <c r="B767" s="6" t="str">
        <f>VLOOKUP(TABLA_PRECIOS_LISTBOX_VENTAS[Código],LISTADO_PRODUCTOS[#All],4)</f>
        <v>Caja sorpresa x bolsa</v>
      </c>
      <c r="C767" s="6" t="str">
        <f>VLOOKUP(TABLA_PRECIOS_LISTBOX_VENTAS[Código],LISTADO_PRODUCTOS[#All],5)</f>
        <v>N/A</v>
      </c>
      <c r="D767" s="28">
        <f>VLOOKUP(TABLA_PRECIOS_LISTBOX_VENTAS[[#This Row],[Código]],TABLA_PRECIOS[#All],7)</f>
        <v>1</v>
      </c>
    </row>
    <row r="768" spans="1:4" x14ac:dyDescent="0.3">
      <c r="A768" s="4">
        <v>9358</v>
      </c>
      <c r="B768" s="6" t="str">
        <f>VLOOKUP(TABLA_PRECIOS_LISTBOX_VENTAS[Código],LISTADO_PRODUCTOS[#All],4)</f>
        <v>Pistola de agua Lyon Toys modelo 912-2</v>
      </c>
      <c r="C768" s="6" t="str">
        <f>VLOOKUP(TABLA_PRECIOS_LISTBOX_VENTAS[Código],LISTADO_PRODUCTOS[#All],5)</f>
        <v>N/A</v>
      </c>
      <c r="D768" s="28">
        <f>VLOOKUP(TABLA_PRECIOS_LISTBOX_VENTAS[[#This Row],[Código]],TABLA_PRECIOS[#All],7)</f>
        <v>1</v>
      </c>
    </row>
    <row r="769" spans="1:4" x14ac:dyDescent="0.3">
      <c r="A769" s="5">
        <v>9359</v>
      </c>
      <c r="B769" s="6">
        <f>VLOOKUP(TABLA_PRECIOS_LISTBOX_VENTAS[Código],LISTADO_PRODUCTOS[#All],4)</f>
        <v>0</v>
      </c>
      <c r="C769" s="6">
        <f>VLOOKUP(TABLA_PRECIOS_LISTBOX_VENTAS[Código],LISTADO_PRODUCTOS[#All],5)</f>
        <v>0</v>
      </c>
      <c r="D769" s="28">
        <f>VLOOKUP(TABLA_PRECIOS_LISTBOX_VENTAS[[#This Row],[Código]],TABLA_PRECIOS[#All],7)</f>
        <v>1</v>
      </c>
    </row>
    <row r="770" spans="1:4" x14ac:dyDescent="0.3">
      <c r="A770" s="5"/>
      <c r="B770" s="4"/>
      <c r="C770" s="4"/>
      <c r="D770" s="7"/>
    </row>
    <row r="771" spans="1:4" x14ac:dyDescent="0.3">
      <c r="A771" s="5"/>
      <c r="B771" s="4"/>
      <c r="C771" s="4"/>
      <c r="D771" s="7"/>
    </row>
    <row r="772" spans="1:4" x14ac:dyDescent="0.3">
      <c r="A772" s="5"/>
      <c r="B772" s="4"/>
      <c r="C772" s="4"/>
      <c r="D772" s="7"/>
    </row>
    <row r="773" spans="1:4" x14ac:dyDescent="0.3">
      <c r="A773" s="5"/>
      <c r="B773" s="4"/>
      <c r="C773" s="4"/>
      <c r="D773" s="7"/>
    </row>
    <row r="774" spans="1:4" x14ac:dyDescent="0.3">
      <c r="A774" s="5"/>
      <c r="B774" s="4"/>
      <c r="C774" s="4"/>
      <c r="D774" s="7"/>
    </row>
    <row r="775" spans="1:4" x14ac:dyDescent="0.3">
      <c r="A775" s="5"/>
      <c r="B775" s="4"/>
      <c r="C775" s="4"/>
      <c r="D775" s="7"/>
    </row>
    <row r="776" spans="1:4" x14ac:dyDescent="0.3">
      <c r="A776" s="5"/>
      <c r="B776" s="4"/>
      <c r="C776" s="4"/>
      <c r="D776" s="7"/>
    </row>
    <row r="777" spans="1:4" x14ac:dyDescent="0.3">
      <c r="A777" s="5"/>
      <c r="B777" s="4"/>
      <c r="C777" s="4"/>
      <c r="D777" s="7"/>
    </row>
    <row r="778" spans="1:4" x14ac:dyDescent="0.3">
      <c r="A778" s="5"/>
      <c r="B778" s="4"/>
      <c r="C778" s="4"/>
      <c r="D778" s="23"/>
    </row>
    <row r="779" spans="1:4" x14ac:dyDescent="0.3">
      <c r="A779" s="5"/>
      <c r="B779" s="4"/>
      <c r="C779" s="4"/>
      <c r="D779" s="23"/>
    </row>
    <row r="780" spans="1:4" x14ac:dyDescent="0.3">
      <c r="A780" s="5"/>
      <c r="B780" s="4"/>
      <c r="C780" s="4"/>
      <c r="D780" s="23"/>
    </row>
    <row r="781" spans="1:4" x14ac:dyDescent="0.3">
      <c r="A781" s="5"/>
      <c r="B781" s="4"/>
      <c r="C781" s="4"/>
      <c r="D781" s="23"/>
    </row>
    <row r="782" spans="1:4" x14ac:dyDescent="0.3">
      <c r="A782" s="5"/>
      <c r="B782" s="5"/>
      <c r="C782" s="4"/>
      <c r="D782" s="23"/>
    </row>
    <row r="783" spans="1:4" x14ac:dyDescent="0.3">
      <c r="A783" s="5"/>
      <c r="B783" s="5"/>
      <c r="C783" s="4"/>
      <c r="D783" s="7"/>
    </row>
    <row r="784" spans="1:4" x14ac:dyDescent="0.3">
      <c r="A784" s="5"/>
      <c r="B784" s="5"/>
      <c r="C784" s="4"/>
      <c r="D784" s="23"/>
    </row>
    <row r="785" spans="1:4" x14ac:dyDescent="0.3">
      <c r="A785" s="5"/>
      <c r="B785" s="4"/>
      <c r="C785" s="4"/>
      <c r="D785" s="23"/>
    </row>
    <row r="786" spans="1:4" x14ac:dyDescent="0.3">
      <c r="A786" s="5"/>
      <c r="B786" s="4"/>
      <c r="C786" s="4"/>
      <c r="D786" s="23"/>
    </row>
    <row r="787" spans="1:4" x14ac:dyDescent="0.3">
      <c r="A787" s="4"/>
      <c r="B787" s="4"/>
      <c r="C787" s="4"/>
      <c r="D787" s="23"/>
    </row>
    <row r="788" spans="1:4" x14ac:dyDescent="0.3">
      <c r="A788" s="4"/>
      <c r="B788" s="4"/>
      <c r="C788" s="4"/>
      <c r="D788" s="23"/>
    </row>
    <row r="789" spans="1:4" x14ac:dyDescent="0.3">
      <c r="A789" s="4"/>
      <c r="B789" s="4"/>
      <c r="C789" s="4"/>
      <c r="D789" s="23"/>
    </row>
    <row r="790" spans="1:4" x14ac:dyDescent="0.3">
      <c r="A790" s="4"/>
      <c r="B790" s="4"/>
      <c r="C790" s="4"/>
      <c r="D790" s="23"/>
    </row>
    <row r="791" spans="1:4" x14ac:dyDescent="0.3">
      <c r="A791" s="4"/>
      <c r="B791" s="4"/>
      <c r="C791" s="4"/>
      <c r="D791" s="23"/>
    </row>
    <row r="792" spans="1:4" x14ac:dyDescent="0.3">
      <c r="A792" s="4"/>
      <c r="B792" s="4"/>
      <c r="C792" s="4"/>
      <c r="D792" s="23"/>
    </row>
    <row r="793" spans="1:4" x14ac:dyDescent="0.3">
      <c r="A793" s="4"/>
      <c r="B793" s="4"/>
      <c r="C793" s="4"/>
      <c r="D793" s="23"/>
    </row>
    <row r="794" spans="1:4" x14ac:dyDescent="0.3">
      <c r="A794" s="4"/>
      <c r="B794" s="4"/>
      <c r="C794" s="4"/>
      <c r="D794" s="23"/>
    </row>
    <row r="795" spans="1:4" x14ac:dyDescent="0.3">
      <c r="A795" s="4"/>
      <c r="B795" s="4"/>
      <c r="C795" s="4"/>
      <c r="D795" s="23"/>
    </row>
    <row r="796" spans="1:4" x14ac:dyDescent="0.3">
      <c r="A796" s="4"/>
      <c r="B796" s="4"/>
      <c r="C796" s="4"/>
      <c r="D796" s="23"/>
    </row>
    <row r="797" spans="1:4" x14ac:dyDescent="0.3">
      <c r="A797" s="4"/>
      <c r="B797" s="4"/>
      <c r="C797" s="4"/>
      <c r="D797" s="23"/>
    </row>
    <row r="798" spans="1:4" x14ac:dyDescent="0.3">
      <c r="A798" s="4"/>
      <c r="B798" s="4"/>
      <c r="C798" s="4"/>
      <c r="D798" s="23"/>
    </row>
    <row r="799" spans="1:4" x14ac:dyDescent="0.3">
      <c r="A799" s="4"/>
      <c r="B799" s="4"/>
      <c r="C799" s="4"/>
      <c r="D799" s="23"/>
    </row>
    <row r="800" spans="1:4" x14ac:dyDescent="0.3">
      <c r="A800" s="4"/>
      <c r="B800" s="4"/>
      <c r="C800" s="4"/>
      <c r="D800" s="23"/>
    </row>
    <row r="801" spans="1:4" x14ac:dyDescent="0.3">
      <c r="A801" s="4"/>
      <c r="B801" s="4"/>
      <c r="C801" s="4"/>
      <c r="D801" s="7"/>
    </row>
    <row r="802" spans="1:4" x14ac:dyDescent="0.3">
      <c r="A802" s="4"/>
      <c r="B802" s="4"/>
      <c r="C802" s="4"/>
      <c r="D802" s="7"/>
    </row>
    <row r="803" spans="1:4" x14ac:dyDescent="0.3">
      <c r="A803" s="4"/>
      <c r="B803" s="4"/>
      <c r="C803" s="4"/>
      <c r="D803" s="7"/>
    </row>
    <row r="804" spans="1:4" x14ac:dyDescent="0.3">
      <c r="A804" s="4"/>
      <c r="B804" s="4"/>
      <c r="C804" s="4"/>
      <c r="D804" s="7"/>
    </row>
    <row r="805" spans="1:4" x14ac:dyDescent="0.3">
      <c r="A805" s="4"/>
      <c r="B805" s="4"/>
      <c r="C805" s="4"/>
      <c r="D805" s="7"/>
    </row>
    <row r="806" spans="1:4" x14ac:dyDescent="0.3">
      <c r="A806" s="4"/>
      <c r="B806" s="4"/>
      <c r="C806" s="4"/>
      <c r="D806" s="7"/>
    </row>
    <row r="807" spans="1:4" x14ac:dyDescent="0.3">
      <c r="A807" s="4"/>
      <c r="B807" s="4"/>
      <c r="C807" s="4"/>
      <c r="D807" s="7"/>
    </row>
    <row r="808" spans="1:4" x14ac:dyDescent="0.3">
      <c r="A808" s="4"/>
      <c r="B808" s="4"/>
      <c r="C808" s="4"/>
      <c r="D808" s="7"/>
    </row>
    <row r="809" spans="1:4" x14ac:dyDescent="0.3">
      <c r="A809" s="4"/>
      <c r="B809" s="4"/>
      <c r="C809" s="4"/>
      <c r="D809" s="7"/>
    </row>
    <row r="810" spans="1:4" x14ac:dyDescent="0.3">
      <c r="A810" s="4"/>
      <c r="B810" s="4"/>
      <c r="C810" s="4"/>
      <c r="D810" s="7"/>
    </row>
    <row r="811" spans="1:4" x14ac:dyDescent="0.3">
      <c r="A811" s="4"/>
      <c r="B811" s="4"/>
      <c r="C811" s="4"/>
      <c r="D811" s="7"/>
    </row>
    <row r="812" spans="1:4" x14ac:dyDescent="0.3">
      <c r="A812" s="4"/>
      <c r="B812" s="4"/>
      <c r="C812" s="4"/>
      <c r="D812" s="7"/>
    </row>
    <row r="813" spans="1:4" x14ac:dyDescent="0.3">
      <c r="A813" s="4"/>
      <c r="B813" s="4"/>
      <c r="C813" s="4"/>
      <c r="D813" s="7"/>
    </row>
    <row r="814" spans="1:4" x14ac:dyDescent="0.3">
      <c r="A814" s="4"/>
      <c r="B814" s="4"/>
      <c r="C814" s="4"/>
      <c r="D814" s="7"/>
    </row>
    <row r="815" spans="1:4" x14ac:dyDescent="0.3">
      <c r="A815" s="4"/>
      <c r="B815" s="4"/>
      <c r="C815" s="4"/>
      <c r="D815" s="7"/>
    </row>
    <row r="816" spans="1:4" x14ac:dyDescent="0.3">
      <c r="A816" s="4"/>
      <c r="B816" s="4"/>
      <c r="C816" s="4"/>
      <c r="D816" s="7"/>
    </row>
    <row r="817" spans="1:4" x14ac:dyDescent="0.3">
      <c r="A817" s="4"/>
      <c r="B817" s="4"/>
      <c r="C817" s="4"/>
      <c r="D817" s="7"/>
    </row>
    <row r="818" spans="1:4" x14ac:dyDescent="0.3">
      <c r="A818" s="4"/>
      <c r="B818" s="4"/>
      <c r="C818" s="4"/>
      <c r="D818" s="7"/>
    </row>
    <row r="819" spans="1:4" x14ac:dyDescent="0.3">
      <c r="A819" s="4"/>
      <c r="B819" s="4"/>
      <c r="C819" s="4"/>
      <c r="D819" s="7"/>
    </row>
    <row r="820" spans="1:4" x14ac:dyDescent="0.3">
      <c r="A820" s="4"/>
      <c r="B820" s="4"/>
      <c r="C820" s="4"/>
      <c r="D820" s="7"/>
    </row>
    <row r="821" spans="1:4" x14ac:dyDescent="0.3">
      <c r="A821" s="4"/>
      <c r="B821" s="4"/>
      <c r="C821" s="4"/>
      <c r="D821" s="7"/>
    </row>
    <row r="822" spans="1:4" x14ac:dyDescent="0.3">
      <c r="A822" s="4"/>
      <c r="B822" s="4"/>
      <c r="C822" s="4"/>
      <c r="D822" s="7"/>
    </row>
    <row r="823" spans="1:4" x14ac:dyDescent="0.3">
      <c r="A823" s="4"/>
      <c r="B823" s="4"/>
      <c r="C823" s="4"/>
      <c r="D823" s="7"/>
    </row>
    <row r="824" spans="1:4" x14ac:dyDescent="0.3">
      <c r="A824" s="4"/>
      <c r="B824" s="4"/>
      <c r="C824" s="4"/>
      <c r="D824" s="7"/>
    </row>
    <row r="825" spans="1:4" x14ac:dyDescent="0.3">
      <c r="A825" s="4"/>
      <c r="B825" s="4"/>
      <c r="C825" s="4"/>
      <c r="D825" s="7"/>
    </row>
    <row r="826" spans="1:4" x14ac:dyDescent="0.3">
      <c r="A826" s="4"/>
      <c r="B826" s="4"/>
      <c r="C826" s="4"/>
      <c r="D826" s="7"/>
    </row>
    <row r="827" spans="1:4" x14ac:dyDescent="0.3">
      <c r="A827" s="4"/>
      <c r="B827" s="4"/>
      <c r="C827" s="4"/>
      <c r="D827" s="7"/>
    </row>
    <row r="828" spans="1:4" x14ac:dyDescent="0.3">
      <c r="A828" s="4"/>
      <c r="B828" s="4"/>
      <c r="C828" s="4"/>
      <c r="D828" s="7"/>
    </row>
    <row r="829" spans="1:4" x14ac:dyDescent="0.3">
      <c r="A829" s="4"/>
      <c r="B829" s="4"/>
      <c r="C829" s="4"/>
      <c r="D829" s="7"/>
    </row>
    <row r="830" spans="1:4" x14ac:dyDescent="0.3">
      <c r="A830" s="4"/>
      <c r="B830" s="4"/>
      <c r="C830" s="4"/>
      <c r="D830" s="7"/>
    </row>
    <row r="831" spans="1:4" x14ac:dyDescent="0.3">
      <c r="A831" s="4"/>
      <c r="B831" s="4"/>
      <c r="C831" s="4"/>
      <c r="D831" s="7"/>
    </row>
    <row r="832" spans="1:4" x14ac:dyDescent="0.3">
      <c r="A832" s="4"/>
      <c r="B832" s="4"/>
      <c r="C832" s="4"/>
      <c r="D832" s="7"/>
    </row>
    <row r="833" spans="1:4" x14ac:dyDescent="0.3">
      <c r="A833" s="4"/>
      <c r="B833" s="4"/>
      <c r="C833" s="4"/>
      <c r="D833" s="7"/>
    </row>
    <row r="834" spans="1:4" x14ac:dyDescent="0.3">
      <c r="A834" s="4"/>
      <c r="B834" s="4"/>
      <c r="C834" s="4"/>
      <c r="D834" s="7"/>
    </row>
    <row r="835" spans="1:4" x14ac:dyDescent="0.3">
      <c r="A835" s="4"/>
      <c r="B835" s="4"/>
      <c r="C835" s="4"/>
      <c r="D835" s="7"/>
    </row>
    <row r="836" spans="1:4" x14ac:dyDescent="0.3">
      <c r="A836" s="4"/>
      <c r="B836" s="4"/>
      <c r="C836" s="4"/>
      <c r="D836" s="7"/>
    </row>
    <row r="837" spans="1:4" x14ac:dyDescent="0.3">
      <c r="A837" s="4"/>
      <c r="B837" s="4"/>
      <c r="C837" s="4"/>
      <c r="D837" s="7"/>
    </row>
    <row r="838" spans="1:4" x14ac:dyDescent="0.3">
      <c r="A838" s="4"/>
      <c r="B838" s="4"/>
      <c r="C838" s="4"/>
      <c r="D838" s="7"/>
    </row>
    <row r="839" spans="1:4" x14ac:dyDescent="0.3">
      <c r="A839" s="4"/>
      <c r="B839" s="4"/>
      <c r="C839" s="4"/>
      <c r="D839" s="7"/>
    </row>
    <row r="840" spans="1:4" x14ac:dyDescent="0.3">
      <c r="A840" s="4"/>
      <c r="B840" s="4"/>
      <c r="C840" s="4"/>
      <c r="D840" s="7"/>
    </row>
    <row r="841" spans="1:4" x14ac:dyDescent="0.3">
      <c r="A841" s="4"/>
      <c r="B841" s="4"/>
      <c r="C841" s="4"/>
      <c r="D841" s="7"/>
    </row>
    <row r="842" spans="1:4" x14ac:dyDescent="0.3">
      <c r="A842" s="4"/>
      <c r="B842" s="4"/>
      <c r="C842" s="4"/>
      <c r="D842" s="7"/>
    </row>
    <row r="843" spans="1:4" x14ac:dyDescent="0.3">
      <c r="A843" s="4"/>
      <c r="B843" s="4"/>
      <c r="C843" s="4"/>
      <c r="D843" s="7"/>
    </row>
    <row r="844" spans="1:4" x14ac:dyDescent="0.3">
      <c r="A844" s="4"/>
      <c r="B844" s="4"/>
      <c r="C844" s="4"/>
      <c r="D844" s="7"/>
    </row>
    <row r="845" spans="1:4" x14ac:dyDescent="0.3">
      <c r="A845" s="4"/>
      <c r="B845" s="4"/>
      <c r="C845" s="4"/>
      <c r="D845" s="7"/>
    </row>
    <row r="846" spans="1:4" x14ac:dyDescent="0.3">
      <c r="A846" s="4"/>
      <c r="B846" s="4"/>
      <c r="C846" s="4"/>
      <c r="D846" s="7"/>
    </row>
    <row r="847" spans="1:4" x14ac:dyDescent="0.3">
      <c r="A847" s="4"/>
      <c r="B847" s="4"/>
      <c r="C847" s="4"/>
      <c r="D847" s="7"/>
    </row>
    <row r="848" spans="1:4" x14ac:dyDescent="0.3">
      <c r="A848" s="4"/>
      <c r="B848" s="4"/>
      <c r="C848" s="4"/>
      <c r="D848" s="7"/>
    </row>
    <row r="849" spans="1:4" x14ac:dyDescent="0.3">
      <c r="A849" s="4"/>
      <c r="B849" s="4"/>
      <c r="C849" s="4"/>
      <c r="D849" s="7"/>
    </row>
    <row r="850" spans="1:4" x14ac:dyDescent="0.3">
      <c r="A850" s="4"/>
      <c r="B850" s="4"/>
      <c r="C850" s="4"/>
      <c r="D850" s="7"/>
    </row>
    <row r="851" spans="1:4" x14ac:dyDescent="0.3">
      <c r="A851" s="4"/>
      <c r="B851" s="4"/>
      <c r="C851" s="4"/>
      <c r="D851" s="7"/>
    </row>
    <row r="852" spans="1:4" x14ac:dyDescent="0.3">
      <c r="A852" s="4"/>
      <c r="B852" s="4"/>
      <c r="C852" s="4"/>
      <c r="D852" s="7"/>
    </row>
    <row r="853" spans="1:4" x14ac:dyDescent="0.3">
      <c r="A853" s="4"/>
      <c r="B853" s="4"/>
      <c r="C853" s="4"/>
      <c r="D853" s="7"/>
    </row>
    <row r="854" spans="1:4" x14ac:dyDescent="0.3">
      <c r="A854" s="4"/>
      <c r="B854" s="4"/>
      <c r="C854" s="4"/>
      <c r="D854" s="7"/>
    </row>
    <row r="855" spans="1:4" x14ac:dyDescent="0.3">
      <c r="A855" s="4"/>
      <c r="B855" s="4"/>
      <c r="C855" s="4"/>
      <c r="D855" s="7"/>
    </row>
    <row r="856" spans="1:4" x14ac:dyDescent="0.3">
      <c r="A856" s="4"/>
      <c r="B856" s="4"/>
      <c r="C856" s="4"/>
      <c r="D856" s="7"/>
    </row>
    <row r="857" spans="1:4" x14ac:dyDescent="0.3">
      <c r="A857" s="4"/>
      <c r="B857" s="4"/>
      <c r="C857" s="4"/>
      <c r="D857" s="7"/>
    </row>
    <row r="858" spans="1:4" x14ac:dyDescent="0.3">
      <c r="A858" s="4"/>
      <c r="B858" s="4"/>
      <c r="C858" s="4"/>
      <c r="D858" s="7"/>
    </row>
    <row r="859" spans="1:4" x14ac:dyDescent="0.3">
      <c r="A859" s="4"/>
      <c r="B859" s="4"/>
      <c r="C859" s="4"/>
      <c r="D859" s="7"/>
    </row>
    <row r="860" spans="1:4" x14ac:dyDescent="0.3">
      <c r="A860" s="4"/>
      <c r="B860" s="4"/>
      <c r="C860" s="4"/>
      <c r="D860" s="7"/>
    </row>
    <row r="861" spans="1:4" x14ac:dyDescent="0.3">
      <c r="A861" s="4"/>
      <c r="B861" s="4"/>
      <c r="C861" s="4"/>
      <c r="D861" s="7"/>
    </row>
    <row r="862" spans="1:4" x14ac:dyDescent="0.3">
      <c r="A862" s="4"/>
      <c r="B862" s="4"/>
      <c r="C862" s="4"/>
      <c r="D862" s="7"/>
    </row>
    <row r="863" spans="1:4" x14ac:dyDescent="0.3">
      <c r="A863" s="4"/>
      <c r="B863" s="4"/>
      <c r="C863" s="4"/>
      <c r="D863" s="7"/>
    </row>
    <row r="864" spans="1:4" x14ac:dyDescent="0.3">
      <c r="A864" s="4"/>
      <c r="B864" s="4"/>
      <c r="C864" s="4"/>
      <c r="D864" s="7"/>
    </row>
    <row r="865" spans="1:4" x14ac:dyDescent="0.3">
      <c r="A865" s="4"/>
      <c r="B865" s="4"/>
      <c r="C865" s="4"/>
      <c r="D865" s="7"/>
    </row>
    <row r="866" spans="1:4" x14ac:dyDescent="0.3">
      <c r="A866" s="4"/>
      <c r="B866" s="4"/>
      <c r="C866" s="4"/>
      <c r="D866" s="7"/>
    </row>
    <row r="867" spans="1:4" x14ac:dyDescent="0.3">
      <c r="A867" s="4"/>
      <c r="B867" s="4"/>
      <c r="C867" s="4"/>
      <c r="D867" s="7"/>
    </row>
    <row r="868" spans="1:4" x14ac:dyDescent="0.3">
      <c r="A868" s="4"/>
      <c r="B868" s="4"/>
      <c r="C868" s="4"/>
      <c r="D868" s="7"/>
    </row>
    <row r="869" spans="1:4" x14ac:dyDescent="0.3">
      <c r="A869" s="4"/>
      <c r="B869" s="4"/>
      <c r="C869" s="4"/>
      <c r="D869" s="7"/>
    </row>
    <row r="870" spans="1:4" x14ac:dyDescent="0.3">
      <c r="A870" s="4"/>
      <c r="B870" s="4"/>
      <c r="C870" s="4"/>
      <c r="D870" s="7"/>
    </row>
    <row r="871" spans="1:4" x14ac:dyDescent="0.3">
      <c r="A871" s="4"/>
      <c r="B871" s="4"/>
      <c r="C871" s="4"/>
      <c r="D871" s="7"/>
    </row>
    <row r="872" spans="1:4" x14ac:dyDescent="0.3">
      <c r="A872" s="4"/>
      <c r="B872" s="4"/>
      <c r="C872" s="4"/>
      <c r="D872" s="7"/>
    </row>
    <row r="873" spans="1:4" x14ac:dyDescent="0.3">
      <c r="A873" s="4"/>
      <c r="B873" s="4"/>
      <c r="C873" s="4"/>
      <c r="D873" s="7"/>
    </row>
    <row r="874" spans="1:4" x14ac:dyDescent="0.3">
      <c r="A874" s="4"/>
      <c r="B874" s="4"/>
      <c r="C874" s="4"/>
      <c r="D874" s="7"/>
    </row>
    <row r="875" spans="1:4" x14ac:dyDescent="0.3">
      <c r="A875" s="4"/>
      <c r="B875" s="4"/>
      <c r="C875" s="4"/>
      <c r="D875" s="7"/>
    </row>
    <row r="876" spans="1:4" x14ac:dyDescent="0.3">
      <c r="A876" s="4"/>
      <c r="B876" s="4"/>
      <c r="C876" s="4"/>
      <c r="D876" s="7"/>
    </row>
    <row r="877" spans="1:4" x14ac:dyDescent="0.3">
      <c r="A877" s="4"/>
      <c r="B877" s="4"/>
      <c r="C877" s="4"/>
      <c r="D877" s="7"/>
    </row>
    <row r="878" spans="1:4" x14ac:dyDescent="0.3">
      <c r="A878" s="4"/>
      <c r="B878" s="4"/>
      <c r="C878" s="4"/>
      <c r="D878" s="7"/>
    </row>
    <row r="879" spans="1:4" x14ac:dyDescent="0.3">
      <c r="A879" s="4"/>
      <c r="B879" s="4"/>
      <c r="C879" s="4"/>
      <c r="D879" s="7"/>
    </row>
    <row r="880" spans="1:4" x14ac:dyDescent="0.3">
      <c r="A880" s="4"/>
      <c r="B880" s="4"/>
      <c r="C880" s="4"/>
      <c r="D880" s="7"/>
    </row>
    <row r="881" spans="1:4" x14ac:dyDescent="0.3">
      <c r="A881" s="4"/>
      <c r="B881" s="4"/>
      <c r="C881" s="4"/>
      <c r="D881" s="7"/>
    </row>
    <row r="882" spans="1:4" x14ac:dyDescent="0.3">
      <c r="A882" s="4"/>
      <c r="B882" s="4"/>
      <c r="C882" s="4"/>
      <c r="D882" s="7"/>
    </row>
    <row r="883" spans="1:4" x14ac:dyDescent="0.3">
      <c r="A883" s="4"/>
      <c r="B883" s="4"/>
      <c r="C883" s="4"/>
      <c r="D883" s="7"/>
    </row>
    <row r="884" spans="1:4" x14ac:dyDescent="0.3">
      <c r="A884" s="4"/>
      <c r="B884" s="4"/>
      <c r="C884" s="4"/>
      <c r="D884" s="7"/>
    </row>
    <row r="885" spans="1:4" x14ac:dyDescent="0.3">
      <c r="A885" s="4"/>
      <c r="B885" s="4"/>
      <c r="C885" s="4"/>
      <c r="D885" s="7"/>
    </row>
    <row r="886" spans="1:4" x14ac:dyDescent="0.3">
      <c r="A886" s="4"/>
      <c r="B886" s="4"/>
      <c r="C886" s="4"/>
      <c r="D886" s="7"/>
    </row>
    <row r="887" spans="1:4" x14ac:dyDescent="0.3">
      <c r="A887" s="4"/>
      <c r="B887" s="4"/>
      <c r="C887" s="4"/>
      <c r="D887" s="7"/>
    </row>
    <row r="888" spans="1:4" x14ac:dyDescent="0.3">
      <c r="A888" s="4"/>
      <c r="B888" s="4"/>
      <c r="C888" s="4"/>
      <c r="D888" s="7"/>
    </row>
    <row r="889" spans="1:4" x14ac:dyDescent="0.3">
      <c r="A889" s="4"/>
      <c r="B889" s="4"/>
      <c r="C889" s="4"/>
      <c r="D889" s="7"/>
    </row>
    <row r="890" spans="1:4" x14ac:dyDescent="0.3">
      <c r="A890" s="4"/>
      <c r="B890" s="4"/>
      <c r="C890" s="4"/>
      <c r="D890" s="7"/>
    </row>
    <row r="891" spans="1:4" x14ac:dyDescent="0.3">
      <c r="A891" s="4"/>
      <c r="B891" s="4"/>
      <c r="C891" s="4"/>
      <c r="D891" s="7"/>
    </row>
    <row r="892" spans="1:4" x14ac:dyDescent="0.3">
      <c r="A892" s="4"/>
      <c r="B892" s="4"/>
      <c r="C892" s="4"/>
      <c r="D892" s="7"/>
    </row>
    <row r="893" spans="1:4" x14ac:dyDescent="0.3">
      <c r="A893" s="4"/>
      <c r="B893" s="4"/>
      <c r="C893" s="4"/>
      <c r="D893" s="7"/>
    </row>
    <row r="894" spans="1:4" x14ac:dyDescent="0.3">
      <c r="A894" s="4"/>
      <c r="B894" s="4"/>
      <c r="C894" s="4"/>
      <c r="D894" s="7"/>
    </row>
    <row r="895" spans="1:4" x14ac:dyDescent="0.3">
      <c r="A895" s="4"/>
      <c r="B895" s="4"/>
      <c r="C895" s="4"/>
      <c r="D895" s="7"/>
    </row>
    <row r="896" spans="1:4" x14ac:dyDescent="0.3">
      <c r="A896" s="4"/>
      <c r="B896" s="4"/>
      <c r="C896" s="4"/>
      <c r="D896" s="7"/>
    </row>
    <row r="897" spans="1:4" x14ac:dyDescent="0.3">
      <c r="A897" s="4"/>
      <c r="B897" s="4"/>
      <c r="C897" s="4"/>
      <c r="D897" s="7"/>
    </row>
    <row r="898" spans="1:4" x14ac:dyDescent="0.3">
      <c r="A898" s="4"/>
      <c r="B898" s="4"/>
      <c r="C898" s="4"/>
      <c r="D898" s="7"/>
    </row>
    <row r="899" spans="1:4" x14ac:dyDescent="0.3">
      <c r="A899" s="4"/>
      <c r="B899" s="4"/>
      <c r="C899" s="4"/>
      <c r="D899" s="7"/>
    </row>
    <row r="900" spans="1:4" x14ac:dyDescent="0.3">
      <c r="A900" s="4"/>
      <c r="B900" s="4"/>
      <c r="C900" s="4"/>
      <c r="D900" s="7"/>
    </row>
    <row r="901" spans="1:4" x14ac:dyDescent="0.3">
      <c r="A901" s="4"/>
      <c r="B901" s="4"/>
      <c r="C901" s="4"/>
      <c r="D901" s="7"/>
    </row>
    <row r="902" spans="1:4" x14ac:dyDescent="0.3">
      <c r="A902" s="4"/>
      <c r="B902" s="4"/>
      <c r="C902" s="4"/>
      <c r="D902" s="7"/>
    </row>
    <row r="903" spans="1:4" x14ac:dyDescent="0.3">
      <c r="A903" s="4"/>
      <c r="B903" s="4"/>
      <c r="C903" s="4"/>
      <c r="D903" s="7"/>
    </row>
    <row r="904" spans="1:4" x14ac:dyDescent="0.3">
      <c r="A904" s="4"/>
      <c r="B904" s="4"/>
      <c r="C904" s="4"/>
      <c r="D904" s="7"/>
    </row>
    <row r="905" spans="1:4" x14ac:dyDescent="0.3">
      <c r="A905" s="4"/>
      <c r="B905" s="4"/>
      <c r="C905" s="4"/>
      <c r="D905" s="7"/>
    </row>
    <row r="906" spans="1:4" x14ac:dyDescent="0.3">
      <c r="A906" s="4"/>
      <c r="B906" s="4"/>
      <c r="C906" s="4"/>
      <c r="D906" s="7"/>
    </row>
    <row r="907" spans="1:4" x14ac:dyDescent="0.3">
      <c r="A907" s="4"/>
      <c r="B907" s="4"/>
      <c r="C907" s="4"/>
      <c r="D907" s="7"/>
    </row>
    <row r="908" spans="1:4" x14ac:dyDescent="0.3">
      <c r="A908" s="4"/>
      <c r="B908" s="4"/>
      <c r="C908" s="4"/>
      <c r="D908" s="7"/>
    </row>
    <row r="909" spans="1:4" x14ac:dyDescent="0.3">
      <c r="A909" s="4"/>
      <c r="B909" s="4"/>
      <c r="C909" s="4"/>
      <c r="D909" s="7"/>
    </row>
    <row r="910" spans="1:4" x14ac:dyDescent="0.3">
      <c r="A910" s="4"/>
      <c r="B910" s="4"/>
      <c r="C910" s="4"/>
      <c r="D910" s="7"/>
    </row>
    <row r="911" spans="1:4" x14ac:dyDescent="0.3">
      <c r="A911" s="4"/>
      <c r="B911" s="4"/>
      <c r="C911" s="4"/>
      <c r="D911" s="7"/>
    </row>
    <row r="912" spans="1:4" x14ac:dyDescent="0.3">
      <c r="A912" s="4"/>
      <c r="B912" s="4"/>
      <c r="C912" s="4"/>
      <c r="D912" s="7"/>
    </row>
    <row r="913" spans="1:4" x14ac:dyDescent="0.3">
      <c r="A913" s="4"/>
      <c r="B913" s="4"/>
      <c r="C913" s="4"/>
      <c r="D913" s="7"/>
    </row>
    <row r="914" spans="1:4" x14ac:dyDescent="0.3">
      <c r="A914" s="4"/>
      <c r="B914" s="4"/>
      <c r="C914" s="4"/>
      <c r="D914" s="7"/>
    </row>
    <row r="915" spans="1:4" x14ac:dyDescent="0.3">
      <c r="A915" s="4"/>
      <c r="B915" s="4"/>
      <c r="C915" s="4"/>
      <c r="D915" s="7"/>
    </row>
    <row r="916" spans="1:4" x14ac:dyDescent="0.3">
      <c r="A916" s="4"/>
      <c r="B916" s="4"/>
      <c r="C916" s="4"/>
      <c r="D916" s="7"/>
    </row>
    <row r="917" spans="1:4" x14ac:dyDescent="0.3">
      <c r="A917" s="4"/>
      <c r="B917" s="4"/>
      <c r="C917" s="4"/>
      <c r="D917" s="7"/>
    </row>
    <row r="918" spans="1:4" x14ac:dyDescent="0.3">
      <c r="A918" s="4"/>
      <c r="B918" s="4"/>
      <c r="C918" s="4"/>
      <c r="D918" s="7"/>
    </row>
    <row r="919" spans="1:4" x14ac:dyDescent="0.3">
      <c r="A919" s="4"/>
      <c r="B919" s="4"/>
      <c r="C919" s="4"/>
      <c r="D919" s="7"/>
    </row>
    <row r="920" spans="1:4" x14ac:dyDescent="0.3">
      <c r="A920" s="4"/>
      <c r="B920" s="4"/>
      <c r="C920" s="4"/>
      <c r="D920" s="7"/>
    </row>
    <row r="921" spans="1:4" x14ac:dyDescent="0.3">
      <c r="A921" s="4"/>
      <c r="B921" s="4"/>
      <c r="C921" s="4"/>
      <c r="D921" s="7"/>
    </row>
    <row r="922" spans="1:4" x14ac:dyDescent="0.3">
      <c r="A922" s="4"/>
      <c r="B922" s="4"/>
      <c r="C922" s="4"/>
      <c r="D922" s="7"/>
    </row>
    <row r="923" spans="1:4" x14ac:dyDescent="0.3">
      <c r="A923" s="4"/>
      <c r="B923" s="4"/>
      <c r="C923" s="4"/>
      <c r="D923" s="7"/>
    </row>
    <row r="924" spans="1:4" x14ac:dyDescent="0.3">
      <c r="A924" s="4"/>
      <c r="B924" s="4"/>
      <c r="C924" s="4"/>
      <c r="D924" s="7"/>
    </row>
    <row r="925" spans="1:4" x14ac:dyDescent="0.3">
      <c r="A925" s="4"/>
      <c r="B925" s="4"/>
      <c r="C925" s="4"/>
      <c r="D925" s="7"/>
    </row>
    <row r="926" spans="1:4" x14ac:dyDescent="0.3">
      <c r="A926" s="4"/>
      <c r="B926" s="4"/>
      <c r="C926" s="4"/>
      <c r="D926" s="7"/>
    </row>
    <row r="927" spans="1:4" x14ac:dyDescent="0.3">
      <c r="A927" s="4"/>
      <c r="B927" s="4"/>
      <c r="C927" s="4"/>
      <c r="D927" s="7"/>
    </row>
    <row r="928" spans="1:4" x14ac:dyDescent="0.3">
      <c r="A928" s="4"/>
      <c r="B928" s="4"/>
      <c r="C928" s="4"/>
      <c r="D928" s="7"/>
    </row>
    <row r="929" spans="1:4" x14ac:dyDescent="0.3">
      <c r="A929" s="4"/>
      <c r="B929" s="4"/>
      <c r="C929" s="4"/>
      <c r="D929" s="7"/>
    </row>
    <row r="930" spans="1:4" x14ac:dyDescent="0.3">
      <c r="A930" s="4"/>
      <c r="B930" s="4"/>
      <c r="C930" s="4"/>
      <c r="D930" s="7"/>
    </row>
    <row r="931" spans="1:4" x14ac:dyDescent="0.3">
      <c r="A931" s="4"/>
      <c r="B931" s="4"/>
      <c r="C931" s="4"/>
      <c r="D931" s="7"/>
    </row>
    <row r="932" spans="1:4" x14ac:dyDescent="0.3">
      <c r="A932" s="4"/>
      <c r="B932" s="4"/>
      <c r="C932" s="4"/>
      <c r="D932" s="7"/>
    </row>
    <row r="933" spans="1:4" x14ac:dyDescent="0.3">
      <c r="A933" s="4"/>
      <c r="B933" s="4"/>
      <c r="C933" s="4"/>
      <c r="D933" s="7"/>
    </row>
    <row r="934" spans="1:4" x14ac:dyDescent="0.3">
      <c r="A934" s="4"/>
      <c r="B934" s="4"/>
      <c r="C934" s="4"/>
      <c r="D934" s="7"/>
    </row>
    <row r="935" spans="1:4" x14ac:dyDescent="0.3">
      <c r="A935" s="4"/>
      <c r="B935" s="4"/>
      <c r="C935" s="4"/>
      <c r="D935" s="7"/>
    </row>
    <row r="936" spans="1:4" x14ac:dyDescent="0.3">
      <c r="A936" s="4"/>
      <c r="B936" s="4"/>
      <c r="C936" s="4"/>
      <c r="D936" s="7"/>
    </row>
    <row r="937" spans="1:4" x14ac:dyDescent="0.3">
      <c r="A937" s="4"/>
      <c r="B937" s="4"/>
      <c r="C937" s="4"/>
      <c r="D937" s="7"/>
    </row>
    <row r="938" spans="1:4" x14ac:dyDescent="0.3">
      <c r="A938" s="4"/>
      <c r="B938" s="4"/>
      <c r="C938" s="4"/>
      <c r="D938" s="7"/>
    </row>
    <row r="939" spans="1:4" x14ac:dyDescent="0.3">
      <c r="A939" s="4"/>
      <c r="B939" s="4"/>
      <c r="C939" s="4"/>
      <c r="D939" s="7"/>
    </row>
    <row r="940" spans="1:4" x14ac:dyDescent="0.3">
      <c r="A940" s="4"/>
      <c r="B940" s="4"/>
      <c r="C940" s="4"/>
      <c r="D940" s="7"/>
    </row>
    <row r="941" spans="1:4" x14ac:dyDescent="0.3">
      <c r="A941" s="4"/>
      <c r="B941" s="4"/>
      <c r="C941" s="4"/>
      <c r="D941" s="7"/>
    </row>
    <row r="942" spans="1:4" x14ac:dyDescent="0.3">
      <c r="A942" s="4"/>
      <c r="B942" s="4"/>
      <c r="C942" s="4"/>
      <c r="D942" s="7"/>
    </row>
    <row r="943" spans="1:4" x14ac:dyDescent="0.3">
      <c r="A943" s="4"/>
      <c r="B943" s="4"/>
      <c r="C943" s="4"/>
      <c r="D943" s="7"/>
    </row>
    <row r="944" spans="1:4" x14ac:dyDescent="0.3">
      <c r="A944" s="4"/>
      <c r="B944" s="4"/>
      <c r="C944" s="4"/>
      <c r="D944" s="7"/>
    </row>
    <row r="945" spans="1:4" x14ac:dyDescent="0.3">
      <c r="A945" s="4"/>
      <c r="B945" s="4"/>
      <c r="C945" s="4"/>
      <c r="D945" s="7"/>
    </row>
    <row r="946" spans="1:4" x14ac:dyDescent="0.3">
      <c r="A946" s="4"/>
      <c r="B946" s="4"/>
      <c r="C946" s="4"/>
      <c r="D946" s="7"/>
    </row>
    <row r="947" spans="1:4" x14ac:dyDescent="0.3">
      <c r="A947" s="4"/>
      <c r="B947" s="4"/>
      <c r="C947" s="4"/>
      <c r="D947" s="7"/>
    </row>
    <row r="948" spans="1:4" x14ac:dyDescent="0.3">
      <c r="A948" s="4"/>
      <c r="B948" s="4"/>
      <c r="C948" s="4"/>
      <c r="D948" s="7"/>
    </row>
    <row r="949" spans="1:4" x14ac:dyDescent="0.3">
      <c r="A949" s="4"/>
      <c r="B949" s="4"/>
      <c r="C949" s="4"/>
      <c r="D949" s="7"/>
    </row>
    <row r="950" spans="1:4" x14ac:dyDescent="0.3">
      <c r="A950" s="4"/>
      <c r="B950" s="4"/>
      <c r="C950" s="4"/>
      <c r="D950" s="7"/>
    </row>
    <row r="951" spans="1:4" x14ac:dyDescent="0.3">
      <c r="A951" s="4"/>
      <c r="B951" s="4"/>
      <c r="C951" s="4"/>
      <c r="D951" s="7"/>
    </row>
    <row r="952" spans="1:4" x14ac:dyDescent="0.3">
      <c r="A952" s="4"/>
      <c r="B952" s="4"/>
      <c r="C952" s="4"/>
      <c r="D952" s="7"/>
    </row>
    <row r="953" spans="1:4" x14ac:dyDescent="0.3">
      <c r="A953" s="4"/>
      <c r="B953" s="4"/>
      <c r="C953" s="4"/>
      <c r="D953" s="7"/>
    </row>
    <row r="954" spans="1:4" x14ac:dyDescent="0.3">
      <c r="A954" s="4"/>
      <c r="B954" s="4"/>
      <c r="C954" s="4"/>
      <c r="D954" s="7"/>
    </row>
    <row r="955" spans="1:4" x14ac:dyDescent="0.3">
      <c r="A955" s="4"/>
      <c r="B955" s="4"/>
      <c r="C955" s="4"/>
      <c r="D955" s="7"/>
    </row>
    <row r="956" spans="1:4" x14ac:dyDescent="0.3">
      <c r="A956" s="4"/>
      <c r="B956" s="4"/>
      <c r="C956" s="4"/>
      <c r="D956" s="7"/>
    </row>
    <row r="957" spans="1:4" x14ac:dyDescent="0.3">
      <c r="A957" s="4"/>
      <c r="B957" s="4"/>
      <c r="C957" s="4"/>
      <c r="D957" s="7"/>
    </row>
    <row r="958" spans="1:4" x14ac:dyDescent="0.3">
      <c r="A958" s="4"/>
      <c r="B958" s="4"/>
      <c r="C958" s="4"/>
      <c r="D958" s="7"/>
    </row>
    <row r="959" spans="1:4" x14ac:dyDescent="0.3">
      <c r="A959" s="4"/>
      <c r="B959" s="4"/>
      <c r="C959" s="4"/>
      <c r="D959" s="7"/>
    </row>
    <row r="960" spans="1:4" x14ac:dyDescent="0.3">
      <c r="A960" s="4"/>
      <c r="B960" s="4"/>
      <c r="C960" s="4"/>
      <c r="D960" s="7"/>
    </row>
    <row r="961" spans="1:4" x14ac:dyDescent="0.3">
      <c r="A961" s="4"/>
      <c r="B961" s="4"/>
      <c r="C961" s="4"/>
      <c r="D961" s="7"/>
    </row>
    <row r="962" spans="1:4" x14ac:dyDescent="0.3">
      <c r="A962" s="4"/>
      <c r="B962" s="4"/>
      <c r="C962" s="4"/>
      <c r="D962" s="7"/>
    </row>
    <row r="963" spans="1:4" x14ac:dyDescent="0.3">
      <c r="A963" s="4"/>
      <c r="B963" s="4"/>
      <c r="C963" s="4"/>
      <c r="D963" s="7"/>
    </row>
    <row r="964" spans="1:4" x14ac:dyDescent="0.3">
      <c r="A964" s="4"/>
      <c r="B964" s="4"/>
      <c r="C964" s="4"/>
      <c r="D964" s="7"/>
    </row>
    <row r="965" spans="1:4" x14ac:dyDescent="0.3">
      <c r="A965" s="4"/>
      <c r="B965" s="4"/>
      <c r="C965" s="4"/>
      <c r="D965" s="7"/>
    </row>
    <row r="966" spans="1:4" x14ac:dyDescent="0.3">
      <c r="A966" s="4"/>
      <c r="B966" s="4"/>
      <c r="C966" s="4"/>
      <c r="D966" s="7"/>
    </row>
    <row r="967" spans="1:4" x14ac:dyDescent="0.3">
      <c r="A967" s="4"/>
      <c r="B967" s="4"/>
      <c r="C967" s="4"/>
      <c r="D967" s="7"/>
    </row>
    <row r="968" spans="1:4" x14ac:dyDescent="0.3">
      <c r="A968" s="4"/>
      <c r="B968" s="4"/>
      <c r="C968" s="4"/>
      <c r="D968" s="7"/>
    </row>
    <row r="969" spans="1:4" x14ac:dyDescent="0.3">
      <c r="A969" s="4"/>
      <c r="B969" s="4"/>
      <c r="C969" s="4"/>
      <c r="D969" s="7"/>
    </row>
    <row r="970" spans="1:4" x14ac:dyDescent="0.3">
      <c r="A970" s="4"/>
      <c r="B970" s="4"/>
      <c r="C970" s="4"/>
      <c r="D970" s="7"/>
    </row>
    <row r="971" spans="1:4" x14ac:dyDescent="0.3">
      <c r="A971" s="4"/>
      <c r="B971" s="4"/>
      <c r="C971" s="4"/>
      <c r="D971" s="7"/>
    </row>
    <row r="972" spans="1:4" x14ac:dyDescent="0.3">
      <c r="A972" s="4"/>
      <c r="B972" s="4"/>
      <c r="C972" s="4"/>
      <c r="D972" s="7"/>
    </row>
    <row r="973" spans="1:4" x14ac:dyDescent="0.3">
      <c r="A973" s="4"/>
      <c r="B973" s="4"/>
      <c r="C973" s="4"/>
      <c r="D973" s="7"/>
    </row>
    <row r="974" spans="1:4" x14ac:dyDescent="0.3">
      <c r="A974" s="4"/>
      <c r="B974" s="4"/>
      <c r="C974" s="4"/>
      <c r="D974" s="7"/>
    </row>
    <row r="975" spans="1:4" x14ac:dyDescent="0.3">
      <c r="A975" s="4"/>
      <c r="B975" s="4"/>
      <c r="C975" s="4"/>
      <c r="D975" s="7"/>
    </row>
    <row r="976" spans="1:4" x14ac:dyDescent="0.3">
      <c r="A976" s="4"/>
      <c r="B976" s="4"/>
      <c r="C976" s="4"/>
      <c r="D976" s="7"/>
    </row>
    <row r="977" spans="1:4" x14ac:dyDescent="0.3">
      <c r="A977" s="4"/>
      <c r="B977" s="4"/>
      <c r="C977" s="4"/>
      <c r="D977" s="7"/>
    </row>
    <row r="978" spans="1:4" x14ac:dyDescent="0.3">
      <c r="A978" s="4"/>
      <c r="B978" s="4"/>
      <c r="C978" s="4"/>
      <c r="D978" s="7"/>
    </row>
    <row r="979" spans="1:4" x14ac:dyDescent="0.3">
      <c r="A979" s="4"/>
      <c r="B979" s="4"/>
      <c r="C979" s="4"/>
      <c r="D979" s="7"/>
    </row>
    <row r="980" spans="1:4" x14ac:dyDescent="0.3">
      <c r="A980" s="4"/>
      <c r="B980" s="4"/>
      <c r="C980" s="4"/>
      <c r="D980" s="7"/>
    </row>
    <row r="981" spans="1:4" x14ac:dyDescent="0.3">
      <c r="A981" s="4"/>
      <c r="B981" s="4"/>
      <c r="C981" s="4"/>
      <c r="D981" s="7"/>
    </row>
    <row r="982" spans="1:4" x14ac:dyDescent="0.3">
      <c r="A982" s="4"/>
      <c r="B982" s="4"/>
      <c r="C982" s="4"/>
      <c r="D982" s="7"/>
    </row>
    <row r="983" spans="1:4" x14ac:dyDescent="0.3">
      <c r="A983" s="4"/>
      <c r="B983" s="4"/>
      <c r="C983" s="4"/>
      <c r="D983" s="7"/>
    </row>
    <row r="984" spans="1:4" x14ac:dyDescent="0.3">
      <c r="A984" s="4"/>
      <c r="B984" s="4"/>
      <c r="C984" s="4"/>
      <c r="D984" s="7"/>
    </row>
    <row r="985" spans="1:4" x14ac:dyDescent="0.3">
      <c r="A985" s="4"/>
      <c r="B985" s="4"/>
      <c r="C985" s="4"/>
      <c r="D985" s="7"/>
    </row>
    <row r="986" spans="1:4" x14ac:dyDescent="0.3">
      <c r="A986" s="4"/>
      <c r="B986" s="4"/>
      <c r="C986" s="4"/>
      <c r="D986" s="7"/>
    </row>
    <row r="987" spans="1:4" x14ac:dyDescent="0.3">
      <c r="A987" s="4"/>
      <c r="B987" s="4"/>
      <c r="C987" s="4"/>
      <c r="D987" s="7"/>
    </row>
    <row r="988" spans="1:4" x14ac:dyDescent="0.3">
      <c r="A988" s="4"/>
      <c r="B988" s="4"/>
      <c r="C988" s="4"/>
      <c r="D988" s="7"/>
    </row>
    <row r="989" spans="1:4" x14ac:dyDescent="0.3">
      <c r="A989" s="4"/>
      <c r="B989" s="4"/>
      <c r="C989" s="4"/>
      <c r="D989" s="7"/>
    </row>
    <row r="990" spans="1:4" x14ac:dyDescent="0.3">
      <c r="A990" s="4"/>
      <c r="B990" s="4"/>
      <c r="C990" s="4"/>
      <c r="D990" s="7"/>
    </row>
    <row r="991" spans="1:4" x14ac:dyDescent="0.3">
      <c r="A991" s="4"/>
      <c r="B991" s="4"/>
      <c r="C991" s="4"/>
      <c r="D991" s="7"/>
    </row>
    <row r="992" spans="1:4" x14ac:dyDescent="0.3">
      <c r="A992" s="4"/>
      <c r="B992" s="4"/>
      <c r="C992" s="4"/>
      <c r="D992" s="7"/>
    </row>
    <row r="993" spans="1:4" x14ac:dyDescent="0.3">
      <c r="A993" s="4"/>
      <c r="B993" s="4"/>
      <c r="C993" s="4"/>
      <c r="D993" s="7"/>
    </row>
    <row r="994" spans="1:4" x14ac:dyDescent="0.3">
      <c r="A994" s="4"/>
      <c r="B994" s="4"/>
      <c r="C994" s="4"/>
      <c r="D994" s="7"/>
    </row>
    <row r="995" spans="1:4" x14ac:dyDescent="0.3">
      <c r="A995" s="4"/>
      <c r="B995" s="4"/>
      <c r="C995" s="4"/>
      <c r="D995" s="7"/>
    </row>
    <row r="996" spans="1:4" x14ac:dyDescent="0.3">
      <c r="A996" s="4"/>
      <c r="B996" s="4"/>
      <c r="C996" s="4"/>
      <c r="D996" s="7"/>
    </row>
    <row r="997" spans="1:4" x14ac:dyDescent="0.3">
      <c r="A997" s="4"/>
      <c r="B997" s="4"/>
      <c r="C997" s="4"/>
      <c r="D997" s="7"/>
    </row>
    <row r="998" spans="1:4" x14ac:dyDescent="0.3">
      <c r="A998" s="4"/>
      <c r="B998" s="4"/>
      <c r="C998" s="4"/>
      <c r="D998" s="7"/>
    </row>
    <row r="999" spans="1:4" x14ac:dyDescent="0.3">
      <c r="A999" s="4"/>
      <c r="B999" s="4"/>
      <c r="C999" s="4"/>
      <c r="D999" s="7"/>
    </row>
    <row r="1000" spans="1:4" x14ac:dyDescent="0.3">
      <c r="A1000" s="4"/>
      <c r="B1000" s="4"/>
      <c r="C1000" s="4"/>
      <c r="D1000" s="7"/>
    </row>
    <row r="1001" spans="1:4" x14ac:dyDescent="0.3">
      <c r="A1001" s="4"/>
      <c r="B1001" s="4"/>
      <c r="C1001" s="4"/>
      <c r="D1001" s="7"/>
    </row>
    <row r="1002" spans="1:4" x14ac:dyDescent="0.3">
      <c r="A1002" s="4"/>
      <c r="B1002" s="4"/>
      <c r="C1002" s="4"/>
      <c r="D1002" s="7"/>
    </row>
    <row r="1003" spans="1:4" x14ac:dyDescent="0.3">
      <c r="A1003" s="4"/>
      <c r="B1003" s="4"/>
      <c r="C1003" s="4"/>
      <c r="D1003" s="7"/>
    </row>
    <row r="1004" spans="1:4" x14ac:dyDescent="0.3">
      <c r="A1004" s="4"/>
      <c r="B1004" s="4"/>
      <c r="C1004" s="4"/>
      <c r="D1004" s="7"/>
    </row>
    <row r="1005" spans="1:4" x14ac:dyDescent="0.3">
      <c r="A1005" s="4"/>
      <c r="B1005" s="4"/>
      <c r="C1005" s="4"/>
      <c r="D1005" s="7"/>
    </row>
    <row r="1006" spans="1:4" x14ac:dyDescent="0.3">
      <c r="A1006" s="4"/>
      <c r="B1006" s="4"/>
      <c r="C1006" s="4"/>
      <c r="D1006" s="7"/>
    </row>
    <row r="1007" spans="1:4" x14ac:dyDescent="0.3">
      <c r="A1007" s="4"/>
      <c r="B1007" s="4"/>
      <c r="C1007" s="4"/>
      <c r="D1007" s="7"/>
    </row>
    <row r="1008" spans="1:4" x14ac:dyDescent="0.3">
      <c r="A1008" s="4"/>
      <c r="B1008" s="4"/>
      <c r="C1008" s="4"/>
      <c r="D1008" s="7"/>
    </row>
    <row r="1009" spans="1:4" x14ac:dyDescent="0.3">
      <c r="A1009" s="4"/>
      <c r="B1009" s="4"/>
      <c r="C1009" s="4"/>
      <c r="D1009" s="7"/>
    </row>
    <row r="1010" spans="1:4" x14ac:dyDescent="0.3">
      <c r="A1010" s="4"/>
      <c r="B1010" s="4"/>
      <c r="C1010" s="4"/>
      <c r="D1010" s="7"/>
    </row>
    <row r="1011" spans="1:4" x14ac:dyDescent="0.3">
      <c r="A1011" s="4"/>
      <c r="B1011" s="4"/>
      <c r="C1011" s="4"/>
      <c r="D1011" s="7"/>
    </row>
    <row r="1012" spans="1:4" x14ac:dyDescent="0.3">
      <c r="A1012" s="4"/>
      <c r="B1012" s="4"/>
      <c r="C1012" s="4"/>
      <c r="D1012" s="7"/>
    </row>
    <row r="1013" spans="1:4" x14ac:dyDescent="0.3">
      <c r="A1013" s="4"/>
      <c r="B1013" s="4"/>
      <c r="C1013" s="4"/>
      <c r="D1013" s="7"/>
    </row>
    <row r="1014" spans="1:4" x14ac:dyDescent="0.3">
      <c r="A1014" s="4"/>
      <c r="B1014" s="4"/>
      <c r="C1014" s="4"/>
      <c r="D1014" s="7"/>
    </row>
    <row r="1015" spans="1:4" x14ac:dyDescent="0.3">
      <c r="A1015" s="4"/>
      <c r="B1015" s="4"/>
      <c r="C1015" s="4"/>
      <c r="D1015" s="7"/>
    </row>
    <row r="1016" spans="1:4" x14ac:dyDescent="0.3">
      <c r="A1016" s="4"/>
      <c r="B1016" s="4"/>
      <c r="C1016" s="4"/>
      <c r="D1016" s="7"/>
    </row>
    <row r="1017" spans="1:4" x14ac:dyDescent="0.3">
      <c r="A1017" s="4"/>
      <c r="B1017" s="4"/>
      <c r="C1017" s="4"/>
      <c r="D1017" s="7"/>
    </row>
    <row r="1018" spans="1:4" x14ac:dyDescent="0.3">
      <c r="A1018" s="4"/>
      <c r="B1018" s="4"/>
      <c r="C1018" s="4"/>
      <c r="D1018" s="7"/>
    </row>
    <row r="1019" spans="1:4" x14ac:dyDescent="0.3">
      <c r="A1019" s="4"/>
      <c r="B1019" s="4"/>
      <c r="C1019" s="4"/>
      <c r="D1019" s="7"/>
    </row>
    <row r="1020" spans="1:4" x14ac:dyDescent="0.3">
      <c r="A1020" s="4"/>
      <c r="B1020" s="4"/>
      <c r="C1020" s="4"/>
      <c r="D1020" s="7"/>
    </row>
    <row r="1021" spans="1:4" x14ac:dyDescent="0.3">
      <c r="A1021" s="4"/>
      <c r="B1021" s="4"/>
      <c r="C1021" s="4"/>
      <c r="D1021" s="7"/>
    </row>
    <row r="1022" spans="1:4" x14ac:dyDescent="0.3">
      <c r="A1022" s="4"/>
      <c r="B1022" s="4"/>
      <c r="C1022" s="4"/>
      <c r="D1022" s="7"/>
    </row>
    <row r="1023" spans="1:4" x14ac:dyDescent="0.3">
      <c r="A1023" s="4"/>
      <c r="B1023" s="4"/>
      <c r="C1023" s="4"/>
      <c r="D1023" s="7"/>
    </row>
    <row r="1024" spans="1:4" x14ac:dyDescent="0.3">
      <c r="A1024" s="4"/>
      <c r="B1024" s="4"/>
      <c r="C1024" s="4"/>
      <c r="D1024" s="7"/>
    </row>
    <row r="1025" spans="1:4" x14ac:dyDescent="0.3">
      <c r="A1025" s="4"/>
      <c r="B1025" s="4"/>
      <c r="C1025" s="4"/>
      <c r="D1025" s="7"/>
    </row>
    <row r="1026" spans="1:4" x14ac:dyDescent="0.3">
      <c r="A1026" s="4"/>
      <c r="B1026" s="4"/>
      <c r="C1026" s="4"/>
      <c r="D1026" s="7"/>
    </row>
    <row r="1027" spans="1:4" x14ac:dyDescent="0.3">
      <c r="A1027" s="4"/>
      <c r="B1027" s="4"/>
      <c r="C1027" s="4"/>
      <c r="D1027" s="7"/>
    </row>
    <row r="1028" spans="1:4" x14ac:dyDescent="0.3">
      <c r="A1028" s="4"/>
      <c r="B1028" s="4"/>
      <c r="C1028" s="4"/>
      <c r="D1028" s="7"/>
    </row>
    <row r="1029" spans="1:4" x14ac:dyDescent="0.3">
      <c r="A1029" s="4"/>
      <c r="B1029" s="4"/>
      <c r="C1029" s="4"/>
      <c r="D1029" s="7"/>
    </row>
    <row r="1030" spans="1:4" x14ac:dyDescent="0.3">
      <c r="A1030" s="4"/>
      <c r="B1030" s="4"/>
      <c r="C1030" s="4"/>
      <c r="D1030" s="7"/>
    </row>
    <row r="1031" spans="1:4" x14ac:dyDescent="0.3">
      <c r="A1031" s="4"/>
      <c r="B1031" s="4"/>
      <c r="C1031" s="4"/>
      <c r="D1031" s="7"/>
    </row>
    <row r="1032" spans="1:4" x14ac:dyDescent="0.3">
      <c r="A1032" s="4"/>
      <c r="B1032" s="4"/>
      <c r="C1032" s="4"/>
      <c r="D1032" s="7"/>
    </row>
    <row r="1033" spans="1:4" x14ac:dyDescent="0.3">
      <c r="A1033" s="4"/>
      <c r="B1033" s="4"/>
      <c r="C1033" s="4"/>
      <c r="D1033" s="7"/>
    </row>
    <row r="1034" spans="1:4" x14ac:dyDescent="0.3">
      <c r="A1034" s="4"/>
      <c r="B1034" s="4"/>
      <c r="C1034" s="4"/>
      <c r="D1034" s="7"/>
    </row>
    <row r="1035" spans="1:4" x14ac:dyDescent="0.3">
      <c r="A1035" s="4"/>
      <c r="B1035" s="4"/>
      <c r="C1035" s="4"/>
      <c r="D1035" s="7"/>
    </row>
    <row r="1036" spans="1:4" x14ac:dyDescent="0.3">
      <c r="A1036" s="4"/>
      <c r="B1036" s="4"/>
      <c r="C1036" s="4"/>
      <c r="D1036" s="7"/>
    </row>
    <row r="1037" spans="1:4" x14ac:dyDescent="0.3">
      <c r="A1037" s="4"/>
      <c r="B1037" s="4"/>
      <c r="C1037" s="4"/>
      <c r="D1037" s="7"/>
    </row>
    <row r="1038" spans="1:4" x14ac:dyDescent="0.3">
      <c r="A1038" s="4"/>
      <c r="B1038" s="4"/>
      <c r="C1038" s="4"/>
      <c r="D1038" s="7"/>
    </row>
    <row r="1039" spans="1:4" x14ac:dyDescent="0.3">
      <c r="A1039" s="4"/>
      <c r="B1039" s="4"/>
      <c r="C1039" s="4"/>
      <c r="D1039" s="7"/>
    </row>
    <row r="1040" spans="1:4" x14ac:dyDescent="0.3">
      <c r="A1040" s="4"/>
      <c r="B1040" s="4"/>
      <c r="C1040" s="4"/>
      <c r="D1040" s="7"/>
    </row>
    <row r="1041" spans="1:4" x14ac:dyDescent="0.3">
      <c r="A1041" s="4"/>
      <c r="B1041" s="4"/>
      <c r="C1041" s="4"/>
      <c r="D1041" s="7"/>
    </row>
    <row r="1042" spans="1:4" x14ac:dyDescent="0.3">
      <c r="A1042" s="4"/>
      <c r="B1042" s="4"/>
      <c r="C1042" s="4"/>
      <c r="D1042" s="7"/>
    </row>
    <row r="1043" spans="1:4" x14ac:dyDescent="0.3">
      <c r="A1043" s="4"/>
      <c r="B1043" s="4"/>
      <c r="C1043" s="4"/>
      <c r="D1043" s="7"/>
    </row>
    <row r="1044" spans="1:4" x14ac:dyDescent="0.3">
      <c r="A1044" s="4"/>
      <c r="B1044" s="4"/>
      <c r="C1044" s="4"/>
      <c r="D1044" s="7"/>
    </row>
    <row r="1045" spans="1:4" x14ac:dyDescent="0.3">
      <c r="A1045" s="4"/>
      <c r="B1045" s="4"/>
      <c r="C1045" s="4"/>
      <c r="D1045" s="7"/>
    </row>
    <row r="1046" spans="1:4" x14ac:dyDescent="0.3">
      <c r="A1046" s="4"/>
      <c r="B1046" s="4"/>
      <c r="C1046" s="4"/>
      <c r="D1046" s="7"/>
    </row>
    <row r="1047" spans="1:4" x14ac:dyDescent="0.3">
      <c r="A1047" s="4"/>
      <c r="B1047" s="4"/>
      <c r="C1047" s="4"/>
      <c r="D1047" s="7"/>
    </row>
    <row r="1048" spans="1:4" x14ac:dyDescent="0.3">
      <c r="A1048" s="4"/>
      <c r="B1048" s="4"/>
      <c r="C1048" s="4"/>
      <c r="D1048" s="7"/>
    </row>
    <row r="1049" spans="1:4" x14ac:dyDescent="0.3">
      <c r="A1049" s="4"/>
      <c r="B1049" s="4"/>
      <c r="C1049" s="4"/>
      <c r="D1049" s="7"/>
    </row>
    <row r="1050" spans="1:4" x14ac:dyDescent="0.3">
      <c r="A1050" s="4"/>
      <c r="B1050" s="4"/>
      <c r="C1050" s="4"/>
      <c r="D1050" s="7"/>
    </row>
    <row r="1051" spans="1:4" x14ac:dyDescent="0.3">
      <c r="A1051" s="4"/>
      <c r="B1051" s="4"/>
      <c r="C1051" s="4"/>
      <c r="D1051" s="7"/>
    </row>
    <row r="1052" spans="1:4" x14ac:dyDescent="0.3">
      <c r="A1052" s="4"/>
      <c r="B1052" s="4"/>
      <c r="C1052" s="4"/>
      <c r="D1052" s="7"/>
    </row>
    <row r="1053" spans="1:4" x14ac:dyDescent="0.3">
      <c r="A1053" s="4"/>
      <c r="B1053" s="4"/>
      <c r="C1053" s="4"/>
      <c r="D1053" s="7"/>
    </row>
    <row r="1054" spans="1:4" x14ac:dyDescent="0.3">
      <c r="A1054" s="4"/>
      <c r="B1054" s="4"/>
      <c r="C1054" s="4"/>
      <c r="D1054" s="7"/>
    </row>
    <row r="1055" spans="1:4" x14ac:dyDescent="0.3">
      <c r="A1055" s="4"/>
      <c r="B1055" s="4"/>
      <c r="C1055" s="4"/>
      <c r="D1055" s="7"/>
    </row>
    <row r="1056" spans="1:4" x14ac:dyDescent="0.3">
      <c r="A1056" s="4"/>
      <c r="B1056" s="4"/>
      <c r="C1056" s="4"/>
      <c r="D1056" s="7"/>
    </row>
    <row r="1057" spans="1:4" x14ac:dyDescent="0.3">
      <c r="A1057" s="4"/>
      <c r="B1057" s="4"/>
      <c r="C1057" s="4"/>
      <c r="D1057" s="7"/>
    </row>
    <row r="1058" spans="1:4" x14ac:dyDescent="0.3">
      <c r="A1058" s="4"/>
      <c r="B1058" s="4"/>
      <c r="C1058" s="4"/>
      <c r="D1058" s="7"/>
    </row>
    <row r="1059" spans="1:4" x14ac:dyDescent="0.3">
      <c r="A1059" s="4"/>
      <c r="B1059" s="4"/>
      <c r="C1059" s="4"/>
      <c r="D1059" s="7"/>
    </row>
    <row r="1060" spans="1:4" x14ac:dyDescent="0.3">
      <c r="A1060" s="4"/>
      <c r="B1060" s="4"/>
      <c r="C1060" s="4"/>
      <c r="D1060" s="7"/>
    </row>
    <row r="1061" spans="1:4" x14ac:dyDescent="0.3">
      <c r="A1061" s="4"/>
      <c r="B1061" s="4"/>
      <c r="C1061" s="4"/>
      <c r="D1061" s="7"/>
    </row>
    <row r="1062" spans="1:4" x14ac:dyDescent="0.3">
      <c r="A1062" s="4"/>
      <c r="B1062" s="4"/>
      <c r="C1062" s="4"/>
      <c r="D1062" s="7"/>
    </row>
    <row r="1063" spans="1:4" x14ac:dyDescent="0.3">
      <c r="A1063" s="4"/>
      <c r="B1063" s="4"/>
      <c r="C1063" s="4"/>
      <c r="D1063" s="7"/>
    </row>
    <row r="1064" spans="1:4" x14ac:dyDescent="0.3">
      <c r="A1064" s="4"/>
      <c r="B1064" s="4"/>
      <c r="C1064" s="4"/>
      <c r="D1064" s="7"/>
    </row>
    <row r="1065" spans="1:4" x14ac:dyDescent="0.3">
      <c r="A1065" s="4"/>
      <c r="B1065" s="4"/>
      <c r="C1065" s="4"/>
      <c r="D1065" s="7"/>
    </row>
    <row r="1066" spans="1:4" x14ac:dyDescent="0.3">
      <c r="A1066" s="4"/>
      <c r="B1066" s="4"/>
      <c r="C1066" s="4"/>
      <c r="D1066" s="7"/>
    </row>
    <row r="1067" spans="1:4" x14ac:dyDescent="0.3">
      <c r="A1067" s="5"/>
      <c r="B1067" s="4"/>
      <c r="C1067" s="4"/>
      <c r="D1067" s="7"/>
    </row>
    <row r="1068" spans="1:4" x14ac:dyDescent="0.3">
      <c r="A1068" s="4"/>
      <c r="B1068" s="4"/>
      <c r="C1068" s="4"/>
      <c r="D1068" s="7"/>
    </row>
    <row r="1069" spans="1:4" x14ac:dyDescent="0.3">
      <c r="A1069" s="4"/>
      <c r="B1069" s="4"/>
      <c r="C1069" s="4"/>
      <c r="D1069" s="7"/>
    </row>
    <row r="1070" spans="1:4" x14ac:dyDescent="0.3">
      <c r="A1070" s="4"/>
      <c r="B1070" s="4"/>
      <c r="C1070" s="4"/>
      <c r="D1070" s="7"/>
    </row>
    <row r="1071" spans="1:4" x14ac:dyDescent="0.3">
      <c r="A1071" s="4"/>
      <c r="B1071" s="4"/>
      <c r="C1071" s="4"/>
      <c r="D1071" s="7"/>
    </row>
    <row r="1072" spans="1:4" x14ac:dyDescent="0.3">
      <c r="A1072" s="4"/>
      <c r="B1072" s="4"/>
      <c r="C1072" s="4"/>
      <c r="D1072" s="7"/>
    </row>
    <row r="1073" spans="1:4" x14ac:dyDescent="0.3">
      <c r="A1073" s="4"/>
      <c r="B1073" s="4"/>
      <c r="C1073" s="4"/>
      <c r="D1073" s="7"/>
    </row>
    <row r="1074" spans="1:4" x14ac:dyDescent="0.3">
      <c r="A1074" s="4"/>
      <c r="B1074" s="4"/>
      <c r="C1074" s="4"/>
      <c r="D1074" s="7"/>
    </row>
    <row r="1075" spans="1:4" x14ac:dyDescent="0.3">
      <c r="A1075" s="4"/>
      <c r="B1075" s="4"/>
      <c r="C1075" s="4"/>
      <c r="D1075" s="7"/>
    </row>
    <row r="1076" spans="1:4" x14ac:dyDescent="0.3">
      <c r="A1076" s="4"/>
      <c r="B1076" s="4"/>
      <c r="C1076" s="4"/>
      <c r="D1076" s="7"/>
    </row>
    <row r="1077" spans="1:4" x14ac:dyDescent="0.3">
      <c r="A1077" s="4"/>
      <c r="B1077" s="4"/>
      <c r="C1077" s="4"/>
      <c r="D1077" s="7"/>
    </row>
    <row r="1078" spans="1:4" x14ac:dyDescent="0.3">
      <c r="A1078" s="4"/>
      <c r="B1078" s="4"/>
      <c r="C1078" s="4"/>
      <c r="D1078" s="7"/>
    </row>
    <row r="1079" spans="1:4" x14ac:dyDescent="0.3">
      <c r="A1079" s="4"/>
      <c r="B1079" s="4"/>
      <c r="C1079" s="4"/>
      <c r="D1079" s="7"/>
    </row>
    <row r="1080" spans="1:4" x14ac:dyDescent="0.3">
      <c r="A1080" s="4"/>
      <c r="B1080" s="4"/>
      <c r="C1080" s="4"/>
      <c r="D1080" s="7"/>
    </row>
    <row r="1081" spans="1:4" x14ac:dyDescent="0.3">
      <c r="A1081" s="4"/>
      <c r="B1081" s="4"/>
      <c r="C1081" s="4"/>
      <c r="D1081" s="23"/>
    </row>
    <row r="1082" spans="1:4" x14ac:dyDescent="0.3">
      <c r="A1082" s="4"/>
      <c r="B1082" s="4"/>
      <c r="C1082" s="4"/>
      <c r="D1082" s="7"/>
    </row>
    <row r="1083" spans="1:4" x14ac:dyDescent="0.3">
      <c r="A1083" s="4"/>
      <c r="B1083" s="4"/>
      <c r="C1083" s="4"/>
      <c r="D1083" s="7"/>
    </row>
    <row r="1084" spans="1:4" x14ac:dyDescent="0.3">
      <c r="A1084" s="4"/>
      <c r="B1084" s="4"/>
      <c r="C1084" s="4"/>
      <c r="D1084" s="7"/>
    </row>
    <row r="1085" spans="1:4" x14ac:dyDescent="0.3">
      <c r="A1085" s="4"/>
      <c r="B1085" s="4"/>
      <c r="C1085" s="4"/>
      <c r="D1085" s="7"/>
    </row>
    <row r="1086" spans="1:4" x14ac:dyDescent="0.3">
      <c r="A1086" s="4"/>
      <c r="B1086" s="4"/>
      <c r="C1086" s="4"/>
      <c r="D1086" s="7"/>
    </row>
    <row r="1087" spans="1:4" x14ac:dyDescent="0.3">
      <c r="A1087" s="4"/>
      <c r="B1087" s="4"/>
      <c r="C1087" s="4"/>
      <c r="D1087" s="7"/>
    </row>
    <row r="1088" spans="1:4" x14ac:dyDescent="0.3">
      <c r="A1088" s="4"/>
      <c r="B1088" s="4"/>
      <c r="C1088" s="4"/>
      <c r="D1088" s="7"/>
    </row>
    <row r="1089" spans="1:4" x14ac:dyDescent="0.3">
      <c r="A1089" s="4"/>
      <c r="B1089" s="4"/>
      <c r="C1089" s="4"/>
      <c r="D1089" s="7"/>
    </row>
    <row r="1090" spans="1:4" x14ac:dyDescent="0.3">
      <c r="A1090" s="4"/>
      <c r="B1090" s="4"/>
      <c r="C1090" s="4"/>
      <c r="D1090" s="7"/>
    </row>
    <row r="1091" spans="1:4" x14ac:dyDescent="0.3">
      <c r="A1091" s="4"/>
      <c r="B1091" s="4"/>
      <c r="C1091" s="4"/>
      <c r="D1091" s="7"/>
    </row>
    <row r="1092" spans="1:4" x14ac:dyDescent="0.3">
      <c r="A1092" s="4"/>
      <c r="B1092" s="4"/>
      <c r="C1092" s="4"/>
      <c r="D1092" s="7"/>
    </row>
    <row r="1093" spans="1:4" x14ac:dyDescent="0.3">
      <c r="A1093" s="4"/>
      <c r="B1093" s="4"/>
      <c r="C1093" s="4"/>
      <c r="D1093" s="7"/>
    </row>
    <row r="1094" spans="1:4" x14ac:dyDescent="0.3">
      <c r="A1094" s="4"/>
      <c r="B1094" s="4"/>
      <c r="C1094" s="4"/>
      <c r="D1094" s="7"/>
    </row>
    <row r="1095" spans="1:4" x14ac:dyDescent="0.3">
      <c r="A1095" s="4"/>
      <c r="B1095" s="4"/>
      <c r="C1095" s="4"/>
      <c r="D1095" s="7"/>
    </row>
    <row r="1096" spans="1:4" x14ac:dyDescent="0.3">
      <c r="A1096" s="4"/>
      <c r="B1096" s="4"/>
      <c r="C1096" s="4"/>
      <c r="D1096" s="7"/>
    </row>
    <row r="1097" spans="1:4" x14ac:dyDescent="0.3">
      <c r="A1097" s="4"/>
      <c r="B1097" s="4"/>
      <c r="C1097" s="4"/>
      <c r="D1097" s="7"/>
    </row>
    <row r="1098" spans="1:4" x14ac:dyDescent="0.3">
      <c r="A1098" s="4"/>
      <c r="B1098" s="4"/>
      <c r="C1098" s="4"/>
      <c r="D1098" s="7"/>
    </row>
    <row r="1099" spans="1:4" x14ac:dyDescent="0.3">
      <c r="A1099" s="4"/>
      <c r="B1099" s="4"/>
      <c r="C1099" s="4"/>
      <c r="D1099" s="7"/>
    </row>
    <row r="1100" spans="1:4" x14ac:dyDescent="0.3">
      <c r="A1100" s="4"/>
      <c r="B1100" s="4"/>
      <c r="C1100" s="4"/>
      <c r="D1100" s="7"/>
    </row>
    <row r="1101" spans="1:4" x14ac:dyDescent="0.3">
      <c r="A1101" s="4"/>
      <c r="B1101" s="4"/>
      <c r="C1101" s="4"/>
      <c r="D1101" s="7"/>
    </row>
    <row r="1102" spans="1:4" x14ac:dyDescent="0.3">
      <c r="A1102" s="4"/>
      <c r="B1102" s="4"/>
      <c r="C1102" s="4"/>
      <c r="D1102" s="7"/>
    </row>
    <row r="1103" spans="1:4" x14ac:dyDescent="0.3">
      <c r="A1103" s="4"/>
      <c r="B1103" s="4"/>
      <c r="C1103" s="4"/>
      <c r="D1103" s="7"/>
    </row>
    <row r="1104" spans="1:4" x14ac:dyDescent="0.3">
      <c r="A1104" s="4"/>
      <c r="B1104" s="4"/>
      <c r="C1104" s="4"/>
      <c r="D1104" s="7"/>
    </row>
    <row r="1105" spans="1:4" x14ac:dyDescent="0.3">
      <c r="A1105" s="4"/>
      <c r="B1105" s="4"/>
      <c r="C1105" s="4"/>
      <c r="D1105" s="7"/>
    </row>
    <row r="1106" spans="1:4" x14ac:dyDescent="0.3">
      <c r="A1106" s="4"/>
      <c r="B1106" s="4"/>
      <c r="C1106" s="4"/>
      <c r="D1106" s="7"/>
    </row>
    <row r="1107" spans="1:4" x14ac:dyDescent="0.3">
      <c r="A1107" s="4"/>
      <c r="B1107" s="4"/>
      <c r="C1107" s="4"/>
      <c r="D1107" s="7"/>
    </row>
    <row r="1108" spans="1:4" x14ac:dyDescent="0.3">
      <c r="A1108" s="4"/>
      <c r="B1108" s="4"/>
      <c r="C1108" s="4"/>
      <c r="D1108" s="7"/>
    </row>
    <row r="1109" spans="1:4" x14ac:dyDescent="0.3">
      <c r="A1109" s="4"/>
      <c r="B1109" s="4"/>
      <c r="C1109" s="4"/>
      <c r="D1109" s="7"/>
    </row>
    <row r="1110" spans="1:4" x14ac:dyDescent="0.3">
      <c r="A1110" s="4"/>
      <c r="B1110" s="4"/>
      <c r="C1110" s="4"/>
      <c r="D1110" s="7"/>
    </row>
    <row r="1111" spans="1:4" x14ac:dyDescent="0.3">
      <c r="A1111" s="4"/>
      <c r="B1111" s="4"/>
      <c r="C1111" s="4"/>
      <c r="D1111" s="7"/>
    </row>
    <row r="1112" spans="1:4" x14ac:dyDescent="0.3">
      <c r="A1112" s="4"/>
      <c r="B1112" s="4"/>
      <c r="C1112" s="4"/>
      <c r="D1112" s="7"/>
    </row>
    <row r="1113" spans="1:4" x14ac:dyDescent="0.3">
      <c r="A1113" s="4"/>
      <c r="B1113" s="4"/>
      <c r="C1113" s="4"/>
      <c r="D1113" s="7"/>
    </row>
    <row r="1114" spans="1:4" x14ac:dyDescent="0.3">
      <c r="A1114" s="4"/>
      <c r="B1114" s="4"/>
      <c r="C1114" s="4"/>
      <c r="D1114" s="7"/>
    </row>
    <row r="1115" spans="1:4" x14ac:dyDescent="0.3">
      <c r="A1115" s="4"/>
      <c r="B1115" s="4"/>
      <c r="C1115" s="4"/>
      <c r="D1115" s="7"/>
    </row>
    <row r="1116" spans="1:4" x14ac:dyDescent="0.3">
      <c r="A1116" s="4"/>
      <c r="B1116" s="4"/>
      <c r="C1116" s="4"/>
      <c r="D1116" s="7"/>
    </row>
    <row r="1117" spans="1:4" x14ac:dyDescent="0.3">
      <c r="A1117" s="4"/>
      <c r="B1117" s="4"/>
      <c r="C1117" s="4"/>
      <c r="D1117" s="7"/>
    </row>
    <row r="1118" spans="1:4" x14ac:dyDescent="0.3">
      <c r="A1118" s="4"/>
      <c r="B1118" s="4"/>
      <c r="C1118" s="4"/>
      <c r="D1118" s="7"/>
    </row>
    <row r="1119" spans="1:4" x14ac:dyDescent="0.3">
      <c r="A1119" s="4"/>
      <c r="B1119" s="4"/>
      <c r="C1119" s="4"/>
      <c r="D1119" s="7"/>
    </row>
    <row r="1120" spans="1:4" x14ac:dyDescent="0.3">
      <c r="A1120" s="4"/>
      <c r="B1120" s="4"/>
      <c r="C1120" s="4"/>
      <c r="D1120" s="7"/>
    </row>
    <row r="1121" spans="1:4" x14ac:dyDescent="0.3">
      <c r="A1121" s="4"/>
      <c r="B1121" s="4"/>
      <c r="C1121" s="4"/>
      <c r="D1121" s="7"/>
    </row>
    <row r="1122" spans="1:4" x14ac:dyDescent="0.3">
      <c r="A1122" s="4"/>
      <c r="B1122" s="4"/>
      <c r="C1122" s="4"/>
      <c r="D1122" s="7"/>
    </row>
    <row r="1123" spans="1:4" x14ac:dyDescent="0.3">
      <c r="A1123" s="4"/>
      <c r="B1123" s="4"/>
      <c r="C1123" s="4"/>
      <c r="D1123" s="7"/>
    </row>
    <row r="1124" spans="1:4" x14ac:dyDescent="0.3">
      <c r="A1124" s="4"/>
      <c r="B1124" s="4"/>
      <c r="C1124" s="4"/>
      <c r="D1124" s="7"/>
    </row>
    <row r="1125" spans="1:4" x14ac:dyDescent="0.3">
      <c r="A1125" s="4"/>
      <c r="B1125" s="4"/>
      <c r="C1125" s="4"/>
      <c r="D1125" s="7"/>
    </row>
    <row r="1126" spans="1:4" x14ac:dyDescent="0.3">
      <c r="A1126" s="4"/>
      <c r="B1126" s="4"/>
      <c r="C1126" s="4"/>
      <c r="D1126" s="7"/>
    </row>
    <row r="1127" spans="1:4" x14ac:dyDescent="0.3">
      <c r="A1127" s="4"/>
      <c r="B1127" s="4"/>
      <c r="C1127" s="4"/>
      <c r="D1127" s="7"/>
    </row>
    <row r="1128" spans="1:4" x14ac:dyDescent="0.3">
      <c r="A1128" s="4"/>
      <c r="B1128" s="4"/>
      <c r="C1128" s="4"/>
      <c r="D1128" s="7"/>
    </row>
    <row r="1129" spans="1:4" x14ac:dyDescent="0.3">
      <c r="A1129" s="4"/>
      <c r="B1129" s="4"/>
      <c r="C1129" s="4"/>
      <c r="D1129" s="7"/>
    </row>
    <row r="1130" spans="1:4" x14ac:dyDescent="0.3">
      <c r="A1130" s="4"/>
      <c r="B1130" s="4"/>
      <c r="C1130" s="4"/>
      <c r="D1130" s="23"/>
    </row>
    <row r="1131" spans="1:4" x14ac:dyDescent="0.3">
      <c r="A1131" s="4"/>
      <c r="B1131" s="4"/>
      <c r="C1131" s="4"/>
      <c r="D1131" s="23"/>
    </row>
    <row r="1132" spans="1:4" x14ac:dyDescent="0.3">
      <c r="A1132" s="4"/>
      <c r="B1132" s="4"/>
      <c r="C1132" s="4"/>
      <c r="D1132" s="23"/>
    </row>
    <row r="1133" spans="1:4" x14ac:dyDescent="0.3">
      <c r="A1133" s="4"/>
      <c r="B1133" s="4"/>
      <c r="C1133" s="4"/>
      <c r="D1133" s="23"/>
    </row>
    <row r="1134" spans="1:4" x14ac:dyDescent="0.3">
      <c r="A1134" s="4"/>
      <c r="B1134" s="4"/>
      <c r="C1134" s="4"/>
      <c r="D1134" s="23"/>
    </row>
    <row r="1135" spans="1:4" x14ac:dyDescent="0.3">
      <c r="A1135" s="4"/>
      <c r="B1135" s="4"/>
      <c r="C1135" s="4"/>
      <c r="D1135" s="23"/>
    </row>
    <row r="1136" spans="1:4" x14ac:dyDescent="0.3">
      <c r="A1136" s="4"/>
      <c r="B1136" s="4"/>
      <c r="C1136" s="4"/>
      <c r="D1136" s="23"/>
    </row>
    <row r="1137" spans="1:4" x14ac:dyDescent="0.3">
      <c r="A1137" s="4"/>
      <c r="B1137" s="4"/>
      <c r="C1137" s="4"/>
      <c r="D1137" s="23"/>
    </row>
    <row r="1138" spans="1:4" x14ac:dyDescent="0.3">
      <c r="A1138" s="4"/>
      <c r="B1138" s="4"/>
      <c r="C1138" s="4"/>
      <c r="D1138" s="23"/>
    </row>
    <row r="1139" spans="1:4" x14ac:dyDescent="0.3">
      <c r="A1139" s="4"/>
      <c r="B1139" s="4"/>
      <c r="C1139" s="4"/>
      <c r="D1139" s="23"/>
    </row>
    <row r="1140" spans="1:4" x14ac:dyDescent="0.3">
      <c r="A1140" s="4"/>
      <c r="B1140" s="4"/>
      <c r="C1140" s="4"/>
      <c r="D1140" s="23"/>
    </row>
    <row r="1141" spans="1:4" x14ac:dyDescent="0.3">
      <c r="A1141" s="4"/>
      <c r="B1141" s="4"/>
      <c r="C1141" s="4"/>
      <c r="D1141" s="23"/>
    </row>
    <row r="1142" spans="1:4" x14ac:dyDescent="0.3">
      <c r="A1142" s="4"/>
      <c r="B1142" s="4"/>
      <c r="C1142" s="4"/>
      <c r="D1142" s="23"/>
    </row>
    <row r="1143" spans="1:4" x14ac:dyDescent="0.3">
      <c r="A1143" s="4"/>
      <c r="B1143" s="4"/>
      <c r="C1143" s="4"/>
      <c r="D1143" s="23"/>
    </row>
    <row r="1144" spans="1:4" x14ac:dyDescent="0.3">
      <c r="A1144" s="4"/>
      <c r="B1144" s="4"/>
      <c r="C1144" s="4"/>
      <c r="D1144" s="23"/>
    </row>
    <row r="1145" spans="1:4" x14ac:dyDescent="0.3">
      <c r="A1145" s="4"/>
      <c r="B1145" s="4"/>
      <c r="C1145" s="4"/>
      <c r="D1145" s="23"/>
    </row>
    <row r="1146" spans="1:4" x14ac:dyDescent="0.3">
      <c r="A1146" s="4"/>
      <c r="B1146" s="4"/>
      <c r="C1146" s="4"/>
      <c r="D1146" s="23"/>
    </row>
    <row r="1147" spans="1:4" x14ac:dyDescent="0.3">
      <c r="A1147" s="4"/>
      <c r="B1147" s="4"/>
      <c r="C1147" s="4"/>
      <c r="D1147" s="23"/>
    </row>
    <row r="1148" spans="1:4" x14ac:dyDescent="0.3">
      <c r="A1148" s="4"/>
      <c r="B1148" s="4"/>
      <c r="C1148" s="4"/>
      <c r="D1148" s="23"/>
    </row>
    <row r="1149" spans="1:4" x14ac:dyDescent="0.3">
      <c r="A1149" s="4"/>
      <c r="B1149" s="4"/>
      <c r="C1149" s="4"/>
      <c r="D1149" s="23"/>
    </row>
    <row r="1150" spans="1:4" x14ac:dyDescent="0.3">
      <c r="A1150" s="4"/>
      <c r="B1150" s="4"/>
      <c r="C1150" s="4"/>
      <c r="D1150" s="23"/>
    </row>
    <row r="1151" spans="1:4" x14ac:dyDescent="0.3">
      <c r="A1151" s="4"/>
      <c r="B1151" s="4"/>
      <c r="C1151" s="4"/>
      <c r="D1151" s="23"/>
    </row>
    <row r="1152" spans="1:4" x14ac:dyDescent="0.3">
      <c r="A1152" s="4"/>
      <c r="B1152" s="4"/>
      <c r="C1152" s="4"/>
      <c r="D1152" s="23"/>
    </row>
    <row r="1153" spans="1:4" x14ac:dyDescent="0.3">
      <c r="A1153" s="4"/>
      <c r="B1153" s="4"/>
      <c r="C1153" s="4"/>
      <c r="D1153" s="23"/>
    </row>
    <row r="1154" spans="1:4" x14ac:dyDescent="0.3">
      <c r="A1154" s="4"/>
      <c r="B1154" s="4"/>
      <c r="C1154" s="4"/>
      <c r="D1154" s="23"/>
    </row>
    <row r="1155" spans="1:4" x14ac:dyDescent="0.3">
      <c r="A1155" s="4"/>
      <c r="B1155" s="4"/>
      <c r="C1155" s="4"/>
      <c r="D1155" s="23"/>
    </row>
    <row r="1156" spans="1:4" x14ac:dyDescent="0.3">
      <c r="A1156" s="4"/>
      <c r="B1156" s="4"/>
      <c r="C1156" s="4"/>
      <c r="D1156" s="23"/>
    </row>
    <row r="1157" spans="1:4" x14ac:dyDescent="0.3">
      <c r="A1157" s="4"/>
      <c r="B1157" s="4"/>
      <c r="C1157" s="4"/>
      <c r="D1157" s="23"/>
    </row>
    <row r="1158" spans="1:4" x14ac:dyDescent="0.3">
      <c r="A1158" s="4"/>
      <c r="B1158" s="4"/>
      <c r="C1158" s="4"/>
      <c r="D1158" s="23"/>
    </row>
    <row r="1159" spans="1:4" x14ac:dyDescent="0.3">
      <c r="A1159" s="4"/>
      <c r="B1159" s="4"/>
      <c r="C1159" s="4"/>
      <c r="D1159" s="23"/>
    </row>
    <row r="1160" spans="1:4" x14ac:dyDescent="0.3">
      <c r="A1160" s="4"/>
      <c r="B1160" s="4"/>
      <c r="C1160" s="4"/>
      <c r="D1160" s="23"/>
    </row>
    <row r="1161" spans="1:4" x14ac:dyDescent="0.3">
      <c r="A1161" s="4"/>
      <c r="B1161" s="4"/>
      <c r="C1161" s="4"/>
      <c r="D1161" s="23"/>
    </row>
    <row r="1162" spans="1:4" x14ac:dyDescent="0.3">
      <c r="A1162" s="4"/>
      <c r="B1162" s="4"/>
      <c r="C1162" s="4"/>
      <c r="D1162" s="23"/>
    </row>
    <row r="1163" spans="1:4" x14ac:dyDescent="0.3">
      <c r="A1163" s="4"/>
      <c r="B1163" s="4"/>
      <c r="C1163" s="4"/>
      <c r="D1163" s="23"/>
    </row>
    <row r="1164" spans="1:4" x14ac:dyDescent="0.3">
      <c r="A1164" s="4"/>
      <c r="B1164" s="4"/>
      <c r="C1164" s="4"/>
      <c r="D1164" s="23"/>
    </row>
    <row r="1165" spans="1:4" x14ac:dyDescent="0.3">
      <c r="A1165" s="4"/>
      <c r="B1165" s="4"/>
      <c r="C1165" s="4"/>
      <c r="D1165" s="7"/>
    </row>
    <row r="1166" spans="1:4" x14ac:dyDescent="0.3">
      <c r="A1166" s="4"/>
      <c r="B1166" s="4"/>
      <c r="C1166" s="4"/>
      <c r="D1166" s="23"/>
    </row>
    <row r="1167" spans="1:4" x14ac:dyDescent="0.3">
      <c r="A1167" s="4"/>
      <c r="B1167" s="4"/>
      <c r="C1167" s="4"/>
      <c r="D1167" s="23"/>
    </row>
    <row r="1168" spans="1:4" x14ac:dyDescent="0.3">
      <c r="A1168" s="4"/>
      <c r="B1168" s="4"/>
      <c r="C1168" s="4"/>
      <c r="D1168" s="23"/>
    </row>
    <row r="1169" spans="1:4" x14ac:dyDescent="0.3">
      <c r="A1169" s="4"/>
      <c r="B1169" s="4"/>
      <c r="C1169" s="4"/>
      <c r="D1169" s="23"/>
    </row>
    <row r="1170" spans="1:4" x14ac:dyDescent="0.3">
      <c r="A1170" s="4"/>
      <c r="B1170" s="4"/>
      <c r="C1170" s="4"/>
      <c r="D1170" s="23"/>
    </row>
    <row r="1171" spans="1:4" x14ac:dyDescent="0.3">
      <c r="A1171" s="4"/>
      <c r="B1171" s="4"/>
      <c r="C1171" s="4"/>
      <c r="D1171" s="23"/>
    </row>
    <row r="1172" spans="1:4" x14ac:dyDescent="0.3">
      <c r="A1172" s="4"/>
      <c r="B1172" s="4"/>
      <c r="C1172" s="4"/>
      <c r="D1172" s="23"/>
    </row>
    <row r="1173" spans="1:4" x14ac:dyDescent="0.3">
      <c r="A1173" s="4"/>
      <c r="B1173" s="4"/>
      <c r="C1173" s="4"/>
      <c r="D1173" s="23"/>
    </row>
    <row r="1174" spans="1:4" x14ac:dyDescent="0.3">
      <c r="A1174" s="4"/>
      <c r="B1174" s="4"/>
      <c r="C1174" s="4"/>
      <c r="D1174" s="23"/>
    </row>
    <row r="1175" spans="1:4" x14ac:dyDescent="0.3">
      <c r="A1175" s="4"/>
      <c r="B1175" s="4"/>
      <c r="C1175" s="4"/>
      <c r="D1175" s="23"/>
    </row>
    <row r="1176" spans="1:4" x14ac:dyDescent="0.3">
      <c r="A1176" s="4"/>
      <c r="B1176" s="4"/>
      <c r="C1176" s="4"/>
      <c r="D1176" s="23"/>
    </row>
    <row r="1177" spans="1:4" x14ac:dyDescent="0.3">
      <c r="A1177" s="4"/>
      <c r="B1177" s="4"/>
      <c r="C1177" s="4"/>
      <c r="D1177" s="23"/>
    </row>
    <row r="1178" spans="1:4" x14ac:dyDescent="0.3">
      <c r="A1178" s="4"/>
      <c r="B1178" s="4"/>
      <c r="C1178" s="4"/>
      <c r="D1178" s="23"/>
    </row>
    <row r="1179" spans="1:4" x14ac:dyDescent="0.3">
      <c r="A1179" s="4"/>
      <c r="B1179" s="4"/>
      <c r="C1179" s="4"/>
      <c r="D1179" s="23"/>
    </row>
    <row r="1180" spans="1:4" x14ac:dyDescent="0.3">
      <c r="A1180" s="4"/>
      <c r="B1180" s="4"/>
      <c r="C1180" s="4"/>
      <c r="D1180" s="23"/>
    </row>
    <row r="1181" spans="1:4" x14ac:dyDescent="0.3">
      <c r="A1181" s="4"/>
      <c r="B1181" s="4"/>
      <c r="C1181" s="4"/>
      <c r="D1181" s="23"/>
    </row>
    <row r="1182" spans="1:4" x14ac:dyDescent="0.3">
      <c r="A1182" s="4"/>
      <c r="B1182" s="4"/>
      <c r="C1182" s="4"/>
      <c r="D1182" s="23"/>
    </row>
    <row r="1183" spans="1:4" x14ac:dyDescent="0.3">
      <c r="A1183" s="4"/>
      <c r="B1183" s="4"/>
      <c r="C1183" s="4"/>
      <c r="D1183" s="23"/>
    </row>
    <row r="1184" spans="1:4" x14ac:dyDescent="0.3">
      <c r="A1184" s="4"/>
      <c r="B1184" s="4"/>
      <c r="C1184" s="4"/>
      <c r="D1184" s="23"/>
    </row>
    <row r="1185" spans="1:4" x14ac:dyDescent="0.3">
      <c r="A1185" s="4"/>
      <c r="B1185" s="4"/>
      <c r="C1185" s="4"/>
      <c r="D1185" s="23"/>
    </row>
    <row r="1186" spans="1:4" x14ac:dyDescent="0.3">
      <c r="A1186" s="4"/>
      <c r="B1186" s="4"/>
      <c r="C1186" s="4"/>
      <c r="D1186" s="23"/>
    </row>
    <row r="1187" spans="1:4" x14ac:dyDescent="0.3">
      <c r="A1187" s="4"/>
      <c r="B1187" s="4"/>
      <c r="C1187" s="4"/>
      <c r="D1187" s="23"/>
    </row>
    <row r="1188" spans="1:4" x14ac:dyDescent="0.3">
      <c r="A1188" s="4"/>
      <c r="B1188" s="4"/>
      <c r="C1188" s="4"/>
      <c r="D1188" s="23"/>
    </row>
    <row r="1189" spans="1:4" x14ac:dyDescent="0.3">
      <c r="A1189" s="4"/>
      <c r="B1189" s="4"/>
      <c r="C1189" s="4"/>
      <c r="D1189" s="23"/>
    </row>
    <row r="1190" spans="1:4" x14ac:dyDescent="0.3">
      <c r="A1190" s="4"/>
      <c r="B1190" s="4"/>
      <c r="C1190" s="4"/>
      <c r="D1190" s="23"/>
    </row>
    <row r="1191" spans="1:4" x14ac:dyDescent="0.3">
      <c r="A1191" s="4"/>
      <c r="B1191" s="4"/>
      <c r="C1191" s="4"/>
      <c r="D1191" s="23"/>
    </row>
    <row r="1192" spans="1:4" x14ac:dyDescent="0.3">
      <c r="A1192" s="4"/>
      <c r="B1192" s="4"/>
      <c r="C1192" s="4"/>
      <c r="D1192" s="23"/>
    </row>
    <row r="1193" spans="1:4" x14ac:dyDescent="0.3">
      <c r="A1193" s="4"/>
      <c r="B1193" s="4"/>
      <c r="C1193" s="4"/>
      <c r="D1193" s="23"/>
    </row>
    <row r="1194" spans="1:4" x14ac:dyDescent="0.3">
      <c r="A1194" s="4"/>
      <c r="B1194" s="4"/>
      <c r="C1194" s="4"/>
      <c r="D1194" s="23"/>
    </row>
    <row r="1195" spans="1:4" x14ac:dyDescent="0.3">
      <c r="A1195" s="4"/>
      <c r="B1195" s="4"/>
      <c r="C1195" s="4"/>
      <c r="D1195" s="23"/>
    </row>
    <row r="1196" spans="1:4" x14ac:dyDescent="0.3">
      <c r="A1196" s="4"/>
      <c r="B1196" s="4"/>
      <c r="C1196" s="4"/>
      <c r="D1196" s="23"/>
    </row>
    <row r="1197" spans="1:4" x14ac:dyDescent="0.3">
      <c r="A1197" s="4"/>
      <c r="B1197" s="4"/>
      <c r="C1197" s="4"/>
      <c r="D1197" s="23"/>
    </row>
    <row r="1198" spans="1:4" x14ac:dyDescent="0.3">
      <c r="A1198" s="4"/>
      <c r="B1198" s="4"/>
      <c r="C1198" s="4"/>
      <c r="D1198" s="23"/>
    </row>
    <row r="1199" spans="1:4" x14ac:dyDescent="0.3">
      <c r="A1199" s="4"/>
      <c r="B1199" s="4"/>
      <c r="C1199" s="4"/>
      <c r="D1199" s="23"/>
    </row>
    <row r="1200" spans="1:4" x14ac:dyDescent="0.3">
      <c r="A1200" s="4"/>
      <c r="B1200" s="4"/>
      <c r="C1200" s="4"/>
      <c r="D1200" s="23"/>
    </row>
    <row r="1201" spans="1:4" x14ac:dyDescent="0.3">
      <c r="A1201" s="4"/>
      <c r="B1201" s="4"/>
      <c r="C1201" s="4"/>
      <c r="D1201" s="23"/>
    </row>
    <row r="1202" spans="1:4" x14ac:dyDescent="0.3">
      <c r="A1202" s="4"/>
      <c r="B1202" s="4"/>
      <c r="C1202" s="4"/>
      <c r="D1202" s="23"/>
    </row>
    <row r="1203" spans="1:4" x14ac:dyDescent="0.3">
      <c r="A1203" s="4"/>
      <c r="B1203" s="4"/>
      <c r="C1203" s="4"/>
      <c r="D1203" s="23"/>
    </row>
    <row r="1204" spans="1:4" x14ac:dyDescent="0.3">
      <c r="A1204" s="4"/>
      <c r="B1204" s="4"/>
      <c r="C1204" s="4"/>
      <c r="D1204" s="23"/>
    </row>
    <row r="1205" spans="1:4" x14ac:dyDescent="0.3">
      <c r="A1205" s="4"/>
      <c r="B1205" s="4"/>
      <c r="C1205" s="4"/>
      <c r="D1205" s="23"/>
    </row>
    <row r="1206" spans="1:4" x14ac:dyDescent="0.3">
      <c r="A1206" s="4"/>
      <c r="B1206" s="4"/>
      <c r="C1206" s="4"/>
      <c r="D1206" s="23"/>
    </row>
    <row r="1207" spans="1:4" x14ac:dyDescent="0.3">
      <c r="A1207" s="4"/>
      <c r="B1207" s="4"/>
      <c r="C1207" s="4"/>
      <c r="D1207" s="23"/>
    </row>
    <row r="1208" spans="1:4" x14ac:dyDescent="0.3">
      <c r="A1208" s="4"/>
      <c r="B1208" s="4"/>
      <c r="C1208" s="4"/>
      <c r="D1208" s="23"/>
    </row>
    <row r="1209" spans="1:4" x14ac:dyDescent="0.3">
      <c r="A1209" s="4"/>
      <c r="B1209" s="4"/>
      <c r="C1209" s="4"/>
      <c r="D1209" s="23"/>
    </row>
    <row r="1210" spans="1:4" x14ac:dyDescent="0.3">
      <c r="A1210" s="4"/>
      <c r="B1210" s="4"/>
      <c r="C1210" s="4"/>
      <c r="D1210" s="23"/>
    </row>
    <row r="1211" spans="1:4" x14ac:dyDescent="0.3">
      <c r="A1211" s="4"/>
      <c r="B1211" s="4"/>
      <c r="C1211" s="4"/>
      <c r="D1211" s="23"/>
    </row>
    <row r="1212" spans="1:4" x14ac:dyDescent="0.3">
      <c r="A1212" s="4"/>
      <c r="B1212" s="4"/>
      <c r="C1212" s="4"/>
      <c r="D1212" s="23"/>
    </row>
    <row r="1213" spans="1:4" x14ac:dyDescent="0.3">
      <c r="A1213" s="4"/>
      <c r="B1213" s="4"/>
      <c r="C1213" s="4"/>
      <c r="D1213" s="23"/>
    </row>
    <row r="1214" spans="1:4" x14ac:dyDescent="0.3">
      <c r="A1214" s="4"/>
      <c r="B1214" s="4"/>
      <c r="C1214" s="4"/>
      <c r="D1214" s="23"/>
    </row>
    <row r="1215" spans="1:4" x14ac:dyDescent="0.3">
      <c r="A1215" s="4"/>
      <c r="B1215" s="4"/>
      <c r="C1215" s="4"/>
      <c r="D1215" s="23"/>
    </row>
    <row r="1216" spans="1:4" x14ac:dyDescent="0.3">
      <c r="A1216" s="4"/>
      <c r="B1216" s="4"/>
      <c r="C1216" s="4"/>
      <c r="D1216" s="23"/>
    </row>
    <row r="1217" spans="1:4" x14ac:dyDescent="0.3">
      <c r="A1217" s="4"/>
      <c r="B1217" s="4"/>
      <c r="C1217" s="4"/>
      <c r="D1217" s="23"/>
    </row>
    <row r="1218" spans="1:4" x14ac:dyDescent="0.3">
      <c r="A1218" s="4"/>
      <c r="B1218" s="4"/>
      <c r="C1218" s="4"/>
      <c r="D1218" s="23"/>
    </row>
    <row r="1219" spans="1:4" x14ac:dyDescent="0.3">
      <c r="A1219" s="4"/>
      <c r="B1219" s="4"/>
      <c r="C1219" s="4"/>
      <c r="D1219" s="23"/>
    </row>
    <row r="1220" spans="1:4" x14ac:dyDescent="0.3">
      <c r="A1220" s="4"/>
      <c r="B1220" s="4"/>
      <c r="C1220" s="4"/>
      <c r="D1220" s="23"/>
    </row>
    <row r="1221" spans="1:4" x14ac:dyDescent="0.3">
      <c r="A1221" s="4"/>
      <c r="B1221" s="4"/>
      <c r="C1221" s="4"/>
      <c r="D1221" s="23"/>
    </row>
    <row r="1222" spans="1:4" x14ac:dyDescent="0.3">
      <c r="A1222" s="4"/>
      <c r="B1222" s="4"/>
      <c r="C1222" s="4"/>
      <c r="D1222" s="23"/>
    </row>
    <row r="1223" spans="1:4" x14ac:dyDescent="0.3">
      <c r="A1223" s="4"/>
      <c r="B1223" s="4"/>
      <c r="C1223" s="4"/>
      <c r="D1223" s="23"/>
    </row>
    <row r="1224" spans="1:4" x14ac:dyDescent="0.3">
      <c r="A1224" s="4"/>
      <c r="B1224" s="4"/>
      <c r="C1224" s="4"/>
      <c r="D1224" s="23"/>
    </row>
    <row r="1225" spans="1:4" x14ac:dyDescent="0.3">
      <c r="A1225" s="4"/>
      <c r="B1225" s="4"/>
      <c r="C1225" s="4"/>
      <c r="D1225" s="23"/>
    </row>
    <row r="1226" spans="1:4" x14ac:dyDescent="0.3">
      <c r="A1226" s="4"/>
      <c r="B1226" s="4"/>
      <c r="C1226" s="4"/>
      <c r="D1226" s="23"/>
    </row>
    <row r="1227" spans="1:4" x14ac:dyDescent="0.3">
      <c r="A1227" s="4"/>
      <c r="B1227" s="4"/>
      <c r="C1227" s="4"/>
      <c r="D1227" s="23"/>
    </row>
    <row r="1228" spans="1:4" x14ac:dyDescent="0.3">
      <c r="A1228" s="4"/>
      <c r="B1228" s="4"/>
      <c r="C1228" s="4"/>
      <c r="D1228" s="23"/>
    </row>
    <row r="1229" spans="1:4" x14ac:dyDescent="0.3">
      <c r="A1229" s="4"/>
      <c r="B1229" s="4"/>
      <c r="C1229" s="4"/>
      <c r="D1229" s="23"/>
    </row>
    <row r="1230" spans="1:4" x14ac:dyDescent="0.3">
      <c r="A1230" s="4"/>
      <c r="B1230" s="4"/>
      <c r="C1230" s="4"/>
      <c r="D1230" s="7"/>
    </row>
    <row r="1231" spans="1:4" x14ac:dyDescent="0.3">
      <c r="A1231" s="4"/>
      <c r="B1231" s="4"/>
      <c r="C1231" s="4"/>
      <c r="D1231" s="23"/>
    </row>
    <row r="1232" spans="1:4" x14ac:dyDescent="0.3">
      <c r="A1232" s="4"/>
      <c r="B1232" s="4"/>
      <c r="C1232" s="4"/>
      <c r="D1232" s="23"/>
    </row>
    <row r="1233" spans="1:4" x14ac:dyDescent="0.3">
      <c r="A1233" s="4"/>
      <c r="B1233" s="4"/>
      <c r="C1233" s="4"/>
      <c r="D1233" s="23"/>
    </row>
    <row r="1234" spans="1:4" x14ac:dyDescent="0.3">
      <c r="A1234" s="4"/>
      <c r="B1234" s="4"/>
      <c r="C1234" s="4"/>
      <c r="D1234" s="23"/>
    </row>
    <row r="1235" spans="1:4" x14ac:dyDescent="0.3">
      <c r="A1235" s="4"/>
      <c r="B1235" s="4"/>
      <c r="C1235" s="4"/>
      <c r="D1235" s="23"/>
    </row>
    <row r="1236" spans="1:4" x14ac:dyDescent="0.3">
      <c r="A1236" s="4"/>
      <c r="B1236" s="4"/>
      <c r="C1236" s="4"/>
      <c r="D1236" s="23"/>
    </row>
    <row r="1237" spans="1:4" x14ac:dyDescent="0.3">
      <c r="A1237" s="4"/>
      <c r="B1237" s="4"/>
      <c r="C1237" s="4"/>
      <c r="D1237" s="23"/>
    </row>
    <row r="1238" spans="1:4" x14ac:dyDescent="0.3">
      <c r="A1238" s="4"/>
      <c r="B1238" s="4"/>
      <c r="C1238" s="4"/>
      <c r="D1238" s="23"/>
    </row>
    <row r="1239" spans="1:4" x14ac:dyDescent="0.3">
      <c r="A1239" s="4"/>
      <c r="B1239" s="4"/>
      <c r="C1239" s="4"/>
      <c r="D1239" s="23"/>
    </row>
    <row r="1240" spans="1:4" x14ac:dyDescent="0.3">
      <c r="A1240" s="4"/>
      <c r="B1240" s="4"/>
      <c r="C1240" s="4"/>
      <c r="D1240" s="23"/>
    </row>
    <row r="1241" spans="1:4" x14ac:dyDescent="0.3">
      <c r="A1241" s="4"/>
      <c r="B1241" s="4"/>
      <c r="C1241" s="4"/>
      <c r="D1241" s="23"/>
    </row>
    <row r="1242" spans="1:4" x14ac:dyDescent="0.3">
      <c r="A1242" s="4"/>
      <c r="B1242" s="4"/>
      <c r="C1242" s="4"/>
      <c r="D1242" s="23"/>
    </row>
    <row r="1243" spans="1:4" x14ac:dyDescent="0.3">
      <c r="A1243" s="4"/>
      <c r="B1243" s="4"/>
      <c r="C1243" s="4"/>
      <c r="D1243" s="23"/>
    </row>
    <row r="1244" spans="1:4" x14ac:dyDescent="0.3">
      <c r="A1244" s="4"/>
      <c r="B1244" s="4"/>
      <c r="C1244" s="4"/>
      <c r="D1244" s="23"/>
    </row>
    <row r="1245" spans="1:4" x14ac:dyDescent="0.3">
      <c r="A1245" s="4"/>
      <c r="B1245" s="4"/>
      <c r="C1245" s="4"/>
      <c r="D1245" s="23"/>
    </row>
    <row r="1246" spans="1:4" x14ac:dyDescent="0.3">
      <c r="A1246" s="4"/>
      <c r="B1246" s="4"/>
      <c r="C1246" s="4"/>
      <c r="D1246" s="23"/>
    </row>
    <row r="1247" spans="1:4" x14ac:dyDescent="0.3">
      <c r="A1247" s="4"/>
      <c r="B1247" s="4"/>
      <c r="C1247" s="4"/>
      <c r="D1247" s="23"/>
    </row>
    <row r="1248" spans="1:4" x14ac:dyDescent="0.3">
      <c r="A1248" s="4"/>
      <c r="B1248" s="4"/>
      <c r="C1248" s="4"/>
      <c r="D1248" s="23"/>
    </row>
    <row r="1249" spans="1:4" x14ac:dyDescent="0.3">
      <c r="A1249" s="4"/>
      <c r="B1249" s="4"/>
      <c r="C1249" s="4"/>
      <c r="D1249" s="23"/>
    </row>
    <row r="1250" spans="1:4" x14ac:dyDescent="0.3">
      <c r="A1250" s="4"/>
      <c r="B1250" s="4"/>
      <c r="C1250" s="4"/>
      <c r="D1250" s="23"/>
    </row>
    <row r="1251" spans="1:4" x14ac:dyDescent="0.3">
      <c r="A1251" s="4"/>
      <c r="B1251" s="4"/>
      <c r="C1251" s="4"/>
      <c r="D1251" s="23"/>
    </row>
    <row r="1252" spans="1:4" x14ac:dyDescent="0.3">
      <c r="A1252" s="4"/>
      <c r="B1252" s="4"/>
      <c r="C1252" s="4"/>
      <c r="D1252" s="23"/>
    </row>
    <row r="1253" spans="1:4" x14ac:dyDescent="0.3">
      <c r="A1253" s="4"/>
      <c r="B1253" s="4"/>
      <c r="C1253" s="4"/>
      <c r="D1253" s="23"/>
    </row>
    <row r="1254" spans="1:4" x14ac:dyDescent="0.3">
      <c r="A1254" s="4"/>
      <c r="B1254" s="4"/>
      <c r="C1254" s="4"/>
      <c r="D1254" s="23"/>
    </row>
    <row r="1255" spans="1:4" x14ac:dyDescent="0.3">
      <c r="A1255" s="4"/>
      <c r="B1255" s="4"/>
      <c r="C1255" s="4"/>
      <c r="D1255" s="23"/>
    </row>
    <row r="1256" spans="1:4" x14ac:dyDescent="0.3">
      <c r="A1256" s="4"/>
      <c r="B1256" s="4"/>
      <c r="C1256" s="4"/>
      <c r="D1256" s="23"/>
    </row>
    <row r="1257" spans="1:4" x14ac:dyDescent="0.3">
      <c r="A1257" s="4"/>
      <c r="B1257" s="4"/>
      <c r="C1257" s="4"/>
      <c r="D1257" s="23"/>
    </row>
    <row r="1258" spans="1:4" x14ac:dyDescent="0.3">
      <c r="A1258" s="4"/>
      <c r="B1258" s="4"/>
      <c r="C1258" s="4"/>
      <c r="D1258" s="23"/>
    </row>
    <row r="1259" spans="1:4" x14ac:dyDescent="0.3">
      <c r="A1259" s="4"/>
      <c r="B1259" s="4"/>
      <c r="C1259" s="4"/>
      <c r="D1259" s="23"/>
    </row>
    <row r="1260" spans="1:4" x14ac:dyDescent="0.3">
      <c r="A1260" s="4"/>
      <c r="B1260" s="4"/>
      <c r="C1260" s="4"/>
      <c r="D1260" s="23"/>
    </row>
    <row r="1261" spans="1:4" x14ac:dyDescent="0.3">
      <c r="A1261" s="4"/>
      <c r="B1261" s="4"/>
      <c r="C1261" s="4"/>
      <c r="D1261" s="23"/>
    </row>
    <row r="1262" spans="1:4" x14ac:dyDescent="0.3">
      <c r="A1262" s="4"/>
      <c r="B1262" s="4"/>
      <c r="C1262" s="4"/>
      <c r="D1262" s="23"/>
    </row>
    <row r="1263" spans="1:4" x14ac:dyDescent="0.3">
      <c r="A1263" s="4"/>
      <c r="B1263" s="4"/>
      <c r="C1263" s="4"/>
      <c r="D1263" s="23"/>
    </row>
    <row r="1264" spans="1:4" x14ac:dyDescent="0.3">
      <c r="A1264" s="4"/>
      <c r="B1264" s="4"/>
      <c r="C1264" s="4"/>
      <c r="D1264" s="23"/>
    </row>
    <row r="1265" spans="1:4" x14ac:dyDescent="0.3">
      <c r="A1265" s="4"/>
      <c r="B1265" s="4"/>
      <c r="C1265" s="4"/>
      <c r="D1265" s="23"/>
    </row>
    <row r="1266" spans="1:4" x14ac:dyDescent="0.3">
      <c r="A1266" s="4"/>
      <c r="B1266" s="4"/>
      <c r="C1266" s="4"/>
      <c r="D1266" s="23"/>
    </row>
    <row r="1267" spans="1:4" x14ac:dyDescent="0.3">
      <c r="A1267" s="4"/>
      <c r="B1267" s="4"/>
      <c r="C1267" s="4"/>
      <c r="D1267" s="23"/>
    </row>
    <row r="1268" spans="1:4" x14ac:dyDescent="0.3">
      <c r="A1268" s="4"/>
      <c r="B1268" s="4"/>
      <c r="C1268" s="4"/>
      <c r="D1268" s="23"/>
    </row>
    <row r="1269" spans="1:4" x14ac:dyDescent="0.3">
      <c r="A1269" s="4"/>
      <c r="B1269" s="4"/>
      <c r="C1269" s="4"/>
      <c r="D1269" s="23"/>
    </row>
    <row r="1270" spans="1:4" x14ac:dyDescent="0.3">
      <c r="A1270" s="4"/>
      <c r="B1270" s="4"/>
      <c r="C1270" s="4"/>
      <c r="D1270" s="23"/>
    </row>
    <row r="1271" spans="1:4" x14ac:dyDescent="0.3">
      <c r="A1271" s="4"/>
      <c r="B1271" s="4"/>
      <c r="C1271" s="4"/>
      <c r="D1271" s="23"/>
    </row>
    <row r="1272" spans="1:4" x14ac:dyDescent="0.3">
      <c r="A1272" s="4"/>
      <c r="B1272" s="4"/>
      <c r="C1272" s="4"/>
      <c r="D1272" s="23"/>
    </row>
    <row r="1273" spans="1:4" x14ac:dyDescent="0.3">
      <c r="A1273" s="4"/>
      <c r="B1273" s="4"/>
      <c r="C1273" s="4"/>
      <c r="D1273" s="23"/>
    </row>
    <row r="1274" spans="1:4" x14ac:dyDescent="0.3">
      <c r="A1274" s="4"/>
      <c r="B1274" s="4"/>
      <c r="C1274" s="4"/>
      <c r="D1274" s="23"/>
    </row>
    <row r="1275" spans="1:4" x14ac:dyDescent="0.3">
      <c r="A1275" s="4"/>
      <c r="B1275" s="4"/>
      <c r="C1275" s="4"/>
      <c r="D1275" s="23"/>
    </row>
    <row r="1276" spans="1:4" x14ac:dyDescent="0.3">
      <c r="A1276" s="4"/>
      <c r="B1276" s="4"/>
      <c r="C1276" s="4"/>
      <c r="D1276" s="23"/>
    </row>
    <row r="1277" spans="1:4" x14ac:dyDescent="0.3">
      <c r="A1277" s="4"/>
      <c r="B1277" s="4"/>
      <c r="C1277" s="4"/>
      <c r="D1277" s="23"/>
    </row>
    <row r="1278" spans="1:4" x14ac:dyDescent="0.3">
      <c r="A1278" s="4"/>
      <c r="B1278" s="4"/>
      <c r="C1278" s="4"/>
      <c r="D1278" s="7"/>
    </row>
    <row r="1279" spans="1:4" x14ac:dyDescent="0.3">
      <c r="A1279" s="4"/>
      <c r="B1279" s="4"/>
      <c r="C1279" s="4"/>
      <c r="D1279" s="7"/>
    </row>
    <row r="1280" spans="1:4" x14ac:dyDescent="0.3">
      <c r="A1280" s="4"/>
      <c r="B1280" s="4"/>
      <c r="C1280" s="4"/>
      <c r="D1280" s="7"/>
    </row>
    <row r="1281" spans="1:4" x14ac:dyDescent="0.3">
      <c r="A1281" s="4"/>
      <c r="B1281" s="4"/>
      <c r="C1281" s="4"/>
      <c r="D1281" s="7"/>
    </row>
    <row r="1282" spans="1:4" x14ac:dyDescent="0.3">
      <c r="A1282" s="4"/>
      <c r="B1282" s="4"/>
      <c r="C1282" s="4"/>
      <c r="D1282" s="7"/>
    </row>
    <row r="1283" spans="1:4" x14ac:dyDescent="0.3">
      <c r="A1283" s="4"/>
      <c r="B1283" s="4"/>
      <c r="C1283" s="4"/>
      <c r="D1283" s="23"/>
    </row>
    <row r="1284" spans="1:4" x14ac:dyDescent="0.3">
      <c r="A1284" s="4"/>
      <c r="B1284" s="4"/>
      <c r="C1284" s="4"/>
      <c r="D1284" s="23"/>
    </row>
    <row r="1285" spans="1:4" x14ac:dyDescent="0.3">
      <c r="A1285" s="4"/>
      <c r="B1285" s="4"/>
      <c r="C1285" s="4"/>
      <c r="D1285" s="7"/>
    </row>
    <row r="1286" spans="1:4" x14ac:dyDescent="0.3">
      <c r="A1286" s="4"/>
      <c r="B1286" s="4"/>
      <c r="C1286" s="4"/>
      <c r="D1286" s="23"/>
    </row>
    <row r="1287" spans="1:4" x14ac:dyDescent="0.3">
      <c r="A1287" s="4"/>
      <c r="B1287" s="4"/>
      <c r="C1287" s="4"/>
      <c r="D1287" s="7"/>
    </row>
    <row r="1288" spans="1:4" x14ac:dyDescent="0.3">
      <c r="A1288" s="4"/>
      <c r="B1288" s="4"/>
      <c r="C1288" s="4"/>
      <c r="D1288" s="7"/>
    </row>
    <row r="1289" spans="1:4" x14ac:dyDescent="0.3">
      <c r="A1289" s="4"/>
      <c r="B1289" s="4"/>
      <c r="C1289" s="4"/>
      <c r="D1289" s="7"/>
    </row>
    <row r="1290" spans="1:4" x14ac:dyDescent="0.3">
      <c r="A1290" s="4"/>
      <c r="B1290" s="4"/>
      <c r="C1290" s="4"/>
      <c r="D1290" s="7"/>
    </row>
    <row r="1291" spans="1:4" x14ac:dyDescent="0.3">
      <c r="A1291" s="4"/>
      <c r="B1291" s="4"/>
      <c r="C1291" s="4"/>
      <c r="D1291" s="7"/>
    </row>
    <row r="1292" spans="1:4" x14ac:dyDescent="0.3">
      <c r="A1292" s="4"/>
      <c r="B1292" s="4"/>
      <c r="C1292" s="4"/>
      <c r="D1292" s="23"/>
    </row>
    <row r="1293" spans="1:4" x14ac:dyDescent="0.3">
      <c r="A1293" s="4"/>
      <c r="B1293" s="4"/>
      <c r="C1293" s="4"/>
      <c r="D1293" s="7"/>
    </row>
    <row r="1294" spans="1:4" x14ac:dyDescent="0.3">
      <c r="A1294" s="4"/>
      <c r="B1294" s="4"/>
      <c r="C1294" s="4"/>
      <c r="D1294" s="7"/>
    </row>
    <row r="1295" spans="1:4" x14ac:dyDescent="0.3">
      <c r="A1295" s="4"/>
      <c r="B1295" s="4"/>
      <c r="C1295" s="4"/>
      <c r="D1295" s="7"/>
    </row>
    <row r="1296" spans="1:4" x14ac:dyDescent="0.3">
      <c r="A1296" s="4"/>
      <c r="B1296" s="4"/>
      <c r="C1296" s="4"/>
      <c r="D1296" s="7"/>
    </row>
    <row r="1297" spans="1:4" x14ac:dyDescent="0.3">
      <c r="A1297" s="4"/>
      <c r="B1297" s="4"/>
      <c r="C1297" s="4"/>
      <c r="D1297" s="7"/>
    </row>
    <row r="1298" spans="1:4" x14ac:dyDescent="0.3">
      <c r="A1298" s="4"/>
      <c r="B1298" s="4"/>
      <c r="C1298" s="4"/>
      <c r="D1298" s="7"/>
    </row>
    <row r="1299" spans="1:4" x14ac:dyDescent="0.3">
      <c r="A1299" s="4"/>
      <c r="B1299" s="4"/>
      <c r="C1299" s="4"/>
      <c r="D1299" s="7"/>
    </row>
    <row r="1300" spans="1:4" x14ac:dyDescent="0.3">
      <c r="A1300" s="4"/>
      <c r="B1300" s="4"/>
      <c r="C1300" s="4"/>
      <c r="D1300" s="7"/>
    </row>
    <row r="1301" spans="1:4" x14ac:dyDescent="0.3">
      <c r="A1301" s="4"/>
      <c r="B1301" s="4"/>
      <c r="C1301" s="4"/>
      <c r="D1301" s="7"/>
    </row>
    <row r="1302" spans="1:4" x14ac:dyDescent="0.3">
      <c r="A1302" s="4"/>
      <c r="B1302" s="4"/>
      <c r="C1302" s="4"/>
      <c r="D1302" s="7"/>
    </row>
    <row r="1303" spans="1:4" x14ac:dyDescent="0.3">
      <c r="A1303" s="4"/>
      <c r="B1303" s="4"/>
      <c r="C1303" s="4"/>
      <c r="D1303" s="7"/>
    </row>
    <row r="1304" spans="1:4" x14ac:dyDescent="0.3">
      <c r="A1304" s="4"/>
      <c r="B1304" s="4"/>
      <c r="C1304" s="4"/>
      <c r="D1304" s="7"/>
    </row>
    <row r="1305" spans="1:4" x14ac:dyDescent="0.3">
      <c r="A1305" s="4"/>
      <c r="B1305" s="4"/>
      <c r="C1305" s="4"/>
      <c r="D1305" s="7"/>
    </row>
    <row r="1306" spans="1:4" x14ac:dyDescent="0.3">
      <c r="A1306" s="4"/>
      <c r="B1306" s="4"/>
      <c r="C1306" s="4"/>
      <c r="D1306" s="7"/>
    </row>
    <row r="1307" spans="1:4" x14ac:dyDescent="0.3">
      <c r="A1307" s="4"/>
      <c r="B1307" s="4"/>
      <c r="C1307" s="4"/>
      <c r="D1307" s="7"/>
    </row>
    <row r="1308" spans="1:4" x14ac:dyDescent="0.3">
      <c r="A1308" s="4"/>
      <c r="B1308" s="4"/>
      <c r="C1308" s="4"/>
      <c r="D1308" s="7"/>
    </row>
    <row r="1309" spans="1:4" x14ac:dyDescent="0.3">
      <c r="A1309" s="4"/>
      <c r="B1309" s="4"/>
      <c r="C1309" s="4"/>
      <c r="D1309" s="7"/>
    </row>
    <row r="1310" spans="1:4" x14ac:dyDescent="0.3">
      <c r="A1310" s="4"/>
      <c r="B1310" s="4"/>
      <c r="C1310" s="4"/>
      <c r="D1310" s="7"/>
    </row>
    <row r="1311" spans="1:4" x14ac:dyDescent="0.3">
      <c r="A1311" s="4"/>
      <c r="B1311" s="4"/>
      <c r="C1311" s="4"/>
      <c r="D1311" s="7"/>
    </row>
    <row r="1312" spans="1:4" x14ac:dyDescent="0.3">
      <c r="A1312" s="4"/>
      <c r="B1312" s="4"/>
      <c r="C1312" s="4"/>
      <c r="D1312" s="7"/>
    </row>
    <row r="1313" spans="1:4" x14ac:dyDescent="0.3">
      <c r="A1313" s="4"/>
      <c r="B1313" s="4"/>
      <c r="C1313" s="4"/>
      <c r="D1313" s="7"/>
    </row>
    <row r="1314" spans="1:4" x14ac:dyDescent="0.3">
      <c r="A1314" s="4"/>
      <c r="B1314" s="4"/>
      <c r="C1314" s="4"/>
      <c r="D1314" s="7"/>
    </row>
    <row r="1315" spans="1:4" x14ac:dyDescent="0.3">
      <c r="A1315" s="4"/>
      <c r="B1315" s="4"/>
      <c r="C1315" s="4"/>
      <c r="D1315" s="7"/>
    </row>
    <row r="1316" spans="1:4" x14ac:dyDescent="0.3">
      <c r="A1316" s="4"/>
      <c r="B1316" s="4"/>
      <c r="C1316" s="4"/>
      <c r="D1316" s="7"/>
    </row>
    <row r="1317" spans="1:4" x14ac:dyDescent="0.3">
      <c r="A1317" s="4"/>
      <c r="B1317" s="4"/>
      <c r="C1317" s="4"/>
      <c r="D1317" s="7"/>
    </row>
    <row r="1318" spans="1:4" x14ac:dyDescent="0.3">
      <c r="A1318" s="4"/>
      <c r="B1318" s="4"/>
      <c r="C1318" s="4"/>
      <c r="D1318" s="7"/>
    </row>
    <row r="1319" spans="1:4" x14ac:dyDescent="0.3">
      <c r="A1319" s="4"/>
      <c r="B1319" s="4"/>
      <c r="C1319" s="4"/>
      <c r="D1319" s="7"/>
    </row>
    <row r="1320" spans="1:4" x14ac:dyDescent="0.3">
      <c r="A1320" s="4"/>
      <c r="B1320" s="4"/>
      <c r="C1320" s="4"/>
      <c r="D1320" s="7"/>
    </row>
    <row r="1321" spans="1:4" x14ac:dyDescent="0.3">
      <c r="A1321" s="4"/>
      <c r="B1321" s="4"/>
      <c r="C1321" s="4"/>
      <c r="D1321" s="7"/>
    </row>
    <row r="1322" spans="1:4" x14ac:dyDescent="0.3">
      <c r="A1322" s="4"/>
      <c r="B1322" s="4"/>
      <c r="C1322" s="4"/>
      <c r="D1322" s="7"/>
    </row>
    <row r="1323" spans="1:4" x14ac:dyDescent="0.3">
      <c r="A1323" s="4"/>
      <c r="B1323" s="4"/>
      <c r="C1323" s="4"/>
      <c r="D1323" s="7"/>
    </row>
    <row r="1324" spans="1:4" x14ac:dyDescent="0.3">
      <c r="A1324" s="4"/>
      <c r="B1324" s="4"/>
      <c r="C1324" s="4"/>
      <c r="D1324" s="7"/>
    </row>
    <row r="1325" spans="1:4" x14ac:dyDescent="0.3">
      <c r="A1325" s="4"/>
      <c r="B1325" s="4"/>
      <c r="C1325" s="4"/>
      <c r="D1325" s="7"/>
    </row>
    <row r="1326" spans="1:4" x14ac:dyDescent="0.3">
      <c r="A1326" s="4"/>
      <c r="B1326" s="4"/>
      <c r="C1326" s="4"/>
      <c r="D1326" s="7"/>
    </row>
    <row r="1327" spans="1:4" x14ac:dyDescent="0.3">
      <c r="A1327" s="4"/>
      <c r="B1327" s="4"/>
      <c r="C1327" s="4"/>
      <c r="D1327" s="7"/>
    </row>
    <row r="1328" spans="1:4" x14ac:dyDescent="0.3">
      <c r="A1328" s="4"/>
      <c r="B1328" s="4"/>
      <c r="C1328" s="4"/>
      <c r="D1328" s="7"/>
    </row>
    <row r="1329" spans="1:4" x14ac:dyDescent="0.3">
      <c r="A1329" s="4"/>
      <c r="B1329" s="4"/>
      <c r="C1329" s="4"/>
      <c r="D1329" s="7"/>
    </row>
    <row r="1330" spans="1:4" x14ac:dyDescent="0.3">
      <c r="A1330" s="4"/>
      <c r="B1330" s="4"/>
      <c r="C1330" s="4"/>
      <c r="D1330" s="7"/>
    </row>
    <row r="1331" spans="1:4" x14ac:dyDescent="0.3">
      <c r="A1331" s="4"/>
      <c r="B1331" s="4"/>
      <c r="C1331" s="4"/>
      <c r="D1331" s="7"/>
    </row>
    <row r="1332" spans="1:4" x14ac:dyDescent="0.3">
      <c r="A1332" s="4"/>
      <c r="B1332" s="4"/>
      <c r="C1332" s="4"/>
      <c r="D1332" s="7"/>
    </row>
    <row r="1333" spans="1:4" x14ac:dyDescent="0.3">
      <c r="A1333" s="4"/>
      <c r="B1333" s="4"/>
      <c r="C1333" s="4"/>
      <c r="D1333" s="7"/>
    </row>
    <row r="1334" spans="1:4" x14ac:dyDescent="0.3">
      <c r="A1334" s="4"/>
      <c r="B1334" s="4"/>
      <c r="C1334" s="4"/>
      <c r="D1334" s="7"/>
    </row>
    <row r="1335" spans="1:4" x14ac:dyDescent="0.3">
      <c r="A1335" s="4"/>
      <c r="B1335" s="4"/>
      <c r="C1335" s="4"/>
      <c r="D1335" s="7"/>
    </row>
    <row r="1336" spans="1:4" x14ac:dyDescent="0.3">
      <c r="A1336" s="4"/>
      <c r="B1336" s="4"/>
      <c r="C1336" s="4"/>
      <c r="D1336" s="7"/>
    </row>
    <row r="1337" spans="1:4" x14ac:dyDescent="0.3">
      <c r="A1337" s="4"/>
      <c r="B1337" s="4"/>
      <c r="C1337" s="4"/>
      <c r="D1337" s="7"/>
    </row>
    <row r="1338" spans="1:4" x14ac:dyDescent="0.3">
      <c r="A1338" s="4"/>
      <c r="B1338" s="4"/>
      <c r="C1338" s="4"/>
      <c r="D1338" s="7"/>
    </row>
    <row r="1339" spans="1:4" x14ac:dyDescent="0.3">
      <c r="A1339" s="4"/>
      <c r="B1339" s="4"/>
      <c r="C1339" s="4"/>
      <c r="D1339" s="7"/>
    </row>
    <row r="1340" spans="1:4" x14ac:dyDescent="0.3">
      <c r="A1340" s="4"/>
      <c r="B1340" s="4"/>
      <c r="C1340" s="4"/>
      <c r="D1340" s="7"/>
    </row>
    <row r="1341" spans="1:4" x14ac:dyDescent="0.3">
      <c r="A1341" s="4"/>
      <c r="B1341" s="4"/>
      <c r="C1341" s="4"/>
      <c r="D1341" s="7"/>
    </row>
    <row r="1342" spans="1:4" x14ac:dyDescent="0.3">
      <c r="A1342" s="4"/>
      <c r="B1342" s="4"/>
      <c r="C1342" s="4"/>
      <c r="D1342" s="7"/>
    </row>
    <row r="1343" spans="1:4" x14ac:dyDescent="0.3">
      <c r="A1343" s="4"/>
      <c r="B1343" s="4"/>
      <c r="C1343" s="4"/>
      <c r="D1343" s="7"/>
    </row>
    <row r="1344" spans="1:4" x14ac:dyDescent="0.3">
      <c r="A1344" s="4"/>
      <c r="B1344" s="4"/>
      <c r="C1344" s="4"/>
      <c r="D1344" s="7"/>
    </row>
    <row r="1345" spans="1:4" x14ac:dyDescent="0.3">
      <c r="A1345" s="4"/>
      <c r="B1345" s="4"/>
      <c r="C1345" s="4"/>
      <c r="D1345" s="7"/>
    </row>
    <row r="1346" spans="1:4" x14ac:dyDescent="0.3">
      <c r="A1346" s="4"/>
      <c r="B1346" s="4"/>
      <c r="C1346" s="4"/>
      <c r="D1346" s="7"/>
    </row>
    <row r="1347" spans="1:4" x14ac:dyDescent="0.3">
      <c r="A1347" s="4"/>
      <c r="B1347" s="4"/>
      <c r="C1347" s="4"/>
      <c r="D1347" s="7"/>
    </row>
    <row r="1348" spans="1:4" x14ac:dyDescent="0.3">
      <c r="A1348" s="4"/>
      <c r="B1348" s="4"/>
      <c r="C1348" s="4"/>
      <c r="D1348" s="7"/>
    </row>
    <row r="1349" spans="1:4" x14ac:dyDescent="0.3">
      <c r="A1349" s="4"/>
      <c r="B1349" s="4"/>
      <c r="C1349" s="4"/>
      <c r="D1349" s="7"/>
    </row>
    <row r="1350" spans="1:4" x14ac:dyDescent="0.3">
      <c r="A1350" s="4"/>
      <c r="B1350" s="4"/>
      <c r="C1350" s="4"/>
      <c r="D1350" s="7"/>
    </row>
    <row r="1351" spans="1:4" x14ac:dyDescent="0.3">
      <c r="A1351" s="4"/>
      <c r="B1351" s="4"/>
      <c r="C1351" s="4"/>
      <c r="D1351" s="7"/>
    </row>
    <row r="1352" spans="1:4" x14ac:dyDescent="0.3">
      <c r="A1352" s="4"/>
      <c r="B1352" s="4"/>
      <c r="C1352" s="4"/>
      <c r="D1352" s="7"/>
    </row>
    <row r="1353" spans="1:4" x14ac:dyDescent="0.3">
      <c r="A1353" s="4"/>
      <c r="B1353" s="4"/>
      <c r="C1353" s="4"/>
      <c r="D1353" s="7"/>
    </row>
    <row r="1354" spans="1:4" x14ac:dyDescent="0.3">
      <c r="A1354" s="4"/>
      <c r="B1354" s="4"/>
      <c r="C1354" s="4"/>
      <c r="D1354" s="7"/>
    </row>
    <row r="1355" spans="1:4" x14ac:dyDescent="0.3">
      <c r="A1355" s="4"/>
      <c r="B1355" s="4"/>
      <c r="C1355" s="4"/>
      <c r="D1355" s="7"/>
    </row>
    <row r="1356" spans="1:4" x14ac:dyDescent="0.3">
      <c r="A1356" s="4"/>
      <c r="B1356" s="4"/>
      <c r="C1356" s="4"/>
      <c r="D1356" s="7"/>
    </row>
    <row r="1357" spans="1:4" x14ac:dyDescent="0.3">
      <c r="A1357" s="4"/>
      <c r="B1357" s="4"/>
      <c r="C1357" s="4"/>
      <c r="D1357" s="7"/>
    </row>
    <row r="1358" spans="1:4" x14ac:dyDescent="0.3">
      <c r="A1358" s="4"/>
      <c r="B1358" s="4"/>
      <c r="C1358" s="4"/>
      <c r="D1358" s="7"/>
    </row>
    <row r="1359" spans="1:4" x14ac:dyDescent="0.3">
      <c r="A1359" s="4"/>
      <c r="B1359" s="4"/>
      <c r="C1359" s="4"/>
      <c r="D1359" s="7"/>
    </row>
    <row r="1360" spans="1:4" x14ac:dyDescent="0.3">
      <c r="A1360" s="4"/>
      <c r="B1360" s="4"/>
      <c r="C1360" s="4"/>
      <c r="D1360" s="7"/>
    </row>
    <row r="1361" spans="1:4" x14ac:dyDescent="0.3">
      <c r="A1361" s="4"/>
      <c r="B1361" s="4"/>
      <c r="C1361" s="4"/>
      <c r="D1361" s="7"/>
    </row>
    <row r="1362" spans="1:4" x14ac:dyDescent="0.3">
      <c r="A1362" s="4"/>
      <c r="B1362" s="4"/>
      <c r="C1362" s="4"/>
      <c r="D1362" s="7"/>
    </row>
    <row r="1363" spans="1:4" x14ac:dyDescent="0.3">
      <c r="A1363" s="4"/>
      <c r="B1363" s="4"/>
      <c r="C1363" s="4"/>
      <c r="D1363" s="7"/>
    </row>
    <row r="1364" spans="1:4" x14ac:dyDescent="0.3">
      <c r="A1364" s="4"/>
      <c r="B1364" s="4"/>
      <c r="C1364" s="4"/>
      <c r="D1364" s="7"/>
    </row>
    <row r="1365" spans="1:4" x14ac:dyDescent="0.3">
      <c r="A1365" s="4"/>
      <c r="B1365" s="4"/>
      <c r="C1365" s="4"/>
      <c r="D1365" s="7"/>
    </row>
    <row r="1366" spans="1:4" x14ac:dyDescent="0.3">
      <c r="A1366" s="4"/>
      <c r="B1366" s="4"/>
      <c r="C1366" s="4"/>
      <c r="D1366" s="7"/>
    </row>
    <row r="1367" spans="1:4" x14ac:dyDescent="0.3">
      <c r="A1367" s="4"/>
      <c r="B1367" s="4"/>
      <c r="C1367" s="4"/>
      <c r="D1367" s="7"/>
    </row>
    <row r="1368" spans="1:4" x14ac:dyDescent="0.3">
      <c r="A1368" s="4"/>
      <c r="B1368" s="4"/>
      <c r="C1368" s="4"/>
      <c r="D1368" s="7"/>
    </row>
    <row r="1369" spans="1:4" x14ac:dyDescent="0.3">
      <c r="A1369" s="4"/>
      <c r="B1369" s="4"/>
      <c r="C1369" s="4"/>
      <c r="D1369" s="7"/>
    </row>
    <row r="1370" spans="1:4" x14ac:dyDescent="0.3">
      <c r="A1370" s="4"/>
      <c r="B1370" s="4"/>
      <c r="C1370" s="4"/>
      <c r="D1370" s="7"/>
    </row>
    <row r="1371" spans="1:4" x14ac:dyDescent="0.3">
      <c r="A1371" s="4"/>
      <c r="B1371" s="4"/>
      <c r="C1371" s="4"/>
      <c r="D1371" s="7"/>
    </row>
    <row r="1372" spans="1:4" x14ac:dyDescent="0.3">
      <c r="A1372" s="4"/>
      <c r="B1372" s="4"/>
      <c r="C1372" s="4"/>
      <c r="D1372" s="7"/>
    </row>
    <row r="1373" spans="1:4" x14ac:dyDescent="0.3">
      <c r="A1373" s="4"/>
      <c r="B1373" s="4"/>
      <c r="C1373" s="4"/>
      <c r="D1373" s="7"/>
    </row>
    <row r="1374" spans="1:4" x14ac:dyDescent="0.3">
      <c r="A1374" s="4"/>
      <c r="B1374" s="4"/>
      <c r="C1374" s="4"/>
      <c r="D1374" s="7"/>
    </row>
    <row r="1375" spans="1:4" x14ac:dyDescent="0.3">
      <c r="A1375" s="4"/>
      <c r="B1375" s="4"/>
      <c r="C1375" s="4"/>
      <c r="D1375" s="7"/>
    </row>
    <row r="1376" spans="1:4" x14ac:dyDescent="0.3">
      <c r="A1376" s="4"/>
      <c r="B1376" s="4"/>
      <c r="C1376" s="4"/>
      <c r="D1376" s="7"/>
    </row>
    <row r="1377" spans="1:4" x14ac:dyDescent="0.3">
      <c r="A1377" s="4"/>
      <c r="B1377" s="4"/>
      <c r="C1377" s="4"/>
      <c r="D1377" s="7"/>
    </row>
    <row r="1378" spans="1:4" x14ac:dyDescent="0.3">
      <c r="A1378" s="4"/>
      <c r="B1378" s="4"/>
      <c r="C1378" s="4"/>
      <c r="D1378" s="7"/>
    </row>
    <row r="1379" spans="1:4" x14ac:dyDescent="0.3">
      <c r="A1379" s="4"/>
      <c r="B1379" s="4"/>
      <c r="C1379" s="4"/>
      <c r="D1379" s="7"/>
    </row>
    <row r="1380" spans="1:4" x14ac:dyDescent="0.3">
      <c r="A1380" s="4"/>
      <c r="B1380" s="4"/>
      <c r="C1380" s="4"/>
      <c r="D1380" s="7"/>
    </row>
    <row r="1381" spans="1:4" x14ac:dyDescent="0.3">
      <c r="A1381" s="4"/>
      <c r="B1381" s="4"/>
      <c r="C1381" s="4"/>
      <c r="D1381" s="7"/>
    </row>
    <row r="1382" spans="1:4" x14ac:dyDescent="0.3">
      <c r="A1382" s="4"/>
      <c r="B1382" s="4"/>
      <c r="C1382" s="4"/>
      <c r="D1382" s="7"/>
    </row>
    <row r="1383" spans="1:4" x14ac:dyDescent="0.3">
      <c r="A1383" s="4"/>
      <c r="B1383" s="4"/>
      <c r="C1383" s="4"/>
      <c r="D1383" s="7"/>
    </row>
    <row r="1384" spans="1:4" x14ac:dyDescent="0.3">
      <c r="A1384" s="4"/>
      <c r="B1384" s="4"/>
      <c r="C1384" s="4"/>
      <c r="D1384" s="7"/>
    </row>
    <row r="1385" spans="1:4" x14ac:dyDescent="0.3">
      <c r="A1385" s="4"/>
      <c r="B1385" s="4"/>
      <c r="C1385" s="4"/>
      <c r="D1385" s="7"/>
    </row>
    <row r="1386" spans="1:4" x14ac:dyDescent="0.3">
      <c r="A1386" s="4"/>
      <c r="B1386" s="4"/>
      <c r="C1386" s="4"/>
      <c r="D1386" s="7"/>
    </row>
    <row r="1387" spans="1:4" x14ac:dyDescent="0.3">
      <c r="A1387" s="4"/>
      <c r="B1387" s="4"/>
      <c r="C1387" s="4"/>
      <c r="D1387" s="7"/>
    </row>
    <row r="1388" spans="1:4" x14ac:dyDescent="0.3">
      <c r="A1388" s="4"/>
      <c r="B1388" s="4"/>
      <c r="C1388" s="4"/>
      <c r="D1388" s="7"/>
    </row>
    <row r="1389" spans="1:4" x14ac:dyDescent="0.3">
      <c r="A1389" s="4"/>
      <c r="B1389" s="4"/>
      <c r="C1389" s="4"/>
      <c r="D1389" s="7"/>
    </row>
    <row r="1390" spans="1:4" x14ac:dyDescent="0.3">
      <c r="A1390" s="4"/>
      <c r="B1390" s="4"/>
      <c r="C1390" s="4"/>
      <c r="D1390" s="7"/>
    </row>
    <row r="1391" spans="1:4" x14ac:dyDescent="0.3">
      <c r="A1391" s="4"/>
      <c r="B1391" s="4"/>
      <c r="C1391" s="4"/>
      <c r="D1391" s="7"/>
    </row>
    <row r="1392" spans="1:4" x14ac:dyDescent="0.3">
      <c r="A1392" s="4"/>
      <c r="B1392" s="4"/>
      <c r="C1392" s="4"/>
      <c r="D1392" s="7"/>
    </row>
    <row r="1393" spans="1:4" x14ac:dyDescent="0.3">
      <c r="A1393" s="4"/>
      <c r="B1393" s="4"/>
      <c r="C1393" s="4"/>
      <c r="D1393" s="7"/>
    </row>
    <row r="1394" spans="1:4" x14ac:dyDescent="0.3">
      <c r="A1394" s="4"/>
      <c r="B1394" s="4"/>
      <c r="C1394" s="4"/>
      <c r="D1394" s="7"/>
    </row>
    <row r="1395" spans="1:4" x14ac:dyDescent="0.3">
      <c r="A1395" s="4"/>
      <c r="B1395" s="4"/>
      <c r="C1395" s="4"/>
      <c r="D1395" s="7"/>
    </row>
    <row r="1396" spans="1:4" x14ac:dyDescent="0.3">
      <c r="A1396" s="4"/>
      <c r="B1396" s="4"/>
      <c r="C1396" s="4"/>
      <c r="D1396" s="7"/>
    </row>
    <row r="1397" spans="1:4" x14ac:dyDescent="0.3">
      <c r="A1397" s="4"/>
      <c r="B1397" s="4"/>
      <c r="C1397" s="4"/>
      <c r="D1397" s="7"/>
    </row>
    <row r="1398" spans="1:4" x14ac:dyDescent="0.3">
      <c r="A1398" s="4"/>
      <c r="B1398" s="4"/>
      <c r="C1398" s="4"/>
      <c r="D1398" s="7"/>
    </row>
    <row r="1399" spans="1:4" x14ac:dyDescent="0.3">
      <c r="A1399" s="4"/>
      <c r="B1399" s="4"/>
      <c r="C1399" s="4"/>
      <c r="D1399" s="7"/>
    </row>
    <row r="1400" spans="1:4" x14ac:dyDescent="0.3">
      <c r="A1400" s="4"/>
      <c r="B1400" s="4"/>
      <c r="C1400" s="4"/>
      <c r="D1400" s="7"/>
    </row>
    <row r="1401" spans="1:4" x14ac:dyDescent="0.3">
      <c r="A1401" s="4"/>
      <c r="B1401" s="4"/>
      <c r="C1401" s="4"/>
      <c r="D1401" s="7"/>
    </row>
    <row r="1402" spans="1:4" x14ac:dyDescent="0.3">
      <c r="A1402" s="4"/>
      <c r="B1402" s="4"/>
      <c r="C1402" s="4"/>
      <c r="D1402" s="7"/>
    </row>
    <row r="1403" spans="1:4" x14ac:dyDescent="0.3">
      <c r="A1403" s="4"/>
      <c r="B1403" s="4"/>
      <c r="C1403" s="4"/>
      <c r="D1403" s="7"/>
    </row>
    <row r="1404" spans="1:4" x14ac:dyDescent="0.3">
      <c r="A1404" s="4"/>
      <c r="B1404" s="4"/>
      <c r="C1404" s="4"/>
      <c r="D1404" s="7"/>
    </row>
    <row r="1405" spans="1:4" x14ac:dyDescent="0.3">
      <c r="A1405" s="4"/>
      <c r="B1405" s="4"/>
      <c r="C1405" s="4"/>
      <c r="D1405" s="7"/>
    </row>
    <row r="1406" spans="1:4" x14ac:dyDescent="0.3">
      <c r="A1406" s="4"/>
      <c r="B1406" s="4"/>
      <c r="C1406" s="4"/>
      <c r="D1406" s="7"/>
    </row>
    <row r="1407" spans="1:4" x14ac:dyDescent="0.3">
      <c r="A1407" s="4"/>
      <c r="B1407" s="4"/>
      <c r="C1407" s="4"/>
      <c r="D1407" s="7"/>
    </row>
    <row r="1408" spans="1:4" x14ac:dyDescent="0.3">
      <c r="A1408" s="4"/>
      <c r="B1408" s="4"/>
      <c r="C1408" s="4"/>
      <c r="D1408" s="7"/>
    </row>
    <row r="1409" spans="1:4" x14ac:dyDescent="0.3">
      <c r="A1409" s="4"/>
      <c r="B1409" s="4"/>
      <c r="C1409" s="4"/>
      <c r="D1409" s="7"/>
    </row>
    <row r="1410" spans="1:4" x14ac:dyDescent="0.3">
      <c r="A1410" s="4"/>
      <c r="B1410" s="4"/>
      <c r="C1410" s="4"/>
      <c r="D1410" s="7"/>
    </row>
    <row r="1411" spans="1:4" x14ac:dyDescent="0.3">
      <c r="A1411" s="4"/>
      <c r="B1411" s="4"/>
      <c r="C1411" s="4"/>
      <c r="D1411" s="7"/>
    </row>
    <row r="1412" spans="1:4" x14ac:dyDescent="0.3">
      <c r="A1412" s="4"/>
      <c r="B1412" s="4"/>
      <c r="C1412" s="4"/>
      <c r="D1412" s="7"/>
    </row>
    <row r="1413" spans="1:4" x14ac:dyDescent="0.3">
      <c r="A1413" s="4"/>
      <c r="B1413" s="4"/>
      <c r="C1413" s="4"/>
      <c r="D1413" s="7"/>
    </row>
    <row r="1414" spans="1:4" x14ac:dyDescent="0.3">
      <c r="A1414" s="4"/>
      <c r="B1414" s="4"/>
      <c r="C1414" s="4"/>
      <c r="D1414" s="7"/>
    </row>
    <row r="1415" spans="1:4" x14ac:dyDescent="0.3">
      <c r="A1415" s="4"/>
      <c r="B1415" s="4"/>
      <c r="C1415" s="4"/>
      <c r="D1415" s="7"/>
    </row>
    <row r="1416" spans="1:4" x14ac:dyDescent="0.3">
      <c r="A1416" s="4"/>
      <c r="B1416" s="4"/>
      <c r="C1416" s="4"/>
      <c r="D1416" s="7"/>
    </row>
    <row r="1417" spans="1:4" x14ac:dyDescent="0.3">
      <c r="A1417" s="4"/>
      <c r="B1417" s="4"/>
      <c r="C1417" s="4"/>
      <c r="D1417" s="7"/>
    </row>
    <row r="1418" spans="1:4" x14ac:dyDescent="0.3">
      <c r="A1418" s="4"/>
      <c r="B1418" s="4"/>
      <c r="C1418" s="4"/>
      <c r="D1418" s="7"/>
    </row>
    <row r="1419" spans="1:4" x14ac:dyDescent="0.3">
      <c r="A1419" s="4"/>
      <c r="B1419" s="4"/>
      <c r="C1419" s="4"/>
      <c r="D1419" s="7"/>
    </row>
    <row r="1420" spans="1:4" x14ac:dyDescent="0.3">
      <c r="A1420" s="4"/>
      <c r="B1420" s="4"/>
      <c r="C1420" s="4"/>
      <c r="D1420" s="7"/>
    </row>
    <row r="1421" spans="1:4" x14ac:dyDescent="0.3">
      <c r="A1421" s="4"/>
      <c r="B1421" s="4"/>
      <c r="C1421" s="4"/>
      <c r="D1421" s="7"/>
    </row>
    <row r="1422" spans="1:4" x14ac:dyDescent="0.3">
      <c r="A1422" s="4"/>
      <c r="B1422" s="4"/>
      <c r="C1422" s="4"/>
      <c r="D1422" s="7"/>
    </row>
    <row r="1423" spans="1:4" x14ac:dyDescent="0.3">
      <c r="A1423" s="4"/>
      <c r="B1423" s="4"/>
      <c r="C1423" s="4"/>
      <c r="D1423" s="7"/>
    </row>
    <row r="1424" spans="1:4" x14ac:dyDescent="0.3">
      <c r="A1424" s="4"/>
      <c r="B1424" s="4"/>
      <c r="C1424" s="4"/>
      <c r="D1424" s="7"/>
    </row>
    <row r="1425" spans="1:4" x14ac:dyDescent="0.3">
      <c r="A1425" s="4"/>
      <c r="B1425" s="4"/>
      <c r="C1425" s="4"/>
      <c r="D1425" s="7"/>
    </row>
    <row r="1426" spans="1:4" x14ac:dyDescent="0.3">
      <c r="A1426" s="4"/>
      <c r="B1426" s="4"/>
      <c r="C1426" s="4"/>
      <c r="D1426" s="7"/>
    </row>
    <row r="1427" spans="1:4" x14ac:dyDescent="0.3">
      <c r="A1427" s="4"/>
      <c r="B1427" s="4"/>
      <c r="C1427" s="4"/>
      <c r="D1427" s="7"/>
    </row>
    <row r="1428" spans="1:4" x14ac:dyDescent="0.3">
      <c r="A1428" s="4"/>
      <c r="B1428" s="4"/>
      <c r="C1428" s="4"/>
      <c r="D1428" s="7"/>
    </row>
    <row r="1429" spans="1:4" x14ac:dyDescent="0.3">
      <c r="A1429" s="4"/>
      <c r="B1429" s="4"/>
      <c r="C1429" s="4"/>
      <c r="D1429" s="7"/>
    </row>
    <row r="1430" spans="1:4" x14ac:dyDescent="0.3">
      <c r="A1430" s="4"/>
      <c r="B1430" s="4"/>
      <c r="C1430" s="4"/>
      <c r="D1430" s="7"/>
    </row>
    <row r="1431" spans="1:4" x14ac:dyDescent="0.3">
      <c r="A1431" s="4"/>
      <c r="B1431" s="4"/>
      <c r="C1431" s="4"/>
      <c r="D1431" s="7"/>
    </row>
    <row r="1432" spans="1:4" x14ac:dyDescent="0.3">
      <c r="A1432" s="4"/>
      <c r="B1432" s="4"/>
      <c r="C1432" s="4"/>
      <c r="D1432" s="7"/>
    </row>
    <row r="1433" spans="1:4" x14ac:dyDescent="0.3">
      <c r="A1433" s="4"/>
      <c r="B1433" s="4"/>
      <c r="C1433" s="4"/>
      <c r="D1433" s="7"/>
    </row>
    <row r="1434" spans="1:4" x14ac:dyDescent="0.3">
      <c r="A1434" s="4"/>
      <c r="B1434" s="4"/>
      <c r="C1434" s="4"/>
      <c r="D1434" s="7"/>
    </row>
    <row r="1435" spans="1:4" x14ac:dyDescent="0.3">
      <c r="A1435" s="4"/>
      <c r="B1435" s="4"/>
      <c r="C1435" s="4"/>
      <c r="D1435" s="7"/>
    </row>
    <row r="1436" spans="1:4" x14ac:dyDescent="0.3">
      <c r="A1436" s="4"/>
      <c r="B1436" s="4"/>
      <c r="C1436" s="4"/>
      <c r="D1436" s="7"/>
    </row>
    <row r="1437" spans="1:4" x14ac:dyDescent="0.3">
      <c r="A1437" s="4"/>
      <c r="B1437" s="4"/>
      <c r="C1437" s="4"/>
      <c r="D1437" s="7"/>
    </row>
    <row r="1438" spans="1:4" x14ac:dyDescent="0.3">
      <c r="A1438" s="4"/>
      <c r="B1438" s="4"/>
      <c r="C1438" s="4"/>
      <c r="D1438" s="7"/>
    </row>
    <row r="1439" spans="1:4" x14ac:dyDescent="0.3">
      <c r="A1439" s="4"/>
      <c r="B1439" s="4"/>
      <c r="C1439" s="4"/>
      <c r="D1439" s="7"/>
    </row>
    <row r="1440" spans="1:4" x14ac:dyDescent="0.3">
      <c r="A1440" s="4"/>
      <c r="B1440" s="4"/>
      <c r="C1440" s="4"/>
      <c r="D1440" s="7"/>
    </row>
    <row r="1441" spans="1:4" x14ac:dyDescent="0.3">
      <c r="A1441" s="4"/>
      <c r="B1441" s="4"/>
      <c r="C1441" s="4"/>
      <c r="D1441" s="7"/>
    </row>
    <row r="1442" spans="1:4" x14ac:dyDescent="0.3">
      <c r="A1442" s="4"/>
      <c r="B1442" s="4"/>
      <c r="C1442" s="4"/>
      <c r="D1442" s="7"/>
    </row>
    <row r="1443" spans="1:4" x14ac:dyDescent="0.3">
      <c r="A1443" s="4"/>
      <c r="B1443" s="4"/>
      <c r="C1443" s="4"/>
      <c r="D1443" s="7"/>
    </row>
    <row r="1444" spans="1:4" x14ac:dyDescent="0.3">
      <c r="A1444" s="4"/>
      <c r="B1444" s="4"/>
      <c r="C1444" s="4"/>
      <c r="D1444" s="7"/>
    </row>
    <row r="1445" spans="1:4" x14ac:dyDescent="0.3">
      <c r="A1445" s="4"/>
      <c r="B1445" s="4"/>
      <c r="C1445" s="4"/>
      <c r="D1445" s="7"/>
    </row>
    <row r="1446" spans="1:4" x14ac:dyDescent="0.3">
      <c r="A1446" s="4"/>
      <c r="B1446" s="4"/>
      <c r="C1446" s="4"/>
      <c r="D1446" s="7"/>
    </row>
    <row r="1447" spans="1:4" x14ac:dyDescent="0.3">
      <c r="A1447" s="4"/>
      <c r="B1447" s="4"/>
      <c r="C1447" s="4"/>
      <c r="D1447" s="7"/>
    </row>
    <row r="1448" spans="1:4" x14ac:dyDescent="0.3">
      <c r="A1448" s="4"/>
      <c r="B1448" s="4"/>
      <c r="C1448" s="4"/>
      <c r="D1448" s="7"/>
    </row>
    <row r="1449" spans="1:4" x14ac:dyDescent="0.3">
      <c r="A1449" s="4"/>
      <c r="B1449" s="4"/>
      <c r="C1449" s="4"/>
      <c r="D1449" s="7"/>
    </row>
    <row r="1450" spans="1:4" x14ac:dyDescent="0.3">
      <c r="A1450" s="4"/>
      <c r="B1450" s="4"/>
      <c r="C1450" s="4"/>
      <c r="D1450" s="7"/>
    </row>
    <row r="1451" spans="1:4" x14ac:dyDescent="0.3">
      <c r="A1451" s="4"/>
      <c r="B1451" s="4"/>
      <c r="C1451" s="4"/>
      <c r="D1451" s="7"/>
    </row>
    <row r="1452" spans="1:4" x14ac:dyDescent="0.3">
      <c r="A1452" s="4"/>
      <c r="B1452" s="4"/>
      <c r="C1452" s="4"/>
      <c r="D1452" s="7"/>
    </row>
    <row r="1453" spans="1:4" x14ac:dyDescent="0.3">
      <c r="A1453" s="4"/>
      <c r="B1453" s="4"/>
      <c r="C1453" s="4"/>
      <c r="D1453" s="7"/>
    </row>
    <row r="1454" spans="1:4" x14ac:dyDescent="0.3">
      <c r="A1454" s="4"/>
      <c r="B1454" s="4"/>
      <c r="C1454" s="4"/>
      <c r="D1454" s="7"/>
    </row>
    <row r="1455" spans="1:4" x14ac:dyDescent="0.3">
      <c r="A1455" s="4"/>
      <c r="B1455" s="4"/>
      <c r="C1455" s="4"/>
      <c r="D1455" s="7"/>
    </row>
    <row r="1456" spans="1:4" x14ac:dyDescent="0.3">
      <c r="A1456" s="4"/>
      <c r="B1456" s="4"/>
      <c r="C1456" s="4"/>
      <c r="D1456" s="7"/>
    </row>
    <row r="1457" spans="1:4" x14ac:dyDescent="0.3">
      <c r="A1457" s="4"/>
      <c r="B1457" s="4"/>
      <c r="C1457" s="4"/>
      <c r="D1457" s="7"/>
    </row>
    <row r="1458" spans="1:4" x14ac:dyDescent="0.3">
      <c r="A1458" s="4"/>
      <c r="B1458" s="4"/>
      <c r="C1458" s="4"/>
      <c r="D1458" s="7"/>
    </row>
    <row r="1459" spans="1:4" x14ac:dyDescent="0.3">
      <c r="A1459" s="4"/>
      <c r="B1459" s="4"/>
      <c r="C1459" s="4"/>
      <c r="D1459" s="7"/>
    </row>
    <row r="1460" spans="1:4" x14ac:dyDescent="0.3">
      <c r="A1460" s="4"/>
      <c r="B1460" s="4"/>
      <c r="C1460" s="4"/>
      <c r="D1460" s="7"/>
    </row>
    <row r="1461" spans="1:4" x14ac:dyDescent="0.3">
      <c r="A1461" s="4"/>
      <c r="B1461" s="4"/>
      <c r="C1461" s="4"/>
      <c r="D1461" s="7"/>
    </row>
    <row r="1462" spans="1:4" x14ac:dyDescent="0.3">
      <c r="A1462" s="4"/>
      <c r="B1462" s="4"/>
      <c r="C1462" s="4"/>
      <c r="D1462" s="7"/>
    </row>
    <row r="1463" spans="1:4" x14ac:dyDescent="0.3">
      <c r="A1463" s="4"/>
      <c r="B1463" s="4"/>
      <c r="C1463" s="4"/>
      <c r="D1463" s="7"/>
    </row>
    <row r="1464" spans="1:4" x14ac:dyDescent="0.3">
      <c r="A1464" s="4"/>
      <c r="B1464" s="4"/>
      <c r="C1464" s="4"/>
      <c r="D1464" s="7"/>
    </row>
    <row r="1465" spans="1:4" x14ac:dyDescent="0.3">
      <c r="A1465" s="4"/>
      <c r="B1465" s="4"/>
      <c r="C1465" s="4"/>
      <c r="D1465" s="7"/>
    </row>
    <row r="1466" spans="1:4" x14ac:dyDescent="0.3">
      <c r="A1466" s="4"/>
      <c r="B1466" s="4"/>
      <c r="C1466" s="4"/>
      <c r="D1466" s="7"/>
    </row>
    <row r="1467" spans="1:4" x14ac:dyDescent="0.3">
      <c r="A1467" s="4"/>
      <c r="B1467" s="4"/>
      <c r="C1467" s="4"/>
      <c r="D1467" s="7"/>
    </row>
    <row r="1468" spans="1:4" x14ac:dyDescent="0.3">
      <c r="A1468" s="4"/>
      <c r="B1468" s="4"/>
      <c r="C1468" s="4"/>
      <c r="D1468" s="7"/>
    </row>
    <row r="1469" spans="1:4" x14ac:dyDescent="0.3">
      <c r="A1469" s="4"/>
      <c r="B1469" s="4"/>
      <c r="C1469" s="4"/>
      <c r="D1469" s="7"/>
    </row>
    <row r="1470" spans="1:4" x14ac:dyDescent="0.3">
      <c r="A1470" s="4"/>
      <c r="B1470" s="4"/>
      <c r="C1470" s="4"/>
      <c r="D1470" s="7"/>
    </row>
    <row r="1471" spans="1:4" x14ac:dyDescent="0.3">
      <c r="A1471" s="4"/>
      <c r="B1471" s="4"/>
      <c r="C1471" s="4"/>
      <c r="D1471" s="7"/>
    </row>
    <row r="1472" spans="1:4" x14ac:dyDescent="0.3">
      <c r="A1472" s="4"/>
      <c r="B1472" s="4"/>
      <c r="C1472" s="4"/>
      <c r="D1472" s="7"/>
    </row>
    <row r="1473" spans="1:4" x14ac:dyDescent="0.3">
      <c r="A1473" s="4"/>
      <c r="B1473" s="4"/>
      <c r="C1473" s="4"/>
      <c r="D1473" s="7"/>
    </row>
    <row r="1474" spans="1:4" x14ac:dyDescent="0.3">
      <c r="A1474" s="4"/>
      <c r="B1474" s="4"/>
      <c r="C1474" s="4"/>
      <c r="D1474" s="7"/>
    </row>
    <row r="1475" spans="1:4" x14ac:dyDescent="0.3">
      <c r="A1475" s="4"/>
      <c r="B1475" s="4"/>
      <c r="C1475" s="4"/>
      <c r="D1475" s="7"/>
    </row>
    <row r="1476" spans="1:4" x14ac:dyDescent="0.3">
      <c r="A1476" s="4"/>
      <c r="B1476" s="4"/>
      <c r="C1476" s="4"/>
      <c r="D1476" s="7"/>
    </row>
    <row r="1477" spans="1:4" x14ac:dyDescent="0.3">
      <c r="A1477" s="4"/>
      <c r="B1477" s="4"/>
      <c r="C1477" s="4"/>
      <c r="D1477" s="7"/>
    </row>
    <row r="1478" spans="1:4" x14ac:dyDescent="0.3">
      <c r="A1478" s="4"/>
      <c r="B1478" s="4"/>
      <c r="C1478" s="4"/>
      <c r="D1478" s="7"/>
    </row>
    <row r="1479" spans="1:4" x14ac:dyDescent="0.3">
      <c r="A1479" s="4"/>
      <c r="B1479" s="4"/>
      <c r="C1479" s="4"/>
      <c r="D1479" s="7"/>
    </row>
    <row r="1480" spans="1:4" x14ac:dyDescent="0.3">
      <c r="A1480" s="4"/>
      <c r="B1480" s="4"/>
      <c r="C1480" s="4"/>
      <c r="D1480" s="7"/>
    </row>
    <row r="1481" spans="1:4" x14ac:dyDescent="0.3">
      <c r="A1481" s="4"/>
      <c r="B1481" s="4"/>
      <c r="C1481" s="4"/>
      <c r="D1481" s="7"/>
    </row>
    <row r="1482" spans="1:4" x14ac:dyDescent="0.3">
      <c r="A1482" s="4"/>
      <c r="B1482" s="4"/>
      <c r="C1482" s="4"/>
      <c r="D1482" s="7"/>
    </row>
    <row r="1483" spans="1:4" x14ac:dyDescent="0.3">
      <c r="A1483" s="4"/>
      <c r="B1483" s="4"/>
      <c r="C1483" s="4"/>
      <c r="D1483" s="7"/>
    </row>
    <row r="1484" spans="1:4" x14ac:dyDescent="0.3">
      <c r="A1484" s="4"/>
      <c r="B1484" s="4"/>
      <c r="C1484" s="4"/>
      <c r="D1484" s="7"/>
    </row>
    <row r="1485" spans="1:4" x14ac:dyDescent="0.3">
      <c r="A1485" s="4"/>
      <c r="B1485" s="4"/>
      <c r="C1485" s="4"/>
      <c r="D1485" s="7"/>
    </row>
    <row r="1486" spans="1:4" x14ac:dyDescent="0.3">
      <c r="A1486" s="4"/>
      <c r="B1486" s="4"/>
      <c r="C1486" s="4"/>
      <c r="D1486" s="7"/>
    </row>
    <row r="1487" spans="1:4" x14ac:dyDescent="0.3">
      <c r="A1487" s="4"/>
      <c r="B1487" s="4"/>
      <c r="C1487" s="4"/>
      <c r="D1487" s="7"/>
    </row>
    <row r="1488" spans="1:4" x14ac:dyDescent="0.3">
      <c r="A1488" s="4"/>
      <c r="B1488" s="4"/>
      <c r="C1488" s="4"/>
      <c r="D1488" s="7"/>
    </row>
    <row r="1489" spans="1:4" x14ac:dyDescent="0.3">
      <c r="A1489" s="4"/>
      <c r="B1489" s="4"/>
      <c r="C1489" s="4"/>
      <c r="D1489" s="7"/>
    </row>
    <row r="1490" spans="1:4" x14ac:dyDescent="0.3">
      <c r="A1490" s="4"/>
      <c r="B1490" s="4"/>
      <c r="C1490" s="4"/>
      <c r="D1490" s="7"/>
    </row>
    <row r="1491" spans="1:4" x14ac:dyDescent="0.3">
      <c r="A1491" s="4"/>
      <c r="B1491" s="4"/>
      <c r="C1491" s="4"/>
      <c r="D1491" s="7"/>
    </row>
    <row r="1492" spans="1:4" x14ac:dyDescent="0.3">
      <c r="A1492" s="4"/>
      <c r="B1492" s="4"/>
      <c r="C1492" s="4"/>
      <c r="D1492" s="7"/>
    </row>
    <row r="1493" spans="1:4" x14ac:dyDescent="0.3">
      <c r="A1493" s="4"/>
      <c r="B1493" s="4"/>
      <c r="C1493" s="4"/>
      <c r="D1493" s="7"/>
    </row>
    <row r="1494" spans="1:4" x14ac:dyDescent="0.3">
      <c r="A1494" s="4"/>
      <c r="B1494" s="4"/>
      <c r="C1494" s="4"/>
      <c r="D1494" s="7"/>
    </row>
    <row r="1495" spans="1:4" x14ac:dyDescent="0.3">
      <c r="A1495" s="4"/>
      <c r="B1495" s="4"/>
      <c r="C1495" s="4"/>
      <c r="D1495" s="7"/>
    </row>
    <row r="1496" spans="1:4" x14ac:dyDescent="0.3">
      <c r="A1496" s="4"/>
      <c r="B1496" s="4"/>
      <c r="C1496" s="4"/>
      <c r="D1496" s="7"/>
    </row>
    <row r="1497" spans="1:4" x14ac:dyDescent="0.3">
      <c r="A1497" s="4"/>
      <c r="B1497" s="4"/>
      <c r="C1497" s="4"/>
      <c r="D1497" s="7"/>
    </row>
    <row r="1498" spans="1:4" x14ac:dyDescent="0.3">
      <c r="A1498" s="4"/>
      <c r="B1498" s="4"/>
      <c r="C1498" s="4"/>
      <c r="D1498" s="7"/>
    </row>
    <row r="1499" spans="1:4" x14ac:dyDescent="0.3">
      <c r="A1499" s="4"/>
      <c r="B1499" s="4"/>
      <c r="C1499" s="4"/>
      <c r="D1499" s="7"/>
    </row>
    <row r="1500" spans="1:4" x14ac:dyDescent="0.3">
      <c r="A1500" s="4"/>
      <c r="B1500" s="4"/>
      <c r="C1500" s="4"/>
      <c r="D1500" s="7"/>
    </row>
    <row r="1501" spans="1:4" x14ac:dyDescent="0.3">
      <c r="A1501" s="4"/>
      <c r="B1501" s="4"/>
      <c r="C1501" s="4"/>
      <c r="D1501" s="7"/>
    </row>
    <row r="1502" spans="1:4" x14ac:dyDescent="0.3">
      <c r="A1502" s="4"/>
      <c r="B1502" s="4"/>
      <c r="C1502" s="4"/>
      <c r="D1502" s="7"/>
    </row>
    <row r="1503" spans="1:4" x14ac:dyDescent="0.3">
      <c r="A1503" s="4"/>
      <c r="B1503" s="4"/>
      <c r="C1503" s="4"/>
      <c r="D1503" s="7"/>
    </row>
    <row r="1504" spans="1:4" x14ac:dyDescent="0.3">
      <c r="A1504" s="4"/>
      <c r="B1504" s="4"/>
      <c r="C1504" s="4"/>
      <c r="D1504" s="7"/>
    </row>
    <row r="1505" spans="1:4" x14ac:dyDescent="0.3">
      <c r="A1505" s="4"/>
      <c r="B1505" s="4"/>
      <c r="C1505" s="4"/>
      <c r="D1505" s="7"/>
    </row>
    <row r="1506" spans="1:4" x14ac:dyDescent="0.3">
      <c r="A1506" s="4"/>
      <c r="B1506" s="4"/>
      <c r="C1506" s="4"/>
      <c r="D1506" s="7"/>
    </row>
    <row r="1507" spans="1:4" x14ac:dyDescent="0.3">
      <c r="A1507" s="4"/>
      <c r="B1507" s="4"/>
      <c r="C1507" s="4"/>
      <c r="D1507" s="7"/>
    </row>
    <row r="1508" spans="1:4" x14ac:dyDescent="0.3">
      <c r="A1508" s="4"/>
      <c r="B1508" s="4"/>
      <c r="C1508" s="4"/>
      <c r="D1508" s="7"/>
    </row>
    <row r="1509" spans="1:4" x14ac:dyDescent="0.3">
      <c r="A1509" s="4"/>
      <c r="B1509" s="4"/>
      <c r="C1509" s="4"/>
      <c r="D1509" s="7"/>
    </row>
    <row r="1510" spans="1:4" x14ac:dyDescent="0.3">
      <c r="A1510" s="4"/>
      <c r="B1510" s="4"/>
      <c r="C1510" s="4"/>
      <c r="D1510" s="7"/>
    </row>
    <row r="1511" spans="1:4" x14ac:dyDescent="0.3">
      <c r="A1511" s="4"/>
      <c r="B1511" s="4"/>
      <c r="C1511" s="4"/>
      <c r="D1511" s="7"/>
    </row>
    <row r="1512" spans="1:4" x14ac:dyDescent="0.3">
      <c r="A1512" s="4"/>
      <c r="B1512" s="4"/>
      <c r="C1512" s="4"/>
      <c r="D1512" s="7"/>
    </row>
    <row r="1513" spans="1:4" x14ac:dyDescent="0.3">
      <c r="A1513" s="4"/>
      <c r="B1513" s="4"/>
      <c r="C1513" s="4"/>
      <c r="D1513" s="7"/>
    </row>
    <row r="1514" spans="1:4" x14ac:dyDescent="0.3">
      <c r="A1514" s="4"/>
      <c r="B1514" s="4"/>
      <c r="C1514" s="4"/>
      <c r="D1514" s="7"/>
    </row>
    <row r="1515" spans="1:4" x14ac:dyDescent="0.3">
      <c r="A1515" s="4"/>
      <c r="B1515" s="4"/>
      <c r="C1515" s="4"/>
      <c r="D1515" s="7"/>
    </row>
    <row r="1516" spans="1:4" x14ac:dyDescent="0.3">
      <c r="A1516" s="4"/>
      <c r="B1516" s="4"/>
      <c r="C1516" s="4"/>
      <c r="D1516" s="7"/>
    </row>
    <row r="1517" spans="1:4" x14ac:dyDescent="0.3">
      <c r="A1517" s="4"/>
      <c r="B1517" s="4"/>
      <c r="C1517" s="4"/>
      <c r="D1517" s="7"/>
    </row>
    <row r="1518" spans="1:4" x14ac:dyDescent="0.3">
      <c r="A1518" s="4"/>
      <c r="B1518" s="4"/>
      <c r="C1518" s="4"/>
      <c r="D1518" s="7"/>
    </row>
    <row r="1519" spans="1:4" x14ac:dyDescent="0.3">
      <c r="A1519" s="4"/>
      <c r="B1519" s="4"/>
      <c r="C1519" s="4"/>
      <c r="D1519" s="7"/>
    </row>
    <row r="1520" spans="1:4" x14ac:dyDescent="0.3">
      <c r="A1520" s="4"/>
      <c r="B1520" s="4"/>
      <c r="C1520" s="4"/>
      <c r="D1520" s="7"/>
    </row>
    <row r="1521" spans="1:4" x14ac:dyDescent="0.3">
      <c r="A1521" s="4"/>
      <c r="B1521" s="4"/>
      <c r="C1521" s="4"/>
      <c r="D1521" s="7"/>
    </row>
    <row r="1522" spans="1:4" x14ac:dyDescent="0.3">
      <c r="A1522" s="4"/>
      <c r="B1522" s="4"/>
      <c r="C1522" s="4"/>
      <c r="D1522" s="7"/>
    </row>
    <row r="1523" spans="1:4" x14ac:dyDescent="0.3">
      <c r="A1523" s="4"/>
      <c r="B1523" s="4"/>
      <c r="C1523" s="4"/>
      <c r="D1523" s="7"/>
    </row>
    <row r="1524" spans="1:4" x14ac:dyDescent="0.3">
      <c r="A1524" s="4"/>
      <c r="B1524" s="4"/>
      <c r="C1524" s="4"/>
      <c r="D1524" s="7"/>
    </row>
    <row r="1525" spans="1:4" x14ac:dyDescent="0.3">
      <c r="A1525" s="4"/>
      <c r="B1525" s="4"/>
      <c r="C1525" s="4"/>
      <c r="D1525" s="7"/>
    </row>
    <row r="1526" spans="1:4" x14ac:dyDescent="0.3">
      <c r="A1526" s="4"/>
      <c r="B1526" s="4"/>
      <c r="C1526" s="4"/>
      <c r="D1526" s="7"/>
    </row>
    <row r="1527" spans="1:4" x14ac:dyDescent="0.3">
      <c r="A1527" s="4"/>
      <c r="B1527" s="4"/>
      <c r="C1527" s="4"/>
      <c r="D1527" s="7"/>
    </row>
    <row r="1528" spans="1:4" x14ac:dyDescent="0.3">
      <c r="A1528" s="4"/>
      <c r="B1528" s="4"/>
      <c r="C1528" s="4"/>
      <c r="D1528" s="7"/>
    </row>
    <row r="1529" spans="1:4" x14ac:dyDescent="0.3">
      <c r="A1529" s="4"/>
      <c r="B1529" s="4"/>
      <c r="C1529" s="4"/>
      <c r="D1529" s="7"/>
    </row>
    <row r="1530" spans="1:4" x14ac:dyDescent="0.3">
      <c r="A1530" s="4"/>
      <c r="B1530" s="4"/>
      <c r="C1530" s="4"/>
      <c r="D1530" s="7"/>
    </row>
    <row r="1531" spans="1:4" x14ac:dyDescent="0.3">
      <c r="A1531" s="4"/>
      <c r="B1531" s="4"/>
      <c r="C1531" s="4"/>
      <c r="D1531" s="7"/>
    </row>
    <row r="1532" spans="1:4" x14ac:dyDescent="0.3">
      <c r="A1532" s="4"/>
      <c r="B1532" s="4"/>
      <c r="C1532" s="4"/>
      <c r="D1532" s="7"/>
    </row>
    <row r="1533" spans="1:4" x14ac:dyDescent="0.3">
      <c r="A1533" s="4"/>
      <c r="B1533" s="4"/>
      <c r="C1533" s="4"/>
      <c r="D1533" s="7"/>
    </row>
    <row r="1534" spans="1:4" x14ac:dyDescent="0.3">
      <c r="A1534" s="4"/>
      <c r="B1534" s="4"/>
      <c r="C1534" s="4"/>
      <c r="D1534" s="7"/>
    </row>
    <row r="1535" spans="1:4" x14ac:dyDescent="0.3">
      <c r="A1535" s="4"/>
      <c r="B1535" s="4"/>
      <c r="C1535" s="4"/>
      <c r="D1535" s="7"/>
    </row>
    <row r="1536" spans="1:4" x14ac:dyDescent="0.3">
      <c r="A1536" s="4"/>
      <c r="B1536" s="4"/>
      <c r="C1536" s="4"/>
      <c r="D1536" s="7"/>
    </row>
    <row r="1537" spans="1:4" x14ac:dyDescent="0.3">
      <c r="A1537" s="4"/>
      <c r="B1537" s="4"/>
      <c r="C1537" s="4"/>
      <c r="D1537" s="7"/>
    </row>
    <row r="1538" spans="1:4" x14ac:dyDescent="0.3">
      <c r="A1538" s="4"/>
      <c r="B1538" s="4"/>
      <c r="C1538" s="4"/>
      <c r="D1538" s="7"/>
    </row>
    <row r="1539" spans="1:4" x14ac:dyDescent="0.3">
      <c r="A1539" s="4"/>
      <c r="B1539" s="4"/>
      <c r="C1539" s="4"/>
      <c r="D1539" s="7"/>
    </row>
    <row r="1540" spans="1:4" x14ac:dyDescent="0.3">
      <c r="A1540" s="4"/>
      <c r="B1540" s="4"/>
      <c r="C1540" s="4"/>
      <c r="D1540" s="7"/>
    </row>
    <row r="1541" spans="1:4" x14ac:dyDescent="0.3">
      <c r="A1541" s="4"/>
      <c r="B1541" s="4"/>
      <c r="C1541" s="4"/>
      <c r="D1541" s="7"/>
    </row>
    <row r="1542" spans="1:4" x14ac:dyDescent="0.3">
      <c r="A1542" s="4"/>
      <c r="B1542" s="4"/>
      <c r="C1542" s="4"/>
      <c r="D1542" s="7"/>
    </row>
    <row r="1543" spans="1:4" x14ac:dyDescent="0.3">
      <c r="A1543" s="4"/>
      <c r="B1543" s="4"/>
      <c r="C1543" s="4"/>
      <c r="D1543" s="7"/>
    </row>
    <row r="1544" spans="1:4" x14ac:dyDescent="0.3">
      <c r="A1544" s="4"/>
      <c r="B1544" s="4"/>
      <c r="C1544" s="4"/>
      <c r="D1544" s="7"/>
    </row>
    <row r="1545" spans="1:4" x14ac:dyDescent="0.3">
      <c r="A1545" s="4"/>
      <c r="B1545" s="4"/>
      <c r="C1545" s="4"/>
      <c r="D1545" s="7"/>
    </row>
    <row r="1546" spans="1:4" x14ac:dyDescent="0.3">
      <c r="A1546" s="4"/>
      <c r="B1546" s="4"/>
      <c r="C1546" s="4"/>
      <c r="D1546" s="7"/>
    </row>
    <row r="1547" spans="1:4" x14ac:dyDescent="0.3">
      <c r="A1547" s="4"/>
      <c r="B1547" s="4"/>
      <c r="C1547" s="4"/>
      <c r="D1547" s="7"/>
    </row>
    <row r="1548" spans="1:4" x14ac:dyDescent="0.3">
      <c r="A1548" s="4"/>
      <c r="B1548" s="4"/>
      <c r="C1548" s="4"/>
      <c r="D1548" s="7"/>
    </row>
    <row r="1549" spans="1:4" x14ac:dyDescent="0.3">
      <c r="A1549" s="4"/>
      <c r="B1549" s="4"/>
      <c r="C1549" s="4"/>
      <c r="D1549" s="7"/>
    </row>
    <row r="1550" spans="1:4" x14ac:dyDescent="0.3">
      <c r="A1550" s="4"/>
      <c r="B1550" s="4"/>
      <c r="C1550" s="4"/>
      <c r="D1550" s="7"/>
    </row>
    <row r="1551" spans="1:4" x14ac:dyDescent="0.3">
      <c r="A1551" s="4"/>
      <c r="B1551" s="4"/>
      <c r="C1551" s="4"/>
      <c r="D1551" s="7"/>
    </row>
    <row r="1552" spans="1:4" x14ac:dyDescent="0.3">
      <c r="A1552" s="4"/>
      <c r="B1552" s="4"/>
      <c r="C1552" s="4"/>
      <c r="D1552" s="7"/>
    </row>
    <row r="1553" spans="1:4" x14ac:dyDescent="0.3">
      <c r="A1553" s="4"/>
      <c r="B1553" s="4"/>
      <c r="C1553" s="4"/>
      <c r="D1553" s="7"/>
    </row>
    <row r="1554" spans="1:4" x14ac:dyDescent="0.3">
      <c r="A1554" s="4"/>
      <c r="B1554" s="4"/>
      <c r="C1554" s="4"/>
      <c r="D1554" s="7"/>
    </row>
    <row r="1555" spans="1:4" x14ac:dyDescent="0.3">
      <c r="A1555" s="4"/>
      <c r="B1555" s="4"/>
      <c r="C1555" s="4"/>
      <c r="D1555" s="7"/>
    </row>
    <row r="1556" spans="1:4" x14ac:dyDescent="0.3">
      <c r="A1556" s="4"/>
      <c r="B1556" s="4"/>
      <c r="C1556" s="4"/>
      <c r="D1556" s="7"/>
    </row>
    <row r="1557" spans="1:4" x14ac:dyDescent="0.3">
      <c r="A1557" s="4"/>
      <c r="B1557" s="4"/>
      <c r="C1557" s="4"/>
      <c r="D1557" s="7"/>
    </row>
    <row r="1558" spans="1:4" x14ac:dyDescent="0.3">
      <c r="A1558" s="4"/>
      <c r="B1558" s="4"/>
      <c r="C1558" s="4"/>
      <c r="D1558" s="7"/>
    </row>
    <row r="1559" spans="1:4" x14ac:dyDescent="0.3">
      <c r="A1559" s="4"/>
      <c r="B1559" s="4"/>
      <c r="C1559" s="4"/>
      <c r="D1559" s="7"/>
    </row>
    <row r="1560" spans="1:4" x14ac:dyDescent="0.3">
      <c r="A1560" s="4"/>
      <c r="B1560" s="4"/>
      <c r="C1560" s="4"/>
      <c r="D1560" s="7"/>
    </row>
    <row r="1561" spans="1:4" x14ac:dyDescent="0.3">
      <c r="A1561" s="4"/>
      <c r="B1561" s="4"/>
      <c r="C1561" s="4"/>
      <c r="D1561" s="7"/>
    </row>
    <row r="1562" spans="1:4" x14ac:dyDescent="0.3">
      <c r="A1562" s="4"/>
      <c r="B1562" s="4"/>
      <c r="C1562" s="4"/>
      <c r="D1562" s="7"/>
    </row>
    <row r="1563" spans="1:4" x14ac:dyDescent="0.3">
      <c r="A1563" s="4"/>
      <c r="B1563" s="4"/>
      <c r="C1563" s="4"/>
      <c r="D1563" s="7"/>
    </row>
    <row r="1564" spans="1:4" x14ac:dyDescent="0.3">
      <c r="A1564" s="4"/>
      <c r="B1564" s="4"/>
      <c r="C1564" s="4"/>
      <c r="D1564" s="7"/>
    </row>
    <row r="1565" spans="1:4" x14ac:dyDescent="0.3">
      <c r="A1565" s="4"/>
      <c r="B1565" s="4"/>
      <c r="C1565" s="4"/>
      <c r="D1565" s="7"/>
    </row>
    <row r="1566" spans="1:4" x14ac:dyDescent="0.3">
      <c r="A1566" s="4"/>
      <c r="B1566" s="4"/>
      <c r="C1566" s="4"/>
      <c r="D1566" s="7"/>
    </row>
    <row r="1567" spans="1:4" x14ac:dyDescent="0.3">
      <c r="A1567" s="4"/>
      <c r="B1567" s="4"/>
      <c r="C1567" s="4"/>
      <c r="D1567" s="7"/>
    </row>
    <row r="1568" spans="1:4" x14ac:dyDescent="0.3">
      <c r="A1568" s="4"/>
      <c r="B1568" s="4"/>
      <c r="C1568" s="4"/>
      <c r="D1568" s="7"/>
    </row>
    <row r="1569" spans="1:4" x14ac:dyDescent="0.3">
      <c r="A1569" s="4"/>
      <c r="B1569" s="4"/>
      <c r="C1569" s="4"/>
      <c r="D1569" s="7"/>
    </row>
    <row r="1570" spans="1:4" x14ac:dyDescent="0.3">
      <c r="A1570" s="4"/>
      <c r="B1570" s="4"/>
      <c r="C1570" s="4"/>
      <c r="D1570" s="7"/>
    </row>
    <row r="1571" spans="1:4" x14ac:dyDescent="0.3">
      <c r="A1571" s="4"/>
      <c r="B1571" s="4"/>
      <c r="C1571" s="4"/>
      <c r="D1571" s="7"/>
    </row>
    <row r="1572" spans="1:4" x14ac:dyDescent="0.3">
      <c r="A1572" s="4"/>
      <c r="B1572" s="4"/>
      <c r="C1572" s="4"/>
      <c r="D1572" s="7"/>
    </row>
    <row r="1573" spans="1:4" x14ac:dyDescent="0.3">
      <c r="A1573" s="4"/>
      <c r="B1573" s="4"/>
      <c r="C1573" s="4"/>
      <c r="D1573" s="7"/>
    </row>
    <row r="1574" spans="1:4" x14ac:dyDescent="0.3">
      <c r="A1574" s="4"/>
      <c r="B1574" s="4"/>
      <c r="C1574" s="4"/>
      <c r="D1574" s="7"/>
    </row>
    <row r="1575" spans="1:4" x14ac:dyDescent="0.3">
      <c r="A1575" s="4"/>
      <c r="B1575" s="4"/>
      <c r="C1575" s="4"/>
      <c r="D1575" s="7"/>
    </row>
    <row r="1576" spans="1:4" x14ac:dyDescent="0.3">
      <c r="A1576" s="4"/>
      <c r="B1576" s="4"/>
      <c r="C1576" s="4"/>
      <c r="D1576" s="7"/>
    </row>
    <row r="1577" spans="1:4" x14ac:dyDescent="0.3">
      <c r="A1577" s="4"/>
      <c r="B1577" s="4"/>
      <c r="C1577" s="4"/>
      <c r="D1577" s="7"/>
    </row>
    <row r="1578" spans="1:4" x14ac:dyDescent="0.3">
      <c r="A1578" s="4"/>
      <c r="B1578" s="4"/>
      <c r="C1578" s="4"/>
      <c r="D1578" s="7"/>
    </row>
    <row r="1579" spans="1:4" x14ac:dyDescent="0.3">
      <c r="A1579" s="4"/>
      <c r="B1579" s="4"/>
      <c r="C1579" s="4"/>
      <c r="D1579" s="7"/>
    </row>
    <row r="1580" spans="1:4" x14ac:dyDescent="0.3">
      <c r="A1580" s="4"/>
      <c r="B1580" s="4"/>
      <c r="C1580" s="4"/>
      <c r="D1580" s="7"/>
    </row>
    <row r="1581" spans="1:4" x14ac:dyDescent="0.3">
      <c r="A1581" s="4"/>
      <c r="B1581" s="4"/>
      <c r="C1581" s="4"/>
      <c r="D1581" s="7"/>
    </row>
    <row r="1582" spans="1:4" x14ac:dyDescent="0.3">
      <c r="A1582" s="4"/>
      <c r="B1582" s="4"/>
      <c r="C1582" s="4"/>
      <c r="D1582" s="7"/>
    </row>
    <row r="1583" spans="1:4" x14ac:dyDescent="0.3">
      <c r="A1583" s="4"/>
      <c r="B1583" s="4"/>
      <c r="C1583" s="4"/>
      <c r="D1583" s="7"/>
    </row>
    <row r="1584" spans="1:4" x14ac:dyDescent="0.3">
      <c r="A1584" s="4"/>
      <c r="B1584" s="4"/>
      <c r="C1584" s="4"/>
      <c r="D1584" s="7"/>
    </row>
    <row r="1585" spans="1:4" x14ac:dyDescent="0.3">
      <c r="A1585" s="4"/>
      <c r="B1585" s="4"/>
      <c r="C1585" s="4"/>
      <c r="D1585" s="7"/>
    </row>
    <row r="1586" spans="1:4" x14ac:dyDescent="0.3">
      <c r="A1586" s="4"/>
      <c r="B1586" s="4"/>
      <c r="C1586" s="4"/>
      <c r="D1586" s="7"/>
    </row>
    <row r="1587" spans="1:4" x14ac:dyDescent="0.3">
      <c r="A1587" s="4"/>
      <c r="B1587" s="4"/>
      <c r="C1587" s="4"/>
      <c r="D1587" s="7"/>
    </row>
    <row r="1588" spans="1:4" x14ac:dyDescent="0.3">
      <c r="A1588" s="4"/>
      <c r="B1588" s="4"/>
      <c r="C1588" s="4"/>
      <c r="D1588" s="7"/>
    </row>
    <row r="1589" spans="1:4" x14ac:dyDescent="0.3">
      <c r="A1589" s="4"/>
      <c r="B1589" s="4"/>
      <c r="C1589" s="4"/>
      <c r="D1589" s="7"/>
    </row>
    <row r="1590" spans="1:4" x14ac:dyDescent="0.3">
      <c r="A1590" s="4"/>
      <c r="B1590" s="4"/>
      <c r="C1590" s="4"/>
      <c r="D1590" s="7"/>
    </row>
    <row r="1591" spans="1:4" x14ac:dyDescent="0.3">
      <c r="A1591" s="4"/>
      <c r="B1591" s="4"/>
      <c r="C1591" s="4"/>
      <c r="D1591" s="7"/>
    </row>
    <row r="1592" spans="1:4" x14ac:dyDescent="0.3">
      <c r="A1592" s="4"/>
      <c r="B1592" s="4"/>
      <c r="C1592" s="4"/>
      <c r="D1592" s="7"/>
    </row>
    <row r="1593" spans="1:4" x14ac:dyDescent="0.3">
      <c r="A1593" s="4"/>
      <c r="B1593" s="4"/>
      <c r="C1593" s="4"/>
      <c r="D1593" s="7"/>
    </row>
    <row r="1594" spans="1:4" x14ac:dyDescent="0.3">
      <c r="A1594" s="4"/>
      <c r="B1594" s="4"/>
      <c r="C1594" s="4"/>
      <c r="D1594" s="7"/>
    </row>
    <row r="1595" spans="1:4" x14ac:dyDescent="0.3">
      <c r="A1595" s="4"/>
      <c r="B1595" s="4"/>
      <c r="C1595" s="4"/>
      <c r="D1595" s="7"/>
    </row>
    <row r="1596" spans="1:4" x14ac:dyDescent="0.3">
      <c r="A1596" s="4"/>
      <c r="B1596" s="4"/>
      <c r="C1596" s="4"/>
      <c r="D1596" s="7"/>
    </row>
    <row r="1597" spans="1:4" x14ac:dyDescent="0.3">
      <c r="A1597" s="4"/>
      <c r="B1597" s="4"/>
      <c r="C1597" s="4"/>
      <c r="D1597" s="7"/>
    </row>
    <row r="1598" spans="1:4" x14ac:dyDescent="0.3">
      <c r="A1598" s="4"/>
      <c r="B1598" s="4"/>
      <c r="C1598" s="4"/>
      <c r="D1598" s="7"/>
    </row>
    <row r="1599" spans="1:4" x14ac:dyDescent="0.3">
      <c r="A1599" s="4"/>
      <c r="B1599" s="4"/>
      <c r="C1599" s="4"/>
      <c r="D1599" s="7"/>
    </row>
    <row r="1600" spans="1:4" x14ac:dyDescent="0.3">
      <c r="A1600" s="4"/>
      <c r="B1600" s="4"/>
      <c r="C1600" s="4"/>
      <c r="D1600" s="7"/>
    </row>
    <row r="1601" spans="1:4" x14ac:dyDescent="0.3">
      <c r="A1601" s="4"/>
      <c r="B1601" s="4"/>
      <c r="C1601" s="4"/>
      <c r="D1601" s="7"/>
    </row>
    <row r="1602" spans="1:4" x14ac:dyDescent="0.3">
      <c r="A1602" s="4"/>
      <c r="B1602" s="4"/>
      <c r="C1602" s="4"/>
      <c r="D1602" s="7"/>
    </row>
    <row r="1603" spans="1:4" x14ac:dyDescent="0.3">
      <c r="A1603" s="4"/>
      <c r="B1603" s="4"/>
      <c r="C1603" s="4"/>
      <c r="D1603" s="7"/>
    </row>
    <row r="1604" spans="1:4" x14ac:dyDescent="0.3">
      <c r="A1604" s="4"/>
      <c r="B1604" s="4"/>
      <c r="C1604" s="4"/>
      <c r="D1604" s="7"/>
    </row>
    <row r="1605" spans="1:4" x14ac:dyDescent="0.3">
      <c r="A1605" s="4"/>
      <c r="B1605" s="4"/>
      <c r="C1605" s="4"/>
      <c r="D1605" s="7"/>
    </row>
    <row r="1606" spans="1:4" x14ac:dyDescent="0.3">
      <c r="A1606" s="4"/>
      <c r="B1606" s="4"/>
      <c r="C1606" s="4"/>
      <c r="D1606" s="7"/>
    </row>
    <row r="1607" spans="1:4" x14ac:dyDescent="0.3">
      <c r="A1607" s="4"/>
      <c r="B1607" s="4"/>
      <c r="C1607" s="4"/>
      <c r="D1607" s="7"/>
    </row>
    <row r="1608" spans="1:4" x14ac:dyDescent="0.3">
      <c r="A1608" s="4"/>
      <c r="B1608" s="4"/>
      <c r="C1608" s="4"/>
      <c r="D1608" s="7"/>
    </row>
    <row r="1609" spans="1:4" x14ac:dyDescent="0.3">
      <c r="A1609" s="4"/>
      <c r="B1609" s="4"/>
      <c r="C1609" s="4"/>
      <c r="D1609" s="7"/>
    </row>
    <row r="1610" spans="1:4" x14ac:dyDescent="0.3">
      <c r="A1610" s="4"/>
      <c r="B1610" s="4"/>
      <c r="C1610" s="4"/>
      <c r="D1610" s="7"/>
    </row>
    <row r="1611" spans="1:4" x14ac:dyDescent="0.3">
      <c r="A1611" s="4"/>
      <c r="B1611" s="4"/>
      <c r="C1611" s="4"/>
      <c r="D1611" s="7"/>
    </row>
    <row r="1612" spans="1:4" x14ac:dyDescent="0.3">
      <c r="A1612" s="4"/>
      <c r="B1612" s="4"/>
      <c r="C1612" s="4"/>
      <c r="D1612" s="7"/>
    </row>
    <row r="1613" spans="1:4" x14ac:dyDescent="0.3">
      <c r="A1613" s="4"/>
      <c r="B1613" s="4"/>
      <c r="C1613" s="4"/>
      <c r="D1613" s="7"/>
    </row>
    <row r="1614" spans="1:4" x14ac:dyDescent="0.3">
      <c r="A1614" s="4"/>
      <c r="B1614" s="4"/>
      <c r="C1614" s="4"/>
      <c r="D1614" s="7"/>
    </row>
    <row r="1615" spans="1:4" x14ac:dyDescent="0.3">
      <c r="A1615" s="4"/>
      <c r="B1615" s="4"/>
      <c r="C1615" s="4"/>
      <c r="D1615" s="7"/>
    </row>
    <row r="1616" spans="1:4" x14ac:dyDescent="0.3">
      <c r="A1616" s="4"/>
      <c r="B1616" s="4"/>
      <c r="C1616" s="4"/>
      <c r="D1616" s="7"/>
    </row>
    <row r="1617" spans="1:4" x14ac:dyDescent="0.3">
      <c r="A1617" s="4"/>
      <c r="B1617" s="4"/>
      <c r="C1617" s="4"/>
      <c r="D1617" s="7"/>
    </row>
    <row r="1618" spans="1:4" x14ac:dyDescent="0.3">
      <c r="A1618" s="4"/>
      <c r="B1618" s="4"/>
      <c r="C1618" s="4"/>
      <c r="D1618" s="7"/>
    </row>
    <row r="1619" spans="1:4" x14ac:dyDescent="0.3">
      <c r="A1619" s="4"/>
      <c r="B1619" s="4"/>
      <c r="C1619" s="4"/>
      <c r="D1619" s="7"/>
    </row>
    <row r="1620" spans="1:4" x14ac:dyDescent="0.3">
      <c r="A1620" s="4"/>
      <c r="B1620" s="4"/>
      <c r="C1620" s="4"/>
      <c r="D1620" s="7"/>
    </row>
    <row r="1621" spans="1:4" x14ac:dyDescent="0.3">
      <c r="A1621" s="4"/>
      <c r="B1621" s="4"/>
      <c r="C1621" s="4"/>
      <c r="D1621" s="7"/>
    </row>
    <row r="1622" spans="1:4" x14ac:dyDescent="0.3">
      <c r="A1622" s="4"/>
      <c r="B1622" s="4"/>
      <c r="C1622" s="4"/>
      <c r="D1622" s="7"/>
    </row>
    <row r="1623" spans="1:4" x14ac:dyDescent="0.3">
      <c r="A1623" s="4"/>
      <c r="B1623" s="4"/>
      <c r="C1623" s="4"/>
      <c r="D1623" s="7"/>
    </row>
    <row r="1624" spans="1:4" x14ac:dyDescent="0.3">
      <c r="A1624" s="4"/>
      <c r="B1624" s="4"/>
      <c r="C1624" s="4"/>
      <c r="D1624" s="7"/>
    </row>
    <row r="1625" spans="1:4" x14ac:dyDescent="0.3">
      <c r="A1625" s="4"/>
      <c r="B1625" s="4"/>
      <c r="C1625" s="4"/>
      <c r="D1625" s="7"/>
    </row>
    <row r="1626" spans="1:4" x14ac:dyDescent="0.3">
      <c r="A1626" s="4"/>
      <c r="B1626" s="4"/>
      <c r="C1626" s="4"/>
      <c r="D1626" s="7"/>
    </row>
    <row r="1627" spans="1:4" x14ac:dyDescent="0.3">
      <c r="A1627" s="4"/>
      <c r="B1627" s="4"/>
      <c r="C1627" s="4"/>
      <c r="D1627" s="7"/>
    </row>
    <row r="1628" spans="1:4" x14ac:dyDescent="0.3">
      <c r="A1628" s="4"/>
      <c r="B1628" s="4"/>
      <c r="C1628" s="4"/>
      <c r="D1628" s="7"/>
    </row>
    <row r="1629" spans="1:4" x14ac:dyDescent="0.3">
      <c r="A1629" s="4"/>
      <c r="B1629" s="4"/>
      <c r="C1629" s="4"/>
      <c r="D1629" s="7"/>
    </row>
    <row r="1630" spans="1:4" x14ac:dyDescent="0.3">
      <c r="A1630" s="4"/>
      <c r="B1630" s="4"/>
      <c r="C1630" s="4"/>
      <c r="D1630" s="7"/>
    </row>
    <row r="1631" spans="1:4" x14ac:dyDescent="0.3">
      <c r="A1631" s="4"/>
      <c r="B1631" s="4"/>
      <c r="C1631" s="4"/>
      <c r="D1631" s="7"/>
    </row>
    <row r="1632" spans="1:4" x14ac:dyDescent="0.3">
      <c r="A1632" s="4"/>
      <c r="B1632" s="4"/>
      <c r="C1632" s="4"/>
      <c r="D1632" s="7"/>
    </row>
    <row r="1633" spans="1:4" x14ac:dyDescent="0.3">
      <c r="A1633" s="4"/>
      <c r="B1633" s="4"/>
      <c r="C1633" s="4"/>
      <c r="D1633" s="7"/>
    </row>
    <row r="1634" spans="1:4" x14ac:dyDescent="0.3">
      <c r="A1634" s="4"/>
      <c r="B1634" s="4"/>
      <c r="C1634" s="4"/>
      <c r="D1634" s="7"/>
    </row>
    <row r="1635" spans="1:4" x14ac:dyDescent="0.3">
      <c r="A1635" s="4"/>
      <c r="B1635" s="4"/>
      <c r="C1635" s="4"/>
      <c r="D1635" s="7"/>
    </row>
    <row r="1636" spans="1:4" x14ac:dyDescent="0.3">
      <c r="A1636" s="4"/>
      <c r="B1636" s="4"/>
      <c r="C1636" s="4"/>
      <c r="D1636" s="7"/>
    </row>
    <row r="1637" spans="1:4" x14ac:dyDescent="0.3">
      <c r="A1637" s="4"/>
      <c r="B1637" s="4"/>
      <c r="C1637" s="4"/>
      <c r="D1637" s="7"/>
    </row>
    <row r="1638" spans="1:4" x14ac:dyDescent="0.3">
      <c r="A1638" s="4"/>
      <c r="B1638" s="4"/>
      <c r="C1638" s="4"/>
      <c r="D1638" s="7"/>
    </row>
    <row r="1639" spans="1:4" x14ac:dyDescent="0.3">
      <c r="A1639" s="4"/>
      <c r="B1639" s="4"/>
      <c r="C1639" s="4"/>
      <c r="D1639" s="7"/>
    </row>
    <row r="1640" spans="1:4" x14ac:dyDescent="0.3">
      <c r="A1640" s="4"/>
      <c r="B1640" s="4"/>
      <c r="C1640" s="4"/>
      <c r="D1640" s="7"/>
    </row>
    <row r="1641" spans="1:4" x14ac:dyDescent="0.3">
      <c r="A1641" s="4"/>
      <c r="B1641" s="4"/>
      <c r="C1641" s="4"/>
      <c r="D1641" s="7"/>
    </row>
    <row r="1642" spans="1:4" x14ac:dyDescent="0.3">
      <c r="A1642" s="4"/>
      <c r="B1642" s="4"/>
      <c r="C1642" s="4"/>
      <c r="D1642" s="7"/>
    </row>
    <row r="1643" spans="1:4" x14ac:dyDescent="0.3">
      <c r="A1643" s="4"/>
      <c r="B1643" s="4"/>
      <c r="C1643" s="4"/>
      <c r="D1643" s="7"/>
    </row>
    <row r="1644" spans="1:4" x14ac:dyDescent="0.3">
      <c r="A1644" s="4"/>
      <c r="B1644" s="4"/>
      <c r="C1644" s="4"/>
      <c r="D1644" s="7"/>
    </row>
    <row r="1645" spans="1:4" x14ac:dyDescent="0.3">
      <c r="A1645" s="4"/>
      <c r="B1645" s="4"/>
      <c r="C1645" s="4"/>
      <c r="D1645" s="7"/>
    </row>
    <row r="1646" spans="1:4" x14ac:dyDescent="0.3">
      <c r="A1646" s="4"/>
      <c r="B1646" s="4"/>
      <c r="C1646" s="4"/>
      <c r="D1646" s="7"/>
    </row>
    <row r="1647" spans="1:4" x14ac:dyDescent="0.3">
      <c r="A1647" s="4"/>
      <c r="B1647" s="4"/>
      <c r="C1647" s="4"/>
      <c r="D1647" s="7"/>
    </row>
    <row r="1648" spans="1:4" x14ac:dyDescent="0.3">
      <c r="A1648" s="4"/>
      <c r="B1648" s="4"/>
      <c r="C1648" s="4"/>
      <c r="D1648" s="7"/>
    </row>
    <row r="1649" spans="1:4" x14ac:dyDescent="0.3">
      <c r="A1649" s="4"/>
      <c r="B1649" s="4"/>
      <c r="C1649" s="4"/>
      <c r="D1649" s="7"/>
    </row>
    <row r="1650" spans="1:4" x14ac:dyDescent="0.3">
      <c r="A1650" s="4"/>
      <c r="B1650" s="4"/>
      <c r="C1650" s="4"/>
      <c r="D1650" s="7"/>
    </row>
    <row r="1651" spans="1:4" x14ac:dyDescent="0.3">
      <c r="A1651" s="4"/>
      <c r="B1651" s="4"/>
      <c r="C1651" s="4"/>
      <c r="D1651" s="7"/>
    </row>
    <row r="1652" spans="1:4" x14ac:dyDescent="0.3">
      <c r="A1652" s="4"/>
      <c r="B1652" s="4"/>
      <c r="C1652" s="4"/>
      <c r="D1652" s="7"/>
    </row>
    <row r="1653" spans="1:4" x14ac:dyDescent="0.3">
      <c r="A1653" s="4"/>
      <c r="B1653" s="4"/>
      <c r="C1653" s="4"/>
      <c r="D1653" s="7"/>
    </row>
    <row r="1654" spans="1:4" x14ac:dyDescent="0.3">
      <c r="A1654" s="4"/>
      <c r="B1654" s="4"/>
      <c r="C1654" s="4"/>
      <c r="D1654" s="7"/>
    </row>
    <row r="1655" spans="1:4" x14ac:dyDescent="0.3">
      <c r="A1655" s="4"/>
      <c r="B1655" s="4"/>
      <c r="C1655" s="4"/>
      <c r="D1655" s="7"/>
    </row>
    <row r="1656" spans="1:4" x14ac:dyDescent="0.3">
      <c r="A1656" s="4"/>
      <c r="B1656" s="4"/>
      <c r="C1656" s="4"/>
      <c r="D1656" s="7"/>
    </row>
    <row r="1657" spans="1:4" x14ac:dyDescent="0.3">
      <c r="A1657" s="4"/>
      <c r="B1657" s="4"/>
      <c r="C1657" s="4"/>
      <c r="D1657" s="7"/>
    </row>
    <row r="1658" spans="1:4" x14ac:dyDescent="0.3">
      <c r="A1658" s="4"/>
      <c r="B1658" s="4"/>
      <c r="C1658" s="4"/>
      <c r="D1658" s="7"/>
    </row>
    <row r="1659" spans="1:4" x14ac:dyDescent="0.3">
      <c r="A1659" s="4"/>
      <c r="B1659" s="4"/>
      <c r="C1659" s="4"/>
      <c r="D1659" s="7"/>
    </row>
    <row r="1660" spans="1:4" x14ac:dyDescent="0.3">
      <c r="A1660" s="4"/>
      <c r="B1660" s="4"/>
      <c r="C1660" s="4"/>
      <c r="D1660" s="7"/>
    </row>
    <row r="1661" spans="1:4" x14ac:dyDescent="0.3">
      <c r="A1661" s="4"/>
      <c r="B1661" s="4"/>
      <c r="C1661" s="4"/>
      <c r="D1661" s="7"/>
    </row>
    <row r="1662" spans="1:4" x14ac:dyDescent="0.3">
      <c r="A1662" s="4"/>
      <c r="B1662" s="4"/>
      <c r="C1662" s="4"/>
      <c r="D1662" s="7"/>
    </row>
    <row r="1663" spans="1:4" x14ac:dyDescent="0.3">
      <c r="A1663" s="4"/>
      <c r="B1663" s="4"/>
      <c r="C1663" s="4"/>
      <c r="D1663" s="7"/>
    </row>
    <row r="1664" spans="1:4" x14ac:dyDescent="0.3">
      <c r="A1664" s="4"/>
      <c r="B1664" s="4"/>
      <c r="C1664" s="4"/>
      <c r="D1664" s="7"/>
    </row>
    <row r="1665" spans="1:4" x14ac:dyDescent="0.3">
      <c r="A1665" s="4"/>
      <c r="B1665" s="4"/>
      <c r="C1665" s="4"/>
      <c r="D1665" s="7"/>
    </row>
    <row r="1666" spans="1:4" x14ac:dyDescent="0.3">
      <c r="A1666" s="4"/>
      <c r="B1666" s="4"/>
      <c r="C1666" s="4"/>
      <c r="D1666" s="7"/>
    </row>
    <row r="1667" spans="1:4" x14ac:dyDescent="0.3">
      <c r="A1667" s="4"/>
      <c r="B1667" s="4"/>
      <c r="C1667" s="4"/>
      <c r="D1667" s="7"/>
    </row>
    <row r="1668" spans="1:4" x14ac:dyDescent="0.3">
      <c r="A1668" s="4"/>
      <c r="B1668" s="4"/>
      <c r="C1668" s="4"/>
      <c r="D1668" s="7"/>
    </row>
    <row r="1669" spans="1:4" x14ac:dyDescent="0.3">
      <c r="A1669" s="4"/>
      <c r="B1669" s="4"/>
      <c r="C1669" s="4"/>
      <c r="D1669" s="7"/>
    </row>
    <row r="1670" spans="1:4" x14ac:dyDescent="0.3">
      <c r="A1670" s="4"/>
      <c r="B1670" s="4"/>
      <c r="C1670" s="4"/>
      <c r="D1670" s="7"/>
    </row>
    <row r="1671" spans="1:4" x14ac:dyDescent="0.3">
      <c r="A1671" s="4"/>
      <c r="B1671" s="4"/>
      <c r="C1671" s="4"/>
      <c r="D1671" s="7"/>
    </row>
    <row r="1672" spans="1:4" x14ac:dyDescent="0.3">
      <c r="A1672" s="4"/>
      <c r="B1672" s="4"/>
      <c r="C1672" s="4"/>
      <c r="D1672" s="7"/>
    </row>
    <row r="1673" spans="1:4" x14ac:dyDescent="0.3">
      <c r="A1673" s="4"/>
      <c r="B1673" s="4"/>
      <c r="C1673" s="4"/>
      <c r="D1673" s="7"/>
    </row>
    <row r="1674" spans="1:4" x14ac:dyDescent="0.3">
      <c r="A1674" s="4"/>
      <c r="B1674" s="4"/>
      <c r="C1674" s="4"/>
      <c r="D1674" s="7"/>
    </row>
    <row r="1675" spans="1:4" x14ac:dyDescent="0.3">
      <c r="A1675" s="4"/>
      <c r="B1675" s="4"/>
      <c r="C1675" s="4"/>
      <c r="D1675" s="7"/>
    </row>
    <row r="1676" spans="1:4" x14ac:dyDescent="0.3">
      <c r="A1676" s="4"/>
      <c r="B1676" s="4"/>
      <c r="C1676" s="4"/>
      <c r="D1676" s="7"/>
    </row>
    <row r="1677" spans="1:4" x14ac:dyDescent="0.3">
      <c r="A1677" s="4"/>
      <c r="B1677" s="4"/>
      <c r="C1677" s="4"/>
      <c r="D1677" s="7"/>
    </row>
    <row r="1678" spans="1:4" x14ac:dyDescent="0.3">
      <c r="A1678" s="4"/>
      <c r="B1678" s="4"/>
      <c r="C1678" s="4"/>
      <c r="D1678" s="7"/>
    </row>
    <row r="1679" spans="1:4" x14ac:dyDescent="0.3">
      <c r="A1679" s="4"/>
      <c r="B1679" s="4"/>
      <c r="C1679" s="4"/>
      <c r="D1679" s="7"/>
    </row>
    <row r="1680" spans="1:4" x14ac:dyDescent="0.3">
      <c r="A1680" s="4"/>
      <c r="B1680" s="4"/>
      <c r="C1680" s="4"/>
      <c r="D1680" s="7"/>
    </row>
    <row r="1681" spans="1:4" x14ac:dyDescent="0.3">
      <c r="A1681" s="4"/>
      <c r="B1681" s="4"/>
      <c r="C1681" s="4"/>
      <c r="D1681" s="7"/>
    </row>
    <row r="1682" spans="1:4" x14ac:dyDescent="0.3">
      <c r="A1682" s="4"/>
      <c r="B1682" s="4"/>
      <c r="C1682" s="4"/>
      <c r="D1682" s="7"/>
    </row>
    <row r="1683" spans="1:4" x14ac:dyDescent="0.3">
      <c r="A1683" s="4"/>
      <c r="B1683" s="4"/>
      <c r="C1683" s="4"/>
      <c r="D1683" s="7"/>
    </row>
    <row r="1684" spans="1:4" x14ac:dyDescent="0.3">
      <c r="A1684" s="4"/>
      <c r="B1684" s="4"/>
      <c r="C1684" s="4"/>
      <c r="D1684" s="7"/>
    </row>
    <row r="1685" spans="1:4" x14ac:dyDescent="0.3">
      <c r="A1685" s="4"/>
      <c r="B1685" s="4"/>
      <c r="C1685" s="4"/>
      <c r="D1685" s="7"/>
    </row>
    <row r="1686" spans="1:4" x14ac:dyDescent="0.3">
      <c r="A1686" s="4"/>
      <c r="B1686" s="4"/>
      <c r="C1686" s="4"/>
      <c r="D1686" s="7"/>
    </row>
    <row r="1687" spans="1:4" x14ac:dyDescent="0.3">
      <c r="A1687" s="4"/>
      <c r="B1687" s="4"/>
      <c r="C1687" s="4"/>
      <c r="D1687" s="7"/>
    </row>
    <row r="1688" spans="1:4" x14ac:dyDescent="0.3">
      <c r="A1688" s="4"/>
      <c r="B1688" s="4"/>
      <c r="C1688" s="4"/>
      <c r="D1688" s="7"/>
    </row>
    <row r="1689" spans="1:4" x14ac:dyDescent="0.3">
      <c r="A1689" s="4"/>
      <c r="B1689" s="4"/>
      <c r="C1689" s="4"/>
      <c r="D1689" s="7"/>
    </row>
    <row r="1690" spans="1:4" x14ac:dyDescent="0.3">
      <c r="A1690" s="4"/>
      <c r="B1690" s="4"/>
      <c r="C1690" s="4"/>
      <c r="D1690" s="7"/>
    </row>
    <row r="1691" spans="1:4" x14ac:dyDescent="0.3">
      <c r="A1691" s="4"/>
      <c r="B1691" s="4"/>
      <c r="C1691" s="4"/>
      <c r="D1691" s="7"/>
    </row>
    <row r="1692" spans="1:4" x14ac:dyDescent="0.3">
      <c r="A1692" s="4"/>
      <c r="B1692" s="4"/>
      <c r="C1692" s="4"/>
      <c r="D1692" s="7"/>
    </row>
    <row r="1693" spans="1:4" x14ac:dyDescent="0.3">
      <c r="A1693" s="4"/>
      <c r="B1693" s="4"/>
      <c r="C1693" s="4"/>
      <c r="D1693" s="7"/>
    </row>
    <row r="1694" spans="1:4" x14ac:dyDescent="0.3">
      <c r="A1694" s="4"/>
      <c r="B1694" s="4"/>
      <c r="C1694" s="4"/>
      <c r="D1694" s="7"/>
    </row>
    <row r="1695" spans="1:4" x14ac:dyDescent="0.3">
      <c r="A1695" s="4"/>
      <c r="B1695" s="4"/>
      <c r="C1695" s="4"/>
      <c r="D1695" s="7"/>
    </row>
    <row r="1696" spans="1:4" x14ac:dyDescent="0.3">
      <c r="A1696" s="4"/>
      <c r="B1696" s="4"/>
      <c r="C1696" s="4"/>
      <c r="D1696" s="7"/>
    </row>
    <row r="1697" spans="1:4" x14ac:dyDescent="0.3">
      <c r="A1697" s="4"/>
      <c r="B1697" s="4"/>
      <c r="C1697" s="4"/>
      <c r="D1697" s="7"/>
    </row>
    <row r="1698" spans="1:4" x14ac:dyDescent="0.3">
      <c r="A1698" s="4"/>
      <c r="B1698" s="4"/>
      <c r="C1698" s="4"/>
      <c r="D1698" s="7"/>
    </row>
    <row r="1699" spans="1:4" x14ac:dyDescent="0.3">
      <c r="A1699" s="4"/>
      <c r="B1699" s="4"/>
      <c r="C1699" s="4"/>
      <c r="D1699" s="7"/>
    </row>
    <row r="1700" spans="1:4" x14ac:dyDescent="0.3">
      <c r="A1700" s="4"/>
      <c r="B1700" s="4"/>
      <c r="C1700" s="4"/>
      <c r="D1700" s="7"/>
    </row>
    <row r="1701" spans="1:4" x14ac:dyDescent="0.3">
      <c r="A1701" s="4"/>
      <c r="B1701" s="4"/>
      <c r="C1701" s="4"/>
      <c r="D1701" s="7"/>
    </row>
    <row r="1702" spans="1:4" x14ac:dyDescent="0.3">
      <c r="A1702" s="4"/>
      <c r="B1702" s="4"/>
      <c r="C1702" s="4"/>
      <c r="D1702" s="7"/>
    </row>
    <row r="1703" spans="1:4" x14ac:dyDescent="0.3">
      <c r="A1703" s="4"/>
      <c r="B1703" s="4"/>
      <c r="C1703" s="4"/>
      <c r="D1703" s="7"/>
    </row>
    <row r="1704" spans="1:4" x14ac:dyDescent="0.3">
      <c r="A1704" s="4"/>
      <c r="B1704" s="4"/>
      <c r="C1704" s="4"/>
      <c r="D1704" s="7"/>
    </row>
    <row r="1705" spans="1:4" x14ac:dyDescent="0.3">
      <c r="A1705" s="4"/>
      <c r="B1705" s="4"/>
      <c r="C1705" s="4"/>
      <c r="D1705" s="7"/>
    </row>
    <row r="1706" spans="1:4" x14ac:dyDescent="0.3">
      <c r="A1706" s="4"/>
      <c r="B1706" s="4"/>
      <c r="C1706" s="4"/>
      <c r="D1706" s="7"/>
    </row>
    <row r="1707" spans="1:4" x14ac:dyDescent="0.3">
      <c r="A1707" s="4"/>
      <c r="B1707" s="4"/>
      <c r="C1707" s="4"/>
      <c r="D1707" s="7"/>
    </row>
    <row r="1708" spans="1:4" x14ac:dyDescent="0.3">
      <c r="A1708" s="4"/>
      <c r="B1708" s="4"/>
      <c r="C1708" s="4"/>
      <c r="D1708" s="7"/>
    </row>
    <row r="1709" spans="1:4" x14ac:dyDescent="0.3">
      <c r="A1709" s="4"/>
      <c r="B1709" s="4"/>
      <c r="C1709" s="4"/>
      <c r="D1709" s="7"/>
    </row>
    <row r="1710" spans="1:4" x14ac:dyDescent="0.3">
      <c r="A1710" s="4"/>
      <c r="B1710" s="4"/>
      <c r="C1710" s="4"/>
      <c r="D1710" s="7"/>
    </row>
    <row r="1711" spans="1:4" x14ac:dyDescent="0.3">
      <c r="A1711" s="4"/>
      <c r="B1711" s="4"/>
      <c r="C1711" s="4"/>
      <c r="D1711" s="7"/>
    </row>
    <row r="1712" spans="1:4" x14ac:dyDescent="0.3">
      <c r="A1712" s="4"/>
      <c r="B1712" s="4"/>
      <c r="C1712" s="4"/>
      <c r="D1712" s="7"/>
    </row>
    <row r="1713" spans="1:4" x14ac:dyDescent="0.3">
      <c r="A1713" s="4"/>
      <c r="B1713" s="4"/>
      <c r="C1713" s="4"/>
      <c r="D1713" s="7"/>
    </row>
    <row r="1714" spans="1:4" x14ac:dyDescent="0.3">
      <c r="A1714" s="4"/>
      <c r="B1714" s="4"/>
      <c r="C1714" s="4"/>
      <c r="D1714" s="7"/>
    </row>
    <row r="1715" spans="1:4" x14ac:dyDescent="0.3">
      <c r="A1715" s="4"/>
      <c r="B1715" s="4"/>
      <c r="C1715" s="4"/>
      <c r="D1715" s="7"/>
    </row>
    <row r="1716" spans="1:4" x14ac:dyDescent="0.3">
      <c r="A1716" s="4"/>
      <c r="B1716" s="4"/>
      <c r="C1716" s="4"/>
      <c r="D1716" s="7"/>
    </row>
    <row r="1717" spans="1:4" x14ac:dyDescent="0.3">
      <c r="A1717" s="4"/>
      <c r="B1717" s="4"/>
      <c r="C1717" s="4"/>
      <c r="D1717" s="7"/>
    </row>
    <row r="1718" spans="1:4" x14ac:dyDescent="0.3">
      <c r="A1718" s="4"/>
      <c r="B1718" s="4"/>
      <c r="C1718" s="4"/>
      <c r="D1718" s="7"/>
    </row>
    <row r="1719" spans="1:4" x14ac:dyDescent="0.3">
      <c r="A1719" s="4"/>
      <c r="B1719" s="4"/>
      <c r="C1719" s="4"/>
      <c r="D1719" s="7"/>
    </row>
    <row r="1720" spans="1:4" x14ac:dyDescent="0.3">
      <c r="A1720" s="4"/>
      <c r="B1720" s="4"/>
      <c r="C1720" s="4"/>
      <c r="D1720" s="7"/>
    </row>
    <row r="1721" spans="1:4" x14ac:dyDescent="0.3">
      <c r="A1721" s="4"/>
      <c r="B1721" s="4"/>
      <c r="C1721" s="4"/>
      <c r="D1721" s="7"/>
    </row>
    <row r="1722" spans="1:4" x14ac:dyDescent="0.3">
      <c r="A1722" s="4"/>
      <c r="B1722" s="4"/>
      <c r="C1722" s="4"/>
      <c r="D1722" s="7"/>
    </row>
    <row r="1723" spans="1:4" x14ac:dyDescent="0.3">
      <c r="A1723" s="4"/>
      <c r="B1723" s="4"/>
      <c r="C1723" s="4"/>
      <c r="D1723" s="7"/>
    </row>
    <row r="1724" spans="1:4" x14ac:dyDescent="0.3">
      <c r="A1724" s="4"/>
      <c r="B1724" s="4"/>
      <c r="C1724" s="4"/>
      <c r="D1724" s="7"/>
    </row>
    <row r="1725" spans="1:4" x14ac:dyDescent="0.3">
      <c r="A1725" s="4"/>
      <c r="B1725" s="4"/>
      <c r="C1725" s="4"/>
      <c r="D1725" s="7"/>
    </row>
    <row r="1726" spans="1:4" x14ac:dyDescent="0.3">
      <c r="A1726" s="4"/>
      <c r="B1726" s="4"/>
      <c r="C1726" s="4"/>
      <c r="D1726" s="7"/>
    </row>
    <row r="1727" spans="1:4" x14ac:dyDescent="0.3">
      <c r="A1727" s="4"/>
      <c r="B1727" s="4"/>
      <c r="C1727" s="4"/>
      <c r="D1727" s="7"/>
    </row>
    <row r="1728" spans="1:4" x14ac:dyDescent="0.3">
      <c r="A1728" s="4"/>
      <c r="B1728" s="4"/>
      <c r="C1728" s="4"/>
      <c r="D1728" s="7"/>
    </row>
    <row r="1729" spans="1:4" x14ac:dyDescent="0.3">
      <c r="A1729" s="4"/>
      <c r="B1729" s="4"/>
      <c r="C1729" s="4"/>
      <c r="D1729" s="7"/>
    </row>
    <row r="1730" spans="1:4" x14ac:dyDescent="0.3">
      <c r="A1730" s="4"/>
      <c r="B1730" s="4"/>
      <c r="C1730" s="4"/>
      <c r="D1730" s="7"/>
    </row>
    <row r="1731" spans="1:4" x14ac:dyDescent="0.3">
      <c r="A1731" s="4"/>
      <c r="B1731" s="4"/>
      <c r="C1731" s="4"/>
      <c r="D1731" s="7"/>
    </row>
    <row r="1732" spans="1:4" x14ac:dyDescent="0.3">
      <c r="A1732" s="4"/>
      <c r="B1732" s="4"/>
      <c r="C1732" s="4"/>
      <c r="D1732" s="7"/>
    </row>
    <row r="1733" spans="1:4" x14ac:dyDescent="0.3">
      <c r="A1733" s="4"/>
      <c r="B1733" s="4"/>
      <c r="C1733" s="4"/>
      <c r="D1733" s="7"/>
    </row>
    <row r="1734" spans="1:4" x14ac:dyDescent="0.3">
      <c r="A1734" s="4"/>
      <c r="B1734" s="4"/>
      <c r="C1734" s="4"/>
      <c r="D1734" s="7"/>
    </row>
    <row r="1735" spans="1:4" x14ac:dyDescent="0.3">
      <c r="A1735" s="4"/>
      <c r="B1735" s="4"/>
      <c r="C1735" s="4"/>
      <c r="D1735" s="7"/>
    </row>
    <row r="1736" spans="1:4" x14ac:dyDescent="0.3">
      <c r="A1736" s="4"/>
      <c r="B1736" s="4"/>
      <c r="C1736" s="4"/>
      <c r="D1736" s="7"/>
    </row>
    <row r="1737" spans="1:4" x14ac:dyDescent="0.3">
      <c r="A1737" s="4"/>
      <c r="B1737" s="4"/>
      <c r="C1737" s="4"/>
      <c r="D1737" s="7"/>
    </row>
    <row r="1738" spans="1:4" x14ac:dyDescent="0.3">
      <c r="A1738" s="4"/>
      <c r="B1738" s="4"/>
      <c r="C1738" s="4"/>
      <c r="D1738" s="7"/>
    </row>
    <row r="1739" spans="1:4" x14ac:dyDescent="0.3">
      <c r="A1739" s="4"/>
      <c r="B1739" s="4"/>
      <c r="C1739" s="4"/>
      <c r="D1739" s="7"/>
    </row>
    <row r="1740" spans="1:4" x14ac:dyDescent="0.3">
      <c r="A1740" s="4"/>
      <c r="B1740" s="4"/>
      <c r="C1740" s="4"/>
      <c r="D1740" s="7"/>
    </row>
    <row r="1741" spans="1:4" x14ac:dyDescent="0.3">
      <c r="A1741" s="4"/>
      <c r="B1741" s="4"/>
      <c r="C1741" s="4"/>
      <c r="D1741" s="7"/>
    </row>
    <row r="1742" spans="1:4" x14ac:dyDescent="0.3">
      <c r="A1742" s="4"/>
      <c r="B1742" s="4"/>
      <c r="C1742" s="4"/>
      <c r="D1742" s="7"/>
    </row>
    <row r="1743" spans="1:4" x14ac:dyDescent="0.3">
      <c r="A1743" s="4"/>
      <c r="B1743" s="4"/>
      <c r="C1743" s="4"/>
      <c r="D1743" s="7"/>
    </row>
    <row r="1744" spans="1:4" x14ac:dyDescent="0.3">
      <c r="A1744" s="4"/>
      <c r="B1744" s="4"/>
      <c r="C1744" s="4"/>
      <c r="D1744" s="7"/>
    </row>
    <row r="1745" spans="1:4" x14ac:dyDescent="0.3">
      <c r="A1745" s="4"/>
      <c r="B1745" s="4"/>
      <c r="C1745" s="4"/>
      <c r="D1745" s="7"/>
    </row>
    <row r="1746" spans="1:4" x14ac:dyDescent="0.3">
      <c r="A1746" s="4"/>
      <c r="B1746" s="4"/>
      <c r="C1746" s="4"/>
      <c r="D1746" s="7"/>
    </row>
    <row r="1747" spans="1:4" x14ac:dyDescent="0.3">
      <c r="A1747" s="4"/>
      <c r="B1747" s="4"/>
      <c r="C1747" s="4"/>
      <c r="D1747" s="7"/>
    </row>
    <row r="1748" spans="1:4" x14ac:dyDescent="0.3">
      <c r="A1748" s="4"/>
      <c r="B1748" s="4"/>
      <c r="C1748" s="4"/>
      <c r="D1748" s="7"/>
    </row>
    <row r="1749" spans="1:4" x14ac:dyDescent="0.3">
      <c r="A1749" s="4"/>
      <c r="B1749" s="4"/>
      <c r="C1749" s="4"/>
      <c r="D1749" s="7"/>
    </row>
    <row r="1750" spans="1:4" x14ac:dyDescent="0.3">
      <c r="A1750" s="4"/>
      <c r="B1750" s="4"/>
      <c r="C1750" s="4"/>
      <c r="D1750" s="7"/>
    </row>
    <row r="1751" spans="1:4" x14ac:dyDescent="0.3">
      <c r="A1751" s="4"/>
      <c r="B1751" s="4"/>
      <c r="C1751" s="4"/>
      <c r="D1751" s="7"/>
    </row>
    <row r="1752" spans="1:4" x14ac:dyDescent="0.3">
      <c r="A1752" s="4"/>
      <c r="B1752" s="4"/>
      <c r="C1752" s="4"/>
      <c r="D1752" s="7"/>
    </row>
    <row r="1753" spans="1:4" x14ac:dyDescent="0.3">
      <c r="A1753" s="4"/>
      <c r="B1753" s="4"/>
      <c r="C1753" s="4"/>
      <c r="D1753" s="7"/>
    </row>
    <row r="1754" spans="1:4" x14ac:dyDescent="0.3">
      <c r="A1754" s="4"/>
      <c r="B1754" s="4"/>
      <c r="C1754" s="4"/>
      <c r="D1754" s="7"/>
    </row>
    <row r="1755" spans="1:4" x14ac:dyDescent="0.3">
      <c r="A1755" s="4"/>
      <c r="B1755" s="4"/>
      <c r="C1755" s="4"/>
      <c r="D1755" s="7"/>
    </row>
    <row r="1756" spans="1:4" x14ac:dyDescent="0.3">
      <c r="A1756" s="4"/>
      <c r="B1756" s="4"/>
      <c r="C1756" s="4"/>
      <c r="D1756" s="7"/>
    </row>
    <row r="1757" spans="1:4" x14ac:dyDescent="0.3">
      <c r="A1757" s="4"/>
      <c r="B1757" s="4"/>
      <c r="C1757" s="4"/>
      <c r="D1757" s="7"/>
    </row>
    <row r="1758" spans="1:4" x14ac:dyDescent="0.3">
      <c r="A1758" s="4"/>
      <c r="B1758" s="4"/>
      <c r="C1758" s="4"/>
      <c r="D1758" s="7"/>
    </row>
    <row r="1759" spans="1:4" x14ac:dyDescent="0.3">
      <c r="A1759" s="4"/>
      <c r="B1759" s="4"/>
      <c r="C1759" s="4"/>
      <c r="D1759" s="7"/>
    </row>
    <row r="1760" spans="1:4" x14ac:dyDescent="0.3">
      <c r="A1760" s="4"/>
      <c r="B1760" s="4"/>
      <c r="C1760" s="4"/>
      <c r="D1760" s="7"/>
    </row>
    <row r="1761" spans="1:4" x14ac:dyDescent="0.3">
      <c r="A1761" s="4"/>
      <c r="B1761" s="4"/>
      <c r="C1761" s="4"/>
      <c r="D1761" s="7"/>
    </row>
    <row r="1762" spans="1:4" x14ac:dyDescent="0.3">
      <c r="A1762" s="4"/>
      <c r="B1762" s="4"/>
      <c r="C1762" s="4"/>
      <c r="D1762" s="7"/>
    </row>
    <row r="1763" spans="1:4" x14ac:dyDescent="0.3">
      <c r="A1763" s="4"/>
      <c r="B1763" s="4"/>
      <c r="C1763" s="4"/>
      <c r="D1763" s="7"/>
    </row>
    <row r="1764" spans="1:4" x14ac:dyDescent="0.3">
      <c r="A1764" s="4"/>
      <c r="B1764" s="4"/>
      <c r="C1764" s="4"/>
      <c r="D1764" s="7"/>
    </row>
    <row r="1765" spans="1:4" x14ac:dyDescent="0.3">
      <c r="A1765" s="4"/>
      <c r="B1765" s="4"/>
      <c r="C1765" s="4"/>
      <c r="D1765" s="7"/>
    </row>
    <row r="1766" spans="1:4" x14ac:dyDescent="0.3">
      <c r="A1766" s="4"/>
      <c r="B1766" s="4"/>
      <c r="C1766" s="4"/>
      <c r="D1766" s="7"/>
    </row>
    <row r="1767" spans="1:4" x14ac:dyDescent="0.3">
      <c r="A1767" s="4"/>
      <c r="B1767" s="4"/>
      <c r="C1767" s="4"/>
      <c r="D1767" s="7"/>
    </row>
    <row r="1768" spans="1:4" x14ac:dyDescent="0.3">
      <c r="A1768" s="4"/>
      <c r="B1768" s="4"/>
      <c r="C1768" s="4"/>
      <c r="D1768" s="7"/>
    </row>
    <row r="1769" spans="1:4" x14ac:dyDescent="0.3">
      <c r="A1769" s="4"/>
      <c r="B1769" s="4"/>
      <c r="C1769" s="4"/>
      <c r="D1769" s="7"/>
    </row>
    <row r="1770" spans="1:4" x14ac:dyDescent="0.3">
      <c r="A1770" s="4"/>
      <c r="B1770" s="4"/>
      <c r="C1770" s="4"/>
      <c r="D1770" s="7"/>
    </row>
    <row r="1771" spans="1:4" x14ac:dyDescent="0.3">
      <c r="A1771" s="4"/>
      <c r="B1771" s="4"/>
      <c r="C1771" s="4"/>
      <c r="D1771" s="7"/>
    </row>
    <row r="1772" spans="1:4" x14ac:dyDescent="0.3">
      <c r="A1772" s="4"/>
      <c r="B1772" s="4"/>
      <c r="C1772" s="4"/>
      <c r="D1772" s="7"/>
    </row>
    <row r="1773" spans="1:4" x14ac:dyDescent="0.3">
      <c r="A1773" s="4"/>
      <c r="B1773" s="4"/>
      <c r="C1773" s="4"/>
      <c r="D1773" s="7"/>
    </row>
    <row r="1774" spans="1:4" x14ac:dyDescent="0.3">
      <c r="A1774" s="4"/>
      <c r="B1774" s="4"/>
      <c r="C1774" s="4"/>
      <c r="D1774" s="7"/>
    </row>
    <row r="1775" spans="1:4" x14ac:dyDescent="0.3">
      <c r="A1775" s="4"/>
      <c r="B1775" s="4"/>
      <c r="C1775" s="4"/>
      <c r="D1775" s="7"/>
    </row>
    <row r="1776" spans="1:4" x14ac:dyDescent="0.3">
      <c r="A1776" s="4"/>
      <c r="B1776" s="4"/>
      <c r="C1776" s="4"/>
      <c r="D1776" s="7"/>
    </row>
    <row r="1777" spans="1:4" x14ac:dyDescent="0.3">
      <c r="A1777" s="4"/>
      <c r="B1777" s="4"/>
      <c r="C1777" s="4"/>
      <c r="D1777" s="7"/>
    </row>
    <row r="1778" spans="1:4" x14ac:dyDescent="0.3">
      <c r="A1778" s="4"/>
      <c r="B1778" s="4"/>
      <c r="C1778" s="4"/>
      <c r="D1778" s="7"/>
    </row>
    <row r="1779" spans="1:4" x14ac:dyDescent="0.3">
      <c r="A1779" s="4"/>
      <c r="B1779" s="4"/>
      <c r="C1779" s="4"/>
      <c r="D1779" s="7"/>
    </row>
    <row r="1780" spans="1:4" x14ac:dyDescent="0.3">
      <c r="A1780" s="4"/>
      <c r="B1780" s="4"/>
      <c r="C1780" s="4"/>
      <c r="D1780" s="7"/>
    </row>
    <row r="1781" spans="1:4" x14ac:dyDescent="0.3">
      <c r="A1781" s="4"/>
      <c r="B1781" s="4"/>
      <c r="C1781" s="4"/>
      <c r="D1781" s="7"/>
    </row>
    <row r="1782" spans="1:4" x14ac:dyDescent="0.3">
      <c r="A1782" s="4"/>
      <c r="B1782" s="4"/>
      <c r="C1782" s="4"/>
      <c r="D1782" s="7"/>
    </row>
    <row r="1783" spans="1:4" x14ac:dyDescent="0.3">
      <c r="A1783" s="4"/>
      <c r="B1783" s="4"/>
      <c r="C1783" s="4"/>
      <c r="D1783" s="7"/>
    </row>
    <row r="1784" spans="1:4" x14ac:dyDescent="0.3">
      <c r="A1784" s="4"/>
      <c r="B1784" s="4"/>
      <c r="C1784" s="4"/>
      <c r="D1784" s="7"/>
    </row>
    <row r="1785" spans="1:4" x14ac:dyDescent="0.3">
      <c r="A1785" s="4"/>
      <c r="B1785" s="4"/>
      <c r="C1785" s="4"/>
      <c r="D1785" s="7"/>
    </row>
    <row r="1786" spans="1:4" x14ac:dyDescent="0.3">
      <c r="A1786" s="4"/>
      <c r="B1786" s="4"/>
      <c r="C1786" s="4"/>
      <c r="D1786" s="7"/>
    </row>
    <row r="1787" spans="1:4" x14ac:dyDescent="0.3">
      <c r="A1787" s="4"/>
      <c r="B1787" s="4"/>
      <c r="C1787" s="4"/>
      <c r="D1787" s="7"/>
    </row>
    <row r="1788" spans="1:4" x14ac:dyDescent="0.3">
      <c r="A1788" s="4"/>
      <c r="B1788" s="4"/>
      <c r="C1788" s="4"/>
      <c r="D1788" s="7"/>
    </row>
    <row r="1789" spans="1:4" x14ac:dyDescent="0.3">
      <c r="A1789" s="4"/>
      <c r="B1789" s="4"/>
      <c r="C1789" s="4"/>
      <c r="D1789" s="7"/>
    </row>
    <row r="1790" spans="1:4" x14ac:dyDescent="0.3">
      <c r="A1790" s="4"/>
      <c r="B1790" s="4"/>
      <c r="C1790" s="4"/>
      <c r="D1790" s="7"/>
    </row>
    <row r="1791" spans="1:4" x14ac:dyDescent="0.3">
      <c r="A1791" s="4"/>
      <c r="B1791" s="4"/>
      <c r="C1791" s="4"/>
      <c r="D1791" s="7"/>
    </row>
    <row r="1792" spans="1:4" x14ac:dyDescent="0.3">
      <c r="A1792" s="4"/>
      <c r="B1792" s="4"/>
      <c r="C1792" s="4"/>
      <c r="D1792" s="7"/>
    </row>
    <row r="1793" spans="1:4" x14ac:dyDescent="0.3">
      <c r="A1793" s="4"/>
      <c r="B1793" s="4"/>
      <c r="C1793" s="4"/>
      <c r="D1793" s="7"/>
    </row>
    <row r="1794" spans="1:4" x14ac:dyDescent="0.3">
      <c r="A1794" s="4"/>
      <c r="B1794" s="4"/>
      <c r="C1794" s="4"/>
      <c r="D1794" s="7"/>
    </row>
    <row r="1795" spans="1:4" x14ac:dyDescent="0.3">
      <c r="A1795" s="4"/>
      <c r="B1795" s="4"/>
      <c r="C1795" s="4"/>
      <c r="D1795" s="7"/>
    </row>
    <row r="1796" spans="1:4" x14ac:dyDescent="0.3">
      <c r="A1796" s="4"/>
      <c r="B1796" s="4"/>
      <c r="C1796" s="4"/>
      <c r="D1796" s="7"/>
    </row>
    <row r="1797" spans="1:4" x14ac:dyDescent="0.3">
      <c r="A1797" s="4"/>
      <c r="B1797" s="4"/>
      <c r="C1797" s="4"/>
      <c r="D1797" s="7"/>
    </row>
    <row r="1798" spans="1:4" x14ac:dyDescent="0.3">
      <c r="A1798" s="4"/>
      <c r="B1798" s="4"/>
      <c r="C1798" s="4"/>
      <c r="D1798" s="7"/>
    </row>
    <row r="1799" spans="1:4" x14ac:dyDescent="0.3">
      <c r="A1799" s="4"/>
      <c r="B1799" s="4"/>
      <c r="C1799" s="4"/>
      <c r="D1799" s="7"/>
    </row>
    <row r="1800" spans="1:4" x14ac:dyDescent="0.3">
      <c r="A1800" s="4"/>
      <c r="B1800" s="4"/>
      <c r="C1800" s="4"/>
      <c r="D1800" s="7"/>
    </row>
    <row r="1801" spans="1:4" x14ac:dyDescent="0.3">
      <c r="A1801" s="4"/>
      <c r="B1801" s="4"/>
      <c r="C1801" s="4"/>
      <c r="D1801" s="7"/>
    </row>
    <row r="1802" spans="1:4" x14ac:dyDescent="0.3">
      <c r="A1802" s="4"/>
      <c r="B1802" s="4"/>
      <c r="C1802" s="4"/>
      <c r="D1802" s="7"/>
    </row>
    <row r="1803" spans="1:4" x14ac:dyDescent="0.3">
      <c r="A1803" s="4"/>
      <c r="B1803" s="4"/>
      <c r="C1803" s="4"/>
      <c r="D1803" s="7"/>
    </row>
    <row r="1804" spans="1:4" x14ac:dyDescent="0.3">
      <c r="A1804" s="4"/>
      <c r="B1804" s="4"/>
      <c r="C1804" s="4"/>
      <c r="D1804" s="7"/>
    </row>
    <row r="1805" spans="1:4" x14ac:dyDescent="0.3">
      <c r="A1805" s="4"/>
      <c r="B1805" s="4"/>
      <c r="C1805" s="4"/>
      <c r="D1805" s="7"/>
    </row>
    <row r="1806" spans="1:4" x14ac:dyDescent="0.3">
      <c r="A1806" s="4"/>
      <c r="B1806" s="4"/>
      <c r="C1806" s="4"/>
      <c r="D1806" s="7"/>
    </row>
    <row r="1807" spans="1:4" x14ac:dyDescent="0.3">
      <c r="A1807" s="4"/>
      <c r="B1807" s="4"/>
      <c r="C1807" s="4"/>
      <c r="D1807" s="7"/>
    </row>
    <row r="1808" spans="1:4" x14ac:dyDescent="0.3">
      <c r="A1808" s="4"/>
      <c r="B1808" s="4"/>
      <c r="C1808" s="4"/>
      <c r="D1808" s="7"/>
    </row>
    <row r="1809" spans="1:4" x14ac:dyDescent="0.3">
      <c r="A1809" s="4"/>
      <c r="B1809" s="4"/>
      <c r="C1809" s="4"/>
      <c r="D1809" s="7"/>
    </row>
    <row r="1810" spans="1:4" x14ac:dyDescent="0.3">
      <c r="A1810" s="4"/>
      <c r="B1810" s="4"/>
      <c r="C1810" s="4"/>
      <c r="D1810" s="7"/>
    </row>
    <row r="1811" spans="1:4" x14ac:dyDescent="0.3">
      <c r="A1811" s="4"/>
      <c r="B1811" s="4"/>
      <c r="C1811" s="4"/>
      <c r="D1811" s="7"/>
    </row>
    <row r="1812" spans="1:4" x14ac:dyDescent="0.3">
      <c r="A1812" s="4"/>
      <c r="B1812" s="4"/>
      <c r="C1812" s="4"/>
      <c r="D1812" s="7"/>
    </row>
    <row r="1813" spans="1:4" x14ac:dyDescent="0.3">
      <c r="A1813" s="4"/>
      <c r="B1813" s="4"/>
      <c r="C1813" s="4"/>
      <c r="D1813" s="7"/>
    </row>
    <row r="1814" spans="1:4" x14ac:dyDescent="0.3">
      <c r="A1814" s="4"/>
      <c r="B1814" s="4"/>
      <c r="C1814" s="4"/>
      <c r="D1814" s="7"/>
    </row>
    <row r="1815" spans="1:4" x14ac:dyDescent="0.3">
      <c r="A1815" s="4"/>
      <c r="B1815" s="4"/>
      <c r="C1815" s="4"/>
      <c r="D1815" s="7"/>
    </row>
    <row r="1816" spans="1:4" x14ac:dyDescent="0.3">
      <c r="A1816" s="4"/>
      <c r="B1816" s="4"/>
      <c r="C1816" s="4"/>
      <c r="D1816" s="7"/>
    </row>
    <row r="1817" spans="1:4" x14ac:dyDescent="0.3">
      <c r="A1817" s="4"/>
      <c r="B1817" s="4"/>
      <c r="C1817" s="4"/>
      <c r="D1817" s="7"/>
    </row>
    <row r="1818" spans="1:4" x14ac:dyDescent="0.3">
      <c r="A1818" s="4"/>
      <c r="B1818" s="4"/>
      <c r="C1818" s="4"/>
      <c r="D1818" s="7"/>
    </row>
    <row r="1819" spans="1:4" x14ac:dyDescent="0.3">
      <c r="A1819" s="4"/>
      <c r="B1819" s="4"/>
      <c r="C1819" s="4"/>
      <c r="D1819" s="7"/>
    </row>
    <row r="1820" spans="1:4" x14ac:dyDescent="0.3">
      <c r="A1820" s="4"/>
      <c r="B1820" s="4"/>
      <c r="C1820" s="4"/>
      <c r="D1820" s="7"/>
    </row>
    <row r="1821" spans="1:4" x14ac:dyDescent="0.3">
      <c r="A1821" s="4"/>
      <c r="B1821" s="4"/>
      <c r="C1821" s="4"/>
      <c r="D1821" s="7"/>
    </row>
    <row r="1822" spans="1:4" x14ac:dyDescent="0.3">
      <c r="A1822" s="4"/>
      <c r="B1822" s="4"/>
      <c r="C1822" s="4"/>
      <c r="D1822" s="7"/>
    </row>
    <row r="1823" spans="1:4" x14ac:dyDescent="0.3">
      <c r="A1823" s="4"/>
      <c r="B1823" s="4"/>
      <c r="C1823" s="4"/>
      <c r="D1823" s="7"/>
    </row>
    <row r="1824" spans="1:4" x14ac:dyDescent="0.3">
      <c r="A1824" s="4"/>
      <c r="B1824" s="4"/>
      <c r="C1824" s="4"/>
      <c r="D1824" s="7"/>
    </row>
    <row r="1825" spans="1:4" x14ac:dyDescent="0.3">
      <c r="A1825" s="4"/>
      <c r="B1825" s="4"/>
      <c r="C1825" s="4"/>
      <c r="D1825" s="7"/>
    </row>
    <row r="1826" spans="1:4" x14ac:dyDescent="0.3">
      <c r="A1826" s="4"/>
      <c r="B1826" s="4"/>
      <c r="C1826" s="4"/>
      <c r="D1826" s="7"/>
    </row>
    <row r="1827" spans="1:4" x14ac:dyDescent="0.3">
      <c r="A1827" s="4"/>
      <c r="B1827" s="4"/>
      <c r="C1827" s="4"/>
      <c r="D1827" s="7"/>
    </row>
    <row r="1828" spans="1:4" x14ac:dyDescent="0.3">
      <c r="A1828" s="4"/>
      <c r="B1828" s="4"/>
      <c r="C1828" s="4"/>
      <c r="D1828" s="7"/>
    </row>
    <row r="1829" spans="1:4" x14ac:dyDescent="0.3">
      <c r="A1829" s="4"/>
      <c r="B1829" s="4"/>
      <c r="C1829" s="4"/>
      <c r="D1829" s="7"/>
    </row>
    <row r="1830" spans="1:4" x14ac:dyDescent="0.3">
      <c r="A1830" s="4"/>
      <c r="B1830" s="4"/>
      <c r="C1830" s="4"/>
      <c r="D1830" s="7"/>
    </row>
    <row r="1831" spans="1:4" x14ac:dyDescent="0.3">
      <c r="A1831" s="4"/>
      <c r="B1831" s="4"/>
      <c r="C1831" s="4"/>
      <c r="D1831" s="7"/>
    </row>
    <row r="1832" spans="1:4" x14ac:dyDescent="0.3">
      <c r="A1832" s="4"/>
      <c r="B1832" s="4"/>
      <c r="C1832" s="4"/>
      <c r="D1832" s="7"/>
    </row>
    <row r="1833" spans="1:4" x14ac:dyDescent="0.3">
      <c r="A1833" s="4"/>
      <c r="B1833" s="4"/>
      <c r="C1833" s="4"/>
      <c r="D1833" s="7"/>
    </row>
    <row r="1834" spans="1:4" x14ac:dyDescent="0.3">
      <c r="A1834" s="4"/>
      <c r="B1834" s="4"/>
      <c r="C1834" s="4"/>
      <c r="D1834" s="7"/>
    </row>
    <row r="1835" spans="1:4" x14ac:dyDescent="0.3">
      <c r="A1835" s="4"/>
      <c r="B1835" s="4"/>
      <c r="C1835" s="4"/>
      <c r="D1835" s="7"/>
    </row>
    <row r="1836" spans="1:4" x14ac:dyDescent="0.3">
      <c r="A1836" s="4"/>
      <c r="B1836" s="4"/>
      <c r="C1836" s="4"/>
      <c r="D1836" s="7"/>
    </row>
    <row r="1837" spans="1:4" x14ac:dyDescent="0.3">
      <c r="A1837" s="4"/>
      <c r="B1837" s="4"/>
      <c r="C1837" s="4"/>
      <c r="D1837" s="7"/>
    </row>
    <row r="1838" spans="1:4" x14ac:dyDescent="0.3">
      <c r="A1838" s="4"/>
      <c r="B1838" s="4"/>
      <c r="C1838" s="4"/>
      <c r="D1838" s="7"/>
    </row>
    <row r="1839" spans="1:4" x14ac:dyDescent="0.3">
      <c r="A1839" s="4"/>
      <c r="B1839" s="4"/>
      <c r="C1839" s="4"/>
      <c r="D1839" s="7"/>
    </row>
    <row r="1840" spans="1:4" x14ac:dyDescent="0.3">
      <c r="A1840" s="4"/>
      <c r="B1840" s="4"/>
      <c r="C1840" s="4"/>
      <c r="D1840" s="7"/>
    </row>
    <row r="1841" spans="1:4" x14ac:dyDescent="0.3">
      <c r="A1841" s="4"/>
      <c r="B1841" s="4"/>
      <c r="C1841" s="4"/>
      <c r="D1841" s="7"/>
    </row>
    <row r="1842" spans="1:4" x14ac:dyDescent="0.3">
      <c r="A1842" s="4"/>
      <c r="B1842" s="4"/>
      <c r="C1842" s="4"/>
      <c r="D1842" s="7"/>
    </row>
    <row r="1843" spans="1:4" x14ac:dyDescent="0.3">
      <c r="A1843" s="4"/>
      <c r="B1843" s="4"/>
      <c r="C1843" s="4"/>
      <c r="D1843" s="7"/>
    </row>
    <row r="1844" spans="1:4" x14ac:dyDescent="0.3">
      <c r="A1844" s="4"/>
      <c r="B1844" s="4"/>
      <c r="C1844" s="4"/>
      <c r="D1844" s="7"/>
    </row>
    <row r="1845" spans="1:4" x14ac:dyDescent="0.3">
      <c r="A1845" s="4"/>
      <c r="B1845" s="4"/>
      <c r="C1845" s="4"/>
      <c r="D1845" s="7"/>
    </row>
    <row r="1846" spans="1:4" x14ac:dyDescent="0.3">
      <c r="A1846" s="4"/>
      <c r="B1846" s="4"/>
      <c r="C1846" s="4"/>
      <c r="D1846" s="7"/>
    </row>
    <row r="1847" spans="1:4" x14ac:dyDescent="0.3">
      <c r="A1847" s="4"/>
      <c r="B1847" s="4"/>
      <c r="C1847" s="4"/>
      <c r="D1847" s="7"/>
    </row>
    <row r="1848" spans="1:4" x14ac:dyDescent="0.3">
      <c r="A1848" s="4"/>
      <c r="B1848" s="4"/>
      <c r="C1848" s="4"/>
      <c r="D1848" s="7"/>
    </row>
    <row r="1849" spans="1:4" x14ac:dyDescent="0.3">
      <c r="A1849" s="4"/>
      <c r="B1849" s="4"/>
      <c r="C1849" s="4"/>
      <c r="D1849" s="7"/>
    </row>
    <row r="1850" spans="1:4" x14ac:dyDescent="0.3">
      <c r="A1850" s="4"/>
      <c r="B1850" s="4"/>
      <c r="C1850" s="4"/>
      <c r="D1850" s="7"/>
    </row>
    <row r="1851" spans="1:4" x14ac:dyDescent="0.3">
      <c r="A1851" s="4"/>
      <c r="B1851" s="4"/>
      <c r="C1851" s="4"/>
      <c r="D1851" s="7"/>
    </row>
    <row r="1852" spans="1:4" x14ac:dyDescent="0.3">
      <c r="A1852" s="4"/>
      <c r="B1852" s="4"/>
      <c r="C1852" s="4"/>
      <c r="D1852" s="7"/>
    </row>
    <row r="1853" spans="1:4" x14ac:dyDescent="0.3">
      <c r="A1853" s="4"/>
      <c r="B1853" s="4"/>
      <c r="C1853" s="4"/>
      <c r="D1853" s="7"/>
    </row>
    <row r="1854" spans="1:4" x14ac:dyDescent="0.3">
      <c r="A1854" s="4"/>
      <c r="B1854" s="4"/>
      <c r="C1854" s="4"/>
      <c r="D1854" s="7"/>
    </row>
    <row r="1855" spans="1:4" x14ac:dyDescent="0.3">
      <c r="A1855" s="4"/>
      <c r="B1855" s="4"/>
      <c r="C1855" s="4"/>
      <c r="D1855" s="7"/>
    </row>
    <row r="1856" spans="1:4" x14ac:dyDescent="0.3">
      <c r="A1856" s="4"/>
      <c r="B1856" s="4"/>
      <c r="C1856" s="4"/>
      <c r="D1856" s="7"/>
    </row>
    <row r="1857" spans="1:4" x14ac:dyDescent="0.3">
      <c r="A1857" s="4"/>
      <c r="B1857" s="4"/>
      <c r="C1857" s="4"/>
      <c r="D1857" s="7"/>
    </row>
    <row r="1858" spans="1:4" x14ac:dyDescent="0.3">
      <c r="A1858" s="4"/>
      <c r="B1858" s="4"/>
      <c r="C1858" s="4"/>
      <c r="D1858" s="7"/>
    </row>
    <row r="1859" spans="1:4" x14ac:dyDescent="0.3">
      <c r="A1859" s="4"/>
      <c r="B1859" s="4"/>
      <c r="C1859" s="4"/>
      <c r="D1859" s="7"/>
    </row>
    <row r="1860" spans="1:4" x14ac:dyDescent="0.3">
      <c r="A1860" s="4"/>
      <c r="B1860" s="4"/>
      <c r="C1860" s="4"/>
      <c r="D1860" s="7"/>
    </row>
    <row r="1861" spans="1:4" x14ac:dyDescent="0.3">
      <c r="A1861" s="4"/>
      <c r="B1861" s="4"/>
      <c r="C1861" s="4"/>
      <c r="D1861" s="24"/>
    </row>
    <row r="1862" spans="1:4" x14ac:dyDescent="0.3">
      <c r="A1862" s="4"/>
      <c r="B1862" s="4"/>
      <c r="C1862" s="4"/>
      <c r="D1862" s="7"/>
    </row>
    <row r="1863" spans="1:4" x14ac:dyDescent="0.3">
      <c r="A1863" s="4"/>
      <c r="B1863" s="4"/>
      <c r="C1863" s="4"/>
      <c r="D1863" s="7"/>
    </row>
    <row r="1864" spans="1:4" x14ac:dyDescent="0.3">
      <c r="A1864" s="4"/>
      <c r="B1864" s="4"/>
      <c r="C1864" s="4"/>
      <c r="D1864" s="7"/>
    </row>
    <row r="1865" spans="1:4" x14ac:dyDescent="0.3">
      <c r="A1865" s="4"/>
      <c r="B1865" s="4"/>
      <c r="C1865" s="4"/>
      <c r="D1865" s="7"/>
    </row>
    <row r="1866" spans="1:4" x14ac:dyDescent="0.3">
      <c r="A1866" s="4"/>
      <c r="B1866" s="4"/>
      <c r="C1866" s="4"/>
      <c r="D1866" s="7"/>
    </row>
    <row r="1867" spans="1:4" x14ac:dyDescent="0.3">
      <c r="A1867" s="4"/>
      <c r="B1867" s="4"/>
      <c r="C1867" s="4"/>
      <c r="D1867" s="7"/>
    </row>
    <row r="1868" spans="1:4" x14ac:dyDescent="0.3">
      <c r="A1868" s="4"/>
      <c r="B1868" s="4"/>
      <c r="C1868" s="4"/>
      <c r="D1868" s="7"/>
    </row>
    <row r="1869" spans="1:4" x14ac:dyDescent="0.3">
      <c r="A1869" s="4"/>
      <c r="B1869" s="4"/>
      <c r="C1869" s="4"/>
      <c r="D1869" s="7"/>
    </row>
    <row r="1870" spans="1:4" x14ac:dyDescent="0.3">
      <c r="A1870" s="4"/>
      <c r="B1870" s="4"/>
      <c r="C1870" s="4"/>
      <c r="D1870" s="7"/>
    </row>
    <row r="1871" spans="1:4" x14ac:dyDescent="0.3">
      <c r="A1871" s="4"/>
      <c r="B1871" s="4"/>
      <c r="C1871" s="4"/>
      <c r="D1871" s="7"/>
    </row>
    <row r="1872" spans="1:4" x14ac:dyDescent="0.3">
      <c r="A1872" s="4"/>
      <c r="B1872" s="4"/>
      <c r="C1872" s="4"/>
      <c r="D1872" s="7"/>
    </row>
    <row r="1873" spans="1:4" x14ac:dyDescent="0.3">
      <c r="A1873" s="4"/>
      <c r="B1873" s="4"/>
      <c r="C1873" s="4"/>
      <c r="D1873" s="7"/>
    </row>
    <row r="1874" spans="1:4" x14ac:dyDescent="0.3">
      <c r="A1874" s="4"/>
      <c r="B1874" s="4"/>
      <c r="C1874" s="4"/>
      <c r="D1874" s="7"/>
    </row>
    <row r="1875" spans="1:4" x14ac:dyDescent="0.3">
      <c r="A1875" s="4"/>
      <c r="B1875" s="4"/>
      <c r="C1875" s="4"/>
      <c r="D1875" s="7"/>
    </row>
    <row r="1876" spans="1:4" x14ac:dyDescent="0.3">
      <c r="A1876" s="4"/>
      <c r="B1876" s="4"/>
      <c r="C1876" s="4"/>
      <c r="D1876" s="7"/>
    </row>
    <row r="1877" spans="1:4" x14ac:dyDescent="0.3">
      <c r="A1877" s="4"/>
      <c r="B1877" s="4"/>
      <c r="C1877" s="4"/>
      <c r="D1877" s="7"/>
    </row>
    <row r="1878" spans="1:4" x14ac:dyDescent="0.3">
      <c r="A1878" s="4"/>
      <c r="B1878" s="4"/>
      <c r="C1878" s="4"/>
      <c r="D1878" s="7"/>
    </row>
    <row r="1879" spans="1:4" x14ac:dyDescent="0.3">
      <c r="A1879" s="4"/>
      <c r="B1879" s="4"/>
      <c r="C1879" s="4"/>
      <c r="D1879" s="7"/>
    </row>
    <row r="1880" spans="1:4" x14ac:dyDescent="0.3">
      <c r="A1880" s="4"/>
      <c r="B1880" s="4"/>
      <c r="C1880" s="4"/>
      <c r="D1880" s="7"/>
    </row>
    <row r="1881" spans="1:4" x14ac:dyDescent="0.3">
      <c r="A1881" s="4"/>
      <c r="B1881" s="4"/>
      <c r="C1881" s="4"/>
      <c r="D1881" s="7"/>
    </row>
    <row r="1882" spans="1:4" x14ac:dyDescent="0.3">
      <c r="A1882" s="4"/>
      <c r="B1882" s="4"/>
      <c r="C1882" s="4"/>
      <c r="D1882" s="7"/>
    </row>
    <row r="1883" spans="1:4" x14ac:dyDescent="0.3">
      <c r="A1883" s="4"/>
      <c r="B1883" s="4"/>
      <c r="C1883" s="4"/>
      <c r="D1883" s="7"/>
    </row>
    <row r="1884" spans="1:4" x14ac:dyDescent="0.3">
      <c r="A1884" s="4"/>
      <c r="B1884" s="4"/>
      <c r="C1884" s="4"/>
      <c r="D1884" s="7"/>
    </row>
    <row r="1885" spans="1:4" x14ac:dyDescent="0.3">
      <c r="A1885" s="4"/>
      <c r="B1885" s="4"/>
      <c r="C1885" s="4"/>
      <c r="D1885" s="7"/>
    </row>
    <row r="1886" spans="1:4" x14ac:dyDescent="0.3">
      <c r="A1886" s="4"/>
      <c r="B1886" s="4"/>
      <c r="C1886" s="4"/>
      <c r="D1886" s="7"/>
    </row>
    <row r="1887" spans="1:4" x14ac:dyDescent="0.3">
      <c r="A1887" s="4"/>
      <c r="B1887" s="4"/>
      <c r="C1887" s="4"/>
      <c r="D1887" s="7"/>
    </row>
    <row r="1888" spans="1:4" x14ac:dyDescent="0.3">
      <c r="A1888" s="4"/>
      <c r="B1888" s="4"/>
      <c r="C1888" s="4"/>
      <c r="D1888" s="7"/>
    </row>
    <row r="1889" spans="1:4" x14ac:dyDescent="0.3">
      <c r="A1889" s="4"/>
      <c r="B1889" s="4"/>
      <c r="C1889" s="4"/>
      <c r="D1889" s="7"/>
    </row>
    <row r="1890" spans="1:4" x14ac:dyDescent="0.3">
      <c r="A1890" s="4"/>
      <c r="B1890" s="4"/>
      <c r="C1890" s="4"/>
      <c r="D1890" s="7"/>
    </row>
    <row r="1891" spans="1:4" x14ac:dyDescent="0.3">
      <c r="A1891" s="4"/>
      <c r="B1891" s="4"/>
      <c r="C1891" s="4"/>
      <c r="D1891" s="7"/>
    </row>
    <row r="1892" spans="1:4" x14ac:dyDescent="0.3">
      <c r="A1892" s="4"/>
      <c r="B1892" s="4"/>
      <c r="C1892" s="4"/>
      <c r="D1892" s="7"/>
    </row>
    <row r="1893" spans="1:4" x14ac:dyDescent="0.3">
      <c r="A1893" s="4"/>
      <c r="B1893" s="4"/>
      <c r="C1893" s="4"/>
      <c r="D1893" s="7"/>
    </row>
    <row r="1894" spans="1:4" x14ac:dyDescent="0.3">
      <c r="A1894" s="4"/>
      <c r="B1894" s="4"/>
      <c r="C1894" s="4"/>
      <c r="D1894" s="7"/>
    </row>
    <row r="1895" spans="1:4" x14ac:dyDescent="0.3">
      <c r="A1895" s="4"/>
      <c r="B1895" s="4"/>
      <c r="C1895" s="4"/>
      <c r="D1895" s="7"/>
    </row>
    <row r="1896" spans="1:4" x14ac:dyDescent="0.3">
      <c r="A1896" s="4"/>
      <c r="B1896" s="4"/>
      <c r="C1896" s="4"/>
      <c r="D1896" s="7"/>
    </row>
    <row r="1897" spans="1:4" x14ac:dyDescent="0.3">
      <c r="A1897" s="4"/>
      <c r="B1897" s="4"/>
      <c r="C1897" s="4"/>
      <c r="D1897" s="7"/>
    </row>
    <row r="1898" spans="1:4" x14ac:dyDescent="0.3">
      <c r="A1898" s="4"/>
      <c r="B1898" s="4"/>
      <c r="C1898" s="4"/>
      <c r="D1898" s="7"/>
    </row>
    <row r="1899" spans="1:4" x14ac:dyDescent="0.3">
      <c r="A1899" s="4"/>
      <c r="B1899" s="4"/>
      <c r="C1899" s="4"/>
      <c r="D1899" s="7"/>
    </row>
    <row r="1900" spans="1:4" x14ac:dyDescent="0.3">
      <c r="A1900" s="4"/>
      <c r="B1900" s="4"/>
      <c r="C1900" s="4"/>
      <c r="D1900" s="7"/>
    </row>
    <row r="1901" spans="1:4" x14ac:dyDescent="0.3">
      <c r="A1901" s="4"/>
      <c r="B1901" s="4"/>
      <c r="C1901" s="4"/>
      <c r="D1901" s="7"/>
    </row>
    <row r="1902" spans="1:4" x14ac:dyDescent="0.3">
      <c r="A1902" s="4"/>
      <c r="B1902" s="4"/>
      <c r="C1902" s="4"/>
      <c r="D1902" s="7"/>
    </row>
    <row r="1903" spans="1:4" x14ac:dyDescent="0.3">
      <c r="A1903" s="4"/>
      <c r="B1903" s="4"/>
      <c r="C1903" s="4"/>
      <c r="D1903" s="7"/>
    </row>
    <row r="1904" spans="1:4" x14ac:dyDescent="0.3">
      <c r="A1904" s="4"/>
      <c r="B1904" s="4"/>
      <c r="C1904" s="4"/>
      <c r="D1904" s="7"/>
    </row>
    <row r="1905" spans="1:4" x14ac:dyDescent="0.3">
      <c r="A1905" s="4"/>
      <c r="B1905" s="4"/>
      <c r="C1905" s="4"/>
      <c r="D1905" s="7"/>
    </row>
    <row r="1906" spans="1:4" x14ac:dyDescent="0.3">
      <c r="A1906" s="4"/>
      <c r="B1906" s="4"/>
      <c r="C1906" s="4"/>
      <c r="D1906" s="7"/>
    </row>
    <row r="1907" spans="1:4" x14ac:dyDescent="0.3">
      <c r="A1907" s="4"/>
      <c r="B1907" s="4"/>
      <c r="C1907" s="4"/>
      <c r="D1907" s="7"/>
    </row>
    <row r="1908" spans="1:4" x14ac:dyDescent="0.3">
      <c r="A1908" s="4"/>
      <c r="B1908" s="4"/>
      <c r="C1908" s="4"/>
      <c r="D1908" s="7"/>
    </row>
    <row r="1909" spans="1:4" x14ac:dyDescent="0.3">
      <c r="A1909" s="4"/>
      <c r="B1909" s="4"/>
      <c r="C1909" s="4"/>
      <c r="D1909" s="7"/>
    </row>
    <row r="1910" spans="1:4" x14ac:dyDescent="0.3">
      <c r="A1910" s="4"/>
      <c r="B1910" s="4"/>
      <c r="C1910" s="4"/>
      <c r="D1910" s="7"/>
    </row>
    <row r="1911" spans="1:4" x14ac:dyDescent="0.3">
      <c r="A1911" s="4"/>
      <c r="B1911" s="4"/>
      <c r="C1911" s="4"/>
      <c r="D1911" s="7"/>
    </row>
    <row r="1912" spans="1:4" x14ac:dyDescent="0.3">
      <c r="A1912" s="4"/>
      <c r="B1912" s="4"/>
      <c r="C1912" s="4"/>
      <c r="D1912" s="7"/>
    </row>
    <row r="1913" spans="1:4" x14ac:dyDescent="0.3">
      <c r="A1913" s="4"/>
      <c r="B1913" s="4"/>
      <c r="C1913" s="4"/>
      <c r="D1913" s="7"/>
    </row>
    <row r="1914" spans="1:4" x14ac:dyDescent="0.3">
      <c r="A1914" s="4"/>
      <c r="B1914" s="4"/>
      <c r="C1914" s="4"/>
      <c r="D1914" s="7"/>
    </row>
    <row r="1915" spans="1:4" x14ac:dyDescent="0.3">
      <c r="A1915" s="4"/>
      <c r="B1915" s="4"/>
      <c r="C1915" s="4"/>
      <c r="D1915" s="7"/>
    </row>
    <row r="1916" spans="1:4" x14ac:dyDescent="0.3">
      <c r="A1916" s="4"/>
      <c r="B1916" s="4"/>
      <c r="C1916" s="4"/>
      <c r="D1916" s="7"/>
    </row>
    <row r="1917" spans="1:4" x14ac:dyDescent="0.3">
      <c r="A1917" s="4"/>
      <c r="B1917" s="4"/>
      <c r="C1917" s="4"/>
      <c r="D1917" s="7"/>
    </row>
    <row r="1918" spans="1:4" x14ac:dyDescent="0.3">
      <c r="A1918" s="4"/>
      <c r="B1918" s="4"/>
      <c r="C1918" s="4"/>
      <c r="D1918" s="7"/>
    </row>
    <row r="1919" spans="1:4" x14ac:dyDescent="0.3">
      <c r="A1919" s="4"/>
      <c r="B1919" s="4"/>
      <c r="C1919" s="4"/>
      <c r="D1919" s="7"/>
    </row>
    <row r="1920" spans="1:4" x14ac:dyDescent="0.3">
      <c r="A1920" s="4"/>
      <c r="B1920" s="4"/>
      <c r="C1920" s="4"/>
      <c r="D1920" s="7"/>
    </row>
    <row r="1921" spans="1:4" x14ac:dyDescent="0.3">
      <c r="A1921" s="4"/>
      <c r="B1921" s="4"/>
      <c r="C1921" s="4"/>
      <c r="D1921" s="7"/>
    </row>
    <row r="1922" spans="1:4" x14ac:dyDescent="0.3">
      <c r="A1922" s="4"/>
      <c r="B1922" s="4"/>
      <c r="C1922" s="4"/>
      <c r="D1922" s="7"/>
    </row>
    <row r="1923" spans="1:4" x14ac:dyDescent="0.3">
      <c r="A1923" s="4"/>
      <c r="B1923" s="4"/>
      <c r="C1923" s="4"/>
      <c r="D1923" s="7"/>
    </row>
    <row r="1924" spans="1:4" x14ac:dyDescent="0.3">
      <c r="A1924" s="4"/>
      <c r="B1924" s="4"/>
      <c r="C1924" s="4"/>
      <c r="D1924" s="7"/>
    </row>
    <row r="1925" spans="1:4" x14ac:dyDescent="0.3">
      <c r="A1925" s="4"/>
      <c r="B1925" s="4"/>
      <c r="C1925" s="4"/>
      <c r="D1925" s="7"/>
    </row>
    <row r="1926" spans="1:4" x14ac:dyDescent="0.3">
      <c r="A1926" s="4"/>
      <c r="B1926" s="4"/>
      <c r="C1926" s="4"/>
      <c r="D1926" s="7"/>
    </row>
    <row r="1927" spans="1:4" x14ac:dyDescent="0.3">
      <c r="A1927" s="4"/>
      <c r="B1927" s="4"/>
      <c r="C1927" s="4"/>
      <c r="D1927" s="7"/>
    </row>
    <row r="1928" spans="1:4" x14ac:dyDescent="0.3">
      <c r="A1928" s="4"/>
      <c r="B1928" s="4"/>
      <c r="C1928" s="4"/>
      <c r="D1928" s="7"/>
    </row>
    <row r="1929" spans="1:4" x14ac:dyDescent="0.3">
      <c r="A1929" s="4"/>
      <c r="B1929" s="4"/>
      <c r="C1929" s="4"/>
      <c r="D1929" s="7"/>
    </row>
    <row r="1930" spans="1:4" x14ac:dyDescent="0.3">
      <c r="A1930" s="4"/>
      <c r="B1930" s="4"/>
      <c r="C1930" s="4"/>
      <c r="D1930" s="7"/>
    </row>
    <row r="1931" spans="1:4" x14ac:dyDescent="0.3">
      <c r="A1931" s="4"/>
      <c r="B1931" s="4"/>
      <c r="C1931" s="4"/>
      <c r="D1931" s="7"/>
    </row>
    <row r="1932" spans="1:4" x14ac:dyDescent="0.3">
      <c r="A1932" s="4"/>
      <c r="B1932" s="4"/>
      <c r="C1932" s="4"/>
      <c r="D1932" s="7"/>
    </row>
    <row r="1933" spans="1:4" x14ac:dyDescent="0.3">
      <c r="A1933" s="4"/>
      <c r="B1933" s="4"/>
      <c r="C1933" s="4"/>
      <c r="D1933" s="7"/>
    </row>
    <row r="1934" spans="1:4" x14ac:dyDescent="0.3">
      <c r="A1934" s="4"/>
      <c r="B1934" s="4"/>
      <c r="C1934" s="4"/>
      <c r="D1934" s="7"/>
    </row>
    <row r="1935" spans="1:4" x14ac:dyDescent="0.3">
      <c r="A1935" s="4"/>
      <c r="B1935" s="4"/>
      <c r="C1935" s="4"/>
      <c r="D1935" s="7"/>
    </row>
    <row r="1936" spans="1:4" x14ac:dyDescent="0.3">
      <c r="A1936" s="4"/>
      <c r="B1936" s="4"/>
      <c r="C1936" s="4"/>
      <c r="D1936" s="7"/>
    </row>
    <row r="1937" spans="1:4" x14ac:dyDescent="0.3">
      <c r="A1937" s="4"/>
      <c r="B1937" s="4"/>
      <c r="C1937" s="4"/>
      <c r="D1937" s="7"/>
    </row>
    <row r="1938" spans="1:4" x14ac:dyDescent="0.3">
      <c r="A1938" s="4"/>
      <c r="B1938" s="4"/>
      <c r="C1938" s="4"/>
      <c r="D1938" s="7"/>
    </row>
    <row r="1939" spans="1:4" x14ac:dyDescent="0.3">
      <c r="A1939" s="4"/>
      <c r="B1939" s="4"/>
      <c r="C1939" s="4"/>
      <c r="D1939" s="7"/>
    </row>
    <row r="1940" spans="1:4" x14ac:dyDescent="0.3">
      <c r="A1940" s="4"/>
      <c r="B1940" s="4"/>
      <c r="C1940" s="4"/>
      <c r="D1940" s="7"/>
    </row>
    <row r="1941" spans="1:4" x14ac:dyDescent="0.3">
      <c r="A1941" s="4"/>
      <c r="B1941" s="4"/>
      <c r="C1941" s="4"/>
      <c r="D1941" s="7"/>
    </row>
    <row r="1942" spans="1:4" x14ac:dyDescent="0.3">
      <c r="A1942" s="4"/>
      <c r="B1942" s="4"/>
      <c r="C1942" s="4"/>
      <c r="D1942" s="7"/>
    </row>
    <row r="1943" spans="1:4" x14ac:dyDescent="0.3">
      <c r="A1943" s="4"/>
      <c r="B1943" s="4"/>
      <c r="C1943" s="4"/>
      <c r="D1943" s="7"/>
    </row>
    <row r="1944" spans="1:4" x14ac:dyDescent="0.3">
      <c r="A1944" s="4"/>
      <c r="B1944" s="4"/>
      <c r="C1944" s="4"/>
      <c r="D1944" s="7"/>
    </row>
    <row r="1945" spans="1:4" x14ac:dyDescent="0.3">
      <c r="A1945" s="4"/>
      <c r="B1945" s="4"/>
      <c r="C1945" s="4"/>
      <c r="D1945" s="7"/>
    </row>
    <row r="1946" spans="1:4" x14ac:dyDescent="0.3">
      <c r="A1946" s="4"/>
      <c r="B1946" s="4"/>
      <c r="C1946" s="4"/>
      <c r="D1946" s="7"/>
    </row>
    <row r="1947" spans="1:4" x14ac:dyDescent="0.3">
      <c r="A1947" s="4"/>
      <c r="B1947" s="4"/>
      <c r="C1947" s="4"/>
      <c r="D1947" s="7"/>
    </row>
    <row r="1948" spans="1:4" x14ac:dyDescent="0.3">
      <c r="A1948" s="4"/>
      <c r="B1948" s="4"/>
      <c r="C1948" s="4"/>
      <c r="D1948" s="7"/>
    </row>
    <row r="1949" spans="1:4" x14ac:dyDescent="0.3">
      <c r="A1949" s="4"/>
      <c r="B1949" s="4"/>
      <c r="C1949" s="4"/>
      <c r="D1949" s="7"/>
    </row>
    <row r="1950" spans="1:4" x14ac:dyDescent="0.3">
      <c r="A1950" s="4"/>
      <c r="B1950" s="4"/>
      <c r="C1950" s="4"/>
      <c r="D1950" s="7"/>
    </row>
    <row r="1951" spans="1:4" x14ac:dyDescent="0.3">
      <c r="A1951" s="4"/>
      <c r="B1951" s="4"/>
      <c r="C1951" s="4"/>
      <c r="D1951" s="7"/>
    </row>
    <row r="1952" spans="1:4" x14ac:dyDescent="0.3">
      <c r="A1952" s="4"/>
      <c r="B1952" s="4"/>
      <c r="C1952" s="4"/>
      <c r="D1952" s="7"/>
    </row>
    <row r="1953" spans="1:4" x14ac:dyDescent="0.3">
      <c r="A1953" s="4"/>
      <c r="B1953" s="4"/>
      <c r="C1953" s="4"/>
      <c r="D1953" s="7"/>
    </row>
    <row r="1954" spans="1:4" x14ac:dyDescent="0.3">
      <c r="A1954" s="4"/>
      <c r="B1954" s="4"/>
      <c r="C1954" s="4"/>
      <c r="D1954" s="7"/>
    </row>
    <row r="1955" spans="1:4" x14ac:dyDescent="0.3">
      <c r="A1955" s="4"/>
      <c r="B1955" s="4"/>
      <c r="C1955" s="4"/>
      <c r="D1955" s="7"/>
    </row>
    <row r="1956" spans="1:4" x14ac:dyDescent="0.3">
      <c r="A1956" s="4"/>
      <c r="B1956" s="4"/>
      <c r="C1956" s="4"/>
      <c r="D1956" s="7"/>
    </row>
    <row r="1957" spans="1:4" x14ac:dyDescent="0.3">
      <c r="A1957" s="4"/>
      <c r="B1957" s="4"/>
      <c r="C1957" s="4"/>
      <c r="D1957" s="7"/>
    </row>
    <row r="1958" spans="1:4" x14ac:dyDescent="0.3">
      <c r="A1958" s="4"/>
      <c r="B1958" s="4"/>
      <c r="C1958" s="4"/>
      <c r="D1958" s="7"/>
    </row>
    <row r="1959" spans="1:4" x14ac:dyDescent="0.3">
      <c r="A1959" s="4"/>
      <c r="B1959" s="4"/>
      <c r="C1959" s="4"/>
      <c r="D1959" s="7"/>
    </row>
    <row r="1960" spans="1:4" x14ac:dyDescent="0.3">
      <c r="A1960" s="4"/>
      <c r="B1960" s="4"/>
      <c r="C1960" s="4"/>
      <c r="D1960" s="7"/>
    </row>
    <row r="1961" spans="1:4" x14ac:dyDescent="0.3">
      <c r="A1961" s="4"/>
      <c r="B1961" s="4"/>
      <c r="C1961" s="4"/>
      <c r="D1961" s="7"/>
    </row>
    <row r="1962" spans="1:4" x14ac:dyDescent="0.3">
      <c r="A1962" s="4"/>
      <c r="B1962" s="4"/>
      <c r="C1962" s="4"/>
      <c r="D1962" s="7"/>
    </row>
    <row r="1963" spans="1:4" x14ac:dyDescent="0.3">
      <c r="A1963" s="4"/>
      <c r="B1963" s="4"/>
      <c r="C1963" s="4"/>
      <c r="D1963" s="7"/>
    </row>
    <row r="1964" spans="1:4" x14ac:dyDescent="0.3">
      <c r="A1964" s="4"/>
      <c r="B1964" s="4"/>
      <c r="C1964" s="4"/>
      <c r="D1964" s="7"/>
    </row>
    <row r="1965" spans="1:4" x14ac:dyDescent="0.3">
      <c r="A1965" s="4"/>
      <c r="B1965" s="4"/>
      <c r="C1965" s="4"/>
      <c r="D1965" s="7"/>
    </row>
    <row r="1966" spans="1:4" x14ac:dyDescent="0.3">
      <c r="A1966" s="4"/>
      <c r="B1966" s="4"/>
      <c r="C1966" s="4"/>
      <c r="D1966" s="7"/>
    </row>
    <row r="1967" spans="1:4" x14ac:dyDescent="0.3">
      <c r="A1967" s="4"/>
      <c r="B1967" s="4"/>
      <c r="C1967" s="4"/>
      <c r="D1967" s="7"/>
    </row>
    <row r="1968" spans="1:4" x14ac:dyDescent="0.3">
      <c r="A1968" s="4"/>
      <c r="B1968" s="4"/>
      <c r="C1968" s="4"/>
      <c r="D1968" s="7"/>
    </row>
    <row r="1969" spans="1:4" x14ac:dyDescent="0.3">
      <c r="A1969" s="4"/>
      <c r="B1969" s="4"/>
      <c r="C1969" s="4"/>
      <c r="D1969" s="7"/>
    </row>
    <row r="1970" spans="1:4" x14ac:dyDescent="0.3">
      <c r="A1970" s="4"/>
      <c r="B1970" s="4"/>
      <c r="C1970" s="4"/>
      <c r="D1970" s="7"/>
    </row>
    <row r="1971" spans="1:4" x14ac:dyDescent="0.3">
      <c r="A1971" s="4"/>
      <c r="B1971" s="4"/>
      <c r="C1971" s="4"/>
      <c r="D1971" s="7"/>
    </row>
    <row r="1972" spans="1:4" x14ac:dyDescent="0.3">
      <c r="A1972" s="4"/>
      <c r="B1972" s="4"/>
      <c r="C1972" s="4"/>
      <c r="D1972" s="7"/>
    </row>
    <row r="1973" spans="1:4" x14ac:dyDescent="0.3">
      <c r="A1973" s="4"/>
      <c r="B1973" s="4"/>
      <c r="C1973" s="4"/>
      <c r="D1973" s="7"/>
    </row>
    <row r="1974" spans="1:4" x14ac:dyDescent="0.3">
      <c r="A1974" s="4"/>
      <c r="B1974" s="4"/>
      <c r="C1974" s="4"/>
      <c r="D1974" s="7"/>
    </row>
    <row r="1975" spans="1:4" x14ac:dyDescent="0.3">
      <c r="A1975" s="4"/>
      <c r="B1975" s="4"/>
      <c r="C1975" s="4"/>
      <c r="D1975" s="7"/>
    </row>
    <row r="1976" spans="1:4" x14ac:dyDescent="0.3">
      <c r="A1976" s="4"/>
      <c r="B1976" s="4"/>
      <c r="C1976" s="4"/>
      <c r="D1976" s="7"/>
    </row>
    <row r="1977" spans="1:4" x14ac:dyDescent="0.3">
      <c r="A1977" s="4"/>
      <c r="B1977" s="4"/>
      <c r="C1977" s="4"/>
      <c r="D1977" s="7"/>
    </row>
    <row r="1978" spans="1:4" x14ac:dyDescent="0.3">
      <c r="A1978" s="4"/>
      <c r="B1978" s="4"/>
      <c r="C1978" s="4"/>
      <c r="D1978" s="7"/>
    </row>
    <row r="1979" spans="1:4" x14ac:dyDescent="0.3">
      <c r="A1979" s="4"/>
      <c r="B1979" s="4"/>
      <c r="C1979" s="4"/>
      <c r="D1979" s="7"/>
    </row>
    <row r="1980" spans="1:4" x14ac:dyDescent="0.3">
      <c r="A1980" s="4"/>
      <c r="B1980" s="4"/>
      <c r="C1980" s="4"/>
      <c r="D1980" s="7"/>
    </row>
    <row r="1981" spans="1:4" x14ac:dyDescent="0.3">
      <c r="A1981" s="4"/>
      <c r="B1981" s="4"/>
      <c r="C1981" s="4"/>
      <c r="D1981" s="7"/>
    </row>
    <row r="1982" spans="1:4" x14ac:dyDescent="0.3">
      <c r="A1982" s="4"/>
      <c r="B1982" s="4"/>
      <c r="C1982" s="4"/>
      <c r="D1982" s="7"/>
    </row>
    <row r="1983" spans="1:4" x14ac:dyDescent="0.3">
      <c r="A1983" s="4"/>
      <c r="B1983" s="4"/>
      <c r="C1983" s="4"/>
      <c r="D1983" s="7"/>
    </row>
    <row r="1984" spans="1:4" x14ac:dyDescent="0.3">
      <c r="A1984" s="4"/>
      <c r="B1984" s="4"/>
      <c r="C1984" s="4"/>
      <c r="D1984" s="7"/>
    </row>
    <row r="1985" spans="1:4" x14ac:dyDescent="0.3">
      <c r="A1985" s="4"/>
      <c r="B1985" s="4"/>
      <c r="C1985" s="4"/>
      <c r="D1985" s="7"/>
    </row>
    <row r="1986" spans="1:4" x14ac:dyDescent="0.3">
      <c r="A1986" s="4"/>
      <c r="B1986" s="4"/>
      <c r="C1986" s="4"/>
      <c r="D1986" s="7"/>
    </row>
    <row r="1987" spans="1:4" x14ac:dyDescent="0.3">
      <c r="A1987" s="4"/>
      <c r="B1987" s="4"/>
      <c r="C1987" s="4"/>
      <c r="D1987" s="7"/>
    </row>
    <row r="1988" spans="1:4" x14ac:dyDescent="0.3">
      <c r="A1988" s="4"/>
      <c r="B1988" s="4"/>
      <c r="C1988" s="4"/>
      <c r="D1988" s="7"/>
    </row>
    <row r="1989" spans="1:4" x14ac:dyDescent="0.3">
      <c r="A1989" s="4"/>
      <c r="B1989" s="4"/>
      <c r="C1989" s="4"/>
      <c r="D1989" s="7"/>
    </row>
    <row r="1990" spans="1:4" x14ac:dyDescent="0.3">
      <c r="A1990" s="4"/>
      <c r="B1990" s="4"/>
      <c r="C1990" s="4"/>
      <c r="D1990" s="7"/>
    </row>
    <row r="1991" spans="1:4" x14ac:dyDescent="0.3">
      <c r="A1991" s="4"/>
      <c r="B1991" s="4"/>
      <c r="C1991" s="4"/>
      <c r="D1991" s="7"/>
    </row>
    <row r="1992" spans="1:4" x14ac:dyDescent="0.3">
      <c r="A1992" s="4"/>
      <c r="B1992" s="4"/>
      <c r="C1992" s="4"/>
      <c r="D1992" s="7"/>
    </row>
    <row r="1993" spans="1:4" x14ac:dyDescent="0.3">
      <c r="A1993" s="4"/>
      <c r="B1993" s="4"/>
      <c r="C1993" s="4"/>
      <c r="D1993" s="7"/>
    </row>
    <row r="1994" spans="1:4" x14ac:dyDescent="0.3">
      <c r="A1994" s="4"/>
      <c r="B1994" s="4"/>
      <c r="C1994" s="4"/>
      <c r="D1994" s="7"/>
    </row>
    <row r="1995" spans="1:4" x14ac:dyDescent="0.3">
      <c r="A1995" s="4"/>
      <c r="B1995" s="4"/>
      <c r="C1995" s="4"/>
      <c r="D1995" s="7"/>
    </row>
    <row r="1996" spans="1:4" x14ac:dyDescent="0.3">
      <c r="A1996" s="4"/>
      <c r="B1996" s="4"/>
      <c r="C1996" s="4"/>
      <c r="D1996" s="7"/>
    </row>
    <row r="1997" spans="1:4" x14ac:dyDescent="0.3">
      <c r="A1997" s="4"/>
      <c r="B1997" s="4"/>
      <c r="C1997" s="4"/>
      <c r="D1997" s="7"/>
    </row>
    <row r="1998" spans="1:4" x14ac:dyDescent="0.3">
      <c r="A1998" s="4"/>
      <c r="B1998" s="4"/>
      <c r="C1998" s="4"/>
      <c r="D1998" s="7"/>
    </row>
    <row r="1999" spans="1:4" x14ac:dyDescent="0.3">
      <c r="A1999" s="4"/>
      <c r="B1999" s="4"/>
      <c r="C1999" s="4"/>
      <c r="D1999" s="7"/>
    </row>
    <row r="2000" spans="1:4" x14ac:dyDescent="0.3">
      <c r="A2000" s="4"/>
      <c r="B2000" s="4"/>
      <c r="C2000" s="4"/>
      <c r="D2000" s="7"/>
    </row>
    <row r="2001" spans="1:4" x14ac:dyDescent="0.3">
      <c r="A2001" s="4"/>
      <c r="B2001" s="4"/>
      <c r="C2001" s="4"/>
      <c r="D2001" s="7"/>
    </row>
    <row r="2002" spans="1:4" x14ac:dyDescent="0.3">
      <c r="A2002" s="4"/>
      <c r="B2002" s="4"/>
      <c r="C2002" s="4"/>
      <c r="D2002" s="7"/>
    </row>
    <row r="2003" spans="1:4" x14ac:dyDescent="0.3">
      <c r="A2003" s="4"/>
      <c r="B2003" s="4"/>
      <c r="C2003" s="4"/>
      <c r="D2003" s="7"/>
    </row>
    <row r="2004" spans="1:4" x14ac:dyDescent="0.3">
      <c r="A2004" s="4"/>
      <c r="B2004" s="4"/>
      <c r="C2004" s="4"/>
      <c r="D2004" s="7"/>
    </row>
    <row r="2005" spans="1:4" x14ac:dyDescent="0.3">
      <c r="A2005" s="4"/>
      <c r="B2005" s="4"/>
      <c r="C2005" s="4"/>
      <c r="D2005" s="7"/>
    </row>
    <row r="2006" spans="1:4" x14ac:dyDescent="0.3">
      <c r="A2006" s="4"/>
      <c r="B2006" s="4"/>
      <c r="C2006" s="4"/>
      <c r="D2006" s="7"/>
    </row>
    <row r="2007" spans="1:4" x14ac:dyDescent="0.3">
      <c r="A2007" s="4"/>
      <c r="B2007" s="4"/>
      <c r="C2007" s="4"/>
      <c r="D2007" s="7"/>
    </row>
    <row r="2008" spans="1:4" x14ac:dyDescent="0.3">
      <c r="A2008" s="4"/>
      <c r="B2008" s="4"/>
      <c r="C2008" s="4"/>
      <c r="D2008" s="7"/>
    </row>
    <row r="2009" spans="1:4" x14ac:dyDescent="0.3">
      <c r="A2009" s="4"/>
      <c r="B2009" s="4"/>
      <c r="C2009" s="4"/>
      <c r="D2009" s="7"/>
    </row>
    <row r="2010" spans="1:4" x14ac:dyDescent="0.3">
      <c r="A2010" s="4"/>
      <c r="B2010" s="4"/>
      <c r="C2010" s="4"/>
      <c r="D2010" s="7"/>
    </row>
    <row r="2011" spans="1:4" x14ac:dyDescent="0.3">
      <c r="A2011" s="4"/>
      <c r="B2011" s="4"/>
      <c r="C2011" s="4"/>
      <c r="D2011" s="7"/>
    </row>
    <row r="2012" spans="1:4" x14ac:dyDescent="0.3">
      <c r="A2012" s="4"/>
      <c r="B2012" s="4"/>
      <c r="C2012" s="4"/>
      <c r="D2012" s="7"/>
    </row>
    <row r="2013" spans="1:4" x14ac:dyDescent="0.3">
      <c r="A2013" s="4"/>
      <c r="B2013" s="4"/>
      <c r="C2013" s="4"/>
      <c r="D2013" s="7"/>
    </row>
    <row r="2014" spans="1:4" x14ac:dyDescent="0.3">
      <c r="A2014" s="4"/>
      <c r="B2014" s="4"/>
      <c r="C2014" s="4"/>
      <c r="D2014" s="7"/>
    </row>
    <row r="2015" spans="1:4" x14ac:dyDescent="0.3">
      <c r="A2015" s="4"/>
      <c r="B2015" s="4"/>
      <c r="C2015" s="4"/>
      <c r="D2015" s="7"/>
    </row>
    <row r="2016" spans="1:4" x14ac:dyDescent="0.3">
      <c r="A2016" s="4"/>
      <c r="B2016" s="4"/>
      <c r="C2016" s="4"/>
      <c r="D2016" s="7"/>
    </row>
    <row r="2017" spans="1:4" x14ac:dyDescent="0.3">
      <c r="A2017" s="4"/>
      <c r="B2017" s="4"/>
      <c r="C2017" s="4"/>
      <c r="D2017" s="7"/>
    </row>
    <row r="2018" spans="1:4" x14ac:dyDescent="0.3">
      <c r="A2018" s="4"/>
      <c r="B2018" s="4"/>
      <c r="C2018" s="4"/>
      <c r="D2018" s="7"/>
    </row>
    <row r="2019" spans="1:4" x14ac:dyDescent="0.3">
      <c r="A2019" s="4"/>
      <c r="B2019" s="4"/>
      <c r="C2019" s="4"/>
      <c r="D2019" s="7"/>
    </row>
    <row r="2020" spans="1:4" x14ac:dyDescent="0.3">
      <c r="A2020" s="4"/>
      <c r="B2020" s="4"/>
      <c r="C2020" s="4"/>
      <c r="D2020" s="7"/>
    </row>
    <row r="2021" spans="1:4" x14ac:dyDescent="0.3">
      <c r="A2021" s="4"/>
      <c r="B2021" s="4"/>
      <c r="C2021" s="4"/>
      <c r="D2021" s="7"/>
    </row>
    <row r="2022" spans="1:4" x14ac:dyDescent="0.3">
      <c r="A2022" s="4"/>
      <c r="B2022" s="4"/>
      <c r="C2022" s="4"/>
      <c r="D2022" s="7"/>
    </row>
    <row r="2023" spans="1:4" x14ac:dyDescent="0.3">
      <c r="A2023" s="4"/>
      <c r="B2023" s="4"/>
      <c r="C2023" s="4"/>
      <c r="D2023" s="7"/>
    </row>
    <row r="2024" spans="1:4" x14ac:dyDescent="0.3">
      <c r="A2024" s="4"/>
      <c r="B2024" s="4"/>
      <c r="C2024" s="4"/>
      <c r="D2024" s="7"/>
    </row>
    <row r="2025" spans="1:4" x14ac:dyDescent="0.3">
      <c r="A2025" s="4"/>
      <c r="B2025" s="4"/>
      <c r="C2025" s="4"/>
      <c r="D2025" s="7"/>
    </row>
    <row r="2026" spans="1:4" x14ac:dyDescent="0.3">
      <c r="A2026" s="4"/>
      <c r="B2026" s="4"/>
      <c r="C2026" s="4"/>
      <c r="D2026" s="7"/>
    </row>
    <row r="2027" spans="1:4" x14ac:dyDescent="0.3">
      <c r="A2027" s="4"/>
      <c r="B2027" s="4"/>
      <c r="C2027" s="4"/>
      <c r="D2027" s="7"/>
    </row>
    <row r="2028" spans="1:4" x14ac:dyDescent="0.3">
      <c r="A2028" s="4"/>
      <c r="B2028" s="4"/>
      <c r="C2028" s="4"/>
      <c r="D2028" s="7"/>
    </row>
    <row r="2029" spans="1:4" x14ac:dyDescent="0.3">
      <c r="A2029" s="4"/>
      <c r="B2029" s="4"/>
      <c r="C2029" s="4"/>
      <c r="D2029" s="7"/>
    </row>
    <row r="2030" spans="1:4" x14ac:dyDescent="0.3">
      <c r="A2030" s="4"/>
      <c r="B2030" s="4"/>
      <c r="C2030" s="4"/>
      <c r="D2030" s="7"/>
    </row>
    <row r="2031" spans="1:4" x14ac:dyDescent="0.3">
      <c r="A2031" s="4"/>
      <c r="B2031" s="4"/>
      <c r="C2031" s="4"/>
      <c r="D2031" s="7"/>
    </row>
    <row r="2032" spans="1:4" x14ac:dyDescent="0.3">
      <c r="A2032" s="4"/>
      <c r="B2032" s="4"/>
      <c r="C2032" s="4"/>
      <c r="D2032" s="7"/>
    </row>
    <row r="2033" spans="1:4" x14ac:dyDescent="0.3">
      <c r="A2033" s="4"/>
      <c r="B2033" s="4"/>
      <c r="C2033" s="4"/>
      <c r="D2033" s="7"/>
    </row>
    <row r="2034" spans="1:4" x14ac:dyDescent="0.3">
      <c r="A2034" s="4"/>
      <c r="B2034" s="4"/>
      <c r="C2034" s="4"/>
      <c r="D2034" s="7"/>
    </row>
    <row r="2035" spans="1:4" x14ac:dyDescent="0.3">
      <c r="A2035" s="4"/>
      <c r="B2035" s="4"/>
      <c r="C2035" s="4"/>
      <c r="D2035" s="7"/>
    </row>
    <row r="2036" spans="1:4" x14ac:dyDescent="0.3">
      <c r="A2036" s="4"/>
      <c r="B2036" s="4"/>
      <c r="C2036" s="4"/>
      <c r="D2036" s="7"/>
    </row>
    <row r="2037" spans="1:4" x14ac:dyDescent="0.3">
      <c r="A2037" s="4"/>
      <c r="B2037" s="4"/>
      <c r="C2037" s="4"/>
      <c r="D2037" s="7"/>
    </row>
    <row r="2038" spans="1:4" x14ac:dyDescent="0.3">
      <c r="A2038" s="4"/>
      <c r="B2038" s="4"/>
      <c r="C2038" s="4"/>
      <c r="D2038" s="7"/>
    </row>
    <row r="2039" spans="1:4" x14ac:dyDescent="0.3">
      <c r="A2039" s="4"/>
      <c r="B2039" s="4"/>
      <c r="C2039" s="4"/>
      <c r="D2039" s="7"/>
    </row>
    <row r="2040" spans="1:4" x14ac:dyDescent="0.3">
      <c r="A2040" s="4"/>
      <c r="B2040" s="4"/>
      <c r="C2040" s="4"/>
      <c r="D2040" s="7"/>
    </row>
    <row r="2041" spans="1:4" x14ac:dyDescent="0.3">
      <c r="A2041" s="4"/>
      <c r="B2041" s="4"/>
      <c r="C2041" s="4"/>
      <c r="D2041" s="7"/>
    </row>
    <row r="2042" spans="1:4" x14ac:dyDescent="0.3">
      <c r="A2042" s="4"/>
      <c r="B2042" s="4"/>
      <c r="C2042" s="4"/>
      <c r="D2042" s="7"/>
    </row>
    <row r="2043" spans="1:4" x14ac:dyDescent="0.3">
      <c r="A2043" s="4"/>
      <c r="B2043" s="4"/>
      <c r="C2043" s="4"/>
      <c r="D2043" s="7"/>
    </row>
    <row r="2044" spans="1:4" x14ac:dyDescent="0.3">
      <c r="A2044" s="4"/>
      <c r="B2044" s="4"/>
      <c r="C2044" s="4"/>
      <c r="D2044" s="7"/>
    </row>
    <row r="2045" spans="1:4" x14ac:dyDescent="0.3">
      <c r="A2045" s="4"/>
      <c r="B2045" s="4"/>
      <c r="C2045" s="4"/>
      <c r="D2045" s="7"/>
    </row>
    <row r="2046" spans="1:4" x14ac:dyDescent="0.3">
      <c r="A2046" s="4"/>
      <c r="B2046" s="4"/>
      <c r="C2046" s="4"/>
      <c r="D2046" s="24"/>
    </row>
    <row r="2047" spans="1:4" x14ac:dyDescent="0.3">
      <c r="A2047" s="4"/>
      <c r="B2047" s="4"/>
      <c r="C2047" s="4"/>
      <c r="D2047" s="7"/>
    </row>
    <row r="2048" spans="1:4" x14ac:dyDescent="0.3">
      <c r="A2048" s="4"/>
      <c r="B2048" s="4"/>
      <c r="C2048" s="4"/>
      <c r="D2048" s="7"/>
    </row>
    <row r="2049" spans="1:4" x14ac:dyDescent="0.3">
      <c r="A2049" s="4"/>
      <c r="B2049" s="4"/>
      <c r="C2049" s="4"/>
      <c r="D2049" s="7"/>
    </row>
    <row r="2050" spans="1:4" x14ac:dyDescent="0.3">
      <c r="A2050" s="4"/>
      <c r="B2050" s="4"/>
      <c r="C2050" s="4"/>
      <c r="D2050" s="7"/>
    </row>
    <row r="2051" spans="1:4" x14ac:dyDescent="0.3">
      <c r="A2051" s="4"/>
      <c r="B2051" s="4"/>
      <c r="C2051" s="4"/>
      <c r="D2051" s="7"/>
    </row>
    <row r="2052" spans="1:4" x14ac:dyDescent="0.3">
      <c r="A2052" s="4"/>
      <c r="B2052" s="4"/>
      <c r="C2052" s="4"/>
      <c r="D2052" s="7"/>
    </row>
    <row r="2053" spans="1:4" x14ac:dyDescent="0.3">
      <c r="A2053" s="4"/>
      <c r="B2053" s="4"/>
      <c r="C2053" s="4"/>
      <c r="D2053" s="7"/>
    </row>
    <row r="2054" spans="1:4" x14ac:dyDescent="0.3">
      <c r="A2054" s="4"/>
      <c r="B2054" s="4"/>
      <c r="C2054" s="4"/>
      <c r="D2054" s="7"/>
    </row>
    <row r="2055" spans="1:4" x14ac:dyDescent="0.3">
      <c r="A2055" s="4"/>
      <c r="B2055" s="4"/>
      <c r="C2055" s="4"/>
      <c r="D2055" s="7"/>
    </row>
    <row r="2056" spans="1:4" x14ac:dyDescent="0.3">
      <c r="A2056" s="4"/>
      <c r="B2056" s="4"/>
      <c r="C2056" s="4"/>
      <c r="D2056" s="7"/>
    </row>
    <row r="2057" spans="1:4" x14ac:dyDescent="0.3">
      <c r="A2057" s="4"/>
      <c r="B2057" s="4"/>
      <c r="C2057" s="4"/>
      <c r="D2057" s="7"/>
    </row>
    <row r="2058" spans="1:4" x14ac:dyDescent="0.3">
      <c r="A2058" s="4"/>
      <c r="B2058" s="4"/>
      <c r="C2058" s="4"/>
      <c r="D2058" s="7"/>
    </row>
    <row r="2059" spans="1:4" x14ac:dyDescent="0.3">
      <c r="A2059" s="4"/>
      <c r="B2059" s="4"/>
      <c r="C2059" s="4"/>
      <c r="D2059" s="7"/>
    </row>
    <row r="2060" spans="1:4" x14ac:dyDescent="0.3">
      <c r="A2060" s="4"/>
      <c r="B2060" s="4"/>
      <c r="C2060" s="4"/>
      <c r="D2060" s="7"/>
    </row>
    <row r="2061" spans="1:4" x14ac:dyDescent="0.3">
      <c r="A2061" s="4"/>
      <c r="B2061" s="4"/>
      <c r="C2061" s="4"/>
      <c r="D2061" s="7"/>
    </row>
    <row r="2062" spans="1:4" x14ac:dyDescent="0.3">
      <c r="A2062" s="4"/>
      <c r="B2062" s="4"/>
      <c r="C2062" s="4"/>
      <c r="D2062" s="7"/>
    </row>
    <row r="2063" spans="1:4" x14ac:dyDescent="0.3">
      <c r="A2063" s="4"/>
      <c r="B2063" s="4"/>
      <c r="C2063" s="4"/>
      <c r="D2063" s="7"/>
    </row>
    <row r="2064" spans="1:4" x14ac:dyDescent="0.3">
      <c r="A2064" s="4"/>
      <c r="B2064" s="4"/>
      <c r="C2064" s="4"/>
      <c r="D2064" s="7"/>
    </row>
    <row r="2065" spans="1:4" x14ac:dyDescent="0.3">
      <c r="A2065" s="4"/>
      <c r="B2065" s="4"/>
      <c r="C2065" s="4"/>
      <c r="D2065" s="7"/>
    </row>
    <row r="2066" spans="1:4" x14ac:dyDescent="0.3">
      <c r="A2066" s="4"/>
      <c r="B2066" s="4"/>
      <c r="C2066" s="4"/>
      <c r="D2066" s="7"/>
    </row>
    <row r="2067" spans="1:4" x14ac:dyDescent="0.3">
      <c r="A2067" s="4"/>
      <c r="B2067" s="4"/>
      <c r="C2067" s="4"/>
      <c r="D2067" s="7"/>
    </row>
    <row r="2068" spans="1:4" x14ac:dyDescent="0.3">
      <c r="A2068" s="4"/>
      <c r="B2068" s="4"/>
      <c r="C2068" s="4"/>
      <c r="D2068" s="7"/>
    </row>
    <row r="2069" spans="1:4" x14ac:dyDescent="0.3">
      <c r="A2069" s="4"/>
      <c r="B2069" s="4"/>
      <c r="C2069" s="4"/>
      <c r="D2069" s="7"/>
    </row>
    <row r="2070" spans="1:4" x14ac:dyDescent="0.3">
      <c r="A2070" s="4"/>
      <c r="B2070" s="4"/>
      <c r="C2070" s="4"/>
      <c r="D2070" s="7"/>
    </row>
    <row r="2071" spans="1:4" x14ac:dyDescent="0.3">
      <c r="A2071" s="4"/>
      <c r="B2071" s="4"/>
      <c r="C2071" s="4"/>
      <c r="D2071" s="7"/>
    </row>
    <row r="2072" spans="1:4" x14ac:dyDescent="0.3">
      <c r="A2072" s="4"/>
      <c r="B2072" s="4"/>
      <c r="C2072" s="4"/>
      <c r="D2072" s="7"/>
    </row>
    <row r="2073" spans="1:4" x14ac:dyDescent="0.3">
      <c r="A2073" s="4"/>
      <c r="B2073" s="4"/>
      <c r="C2073" s="4"/>
      <c r="D2073" s="7"/>
    </row>
    <row r="2074" spans="1:4" x14ac:dyDescent="0.3">
      <c r="A2074" s="4"/>
      <c r="B2074" s="4"/>
      <c r="C2074" s="4"/>
      <c r="D2074" s="7"/>
    </row>
    <row r="2075" spans="1:4" x14ac:dyDescent="0.3">
      <c r="A2075" s="4"/>
      <c r="B2075" s="4"/>
      <c r="C2075" s="4"/>
      <c r="D2075" s="7"/>
    </row>
    <row r="2076" spans="1:4" x14ac:dyDescent="0.3">
      <c r="A2076" s="4"/>
      <c r="B2076" s="4"/>
      <c r="C2076" s="4"/>
      <c r="D2076" s="7"/>
    </row>
    <row r="2077" spans="1:4" x14ac:dyDescent="0.3">
      <c r="A2077" s="4"/>
      <c r="B2077" s="4"/>
      <c r="C2077" s="4"/>
      <c r="D2077" s="7"/>
    </row>
    <row r="2078" spans="1:4" x14ac:dyDescent="0.3">
      <c r="A2078" s="4"/>
      <c r="B2078" s="4"/>
      <c r="C2078" s="4"/>
      <c r="D2078" s="7"/>
    </row>
    <row r="2079" spans="1:4" x14ac:dyDescent="0.3">
      <c r="A2079" s="4"/>
      <c r="B2079" s="4"/>
      <c r="C2079" s="4"/>
      <c r="D2079" s="7"/>
    </row>
    <row r="2080" spans="1:4" x14ac:dyDescent="0.3">
      <c r="A2080" s="4"/>
      <c r="B2080" s="4"/>
      <c r="C2080" s="4"/>
      <c r="D2080" s="7"/>
    </row>
    <row r="2081" spans="1:4" x14ac:dyDescent="0.3">
      <c r="A2081" s="4"/>
      <c r="B2081" s="4"/>
      <c r="C2081" s="4"/>
      <c r="D2081" s="7"/>
    </row>
    <row r="2082" spans="1:4" x14ac:dyDescent="0.3">
      <c r="A2082" s="4"/>
      <c r="B2082" s="4"/>
      <c r="C2082" s="4"/>
      <c r="D2082" s="7"/>
    </row>
    <row r="2083" spans="1:4" x14ac:dyDescent="0.3">
      <c r="A2083" s="4"/>
      <c r="B2083" s="4"/>
      <c r="C2083" s="4"/>
      <c r="D2083" s="7"/>
    </row>
    <row r="2084" spans="1:4" x14ac:dyDescent="0.3">
      <c r="A2084" s="4"/>
      <c r="B2084" s="4"/>
      <c r="C2084" s="4"/>
      <c r="D2084" s="7"/>
    </row>
    <row r="2085" spans="1:4" x14ac:dyDescent="0.3">
      <c r="A2085" s="4"/>
      <c r="B2085" s="4"/>
      <c r="C2085" s="4"/>
      <c r="D2085" s="7"/>
    </row>
    <row r="2086" spans="1:4" x14ac:dyDescent="0.3">
      <c r="A2086" s="4"/>
      <c r="B2086" s="4"/>
      <c r="C2086" s="4"/>
      <c r="D2086" s="7"/>
    </row>
    <row r="2087" spans="1:4" x14ac:dyDescent="0.3">
      <c r="A2087" s="4"/>
      <c r="B2087" s="4"/>
      <c r="C2087" s="4"/>
      <c r="D2087" s="7"/>
    </row>
    <row r="2088" spans="1:4" x14ac:dyDescent="0.3">
      <c r="A2088" s="4"/>
      <c r="B2088" s="4"/>
      <c r="C2088" s="4"/>
      <c r="D2088" s="7"/>
    </row>
    <row r="2089" spans="1:4" x14ac:dyDescent="0.3">
      <c r="A2089" s="4"/>
      <c r="B2089" s="4"/>
      <c r="C2089" s="4"/>
      <c r="D2089" s="7"/>
    </row>
    <row r="2090" spans="1:4" x14ac:dyDescent="0.3">
      <c r="A2090" s="4"/>
      <c r="B2090" s="4"/>
      <c r="C2090" s="4"/>
      <c r="D2090" s="7"/>
    </row>
    <row r="2091" spans="1:4" x14ac:dyDescent="0.3">
      <c r="A2091" s="4"/>
      <c r="B2091" s="4"/>
      <c r="C2091" s="4"/>
      <c r="D2091" s="7"/>
    </row>
    <row r="2092" spans="1:4" x14ac:dyDescent="0.3">
      <c r="A2092" s="4"/>
      <c r="B2092" s="4"/>
      <c r="C2092" s="4"/>
      <c r="D2092" s="7"/>
    </row>
    <row r="2093" spans="1:4" x14ac:dyDescent="0.3">
      <c r="A2093" s="4"/>
      <c r="B2093" s="4"/>
      <c r="C2093" s="4"/>
      <c r="D2093" s="7"/>
    </row>
    <row r="2094" spans="1:4" x14ac:dyDescent="0.3">
      <c r="A2094" s="4"/>
      <c r="B2094" s="4"/>
      <c r="C2094" s="4"/>
      <c r="D2094" s="7"/>
    </row>
    <row r="2095" spans="1:4" x14ac:dyDescent="0.3">
      <c r="A2095" s="4"/>
      <c r="B2095" s="4"/>
      <c r="C2095" s="4"/>
      <c r="D2095" s="7"/>
    </row>
    <row r="2096" spans="1:4" x14ac:dyDescent="0.3">
      <c r="A2096" s="4"/>
      <c r="B2096" s="4"/>
      <c r="C2096" s="4"/>
      <c r="D2096" s="7"/>
    </row>
    <row r="2097" spans="1:4" x14ac:dyDescent="0.3">
      <c r="A2097" s="4"/>
      <c r="B2097" s="4"/>
      <c r="C2097" s="4"/>
      <c r="D2097" s="7"/>
    </row>
    <row r="2098" spans="1:4" x14ac:dyDescent="0.3">
      <c r="A2098" s="4"/>
      <c r="B2098" s="4"/>
      <c r="C2098" s="4"/>
      <c r="D2098" s="7"/>
    </row>
    <row r="2099" spans="1:4" x14ac:dyDescent="0.3">
      <c r="A2099" s="4"/>
      <c r="B2099" s="4"/>
      <c r="C2099" s="4"/>
      <c r="D2099" s="7"/>
    </row>
    <row r="2100" spans="1:4" x14ac:dyDescent="0.3">
      <c r="A2100" s="4"/>
      <c r="B2100" s="4"/>
      <c r="C2100" s="4"/>
      <c r="D2100" s="7"/>
    </row>
    <row r="2101" spans="1:4" x14ac:dyDescent="0.3">
      <c r="A2101" s="4"/>
      <c r="B2101" s="4"/>
      <c r="C2101" s="4"/>
      <c r="D2101" s="7"/>
    </row>
    <row r="2102" spans="1:4" x14ac:dyDescent="0.3">
      <c r="A2102" s="4"/>
      <c r="B2102" s="4"/>
      <c r="C2102" s="4"/>
      <c r="D2102" s="7"/>
    </row>
    <row r="2103" spans="1:4" x14ac:dyDescent="0.3">
      <c r="A2103" s="4"/>
      <c r="B2103" s="4"/>
      <c r="C2103" s="4"/>
      <c r="D2103" s="7"/>
    </row>
    <row r="2104" spans="1:4" x14ac:dyDescent="0.3">
      <c r="A2104" s="4"/>
      <c r="B2104" s="4"/>
      <c r="C2104" s="4"/>
      <c r="D2104" s="7"/>
    </row>
    <row r="2105" spans="1:4" x14ac:dyDescent="0.3">
      <c r="A2105" s="4"/>
      <c r="B2105" s="4"/>
      <c r="C2105" s="4"/>
      <c r="D2105" s="7"/>
    </row>
    <row r="2106" spans="1:4" x14ac:dyDescent="0.3">
      <c r="A2106" s="4"/>
      <c r="B2106" s="4"/>
      <c r="C2106" s="4"/>
      <c r="D2106" s="7"/>
    </row>
    <row r="2107" spans="1:4" x14ac:dyDescent="0.3">
      <c r="A2107" s="4"/>
      <c r="B2107" s="4"/>
      <c r="C2107" s="4"/>
      <c r="D2107" s="7"/>
    </row>
    <row r="2108" spans="1:4" x14ac:dyDescent="0.3">
      <c r="A2108" s="4"/>
      <c r="B2108" s="4"/>
      <c r="C2108" s="4"/>
      <c r="D2108" s="7"/>
    </row>
    <row r="2109" spans="1:4" x14ac:dyDescent="0.3">
      <c r="A2109" s="4"/>
      <c r="B2109" s="4"/>
      <c r="C2109" s="4"/>
      <c r="D2109" s="7"/>
    </row>
    <row r="2110" spans="1:4" x14ac:dyDescent="0.3">
      <c r="A2110" s="4"/>
      <c r="B2110" s="4"/>
      <c r="C2110" s="4"/>
      <c r="D2110" s="7"/>
    </row>
    <row r="2111" spans="1:4" x14ac:dyDescent="0.3">
      <c r="A2111" s="4"/>
      <c r="B2111" s="4"/>
      <c r="C2111" s="4"/>
      <c r="D2111" s="7"/>
    </row>
    <row r="2112" spans="1:4" x14ac:dyDescent="0.3">
      <c r="A2112" s="4"/>
      <c r="B2112" s="4"/>
      <c r="C2112" s="4"/>
      <c r="D2112" s="7"/>
    </row>
    <row r="2113" spans="1:4" x14ac:dyDescent="0.3">
      <c r="A2113" s="4"/>
      <c r="B2113" s="4"/>
      <c r="C2113" s="4"/>
      <c r="D2113" s="7"/>
    </row>
    <row r="2114" spans="1:4" x14ac:dyDescent="0.3">
      <c r="A2114" s="4"/>
      <c r="B2114" s="4"/>
      <c r="C2114" s="4"/>
      <c r="D2114" s="7"/>
    </row>
    <row r="2115" spans="1:4" x14ac:dyDescent="0.3">
      <c r="A2115" s="4"/>
      <c r="B2115" s="4"/>
      <c r="C2115" s="4"/>
      <c r="D2115" s="7"/>
    </row>
    <row r="2116" spans="1:4" x14ac:dyDescent="0.3">
      <c r="A2116" s="4"/>
      <c r="B2116" s="4"/>
      <c r="C2116" s="4"/>
      <c r="D2116" s="7"/>
    </row>
    <row r="2117" spans="1:4" x14ac:dyDescent="0.3">
      <c r="A2117" s="4"/>
      <c r="B2117" s="4"/>
      <c r="C2117" s="4"/>
      <c r="D2117" s="7"/>
    </row>
    <row r="2118" spans="1:4" x14ac:dyDescent="0.3">
      <c r="A2118" s="4"/>
      <c r="B2118" s="4"/>
      <c r="C2118" s="4"/>
      <c r="D2118" s="7"/>
    </row>
    <row r="2119" spans="1:4" x14ac:dyDescent="0.3">
      <c r="A2119" s="4"/>
      <c r="B2119" s="4"/>
      <c r="C2119" s="4"/>
      <c r="D2119" s="7"/>
    </row>
    <row r="2120" spans="1:4" x14ac:dyDescent="0.3">
      <c r="A2120" s="4"/>
      <c r="B2120" s="4"/>
      <c r="C2120" s="4"/>
      <c r="D2120" s="7"/>
    </row>
    <row r="2121" spans="1:4" x14ac:dyDescent="0.3">
      <c r="A2121" s="4"/>
      <c r="B2121" s="4"/>
      <c r="C2121" s="4"/>
      <c r="D2121" s="7"/>
    </row>
    <row r="2122" spans="1:4" x14ac:dyDescent="0.3">
      <c r="A2122" s="4"/>
      <c r="B2122" s="4"/>
      <c r="C2122" s="4"/>
      <c r="D2122" s="7"/>
    </row>
    <row r="2123" spans="1:4" x14ac:dyDescent="0.3">
      <c r="A2123" s="4"/>
      <c r="B2123" s="4"/>
      <c r="C2123" s="4"/>
      <c r="D2123" s="7"/>
    </row>
    <row r="2124" spans="1:4" x14ac:dyDescent="0.3">
      <c r="A2124" s="4"/>
      <c r="B2124" s="4"/>
      <c r="C2124" s="4"/>
      <c r="D2124" s="7"/>
    </row>
    <row r="2125" spans="1:4" x14ac:dyDescent="0.3">
      <c r="A2125" s="4"/>
      <c r="B2125" s="4"/>
      <c r="C2125" s="4"/>
      <c r="D2125" s="7"/>
    </row>
    <row r="2126" spans="1:4" x14ac:dyDescent="0.3">
      <c r="A2126" s="4"/>
      <c r="B2126" s="4"/>
      <c r="C2126" s="4"/>
      <c r="D2126" s="7"/>
    </row>
    <row r="2127" spans="1:4" x14ac:dyDescent="0.3">
      <c r="A2127" s="4"/>
      <c r="B2127" s="4"/>
      <c r="C2127" s="4"/>
      <c r="D2127" s="7"/>
    </row>
    <row r="2128" spans="1:4" x14ac:dyDescent="0.3">
      <c r="A2128" s="4"/>
      <c r="B2128" s="4"/>
      <c r="C2128" s="4"/>
      <c r="D2128" s="7"/>
    </row>
    <row r="2129" spans="1:4" x14ac:dyDescent="0.3">
      <c r="A2129" s="4"/>
      <c r="B2129" s="4"/>
      <c r="C2129" s="4"/>
      <c r="D2129" s="7"/>
    </row>
    <row r="2130" spans="1:4" x14ac:dyDescent="0.3">
      <c r="A2130" s="4"/>
      <c r="B2130" s="4"/>
      <c r="C2130" s="4"/>
      <c r="D2130" s="7"/>
    </row>
    <row r="2131" spans="1:4" x14ac:dyDescent="0.3">
      <c r="A2131" s="4"/>
      <c r="B2131" s="4"/>
      <c r="C2131" s="4"/>
      <c r="D2131" s="7"/>
    </row>
    <row r="2132" spans="1:4" x14ac:dyDescent="0.3">
      <c r="A2132" s="4"/>
      <c r="B2132" s="4"/>
      <c r="C2132" s="4"/>
      <c r="D2132" s="7"/>
    </row>
    <row r="2133" spans="1:4" x14ac:dyDescent="0.3">
      <c r="A2133" s="4"/>
      <c r="B2133" s="4"/>
      <c r="C2133" s="4"/>
      <c r="D2133" s="7"/>
    </row>
    <row r="2134" spans="1:4" x14ac:dyDescent="0.3">
      <c r="A2134" s="4"/>
      <c r="B2134" s="4"/>
      <c r="C2134" s="4"/>
      <c r="D2134" s="7"/>
    </row>
    <row r="2135" spans="1:4" x14ac:dyDescent="0.3">
      <c r="A2135" s="4"/>
      <c r="B2135" s="4"/>
      <c r="C2135" s="4"/>
      <c r="D2135" s="7"/>
    </row>
    <row r="2136" spans="1:4" x14ac:dyDescent="0.3">
      <c r="A2136" s="4"/>
      <c r="B2136" s="4"/>
      <c r="C2136" s="4"/>
      <c r="D2136" s="7"/>
    </row>
    <row r="2137" spans="1:4" x14ac:dyDescent="0.3">
      <c r="A2137" s="4"/>
      <c r="B2137" s="4"/>
      <c r="C2137" s="4"/>
      <c r="D2137" s="7"/>
    </row>
    <row r="2138" spans="1:4" x14ac:dyDescent="0.3">
      <c r="A2138" s="4"/>
      <c r="B2138" s="4"/>
      <c r="C2138" s="4"/>
      <c r="D2138" s="7"/>
    </row>
    <row r="2139" spans="1:4" x14ac:dyDescent="0.3">
      <c r="A2139" s="4"/>
      <c r="B2139" s="4"/>
      <c r="C2139" s="4"/>
      <c r="D2139" s="7"/>
    </row>
    <row r="2140" spans="1:4" x14ac:dyDescent="0.3">
      <c r="A2140" s="4"/>
      <c r="B2140" s="4"/>
      <c r="C2140" s="4"/>
      <c r="D2140" s="7"/>
    </row>
    <row r="2141" spans="1:4" x14ac:dyDescent="0.3">
      <c r="A2141" s="4"/>
      <c r="B2141" s="4"/>
      <c r="C2141" s="4"/>
      <c r="D2141" s="7"/>
    </row>
    <row r="2142" spans="1:4" x14ac:dyDescent="0.3">
      <c r="A2142" s="4"/>
      <c r="B2142" s="4"/>
      <c r="C2142" s="4"/>
      <c r="D2142" s="7"/>
    </row>
    <row r="2143" spans="1:4" x14ac:dyDescent="0.3">
      <c r="A2143" s="4"/>
      <c r="B2143" s="4"/>
      <c r="C2143" s="4"/>
      <c r="D2143" s="7"/>
    </row>
    <row r="2144" spans="1:4" x14ac:dyDescent="0.3">
      <c r="A2144" s="4"/>
      <c r="B2144" s="4"/>
      <c r="C2144" s="4"/>
      <c r="D2144" s="7"/>
    </row>
    <row r="2145" spans="1:4" x14ac:dyDescent="0.3">
      <c r="A2145" s="4"/>
      <c r="B2145" s="4"/>
      <c r="C2145" s="4"/>
      <c r="D2145" s="7"/>
    </row>
    <row r="2146" spans="1:4" x14ac:dyDescent="0.3">
      <c r="A2146" s="4"/>
      <c r="B2146" s="4"/>
      <c r="C2146" s="4"/>
      <c r="D2146" s="7"/>
    </row>
    <row r="2147" spans="1:4" x14ac:dyDescent="0.3">
      <c r="A2147" s="4"/>
      <c r="B2147" s="4"/>
      <c r="C2147" s="4"/>
      <c r="D2147" s="7"/>
    </row>
    <row r="2148" spans="1:4" x14ac:dyDescent="0.3">
      <c r="A2148" s="4"/>
      <c r="B2148" s="4"/>
      <c r="C2148" s="4"/>
      <c r="D2148" s="7"/>
    </row>
    <row r="2149" spans="1:4" x14ac:dyDescent="0.3">
      <c r="A2149" s="4"/>
      <c r="B2149" s="4"/>
      <c r="C2149" s="4"/>
      <c r="D2149" s="7"/>
    </row>
    <row r="2150" spans="1:4" x14ac:dyDescent="0.3">
      <c r="A2150" s="4"/>
      <c r="B2150" s="4"/>
      <c r="C2150" s="4"/>
      <c r="D2150" s="7"/>
    </row>
    <row r="2151" spans="1:4" x14ac:dyDescent="0.3">
      <c r="A2151" s="4"/>
      <c r="B2151" s="4"/>
      <c r="C2151" s="4"/>
      <c r="D2151" s="7"/>
    </row>
    <row r="2152" spans="1:4" x14ac:dyDescent="0.3">
      <c r="A2152" s="4"/>
      <c r="B2152" s="4"/>
      <c r="C2152" s="4"/>
      <c r="D2152" s="7"/>
    </row>
    <row r="2153" spans="1:4" x14ac:dyDescent="0.3">
      <c r="A2153" s="4"/>
      <c r="B2153" s="4"/>
      <c r="C2153" s="4"/>
      <c r="D2153" s="7"/>
    </row>
    <row r="2154" spans="1:4" x14ac:dyDescent="0.3">
      <c r="A2154" s="4"/>
      <c r="B2154" s="4"/>
      <c r="C2154" s="4"/>
      <c r="D2154" s="7"/>
    </row>
    <row r="2155" spans="1:4" x14ac:dyDescent="0.3">
      <c r="A2155" s="4"/>
      <c r="B2155" s="4"/>
      <c r="C2155" s="4"/>
      <c r="D2155" s="7"/>
    </row>
    <row r="2156" spans="1:4" x14ac:dyDescent="0.3">
      <c r="A2156" s="4"/>
      <c r="B2156" s="4"/>
      <c r="C2156" s="4"/>
      <c r="D2156" s="7"/>
    </row>
    <row r="2157" spans="1:4" x14ac:dyDescent="0.3">
      <c r="A2157" s="4"/>
      <c r="B2157" s="4"/>
      <c r="C2157" s="4"/>
      <c r="D2157" s="7"/>
    </row>
    <row r="2158" spans="1:4" x14ac:dyDescent="0.3">
      <c r="A2158" s="4"/>
      <c r="B2158" s="4"/>
      <c r="C2158" s="4"/>
      <c r="D2158" s="7"/>
    </row>
    <row r="2159" spans="1:4" x14ac:dyDescent="0.3">
      <c r="A2159" s="4"/>
      <c r="B2159" s="4"/>
      <c r="C2159" s="4"/>
      <c r="D2159" s="7"/>
    </row>
    <row r="2160" spans="1:4" x14ac:dyDescent="0.3">
      <c r="A2160" s="4"/>
      <c r="B2160" s="4"/>
      <c r="C2160" s="4"/>
      <c r="D2160" s="7"/>
    </row>
    <row r="2161" spans="1:4" x14ac:dyDescent="0.3">
      <c r="A2161" s="4"/>
      <c r="B2161" s="4"/>
      <c r="C2161" s="4"/>
      <c r="D2161" s="7"/>
    </row>
    <row r="2162" spans="1:4" x14ac:dyDescent="0.3">
      <c r="A2162" s="4"/>
      <c r="B2162" s="4"/>
      <c r="C2162" s="4"/>
      <c r="D2162" s="7"/>
    </row>
    <row r="2163" spans="1:4" x14ac:dyDescent="0.3">
      <c r="A2163" s="4"/>
      <c r="B2163" s="4"/>
      <c r="C2163" s="4"/>
      <c r="D2163" s="7"/>
    </row>
    <row r="2164" spans="1:4" x14ac:dyDescent="0.3">
      <c r="A2164" s="4"/>
      <c r="B2164" s="4"/>
      <c r="C2164" s="4"/>
      <c r="D2164" s="7"/>
    </row>
    <row r="2165" spans="1:4" x14ac:dyDescent="0.3">
      <c r="A2165" s="4"/>
      <c r="B2165" s="4"/>
      <c r="C2165" s="4"/>
      <c r="D2165" s="7"/>
    </row>
    <row r="2166" spans="1:4" x14ac:dyDescent="0.3">
      <c r="A2166" s="4"/>
      <c r="B2166" s="4"/>
      <c r="C2166" s="4"/>
      <c r="D2166" s="7"/>
    </row>
    <row r="2167" spans="1:4" x14ac:dyDescent="0.3">
      <c r="A2167" s="4"/>
      <c r="B2167" s="4"/>
      <c r="C2167" s="4"/>
      <c r="D2167" s="7"/>
    </row>
    <row r="2168" spans="1:4" x14ac:dyDescent="0.3">
      <c r="A2168" s="4"/>
      <c r="B2168" s="4"/>
      <c r="C2168" s="4"/>
      <c r="D2168" s="7"/>
    </row>
    <row r="2169" spans="1:4" x14ac:dyDescent="0.3">
      <c r="A2169" s="4"/>
      <c r="B2169" s="4"/>
      <c r="C2169" s="4"/>
      <c r="D2169" s="7"/>
    </row>
    <row r="2170" spans="1:4" x14ac:dyDescent="0.3">
      <c r="A2170" s="4"/>
      <c r="B2170" s="4"/>
      <c r="C2170" s="4"/>
      <c r="D2170" s="7"/>
    </row>
    <row r="2171" spans="1:4" x14ac:dyDescent="0.3">
      <c r="A2171" s="4"/>
      <c r="B2171" s="4"/>
      <c r="C2171" s="4"/>
      <c r="D2171" s="7"/>
    </row>
    <row r="2172" spans="1:4" x14ac:dyDescent="0.3">
      <c r="A2172" s="4"/>
      <c r="B2172" s="4"/>
      <c r="C2172" s="4"/>
      <c r="D2172" s="7"/>
    </row>
    <row r="2173" spans="1:4" x14ac:dyDescent="0.3">
      <c r="A2173" s="4"/>
      <c r="B2173" s="4"/>
      <c r="C2173" s="4"/>
      <c r="D2173" s="7"/>
    </row>
    <row r="2174" spans="1:4" x14ac:dyDescent="0.3">
      <c r="A2174" s="4"/>
      <c r="B2174" s="4"/>
      <c r="C2174" s="4"/>
      <c r="D2174" s="7"/>
    </row>
    <row r="2175" spans="1:4" x14ac:dyDescent="0.3">
      <c r="A2175" s="4"/>
      <c r="B2175" s="4"/>
      <c r="C2175" s="4"/>
      <c r="D2175" s="7"/>
    </row>
    <row r="2176" spans="1:4" x14ac:dyDescent="0.3">
      <c r="A2176" s="4"/>
      <c r="B2176" s="4"/>
      <c r="C2176" s="4"/>
      <c r="D2176" s="7"/>
    </row>
    <row r="2177" spans="1:4" x14ac:dyDescent="0.3">
      <c r="A2177" s="4"/>
      <c r="B2177" s="4"/>
      <c r="C2177" s="4"/>
      <c r="D2177" s="7"/>
    </row>
    <row r="2178" spans="1:4" x14ac:dyDescent="0.3">
      <c r="A2178" s="4"/>
      <c r="B2178" s="4"/>
      <c r="C2178" s="4"/>
      <c r="D2178" s="7"/>
    </row>
    <row r="2179" spans="1:4" x14ac:dyDescent="0.3">
      <c r="A2179" s="4"/>
      <c r="B2179" s="4"/>
      <c r="C2179" s="4"/>
      <c r="D2179" s="7"/>
    </row>
    <row r="2180" spans="1:4" x14ac:dyDescent="0.3">
      <c r="A2180" s="4"/>
      <c r="B2180" s="4"/>
      <c r="C2180" s="4"/>
      <c r="D2180" s="7"/>
    </row>
    <row r="2181" spans="1:4" x14ac:dyDescent="0.3">
      <c r="A2181" s="4"/>
      <c r="B2181" s="4"/>
      <c r="C2181" s="4"/>
      <c r="D2181" s="7"/>
    </row>
    <row r="2182" spans="1:4" x14ac:dyDescent="0.3">
      <c r="A2182" s="4"/>
      <c r="B2182" s="4"/>
      <c r="C2182" s="4"/>
      <c r="D2182" s="7"/>
    </row>
    <row r="2183" spans="1:4" x14ac:dyDescent="0.3">
      <c r="A2183" s="4"/>
      <c r="B2183" s="4"/>
      <c r="C2183" s="4"/>
      <c r="D2183" s="7"/>
    </row>
    <row r="2184" spans="1:4" x14ac:dyDescent="0.3">
      <c r="A2184" s="4"/>
      <c r="B2184" s="4"/>
      <c r="C2184" s="4"/>
      <c r="D2184" s="7"/>
    </row>
    <row r="2185" spans="1:4" x14ac:dyDescent="0.3">
      <c r="A2185" s="4"/>
      <c r="B2185" s="4"/>
      <c r="C2185" s="4"/>
      <c r="D2185" s="7"/>
    </row>
    <row r="2186" spans="1:4" x14ac:dyDescent="0.3">
      <c r="A2186" s="4"/>
      <c r="B2186" s="4"/>
      <c r="C2186" s="4"/>
      <c r="D2186" s="7"/>
    </row>
    <row r="2187" spans="1:4" x14ac:dyDescent="0.3">
      <c r="A2187" s="4"/>
      <c r="B2187" s="4"/>
      <c r="C2187" s="4"/>
      <c r="D2187" s="7"/>
    </row>
    <row r="2188" spans="1:4" x14ac:dyDescent="0.3">
      <c r="A2188" s="4"/>
      <c r="B2188" s="4"/>
      <c r="C2188" s="4"/>
      <c r="D2188" s="7"/>
    </row>
    <row r="2189" spans="1:4" x14ac:dyDescent="0.3">
      <c r="A2189" s="4"/>
      <c r="B2189" s="4"/>
      <c r="C2189" s="4"/>
      <c r="D2189" s="7"/>
    </row>
    <row r="2190" spans="1:4" x14ac:dyDescent="0.3">
      <c r="A2190" s="4"/>
      <c r="B2190" s="4"/>
      <c r="C2190" s="4"/>
      <c r="D2190" s="7"/>
    </row>
    <row r="2191" spans="1:4" x14ac:dyDescent="0.3">
      <c r="A2191" s="4"/>
      <c r="B2191" s="4"/>
      <c r="C2191" s="4"/>
      <c r="D2191" s="7"/>
    </row>
    <row r="2192" spans="1:4" x14ac:dyDescent="0.3">
      <c r="A2192" s="4"/>
      <c r="B2192" s="4"/>
      <c r="C2192" s="4"/>
      <c r="D2192" s="7"/>
    </row>
    <row r="2193" spans="1:4" x14ac:dyDescent="0.3">
      <c r="A2193" s="4"/>
      <c r="B2193" s="4"/>
      <c r="C2193" s="4"/>
      <c r="D2193" s="7"/>
    </row>
    <row r="2194" spans="1:4" x14ac:dyDescent="0.3">
      <c r="A2194" s="4"/>
      <c r="B2194" s="4"/>
      <c r="C2194" s="4"/>
      <c r="D2194" s="7"/>
    </row>
    <row r="2195" spans="1:4" x14ac:dyDescent="0.3">
      <c r="A2195" s="4"/>
      <c r="B2195" s="4"/>
      <c r="C2195" s="4"/>
      <c r="D2195" s="7"/>
    </row>
    <row r="2196" spans="1:4" x14ac:dyDescent="0.3">
      <c r="A2196" s="4"/>
      <c r="B2196" s="4"/>
      <c r="C2196" s="4"/>
      <c r="D2196" s="7"/>
    </row>
    <row r="2197" spans="1:4" x14ac:dyDescent="0.3">
      <c r="A2197" s="4"/>
      <c r="B2197" s="4"/>
      <c r="C2197" s="4"/>
      <c r="D2197" s="7"/>
    </row>
    <row r="2198" spans="1:4" x14ac:dyDescent="0.3">
      <c r="A2198" s="4"/>
      <c r="B2198" s="4"/>
      <c r="C2198" s="4"/>
      <c r="D2198" s="7"/>
    </row>
    <row r="2199" spans="1:4" x14ac:dyDescent="0.3">
      <c r="A2199" s="4"/>
      <c r="B2199" s="4"/>
      <c r="C2199" s="4"/>
      <c r="D2199" s="7"/>
    </row>
    <row r="2200" spans="1:4" x14ac:dyDescent="0.3">
      <c r="A2200" s="4"/>
      <c r="B2200" s="4"/>
      <c r="C2200" s="4"/>
      <c r="D2200" s="7"/>
    </row>
    <row r="2201" spans="1:4" x14ac:dyDescent="0.3">
      <c r="A2201" s="4"/>
      <c r="B2201" s="4"/>
      <c r="C2201" s="4"/>
      <c r="D2201" s="7"/>
    </row>
    <row r="2202" spans="1:4" x14ac:dyDescent="0.3">
      <c r="A2202" s="4"/>
      <c r="B2202" s="4"/>
      <c r="C2202" s="4"/>
      <c r="D2202" s="7"/>
    </row>
    <row r="2203" spans="1:4" x14ac:dyDescent="0.3">
      <c r="A2203" s="4"/>
      <c r="B2203" s="4"/>
      <c r="C2203" s="4"/>
      <c r="D2203" s="7"/>
    </row>
    <row r="2204" spans="1:4" x14ac:dyDescent="0.3">
      <c r="A2204" s="4"/>
      <c r="B2204" s="4"/>
      <c r="C2204" s="4"/>
      <c r="D2204" s="7"/>
    </row>
    <row r="2205" spans="1:4" x14ac:dyDescent="0.3">
      <c r="A2205" s="4"/>
      <c r="B2205" s="4"/>
      <c r="C2205" s="4"/>
      <c r="D2205" s="7"/>
    </row>
    <row r="2206" spans="1:4" x14ac:dyDescent="0.3">
      <c r="A2206" s="4"/>
      <c r="B2206" s="4"/>
      <c r="C2206" s="4"/>
      <c r="D2206" s="7"/>
    </row>
    <row r="2207" spans="1:4" x14ac:dyDescent="0.3">
      <c r="A2207" s="4"/>
      <c r="B2207" s="4"/>
      <c r="C2207" s="4"/>
      <c r="D2207" s="7"/>
    </row>
    <row r="2208" spans="1:4" x14ac:dyDescent="0.3">
      <c r="A2208" s="4"/>
      <c r="B2208" s="4"/>
      <c r="C2208" s="4"/>
      <c r="D2208" s="7"/>
    </row>
    <row r="2209" spans="1:4" x14ac:dyDescent="0.3">
      <c r="A2209" s="4"/>
      <c r="B2209" s="4"/>
      <c r="C2209" s="4"/>
      <c r="D2209" s="7"/>
    </row>
    <row r="2210" spans="1:4" x14ac:dyDescent="0.3">
      <c r="A2210" s="7"/>
      <c r="B2210" s="4"/>
      <c r="C2210" s="4"/>
      <c r="D2210" s="7"/>
    </row>
    <row r="2211" spans="1:4" x14ac:dyDescent="0.3">
      <c r="A2211" s="7"/>
      <c r="B2211" s="4"/>
      <c r="C2211" s="4"/>
      <c r="D2211" s="7"/>
    </row>
    <row r="2212" spans="1:4" x14ac:dyDescent="0.3">
      <c r="A2212" s="7"/>
      <c r="B2212" s="4"/>
      <c r="C2212" s="4"/>
      <c r="D2212" s="7"/>
    </row>
    <row r="2213" spans="1:4" x14ac:dyDescent="0.3">
      <c r="A2213" s="7"/>
      <c r="B2213" s="4"/>
      <c r="C2213" s="4"/>
      <c r="D2213" s="7"/>
    </row>
    <row r="2214" spans="1:4" x14ac:dyDescent="0.3">
      <c r="A2214" s="7"/>
      <c r="B2214" s="4"/>
      <c r="C2214" s="4"/>
      <c r="D2214" s="7"/>
    </row>
    <row r="2215" spans="1:4" x14ac:dyDescent="0.3">
      <c r="A2215" s="7"/>
      <c r="B2215" s="4"/>
      <c r="C2215" s="4"/>
      <c r="D2215" s="7"/>
    </row>
    <row r="2216" spans="1:4" x14ac:dyDescent="0.3">
      <c r="A2216" s="7"/>
      <c r="B2216" s="4"/>
      <c r="C2216" s="4"/>
      <c r="D2216" s="7"/>
    </row>
    <row r="2217" spans="1:4" x14ac:dyDescent="0.3">
      <c r="A2217" s="7"/>
      <c r="B2217" s="4"/>
      <c r="C2217" s="4"/>
      <c r="D2217" s="7"/>
    </row>
    <row r="2218" spans="1:4" x14ac:dyDescent="0.3">
      <c r="A2218" s="7"/>
      <c r="B2218" s="4"/>
      <c r="C2218" s="4"/>
      <c r="D2218" s="7"/>
    </row>
    <row r="2219" spans="1:4" x14ac:dyDescent="0.3">
      <c r="A2219" s="7"/>
      <c r="B2219" s="4"/>
      <c r="C2219" s="4"/>
      <c r="D2219" s="7"/>
    </row>
    <row r="2220" spans="1:4" x14ac:dyDescent="0.3">
      <c r="A2220" s="7"/>
      <c r="B2220" s="4"/>
      <c r="C2220" s="4"/>
      <c r="D2220" s="7"/>
    </row>
    <row r="2221" spans="1:4" x14ac:dyDescent="0.3">
      <c r="A2221" s="7"/>
      <c r="B2221" s="4"/>
      <c r="C2221" s="4"/>
      <c r="D2221" s="7"/>
    </row>
    <row r="2222" spans="1:4" x14ac:dyDescent="0.3">
      <c r="A2222" s="7"/>
      <c r="B2222" s="4"/>
      <c r="C2222" s="4"/>
      <c r="D2222" s="7"/>
    </row>
    <row r="2223" spans="1:4" x14ac:dyDescent="0.3">
      <c r="A2223" s="7"/>
      <c r="B2223" s="4"/>
      <c r="C2223" s="4"/>
      <c r="D2223" s="7"/>
    </row>
    <row r="2224" spans="1:4" x14ac:dyDescent="0.3">
      <c r="A2224" s="7"/>
      <c r="B2224" s="4"/>
      <c r="C2224" s="4"/>
      <c r="D2224" s="7"/>
    </row>
    <row r="2225" spans="1:4" x14ac:dyDescent="0.3">
      <c r="A2225" s="7"/>
      <c r="B2225" s="4"/>
      <c r="C2225" s="4"/>
      <c r="D2225" s="7"/>
    </row>
    <row r="2226" spans="1:4" x14ac:dyDescent="0.3">
      <c r="A2226" s="7"/>
      <c r="B2226" s="4"/>
      <c r="C2226" s="4"/>
      <c r="D2226" s="7"/>
    </row>
    <row r="2227" spans="1:4" x14ac:dyDescent="0.3">
      <c r="A2227" s="7"/>
      <c r="B2227" s="4"/>
      <c r="C2227" s="4"/>
      <c r="D2227" s="7"/>
    </row>
    <row r="2228" spans="1:4" x14ac:dyDescent="0.3">
      <c r="A2228" s="7"/>
      <c r="B2228" s="4"/>
      <c r="C2228" s="4"/>
      <c r="D2228" s="23"/>
    </row>
    <row r="2229" spans="1:4" x14ac:dyDescent="0.3">
      <c r="A2229" s="7"/>
      <c r="B2229" s="4"/>
      <c r="C2229" s="4"/>
      <c r="D2229" s="23"/>
    </row>
    <row r="2230" spans="1:4" x14ac:dyDescent="0.3">
      <c r="A2230" s="7"/>
      <c r="B2230" s="4"/>
      <c r="C2230" s="4"/>
      <c r="D2230" s="23"/>
    </row>
    <row r="2231" spans="1:4" x14ac:dyDescent="0.3">
      <c r="A2231" s="7"/>
      <c r="B2231" s="4"/>
      <c r="C2231" s="4"/>
      <c r="D2231" s="23"/>
    </row>
    <row r="2232" spans="1:4" x14ac:dyDescent="0.3">
      <c r="A2232" s="7"/>
      <c r="B2232" s="4"/>
      <c r="C2232" s="4"/>
      <c r="D2232" s="23"/>
    </row>
    <row r="2233" spans="1:4" x14ac:dyDescent="0.3">
      <c r="A2233" s="7"/>
      <c r="B2233" s="4"/>
      <c r="C2233" s="4"/>
      <c r="D2233" s="23"/>
    </row>
    <row r="2234" spans="1:4" x14ac:dyDescent="0.3">
      <c r="A2234" s="7"/>
      <c r="B2234" s="4"/>
      <c r="C2234" s="4"/>
      <c r="D2234" s="23"/>
    </row>
    <row r="2235" spans="1:4" x14ac:dyDescent="0.3">
      <c r="A2235" s="7"/>
      <c r="B2235" s="4"/>
      <c r="C2235" s="4"/>
      <c r="D2235" s="7"/>
    </row>
    <row r="2236" spans="1:4" x14ac:dyDescent="0.3">
      <c r="A2236" s="7"/>
      <c r="B2236" s="4"/>
      <c r="C2236" s="4"/>
      <c r="D2236" s="7"/>
    </row>
    <row r="2237" spans="1:4" x14ac:dyDescent="0.3">
      <c r="A2237" s="7"/>
      <c r="B2237" s="4"/>
      <c r="C2237" s="4"/>
      <c r="D2237" s="7"/>
    </row>
    <row r="2238" spans="1:4" x14ac:dyDescent="0.3">
      <c r="A2238" s="7"/>
      <c r="B2238" s="4"/>
      <c r="C2238" s="4"/>
      <c r="D2238" s="7"/>
    </row>
    <row r="2239" spans="1:4" x14ac:dyDescent="0.3">
      <c r="A2239" s="7"/>
      <c r="B2239" s="4"/>
      <c r="C2239" s="4"/>
      <c r="D2239" s="7"/>
    </row>
    <row r="2240" spans="1:4" x14ac:dyDescent="0.3">
      <c r="A2240" s="7"/>
      <c r="B2240" s="4"/>
      <c r="C2240" s="4"/>
      <c r="D2240" s="7"/>
    </row>
    <row r="2241" spans="1:4" x14ac:dyDescent="0.3">
      <c r="A2241" s="7"/>
      <c r="B2241" s="4"/>
      <c r="C2241" s="4"/>
      <c r="D2241" s="7"/>
    </row>
    <row r="2242" spans="1:4" x14ac:dyDescent="0.3">
      <c r="A2242" s="7"/>
      <c r="B2242" s="4"/>
      <c r="C2242" s="4"/>
      <c r="D2242" s="7"/>
    </row>
    <row r="2243" spans="1:4" x14ac:dyDescent="0.3">
      <c r="A2243" s="7"/>
      <c r="B2243" s="4"/>
      <c r="C2243" s="4"/>
      <c r="D2243" s="7"/>
    </row>
    <row r="2244" spans="1:4" x14ac:dyDescent="0.3">
      <c r="A2244" s="7"/>
      <c r="B2244" s="4"/>
      <c r="C2244" s="4"/>
      <c r="D2244" s="7"/>
    </row>
    <row r="2245" spans="1:4" x14ac:dyDescent="0.3">
      <c r="A2245" s="7"/>
      <c r="B2245" s="4"/>
      <c r="C2245" s="4"/>
      <c r="D2245" s="7"/>
    </row>
    <row r="2246" spans="1:4" x14ac:dyDescent="0.3">
      <c r="A2246" s="7"/>
      <c r="B2246" s="4"/>
      <c r="C2246" s="4"/>
      <c r="D2246" s="7"/>
    </row>
    <row r="2247" spans="1:4" x14ac:dyDescent="0.3">
      <c r="A2247" s="7"/>
      <c r="B2247" s="4"/>
      <c r="C2247" s="4"/>
      <c r="D2247" s="7"/>
    </row>
    <row r="2248" spans="1:4" x14ac:dyDescent="0.3">
      <c r="A2248" s="7"/>
      <c r="B2248" s="4"/>
      <c r="C2248" s="4"/>
      <c r="D2248" s="7"/>
    </row>
    <row r="2249" spans="1:4" x14ac:dyDescent="0.3">
      <c r="A2249" s="7"/>
      <c r="B2249" s="4"/>
      <c r="C2249" s="4"/>
      <c r="D2249" s="7"/>
    </row>
    <row r="2250" spans="1:4" x14ac:dyDescent="0.3">
      <c r="A2250" s="7"/>
      <c r="B2250" s="4"/>
      <c r="C2250" s="4"/>
      <c r="D2250" s="7"/>
    </row>
    <row r="2251" spans="1:4" x14ac:dyDescent="0.3">
      <c r="A2251" s="7"/>
      <c r="B2251" s="4"/>
      <c r="C2251" s="4"/>
      <c r="D2251" s="7"/>
    </row>
    <row r="2252" spans="1:4" x14ac:dyDescent="0.3">
      <c r="A2252" s="7"/>
      <c r="B2252" s="4"/>
      <c r="C2252" s="4"/>
      <c r="D2252" s="7"/>
    </row>
    <row r="2253" spans="1:4" x14ac:dyDescent="0.3">
      <c r="A2253" s="7"/>
      <c r="B2253" s="4"/>
      <c r="C2253" s="4"/>
      <c r="D2253" s="7"/>
    </row>
    <row r="2254" spans="1:4" x14ac:dyDescent="0.3">
      <c r="A2254" s="7"/>
      <c r="B2254" s="4"/>
      <c r="C2254" s="4"/>
      <c r="D2254" s="7"/>
    </row>
    <row r="2255" spans="1:4" x14ac:dyDescent="0.3">
      <c r="A2255" s="7"/>
      <c r="B2255" s="4"/>
      <c r="C2255" s="4"/>
      <c r="D2255" s="7"/>
    </row>
    <row r="2256" spans="1:4" x14ac:dyDescent="0.3">
      <c r="A2256" s="7"/>
      <c r="B2256" s="4"/>
      <c r="C2256" s="4"/>
      <c r="D2256" s="7"/>
    </row>
    <row r="2257" spans="1:4" x14ac:dyDescent="0.3">
      <c r="A2257" s="7"/>
      <c r="B2257" s="4"/>
      <c r="C2257" s="4"/>
      <c r="D2257" s="7"/>
    </row>
    <row r="2258" spans="1:4" x14ac:dyDescent="0.3">
      <c r="A2258" s="7"/>
      <c r="B2258" s="4"/>
      <c r="C2258" s="4"/>
      <c r="D2258" s="7"/>
    </row>
    <row r="2259" spans="1:4" x14ac:dyDescent="0.3">
      <c r="A2259" s="7"/>
      <c r="B2259" s="4"/>
      <c r="C2259" s="4"/>
      <c r="D2259" s="7"/>
    </row>
    <row r="2260" spans="1:4" x14ac:dyDescent="0.3">
      <c r="A2260" s="7"/>
      <c r="B2260" s="4"/>
      <c r="C2260" s="4"/>
      <c r="D2260" s="7"/>
    </row>
    <row r="2261" spans="1:4" x14ac:dyDescent="0.3">
      <c r="A2261" s="7"/>
      <c r="B2261" s="4"/>
      <c r="C2261" s="4"/>
      <c r="D2261" s="7"/>
    </row>
    <row r="2262" spans="1:4" x14ac:dyDescent="0.3">
      <c r="A2262" s="7"/>
      <c r="B2262" s="4"/>
      <c r="C2262" s="4"/>
      <c r="D2262" s="7"/>
    </row>
    <row r="2263" spans="1:4" x14ac:dyDescent="0.3">
      <c r="A2263" s="7"/>
      <c r="B2263" s="4"/>
      <c r="C2263" s="4"/>
      <c r="D2263" s="7"/>
    </row>
    <row r="2264" spans="1:4" x14ac:dyDescent="0.3">
      <c r="A2264" s="7"/>
      <c r="B2264" s="4"/>
      <c r="C2264" s="4"/>
      <c r="D2264" s="7"/>
    </row>
    <row r="2265" spans="1:4" x14ac:dyDescent="0.3">
      <c r="A2265" s="7"/>
      <c r="B2265" s="4"/>
      <c r="C2265" s="4"/>
      <c r="D2265" s="7"/>
    </row>
    <row r="2266" spans="1:4" x14ac:dyDescent="0.3">
      <c r="A2266" s="7"/>
      <c r="B2266" s="4"/>
      <c r="C2266" s="4"/>
      <c r="D2266" s="7"/>
    </row>
    <row r="2267" spans="1:4" x14ac:dyDescent="0.3">
      <c r="A2267" s="7"/>
      <c r="B2267" s="4"/>
      <c r="C2267" s="4"/>
      <c r="D2267" s="7"/>
    </row>
    <row r="2268" spans="1:4" x14ac:dyDescent="0.3">
      <c r="A2268" s="7"/>
      <c r="B2268" s="4"/>
      <c r="C2268" s="4"/>
      <c r="D2268" s="7"/>
    </row>
    <row r="2269" spans="1:4" x14ac:dyDescent="0.3">
      <c r="A2269" s="7"/>
      <c r="B2269" s="4"/>
      <c r="C2269" s="4"/>
      <c r="D2269" s="7"/>
    </row>
    <row r="2270" spans="1:4" x14ac:dyDescent="0.3">
      <c r="A2270" s="7"/>
      <c r="B2270" s="4"/>
      <c r="C2270" s="4"/>
      <c r="D2270" s="7"/>
    </row>
    <row r="2271" spans="1:4" x14ac:dyDescent="0.3">
      <c r="A2271" s="7"/>
      <c r="B2271" s="4"/>
      <c r="C2271" s="4"/>
      <c r="D2271" s="7"/>
    </row>
    <row r="2272" spans="1:4" x14ac:dyDescent="0.3">
      <c r="A2272" s="7"/>
      <c r="B2272" s="4"/>
      <c r="C2272" s="4"/>
      <c r="D2272" s="7"/>
    </row>
    <row r="2273" spans="1:4" x14ac:dyDescent="0.3">
      <c r="A2273" s="7"/>
      <c r="B2273" s="4"/>
      <c r="C2273" s="4"/>
      <c r="D2273" s="7"/>
    </row>
    <row r="2274" spans="1:4" x14ac:dyDescent="0.3">
      <c r="A2274" s="7"/>
      <c r="B2274" s="4"/>
      <c r="C2274" s="4"/>
      <c r="D2274" s="7"/>
    </row>
    <row r="2275" spans="1:4" x14ac:dyDescent="0.3">
      <c r="A2275" s="7"/>
      <c r="B2275" s="4"/>
      <c r="C2275" s="4"/>
      <c r="D2275" s="7"/>
    </row>
    <row r="2276" spans="1:4" x14ac:dyDescent="0.3">
      <c r="A2276" s="7"/>
      <c r="B2276" s="4"/>
      <c r="C2276" s="4"/>
      <c r="D2276" s="7"/>
    </row>
    <row r="2277" spans="1:4" x14ac:dyDescent="0.3">
      <c r="A2277" s="7"/>
      <c r="B2277" s="4"/>
      <c r="C2277" s="4"/>
      <c r="D2277" s="7"/>
    </row>
    <row r="2278" spans="1:4" x14ac:dyDescent="0.3">
      <c r="A2278" s="7"/>
      <c r="B2278" s="4"/>
      <c r="C2278" s="4"/>
      <c r="D2278" s="7"/>
    </row>
    <row r="2279" spans="1:4" x14ac:dyDescent="0.3">
      <c r="A2279" s="7"/>
      <c r="B2279" s="4"/>
      <c r="C2279" s="4"/>
      <c r="D2279" s="7"/>
    </row>
    <row r="2280" spans="1:4" x14ac:dyDescent="0.3">
      <c r="A2280" s="7"/>
      <c r="B2280" s="4"/>
      <c r="C2280" s="4"/>
      <c r="D2280" s="7"/>
    </row>
    <row r="2281" spans="1:4" x14ac:dyDescent="0.3">
      <c r="A2281" s="7"/>
      <c r="B2281" s="4"/>
      <c r="C2281" s="4"/>
      <c r="D2281" s="7"/>
    </row>
    <row r="2282" spans="1:4" x14ac:dyDescent="0.3">
      <c r="A2282" s="7"/>
      <c r="B2282" s="4"/>
      <c r="C2282" s="4"/>
      <c r="D2282" s="7"/>
    </row>
    <row r="2283" spans="1:4" x14ac:dyDescent="0.3">
      <c r="A2283" s="7"/>
      <c r="B2283" s="4"/>
      <c r="C2283" s="4"/>
      <c r="D2283" s="7"/>
    </row>
    <row r="2284" spans="1:4" x14ac:dyDescent="0.3">
      <c r="A2284" s="7"/>
      <c r="B2284" s="4"/>
      <c r="C2284" s="4"/>
      <c r="D2284" s="7"/>
    </row>
    <row r="2285" spans="1:4" x14ac:dyDescent="0.3">
      <c r="A2285" s="7"/>
      <c r="B2285" s="4"/>
      <c r="C2285" s="4"/>
      <c r="D2285" s="7"/>
    </row>
    <row r="2286" spans="1:4" x14ac:dyDescent="0.3">
      <c r="A2286" s="7"/>
      <c r="B2286" s="4"/>
      <c r="C2286" s="4"/>
      <c r="D2286" s="7"/>
    </row>
    <row r="2287" spans="1:4" x14ac:dyDescent="0.3">
      <c r="A2287" s="7"/>
      <c r="B2287" s="4"/>
      <c r="C2287" s="4"/>
      <c r="D2287" s="7"/>
    </row>
    <row r="2288" spans="1:4" x14ac:dyDescent="0.3">
      <c r="A2288" s="7"/>
      <c r="B2288" s="4"/>
      <c r="C2288" s="4"/>
      <c r="D2288" s="7"/>
    </row>
    <row r="2289" spans="1:4" x14ac:dyDescent="0.3">
      <c r="A2289" s="7"/>
      <c r="B2289" s="4"/>
      <c r="C2289" s="4"/>
      <c r="D2289" s="7"/>
    </row>
    <row r="2290" spans="1:4" x14ac:dyDescent="0.3">
      <c r="A2290" s="7"/>
      <c r="B2290" s="4"/>
      <c r="C2290" s="4"/>
      <c r="D2290" s="7"/>
    </row>
    <row r="2291" spans="1:4" x14ac:dyDescent="0.3">
      <c r="A2291" s="7"/>
      <c r="B2291" s="4"/>
      <c r="C2291" s="4"/>
      <c r="D2291" s="7"/>
    </row>
    <row r="2292" spans="1:4" x14ac:dyDescent="0.3">
      <c r="A2292" s="7"/>
      <c r="B2292" s="4"/>
      <c r="C2292" s="4"/>
      <c r="D2292" s="7"/>
    </row>
    <row r="2293" spans="1:4" x14ac:dyDescent="0.3">
      <c r="A2293" s="7"/>
      <c r="B2293" s="4"/>
      <c r="C2293" s="4"/>
      <c r="D2293" s="7"/>
    </row>
    <row r="2294" spans="1:4" x14ac:dyDescent="0.3">
      <c r="A2294" s="7"/>
      <c r="B2294" s="4"/>
      <c r="C2294" s="4"/>
      <c r="D2294" s="7"/>
    </row>
    <row r="2295" spans="1:4" x14ac:dyDescent="0.3">
      <c r="A2295" s="7"/>
      <c r="B2295" s="4"/>
      <c r="C2295" s="4"/>
      <c r="D2295" s="7"/>
    </row>
    <row r="2296" spans="1:4" x14ac:dyDescent="0.3">
      <c r="A2296" s="7"/>
      <c r="B2296" s="4"/>
      <c r="C2296" s="4"/>
      <c r="D2296" s="7"/>
    </row>
    <row r="2297" spans="1:4" x14ac:dyDescent="0.3">
      <c r="A2297" s="7"/>
      <c r="B2297" s="4"/>
      <c r="C2297" s="4"/>
      <c r="D2297" s="7"/>
    </row>
    <row r="2298" spans="1:4" x14ac:dyDescent="0.3">
      <c r="A2298" s="7"/>
      <c r="B2298" s="4"/>
      <c r="C2298" s="4"/>
      <c r="D2298" s="7"/>
    </row>
    <row r="2299" spans="1:4" x14ac:dyDescent="0.3">
      <c r="A2299" s="7"/>
      <c r="B2299" s="4"/>
      <c r="C2299" s="4"/>
      <c r="D2299" s="7"/>
    </row>
    <row r="2300" spans="1:4" x14ac:dyDescent="0.3">
      <c r="A2300" s="7"/>
      <c r="B2300" s="4"/>
      <c r="C2300" s="4"/>
      <c r="D2300" s="7"/>
    </row>
    <row r="2301" spans="1:4" x14ac:dyDescent="0.3">
      <c r="A2301" s="7"/>
      <c r="B2301" s="4"/>
      <c r="C2301" s="4"/>
      <c r="D2301" s="7"/>
    </row>
    <row r="2302" spans="1:4" x14ac:dyDescent="0.3">
      <c r="A2302" s="7"/>
      <c r="B2302" s="4"/>
      <c r="C2302" s="4"/>
      <c r="D2302" s="7"/>
    </row>
    <row r="2303" spans="1:4" x14ac:dyDescent="0.3">
      <c r="A2303" s="7"/>
      <c r="B2303" s="4"/>
      <c r="C2303" s="4"/>
      <c r="D2303" s="7"/>
    </row>
    <row r="2304" spans="1:4" x14ac:dyDescent="0.3">
      <c r="A2304" s="7"/>
      <c r="B2304" s="4"/>
      <c r="C2304" s="4"/>
      <c r="D2304" s="7"/>
    </row>
    <row r="2305" spans="1:4" x14ac:dyDescent="0.3">
      <c r="A2305" s="7"/>
      <c r="B2305" s="4"/>
      <c r="C2305" s="4"/>
      <c r="D2305" s="7"/>
    </row>
    <row r="2306" spans="1:4" x14ac:dyDescent="0.3">
      <c r="A2306" s="7"/>
      <c r="B2306" s="4"/>
      <c r="C2306" s="4"/>
      <c r="D2306" s="7"/>
    </row>
    <row r="2307" spans="1:4" x14ac:dyDescent="0.3">
      <c r="A2307" s="7"/>
      <c r="B2307" s="4"/>
      <c r="C2307" s="4"/>
      <c r="D2307" s="7"/>
    </row>
    <row r="2308" spans="1:4" x14ac:dyDescent="0.3">
      <c r="A2308" s="7"/>
      <c r="B2308" s="4"/>
      <c r="C2308" s="4"/>
      <c r="D2308" s="7"/>
    </row>
    <row r="2309" spans="1:4" x14ac:dyDescent="0.3">
      <c r="A2309" s="7"/>
      <c r="B2309" s="4"/>
      <c r="C2309" s="4"/>
      <c r="D2309" s="7"/>
    </row>
    <row r="2310" spans="1:4" x14ac:dyDescent="0.3">
      <c r="A2310" s="7"/>
      <c r="B2310" s="4"/>
      <c r="C2310" s="4"/>
      <c r="D2310" s="7"/>
    </row>
    <row r="2311" spans="1:4" x14ac:dyDescent="0.3">
      <c r="A2311" s="7"/>
      <c r="B2311" s="4"/>
      <c r="C2311" s="4"/>
      <c r="D2311" s="7"/>
    </row>
    <row r="2312" spans="1:4" x14ac:dyDescent="0.3">
      <c r="A2312" s="7"/>
      <c r="B2312" s="4"/>
      <c r="C2312" s="4"/>
      <c r="D2312" s="7"/>
    </row>
    <row r="2313" spans="1:4" x14ac:dyDescent="0.3">
      <c r="A2313" s="7"/>
      <c r="B2313" s="4"/>
      <c r="C2313" s="4"/>
      <c r="D2313" s="7"/>
    </row>
    <row r="2314" spans="1:4" x14ac:dyDescent="0.3">
      <c r="A2314" s="7"/>
      <c r="B2314" s="4"/>
      <c r="C2314" s="4"/>
      <c r="D2314" s="7"/>
    </row>
    <row r="2315" spans="1:4" x14ac:dyDescent="0.3">
      <c r="A2315" s="7"/>
      <c r="B2315" s="4"/>
      <c r="C2315" s="4"/>
      <c r="D2315" s="7"/>
    </row>
    <row r="2316" spans="1:4" x14ac:dyDescent="0.3">
      <c r="A2316" s="7"/>
      <c r="B2316" s="4"/>
      <c r="C2316" s="4"/>
      <c r="D2316" s="7"/>
    </row>
    <row r="2317" spans="1:4" x14ac:dyDescent="0.3">
      <c r="A2317" s="7"/>
      <c r="B2317" s="4"/>
      <c r="C2317" s="4"/>
      <c r="D2317" s="7"/>
    </row>
    <row r="2318" spans="1:4" x14ac:dyDescent="0.3">
      <c r="A2318" s="7"/>
      <c r="B2318" s="4"/>
      <c r="C2318" s="4"/>
      <c r="D2318" s="7"/>
    </row>
    <row r="2319" spans="1:4" x14ac:dyDescent="0.3">
      <c r="A2319" s="7"/>
      <c r="B2319" s="4"/>
      <c r="C2319" s="4"/>
      <c r="D2319" s="7"/>
    </row>
    <row r="2320" spans="1:4" x14ac:dyDescent="0.3">
      <c r="A2320" s="7"/>
      <c r="B2320" s="4"/>
      <c r="C2320" s="4"/>
      <c r="D2320" s="7"/>
    </row>
    <row r="2321" spans="1:4" x14ac:dyDescent="0.3">
      <c r="A2321" s="7"/>
      <c r="B2321" s="4"/>
      <c r="C2321" s="4"/>
      <c r="D2321" s="7"/>
    </row>
    <row r="2322" spans="1:4" x14ac:dyDescent="0.3">
      <c r="A2322" s="7"/>
      <c r="B2322" s="4"/>
      <c r="C2322" s="4"/>
      <c r="D2322" s="7"/>
    </row>
    <row r="2323" spans="1:4" x14ac:dyDescent="0.3">
      <c r="A2323" s="7"/>
      <c r="B2323" s="4"/>
      <c r="C2323" s="4"/>
      <c r="D2323" s="7"/>
    </row>
    <row r="2324" spans="1:4" x14ac:dyDescent="0.3">
      <c r="A2324" s="7"/>
      <c r="B2324" s="4"/>
      <c r="C2324" s="4"/>
      <c r="D2324" s="7"/>
    </row>
    <row r="2325" spans="1:4" x14ac:dyDescent="0.3">
      <c r="A2325" s="7"/>
      <c r="B2325" s="4"/>
      <c r="C2325" s="4"/>
      <c r="D2325" s="4"/>
    </row>
    <row r="2326" spans="1:4" x14ac:dyDescent="0.3">
      <c r="A2326" s="7"/>
      <c r="B2326" s="4"/>
      <c r="C2326" s="4"/>
      <c r="D2326" s="7"/>
    </row>
    <row r="2327" spans="1:4" x14ac:dyDescent="0.3">
      <c r="A2327" s="7"/>
      <c r="B2327" s="4"/>
      <c r="C2327" s="4"/>
      <c r="D2327" s="7"/>
    </row>
    <row r="2328" spans="1:4" x14ac:dyDescent="0.3">
      <c r="A2328" s="7"/>
      <c r="B2328" s="4"/>
      <c r="C2328" s="4"/>
      <c r="D2328" s="7"/>
    </row>
    <row r="2329" spans="1:4" x14ac:dyDescent="0.3">
      <c r="A2329" s="7"/>
      <c r="B2329" s="4"/>
      <c r="C2329" s="4"/>
      <c r="D2329" s="7"/>
    </row>
    <row r="2330" spans="1:4" x14ac:dyDescent="0.3">
      <c r="A2330" s="7"/>
      <c r="B2330" s="4"/>
      <c r="C2330" s="4"/>
      <c r="D2330" s="7"/>
    </row>
    <row r="2331" spans="1:4" x14ac:dyDescent="0.3">
      <c r="A2331" s="7"/>
      <c r="B2331" s="4"/>
      <c r="C2331" s="4"/>
      <c r="D2331" s="7"/>
    </row>
    <row r="2332" spans="1:4" x14ac:dyDescent="0.3">
      <c r="A2332" s="7"/>
      <c r="B2332" s="4"/>
      <c r="C2332" s="4"/>
      <c r="D2332" s="7"/>
    </row>
    <row r="2333" spans="1:4" x14ac:dyDescent="0.3">
      <c r="A2333" s="7"/>
      <c r="B2333" s="4"/>
      <c r="C2333" s="4"/>
      <c r="D2333" s="7"/>
    </row>
    <row r="2334" spans="1:4" x14ac:dyDescent="0.3">
      <c r="A2334" s="7"/>
      <c r="B2334" s="4"/>
      <c r="C2334" s="4"/>
      <c r="D2334" s="7"/>
    </row>
    <row r="2335" spans="1:4" x14ac:dyDescent="0.3">
      <c r="A2335" s="7"/>
      <c r="B2335" s="4"/>
      <c r="C2335" s="4"/>
      <c r="D2335" s="7"/>
    </row>
    <row r="2336" spans="1:4" x14ac:dyDescent="0.3">
      <c r="A2336" s="7"/>
      <c r="B2336" s="4"/>
      <c r="C2336" s="4"/>
      <c r="D2336" s="7"/>
    </row>
    <row r="2337" spans="1:4" x14ac:dyDescent="0.3">
      <c r="A2337" s="7"/>
      <c r="B2337" s="4"/>
      <c r="C2337" s="4"/>
      <c r="D2337" s="7"/>
    </row>
    <row r="2338" spans="1:4" x14ac:dyDescent="0.3">
      <c r="A2338" s="7"/>
      <c r="B2338" s="4"/>
      <c r="C2338" s="4"/>
      <c r="D2338" s="7"/>
    </row>
    <row r="2339" spans="1:4" x14ac:dyDescent="0.3">
      <c r="A2339" s="7"/>
      <c r="B2339" s="4"/>
      <c r="C2339" s="4"/>
      <c r="D2339" s="7"/>
    </row>
    <row r="2340" spans="1:4" x14ac:dyDescent="0.3">
      <c r="A2340" s="7"/>
      <c r="B2340" s="4"/>
      <c r="C2340" s="4"/>
      <c r="D2340" s="7"/>
    </row>
    <row r="2341" spans="1:4" x14ac:dyDescent="0.3">
      <c r="A2341" s="7"/>
      <c r="B2341" s="4"/>
      <c r="C2341" s="4"/>
      <c r="D2341" s="7"/>
    </row>
    <row r="2342" spans="1:4" x14ac:dyDescent="0.3">
      <c r="A2342" s="7"/>
      <c r="B2342" s="4"/>
      <c r="C2342" s="4"/>
      <c r="D2342" s="7"/>
    </row>
    <row r="2343" spans="1:4" x14ac:dyDescent="0.3">
      <c r="A2343" s="7"/>
      <c r="B2343" s="4"/>
      <c r="C2343" s="4"/>
      <c r="D2343" s="7"/>
    </row>
    <row r="2344" spans="1:4" x14ac:dyDescent="0.3">
      <c r="A2344" s="7"/>
      <c r="B2344" s="4"/>
      <c r="C2344" s="4"/>
      <c r="D2344" s="7"/>
    </row>
    <row r="2345" spans="1:4" x14ac:dyDescent="0.3">
      <c r="A2345" s="7"/>
      <c r="B2345" s="4"/>
      <c r="C2345" s="4"/>
      <c r="D2345" s="7"/>
    </row>
    <row r="2346" spans="1:4" x14ac:dyDescent="0.3">
      <c r="A2346" s="7"/>
      <c r="B2346" s="4"/>
      <c r="C2346" s="4"/>
      <c r="D2346" s="7"/>
    </row>
    <row r="2347" spans="1:4" x14ac:dyDescent="0.3">
      <c r="A2347" s="7"/>
      <c r="B2347" s="4"/>
      <c r="C2347" s="4"/>
      <c r="D2347" s="7"/>
    </row>
    <row r="2348" spans="1:4" x14ac:dyDescent="0.3">
      <c r="A2348" s="7"/>
      <c r="B2348" s="4"/>
      <c r="C2348" s="4"/>
      <c r="D2348" s="7"/>
    </row>
    <row r="2349" spans="1:4" x14ac:dyDescent="0.3">
      <c r="A2349" s="7"/>
      <c r="B2349" s="4"/>
      <c r="C2349" s="4"/>
      <c r="D2349" s="7"/>
    </row>
    <row r="2350" spans="1:4" x14ac:dyDescent="0.3">
      <c r="A2350" s="7"/>
      <c r="B2350" s="4"/>
      <c r="C2350" s="4"/>
      <c r="D2350" s="7"/>
    </row>
    <row r="2351" spans="1:4" x14ac:dyDescent="0.3">
      <c r="A2351" s="7"/>
      <c r="B2351" s="4"/>
      <c r="C2351" s="4"/>
      <c r="D2351" s="7"/>
    </row>
    <row r="2352" spans="1:4" x14ac:dyDescent="0.3">
      <c r="A2352" s="7"/>
      <c r="B2352" s="4"/>
      <c r="C2352" s="4"/>
      <c r="D2352" s="7"/>
    </row>
    <row r="2353" spans="1:4" x14ac:dyDescent="0.3">
      <c r="A2353" s="7"/>
      <c r="B2353" s="4"/>
      <c r="C2353" s="4"/>
      <c r="D2353" s="7"/>
    </row>
    <row r="2354" spans="1:4" x14ac:dyDescent="0.3">
      <c r="A2354" s="7"/>
      <c r="B2354" s="4"/>
      <c r="C2354" s="4"/>
      <c r="D2354" s="7"/>
    </row>
    <row r="2355" spans="1:4" x14ac:dyDescent="0.3">
      <c r="A2355" s="7"/>
      <c r="B2355" s="4"/>
      <c r="C2355" s="4"/>
      <c r="D2355" s="7"/>
    </row>
    <row r="2356" spans="1:4" x14ac:dyDescent="0.3">
      <c r="A2356" s="7"/>
      <c r="B2356" s="4"/>
      <c r="C2356" s="4"/>
      <c r="D2356" s="7"/>
    </row>
    <row r="2357" spans="1:4" x14ac:dyDescent="0.3">
      <c r="A2357" s="7"/>
      <c r="B2357" s="4"/>
      <c r="C2357" s="4"/>
      <c r="D2357" s="7"/>
    </row>
    <row r="2358" spans="1:4" x14ac:dyDescent="0.3">
      <c r="A2358" s="7"/>
      <c r="B2358" s="4"/>
      <c r="C2358" s="4"/>
      <c r="D2358" s="7"/>
    </row>
    <row r="2359" spans="1:4" x14ac:dyDescent="0.3">
      <c r="A2359" s="7"/>
      <c r="B2359" s="4"/>
      <c r="C2359" s="4"/>
      <c r="D2359" s="7"/>
    </row>
    <row r="2360" spans="1:4" x14ac:dyDescent="0.3">
      <c r="A2360" s="7"/>
      <c r="B2360" s="4"/>
      <c r="C2360" s="4"/>
      <c r="D2360" s="7"/>
    </row>
    <row r="2361" spans="1:4" x14ac:dyDescent="0.3">
      <c r="A2361" s="7"/>
      <c r="B2361" s="4"/>
      <c r="C2361" s="4"/>
      <c r="D2361" s="7"/>
    </row>
    <row r="2362" spans="1:4" x14ac:dyDescent="0.3">
      <c r="A2362" s="7"/>
      <c r="B2362" s="4"/>
      <c r="C2362" s="4"/>
      <c r="D2362" s="7"/>
    </row>
    <row r="2363" spans="1:4" x14ac:dyDescent="0.3">
      <c r="A2363" s="7"/>
      <c r="B2363" s="4"/>
      <c r="C2363" s="4"/>
      <c r="D2363" s="7"/>
    </row>
    <row r="2364" spans="1:4" x14ac:dyDescent="0.3">
      <c r="A2364" s="7"/>
      <c r="B2364" s="4"/>
      <c r="C2364" s="4"/>
      <c r="D2364" s="7"/>
    </row>
    <row r="2365" spans="1:4" x14ac:dyDescent="0.3">
      <c r="A2365" s="7"/>
      <c r="B2365" s="4"/>
      <c r="C2365" s="4"/>
      <c r="D2365" s="7"/>
    </row>
    <row r="2366" spans="1:4" x14ac:dyDescent="0.3">
      <c r="A2366" s="7"/>
      <c r="B2366" s="4"/>
      <c r="C2366" s="4"/>
      <c r="D2366" s="7"/>
    </row>
    <row r="2367" spans="1:4" x14ac:dyDescent="0.3">
      <c r="A2367" s="7"/>
      <c r="B2367" s="4"/>
      <c r="C2367" s="4"/>
      <c r="D2367" s="7"/>
    </row>
    <row r="2368" spans="1:4" x14ac:dyDescent="0.3">
      <c r="A2368" s="7"/>
      <c r="B2368" s="4"/>
      <c r="C2368" s="4"/>
      <c r="D2368" s="7"/>
    </row>
    <row r="2369" spans="1:4" x14ac:dyDescent="0.3">
      <c r="A2369" s="7"/>
      <c r="B2369" s="4"/>
      <c r="C2369" s="4"/>
      <c r="D2369" s="7"/>
    </row>
    <row r="2370" spans="1:4" x14ac:dyDescent="0.3">
      <c r="A2370" s="7"/>
      <c r="B2370" s="4"/>
      <c r="C2370" s="4"/>
      <c r="D2370" s="7"/>
    </row>
    <row r="2371" spans="1:4" x14ac:dyDescent="0.3">
      <c r="A2371" s="7"/>
      <c r="B2371" s="4"/>
      <c r="C2371" s="4"/>
      <c r="D2371" s="7"/>
    </row>
    <row r="2372" spans="1:4" x14ac:dyDescent="0.3">
      <c r="A2372" s="7"/>
      <c r="B2372" s="4"/>
      <c r="C2372" s="4"/>
      <c r="D2372" s="7"/>
    </row>
    <row r="2373" spans="1:4" x14ac:dyDescent="0.3">
      <c r="A2373" s="7"/>
      <c r="B2373" s="4"/>
      <c r="C2373" s="4"/>
      <c r="D2373" s="7"/>
    </row>
    <row r="2374" spans="1:4" x14ac:dyDescent="0.3">
      <c r="A2374" s="7"/>
      <c r="B2374" s="4"/>
      <c r="C2374" s="4"/>
      <c r="D2374" s="7"/>
    </row>
    <row r="2375" spans="1:4" x14ac:dyDescent="0.3">
      <c r="A2375" s="7"/>
      <c r="B2375" s="4"/>
      <c r="C2375" s="4"/>
      <c r="D2375" s="7"/>
    </row>
    <row r="2376" spans="1:4" x14ac:dyDescent="0.3">
      <c r="A2376" s="7"/>
      <c r="B2376" s="4"/>
      <c r="C2376" s="4"/>
      <c r="D2376" s="7"/>
    </row>
    <row r="2377" spans="1:4" x14ac:dyDescent="0.3">
      <c r="A2377" s="7"/>
      <c r="B2377" s="4"/>
      <c r="C2377" s="4"/>
      <c r="D2377" s="7"/>
    </row>
    <row r="2378" spans="1:4" x14ac:dyDescent="0.3">
      <c r="A2378" s="7"/>
      <c r="B2378" s="4"/>
      <c r="C2378" s="4"/>
      <c r="D2378" s="7"/>
    </row>
    <row r="2379" spans="1:4" x14ac:dyDescent="0.3">
      <c r="A2379" s="7"/>
      <c r="B2379" s="4"/>
      <c r="C2379" s="4"/>
      <c r="D2379" s="7"/>
    </row>
    <row r="2380" spans="1:4" x14ac:dyDescent="0.3">
      <c r="A2380" s="7"/>
      <c r="B2380" s="4"/>
      <c r="C2380" s="4"/>
      <c r="D2380" s="7"/>
    </row>
    <row r="2381" spans="1:4" x14ac:dyDescent="0.3">
      <c r="A2381" s="7"/>
      <c r="B2381" s="4"/>
      <c r="C2381" s="4"/>
      <c r="D2381" s="7"/>
    </row>
    <row r="2382" spans="1:4" x14ac:dyDescent="0.3">
      <c r="A2382" s="7"/>
      <c r="B2382" s="4"/>
      <c r="C2382" s="4"/>
      <c r="D2382" s="7"/>
    </row>
    <row r="2383" spans="1:4" x14ac:dyDescent="0.3">
      <c r="A2383" s="7"/>
      <c r="B2383" s="4"/>
      <c r="C2383" s="4"/>
      <c r="D2383" s="7"/>
    </row>
    <row r="2384" spans="1:4" x14ac:dyDescent="0.3">
      <c r="A2384" s="7"/>
      <c r="B2384" s="4"/>
      <c r="C2384" s="4"/>
      <c r="D2384" s="7"/>
    </row>
    <row r="2385" spans="1:4" x14ac:dyDescent="0.3">
      <c r="A2385" s="7"/>
      <c r="B2385" s="4"/>
      <c r="C2385" s="4"/>
      <c r="D2385" s="7"/>
    </row>
    <row r="2386" spans="1:4" x14ac:dyDescent="0.3">
      <c r="A2386" s="7"/>
      <c r="B2386" s="4"/>
      <c r="C2386" s="4"/>
      <c r="D2386" s="7"/>
    </row>
    <row r="2387" spans="1:4" x14ac:dyDescent="0.3">
      <c r="A2387" s="7"/>
      <c r="B2387" s="4"/>
      <c r="C2387" s="4"/>
      <c r="D2387" s="7"/>
    </row>
    <row r="2388" spans="1:4" x14ac:dyDescent="0.3">
      <c r="A2388" s="7"/>
      <c r="B2388" s="4"/>
      <c r="C2388" s="4"/>
      <c r="D2388" s="7"/>
    </row>
    <row r="2389" spans="1:4" x14ac:dyDescent="0.3">
      <c r="A2389" s="7"/>
      <c r="B2389" s="4"/>
      <c r="C2389" s="4"/>
      <c r="D2389" s="7"/>
    </row>
    <row r="2390" spans="1:4" x14ac:dyDescent="0.3">
      <c r="A2390" s="7"/>
      <c r="B2390" s="4"/>
      <c r="C2390" s="4"/>
      <c r="D2390" s="7"/>
    </row>
    <row r="2391" spans="1:4" x14ac:dyDescent="0.3">
      <c r="A2391" s="7"/>
      <c r="B2391" s="4"/>
      <c r="C2391" s="4"/>
      <c r="D2391" s="7"/>
    </row>
    <row r="2392" spans="1:4" x14ac:dyDescent="0.3">
      <c r="A2392" s="7"/>
      <c r="B2392" s="4"/>
      <c r="C2392" s="4"/>
      <c r="D2392" s="7"/>
    </row>
    <row r="2393" spans="1:4" x14ac:dyDescent="0.3">
      <c r="A2393" s="7"/>
      <c r="B2393" s="4"/>
      <c r="C2393" s="4"/>
      <c r="D2393" s="7"/>
    </row>
    <row r="2394" spans="1:4" x14ac:dyDescent="0.3">
      <c r="A2394" s="7"/>
      <c r="B2394" s="4"/>
      <c r="C2394" s="4"/>
      <c r="D2394" s="7"/>
    </row>
    <row r="2395" spans="1:4" x14ac:dyDescent="0.3">
      <c r="A2395" s="7"/>
      <c r="B2395" s="4"/>
      <c r="C2395" s="4"/>
      <c r="D2395" s="7"/>
    </row>
    <row r="2396" spans="1:4" x14ac:dyDescent="0.3">
      <c r="A2396" s="7"/>
      <c r="B2396" s="4"/>
      <c r="C2396" s="4"/>
      <c r="D2396" s="7"/>
    </row>
    <row r="2397" spans="1:4" x14ac:dyDescent="0.3">
      <c r="A2397" s="7"/>
      <c r="B2397" s="4"/>
      <c r="C2397" s="4"/>
      <c r="D2397" s="7"/>
    </row>
    <row r="2398" spans="1:4" x14ac:dyDescent="0.3">
      <c r="A2398" s="7"/>
      <c r="B2398" s="4"/>
      <c r="C2398" s="4"/>
      <c r="D2398" s="7"/>
    </row>
    <row r="2399" spans="1:4" x14ac:dyDescent="0.3">
      <c r="A2399" s="7"/>
      <c r="B2399" s="4"/>
      <c r="C2399" s="4"/>
      <c r="D2399" s="7"/>
    </row>
    <row r="2400" spans="1:4" x14ac:dyDescent="0.3">
      <c r="A2400" s="7"/>
      <c r="B2400" s="4"/>
      <c r="C2400" s="4"/>
      <c r="D2400" s="7"/>
    </row>
    <row r="2401" spans="1:4" x14ac:dyDescent="0.3">
      <c r="A2401" s="7"/>
      <c r="B2401" s="4"/>
      <c r="C2401" s="4"/>
      <c r="D2401" s="7"/>
    </row>
    <row r="2402" spans="1:4" x14ac:dyDescent="0.3">
      <c r="A2402" s="7"/>
      <c r="B2402" s="4"/>
      <c r="C2402" s="4"/>
      <c r="D2402" s="7"/>
    </row>
    <row r="2403" spans="1:4" x14ac:dyDescent="0.3">
      <c r="A2403" s="7"/>
      <c r="B2403" s="4"/>
      <c r="C2403" s="4"/>
      <c r="D2403" s="7"/>
    </row>
    <row r="2404" spans="1:4" x14ac:dyDescent="0.3">
      <c r="A2404" s="7"/>
      <c r="B2404" s="4"/>
      <c r="C2404" s="4"/>
      <c r="D2404" s="7"/>
    </row>
    <row r="2405" spans="1:4" x14ac:dyDescent="0.3">
      <c r="A2405" s="7"/>
      <c r="B2405" s="4"/>
      <c r="C2405" s="4"/>
      <c r="D2405" s="7"/>
    </row>
    <row r="2406" spans="1:4" x14ac:dyDescent="0.3">
      <c r="A2406" s="7"/>
      <c r="B2406" s="4"/>
      <c r="C2406" s="4"/>
      <c r="D2406" s="7"/>
    </row>
    <row r="2407" spans="1:4" x14ac:dyDescent="0.3">
      <c r="A2407" s="7"/>
      <c r="B2407" s="4"/>
      <c r="C2407" s="4"/>
      <c r="D2407" s="7"/>
    </row>
    <row r="2408" spans="1:4" x14ac:dyDescent="0.3">
      <c r="A2408" s="7"/>
      <c r="B2408" s="4"/>
      <c r="C2408" s="4"/>
      <c r="D2408" s="7"/>
    </row>
    <row r="2409" spans="1:4" x14ac:dyDescent="0.3">
      <c r="A2409" s="7"/>
      <c r="B2409" s="4"/>
      <c r="C2409" s="4"/>
      <c r="D2409" s="7"/>
    </row>
    <row r="2410" spans="1:4" x14ac:dyDescent="0.3">
      <c r="A2410" s="7"/>
      <c r="B2410" s="4"/>
      <c r="C2410" s="4"/>
      <c r="D2410" s="7"/>
    </row>
    <row r="2411" spans="1:4" x14ac:dyDescent="0.3">
      <c r="A2411" s="7"/>
      <c r="B2411" s="4"/>
      <c r="C2411" s="4"/>
      <c r="D2411" s="7"/>
    </row>
    <row r="2412" spans="1:4" x14ac:dyDescent="0.3">
      <c r="A2412" s="7"/>
      <c r="B2412" s="4"/>
      <c r="C2412" s="4"/>
      <c r="D2412" s="7"/>
    </row>
    <row r="2413" spans="1:4" x14ac:dyDescent="0.3">
      <c r="A2413" s="7"/>
      <c r="B2413" s="4"/>
      <c r="C2413" s="4"/>
      <c r="D2413" s="7"/>
    </row>
    <row r="2414" spans="1:4" x14ac:dyDescent="0.3">
      <c r="A2414" s="7"/>
      <c r="B2414" s="4"/>
      <c r="C2414" s="4"/>
      <c r="D2414" s="7"/>
    </row>
    <row r="2415" spans="1:4" x14ac:dyDescent="0.3">
      <c r="A2415" s="7"/>
      <c r="B2415" s="4"/>
      <c r="C2415" s="4"/>
      <c r="D2415" s="7"/>
    </row>
    <row r="2416" spans="1:4" x14ac:dyDescent="0.3">
      <c r="A2416" s="7"/>
      <c r="B2416" s="4"/>
      <c r="C2416" s="4"/>
      <c r="D2416" s="7"/>
    </row>
    <row r="2417" spans="1:4" x14ac:dyDescent="0.3">
      <c r="A2417" s="7"/>
      <c r="B2417" s="4"/>
      <c r="C2417" s="4"/>
      <c r="D2417" s="7"/>
    </row>
    <row r="2418" spans="1:4" x14ac:dyDescent="0.3">
      <c r="A2418" s="7"/>
      <c r="B2418" s="4"/>
      <c r="C2418" s="4"/>
      <c r="D2418" s="7"/>
    </row>
    <row r="2419" spans="1:4" x14ac:dyDescent="0.3">
      <c r="A2419" s="7"/>
      <c r="B2419" s="4"/>
      <c r="C2419" s="4"/>
      <c r="D2419" s="7"/>
    </row>
    <row r="2420" spans="1:4" x14ac:dyDescent="0.3">
      <c r="A2420" s="7"/>
      <c r="B2420" s="4"/>
      <c r="C2420" s="4"/>
      <c r="D2420" s="7"/>
    </row>
    <row r="2421" spans="1:4" x14ac:dyDescent="0.3">
      <c r="A2421" s="7"/>
      <c r="B2421" s="4"/>
      <c r="C2421" s="4"/>
      <c r="D2421" s="7"/>
    </row>
    <row r="2422" spans="1:4" x14ac:dyDescent="0.3">
      <c r="A2422" s="7"/>
      <c r="B2422" s="4"/>
      <c r="C2422" s="4"/>
      <c r="D2422" s="7"/>
    </row>
    <row r="2423" spans="1:4" x14ac:dyDescent="0.3">
      <c r="A2423" s="7"/>
      <c r="B2423" s="4"/>
      <c r="C2423" s="4"/>
      <c r="D2423" s="7"/>
    </row>
    <row r="2424" spans="1:4" x14ac:dyDescent="0.3">
      <c r="A2424" s="7"/>
      <c r="B2424" s="4"/>
      <c r="C2424" s="4"/>
      <c r="D2424" s="7"/>
    </row>
    <row r="2425" spans="1:4" x14ac:dyDescent="0.3">
      <c r="A2425" s="7"/>
      <c r="B2425" s="4"/>
      <c r="C2425" s="4"/>
      <c r="D2425" s="7"/>
    </row>
    <row r="2426" spans="1:4" x14ac:dyDescent="0.3">
      <c r="A2426" s="7"/>
      <c r="B2426" s="4"/>
      <c r="C2426" s="4"/>
      <c r="D2426" s="7"/>
    </row>
    <row r="2427" spans="1:4" x14ac:dyDescent="0.3">
      <c r="A2427" s="7"/>
      <c r="B2427" s="4"/>
      <c r="C2427" s="4"/>
      <c r="D2427" s="7"/>
    </row>
    <row r="2428" spans="1:4" x14ac:dyDescent="0.3">
      <c r="A2428" s="7"/>
      <c r="B2428" s="4"/>
      <c r="C2428" s="4"/>
      <c r="D2428" s="7"/>
    </row>
    <row r="2429" spans="1:4" x14ac:dyDescent="0.3">
      <c r="A2429" s="7"/>
      <c r="B2429" s="4"/>
      <c r="C2429" s="4"/>
      <c r="D2429" s="7"/>
    </row>
    <row r="2430" spans="1:4" x14ac:dyDescent="0.3">
      <c r="A2430" s="7"/>
      <c r="B2430" s="4"/>
      <c r="C2430" s="4"/>
      <c r="D2430" s="7"/>
    </row>
    <row r="2431" spans="1:4" x14ac:dyDescent="0.3">
      <c r="A2431" s="7"/>
      <c r="B2431" s="4"/>
      <c r="C2431" s="4"/>
      <c r="D2431" s="7"/>
    </row>
    <row r="2432" spans="1:4" x14ac:dyDescent="0.3">
      <c r="A2432" s="7"/>
      <c r="B2432" s="4"/>
      <c r="C2432" s="4"/>
      <c r="D2432" s="7"/>
    </row>
    <row r="2433" spans="1:4" x14ac:dyDescent="0.3">
      <c r="A2433" s="7"/>
      <c r="B2433" s="4"/>
      <c r="C2433" s="4"/>
      <c r="D2433" s="7"/>
    </row>
    <row r="2434" spans="1:4" x14ac:dyDescent="0.3">
      <c r="A2434" s="7"/>
      <c r="B2434" s="4"/>
      <c r="C2434" s="4"/>
      <c r="D2434" s="7"/>
    </row>
    <row r="2435" spans="1:4" x14ac:dyDescent="0.3">
      <c r="A2435" s="7"/>
      <c r="B2435" s="4"/>
      <c r="C2435" s="4"/>
      <c r="D2435" s="7"/>
    </row>
    <row r="2436" spans="1:4" x14ac:dyDescent="0.3">
      <c r="A2436" s="7"/>
      <c r="B2436" s="4"/>
      <c r="C2436" s="4"/>
      <c r="D2436" s="7"/>
    </row>
    <row r="2437" spans="1:4" x14ac:dyDescent="0.3">
      <c r="A2437" s="7"/>
      <c r="B2437" s="4"/>
      <c r="C2437" s="4"/>
      <c r="D2437" s="7"/>
    </row>
    <row r="2438" spans="1:4" x14ac:dyDescent="0.3">
      <c r="A2438" s="7"/>
      <c r="B2438" s="4"/>
      <c r="C2438" s="4"/>
      <c r="D2438" s="7"/>
    </row>
    <row r="2439" spans="1:4" x14ac:dyDescent="0.3">
      <c r="A2439" s="7"/>
      <c r="B2439" s="4"/>
      <c r="C2439" s="4"/>
      <c r="D2439" s="7"/>
    </row>
    <row r="2440" spans="1:4" x14ac:dyDescent="0.3">
      <c r="A2440" s="7"/>
      <c r="B2440" s="4"/>
      <c r="C2440" s="4"/>
      <c r="D2440" s="7"/>
    </row>
    <row r="2441" spans="1:4" x14ac:dyDescent="0.3">
      <c r="A2441" s="7"/>
      <c r="B2441" s="4"/>
      <c r="C2441" s="4"/>
      <c r="D2441" s="7"/>
    </row>
    <row r="2442" spans="1:4" x14ac:dyDescent="0.3">
      <c r="A2442" s="7"/>
      <c r="B2442" s="4"/>
      <c r="C2442" s="4"/>
      <c r="D2442" s="7"/>
    </row>
    <row r="2443" spans="1:4" x14ac:dyDescent="0.3">
      <c r="A2443" s="7"/>
      <c r="B2443" s="4"/>
      <c r="C2443" s="4"/>
      <c r="D2443" s="7"/>
    </row>
    <row r="2444" spans="1:4" x14ac:dyDescent="0.3">
      <c r="A2444" s="7"/>
      <c r="B2444" s="4"/>
      <c r="C2444" s="4"/>
      <c r="D2444" s="7"/>
    </row>
    <row r="2445" spans="1:4" x14ac:dyDescent="0.3">
      <c r="A2445" s="7"/>
      <c r="B2445" s="4"/>
      <c r="C2445" s="4"/>
      <c r="D2445" s="7"/>
    </row>
    <row r="2446" spans="1:4" x14ac:dyDescent="0.3">
      <c r="A2446" s="7"/>
      <c r="B2446" s="4"/>
      <c r="C2446" s="4"/>
      <c r="D2446" s="7"/>
    </row>
    <row r="2447" spans="1:4" x14ac:dyDescent="0.3">
      <c r="A2447" s="7"/>
      <c r="B2447" s="4"/>
      <c r="C2447" s="4"/>
      <c r="D2447" s="7"/>
    </row>
    <row r="2448" spans="1:4" x14ac:dyDescent="0.3">
      <c r="A2448" s="7"/>
      <c r="B2448" s="4"/>
      <c r="C2448" s="4"/>
      <c r="D2448" s="7"/>
    </row>
    <row r="2449" spans="1:4" x14ac:dyDescent="0.3">
      <c r="A2449" s="7"/>
      <c r="B2449" s="4"/>
      <c r="C2449" s="4"/>
      <c r="D2449" s="7"/>
    </row>
    <row r="2450" spans="1:4" x14ac:dyDescent="0.3">
      <c r="A2450" s="7"/>
      <c r="B2450" s="4"/>
      <c r="C2450" s="4"/>
      <c r="D2450" s="7"/>
    </row>
    <row r="2451" spans="1:4" x14ac:dyDescent="0.3">
      <c r="A2451" s="7"/>
      <c r="B2451" s="4"/>
      <c r="C2451" s="4"/>
      <c r="D2451" s="7"/>
    </row>
    <row r="2452" spans="1:4" x14ac:dyDescent="0.3">
      <c r="A2452" s="7"/>
      <c r="B2452" s="4"/>
      <c r="C2452" s="4"/>
      <c r="D2452" s="7"/>
    </row>
    <row r="2453" spans="1:4" x14ac:dyDescent="0.3">
      <c r="A2453" s="7"/>
      <c r="B2453" s="4"/>
      <c r="C2453" s="4"/>
      <c r="D2453" s="7"/>
    </row>
    <row r="2454" spans="1:4" x14ac:dyDescent="0.3">
      <c r="A2454" s="7"/>
      <c r="B2454" s="4"/>
      <c r="C2454" s="4"/>
      <c r="D2454" s="7"/>
    </row>
    <row r="2455" spans="1:4" x14ac:dyDescent="0.3">
      <c r="A2455" s="7"/>
      <c r="B2455" s="4"/>
      <c r="C2455" s="4"/>
      <c r="D2455" s="7"/>
    </row>
    <row r="2456" spans="1:4" x14ac:dyDescent="0.3">
      <c r="A2456" s="7"/>
      <c r="B2456" s="4"/>
      <c r="C2456" s="4"/>
      <c r="D2456" s="7"/>
    </row>
    <row r="2457" spans="1:4" x14ac:dyDescent="0.3">
      <c r="A2457" s="7"/>
      <c r="B2457" s="4"/>
      <c r="C2457" s="4"/>
      <c r="D2457" s="7"/>
    </row>
    <row r="2458" spans="1:4" x14ac:dyDescent="0.3">
      <c r="A2458" s="7"/>
      <c r="B2458" s="4"/>
      <c r="C2458" s="4"/>
      <c r="D2458" s="7"/>
    </row>
    <row r="2459" spans="1:4" x14ac:dyDescent="0.3">
      <c r="A2459" s="7"/>
      <c r="B2459" s="4"/>
      <c r="C2459" s="4"/>
      <c r="D2459" s="7"/>
    </row>
    <row r="2460" spans="1:4" x14ac:dyDescent="0.3">
      <c r="A2460" s="7"/>
      <c r="B2460" s="4"/>
      <c r="C2460" s="4"/>
      <c r="D2460" s="7"/>
    </row>
    <row r="2461" spans="1:4" x14ac:dyDescent="0.3">
      <c r="A2461" s="7"/>
      <c r="B2461" s="4"/>
      <c r="C2461" s="4"/>
      <c r="D2461" s="7"/>
    </row>
    <row r="2462" spans="1:4" x14ac:dyDescent="0.3">
      <c r="A2462" s="7"/>
      <c r="B2462" s="4"/>
      <c r="C2462" s="4"/>
      <c r="D2462" s="7"/>
    </row>
    <row r="2463" spans="1:4" x14ac:dyDescent="0.3">
      <c r="A2463" s="7"/>
      <c r="B2463" s="4"/>
      <c r="C2463" s="4"/>
      <c r="D2463" s="7"/>
    </row>
    <row r="2464" spans="1:4" x14ac:dyDescent="0.3">
      <c r="A2464" s="7"/>
      <c r="B2464" s="4"/>
      <c r="C2464" s="4"/>
      <c r="D2464" s="7"/>
    </row>
    <row r="2465" spans="1:4" x14ac:dyDescent="0.3">
      <c r="A2465" s="7"/>
      <c r="B2465" s="4"/>
      <c r="C2465" s="4"/>
      <c r="D2465" s="7"/>
    </row>
    <row r="2466" spans="1:4" x14ac:dyDescent="0.3">
      <c r="A2466" s="7"/>
      <c r="B2466" s="4"/>
      <c r="C2466" s="4"/>
      <c r="D2466" s="7"/>
    </row>
    <row r="2467" spans="1:4" x14ac:dyDescent="0.3">
      <c r="A2467" s="7"/>
      <c r="B2467" s="4"/>
      <c r="C2467" s="4"/>
      <c r="D2467" s="7"/>
    </row>
    <row r="2468" spans="1:4" x14ac:dyDescent="0.3">
      <c r="A2468" s="7"/>
      <c r="B2468" s="4"/>
      <c r="C2468" s="4"/>
      <c r="D2468" s="7"/>
    </row>
    <row r="2469" spans="1:4" x14ac:dyDescent="0.3">
      <c r="A2469" s="7"/>
      <c r="B2469" s="4"/>
      <c r="C2469" s="4"/>
      <c r="D2469" s="7"/>
    </row>
    <row r="2470" spans="1:4" x14ac:dyDescent="0.3">
      <c r="A2470" s="7"/>
      <c r="B2470" s="4"/>
      <c r="C2470" s="4"/>
      <c r="D2470" s="7"/>
    </row>
    <row r="2471" spans="1:4" x14ac:dyDescent="0.3">
      <c r="A2471" s="7"/>
      <c r="B2471" s="4"/>
      <c r="C2471" s="4"/>
      <c r="D2471" s="7"/>
    </row>
    <row r="2472" spans="1:4" x14ac:dyDescent="0.3">
      <c r="A2472" s="7"/>
      <c r="B2472" s="4"/>
      <c r="C2472" s="4"/>
      <c r="D2472" s="7"/>
    </row>
    <row r="2473" spans="1:4" x14ac:dyDescent="0.3">
      <c r="A2473" s="7"/>
      <c r="B2473" s="4"/>
      <c r="C2473" s="4"/>
      <c r="D2473" s="7"/>
    </row>
    <row r="2474" spans="1:4" x14ac:dyDescent="0.3">
      <c r="A2474" s="7"/>
      <c r="B2474" s="4"/>
      <c r="C2474" s="4"/>
      <c r="D2474" s="7"/>
    </row>
    <row r="2475" spans="1:4" x14ac:dyDescent="0.3">
      <c r="A2475" s="7"/>
      <c r="B2475" s="4"/>
      <c r="C2475" s="4"/>
      <c r="D2475" s="7"/>
    </row>
    <row r="2476" spans="1:4" x14ac:dyDescent="0.3">
      <c r="A2476" s="7"/>
      <c r="B2476" s="4"/>
      <c r="C2476" s="4"/>
      <c r="D2476" s="7"/>
    </row>
    <row r="2477" spans="1:4" x14ac:dyDescent="0.3">
      <c r="A2477" s="7"/>
      <c r="B2477" s="4"/>
      <c r="C2477" s="4"/>
      <c r="D2477" s="7"/>
    </row>
    <row r="2478" spans="1:4" x14ac:dyDescent="0.3">
      <c r="A2478" s="7"/>
      <c r="B2478" s="4"/>
      <c r="C2478" s="4"/>
      <c r="D2478" s="7"/>
    </row>
    <row r="2479" spans="1:4" x14ac:dyDescent="0.3">
      <c r="A2479" s="7"/>
      <c r="B2479" s="4"/>
      <c r="C2479" s="4"/>
      <c r="D2479" s="7"/>
    </row>
    <row r="2480" spans="1:4" x14ac:dyDescent="0.3">
      <c r="A2480" s="7"/>
      <c r="B2480" s="4"/>
      <c r="C2480" s="4"/>
      <c r="D2480" s="7"/>
    </row>
    <row r="2481" spans="1:4" x14ac:dyDescent="0.3">
      <c r="A2481" s="7"/>
      <c r="B2481" s="4"/>
      <c r="C2481" s="4"/>
      <c r="D2481" s="7"/>
    </row>
    <row r="2482" spans="1:4" x14ac:dyDescent="0.3">
      <c r="A2482" s="7"/>
      <c r="B2482" s="4"/>
      <c r="C2482" s="4"/>
      <c r="D2482" s="7"/>
    </row>
    <row r="2483" spans="1:4" x14ac:dyDescent="0.3">
      <c r="A2483" s="7"/>
      <c r="B2483" s="4"/>
      <c r="C2483" s="4"/>
      <c r="D2483" s="7"/>
    </row>
    <row r="2484" spans="1:4" x14ac:dyDescent="0.3">
      <c r="A2484" s="7"/>
      <c r="B2484" s="4"/>
      <c r="C2484" s="4"/>
      <c r="D2484" s="7"/>
    </row>
    <row r="2485" spans="1:4" x14ac:dyDescent="0.3">
      <c r="A2485" s="7"/>
      <c r="B2485" s="4"/>
      <c r="C2485" s="4"/>
      <c r="D2485" s="7"/>
    </row>
    <row r="2486" spans="1:4" x14ac:dyDescent="0.3">
      <c r="A2486" s="7"/>
      <c r="B2486" s="4"/>
      <c r="C2486" s="4"/>
      <c r="D2486" s="7"/>
    </row>
    <row r="2487" spans="1:4" x14ac:dyDescent="0.3">
      <c r="A2487" s="7"/>
      <c r="B2487" s="4"/>
      <c r="C2487" s="4"/>
      <c r="D2487" s="7"/>
    </row>
    <row r="2488" spans="1:4" x14ac:dyDescent="0.3">
      <c r="A2488" s="7"/>
      <c r="B2488" s="4"/>
      <c r="C2488" s="4"/>
      <c r="D2488" s="7"/>
    </row>
    <row r="2489" spans="1:4" x14ac:dyDescent="0.3">
      <c r="A2489" s="7"/>
      <c r="B2489" s="4"/>
      <c r="C2489" s="4"/>
      <c r="D2489" s="7"/>
    </row>
    <row r="2490" spans="1:4" x14ac:dyDescent="0.3">
      <c r="A2490" s="7"/>
      <c r="B2490" s="4"/>
      <c r="C2490" s="4"/>
      <c r="D2490" s="7"/>
    </row>
    <row r="2491" spans="1:4" x14ac:dyDescent="0.3">
      <c r="A2491" s="7"/>
      <c r="B2491" s="4"/>
      <c r="C2491" s="4"/>
      <c r="D2491" s="7"/>
    </row>
    <row r="2492" spans="1:4" x14ac:dyDescent="0.3">
      <c r="A2492" s="7"/>
      <c r="B2492" s="4"/>
      <c r="C2492" s="4"/>
      <c r="D2492" s="7"/>
    </row>
    <row r="2493" spans="1:4" x14ac:dyDescent="0.3">
      <c r="A2493" s="7"/>
      <c r="B2493" s="4"/>
      <c r="C2493" s="4"/>
      <c r="D2493" s="7"/>
    </row>
    <row r="2494" spans="1:4" x14ac:dyDescent="0.3">
      <c r="A2494" s="7"/>
      <c r="B2494" s="4"/>
      <c r="C2494" s="4"/>
      <c r="D2494" s="7"/>
    </row>
    <row r="2495" spans="1:4" x14ac:dyDescent="0.3">
      <c r="A2495" s="7"/>
      <c r="B2495" s="4"/>
      <c r="C2495" s="4"/>
      <c r="D2495" s="7"/>
    </row>
    <row r="2496" spans="1:4" x14ac:dyDescent="0.3">
      <c r="A2496" s="7"/>
      <c r="B2496" s="4"/>
      <c r="C2496" s="4"/>
      <c r="D2496" s="7"/>
    </row>
    <row r="2497" spans="1:4" x14ac:dyDescent="0.3">
      <c r="A2497" s="7"/>
      <c r="B2497" s="4"/>
      <c r="C2497" s="4"/>
      <c r="D2497" s="7"/>
    </row>
    <row r="2498" spans="1:4" x14ac:dyDescent="0.3">
      <c r="A2498" s="7"/>
      <c r="B2498" s="4"/>
      <c r="C2498" s="4"/>
      <c r="D2498" s="7"/>
    </row>
    <row r="2499" spans="1:4" x14ac:dyDescent="0.3">
      <c r="A2499" s="7"/>
      <c r="B2499" s="4"/>
      <c r="C2499" s="4"/>
      <c r="D2499" s="7"/>
    </row>
    <row r="2500" spans="1:4" x14ac:dyDescent="0.3">
      <c r="A2500" s="7"/>
      <c r="B2500" s="4"/>
      <c r="C2500" s="4"/>
      <c r="D2500" s="7"/>
    </row>
    <row r="2501" spans="1:4" x14ac:dyDescent="0.3">
      <c r="A2501" s="7"/>
      <c r="B2501" s="4"/>
      <c r="C2501" s="4"/>
      <c r="D2501" s="7"/>
    </row>
    <row r="2502" spans="1:4" x14ac:dyDescent="0.3">
      <c r="A2502" s="4"/>
      <c r="B2502" s="4"/>
      <c r="C2502" s="4"/>
      <c r="D2502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406"/>
  <sheetViews>
    <sheetView zoomScale="90" zoomScaleNormal="90" workbookViewId="0">
      <selection activeCell="B22" sqref="B22"/>
    </sheetView>
  </sheetViews>
  <sheetFormatPr baseColWidth="10" defaultRowHeight="14.4" x14ac:dyDescent="0.3"/>
  <cols>
    <col min="1" max="1" width="10.33203125" style="11" customWidth="1"/>
    <col min="2" max="4" width="23.6640625" style="12" customWidth="1"/>
    <col min="5" max="5" width="27.109375" style="12" customWidth="1"/>
    <col min="6" max="6" width="23.6640625" style="12" customWidth="1"/>
    <col min="7" max="7" width="8.88671875" style="11" customWidth="1"/>
    <col min="8" max="8" width="17.5546875" style="11" customWidth="1"/>
    <col min="9" max="9" width="11.21875" style="11" customWidth="1"/>
    <col min="10" max="10" width="30.88671875" style="11" customWidth="1"/>
    <col min="11" max="11" width="13.109375" style="11" customWidth="1"/>
    <col min="12" max="12" width="12.6640625" style="11" customWidth="1"/>
    <col min="13" max="13" width="15.6640625" style="11" customWidth="1"/>
    <col min="14" max="14" width="19.33203125" style="11" customWidth="1"/>
    <col min="15" max="16" width="20.6640625" style="11" customWidth="1"/>
    <col min="17" max="17" width="15.6640625" style="11" customWidth="1"/>
    <col min="18" max="18" width="15.33203125" style="11" bestFit="1" customWidth="1"/>
    <col min="19" max="19" width="13.5546875" style="11" customWidth="1"/>
    <col min="20" max="20" width="20.21875" style="11" customWidth="1"/>
    <col min="21" max="21" width="26.44140625" style="11" customWidth="1"/>
    <col min="22" max="16384" width="11.5546875" style="11"/>
  </cols>
  <sheetData>
    <row r="1" spans="1:20" ht="12" customHeight="1" x14ac:dyDescent="0.3">
      <c r="A1" s="11" t="s">
        <v>54</v>
      </c>
      <c r="B1" s="12" t="s">
        <v>51</v>
      </c>
      <c r="C1" s="12" t="s">
        <v>872</v>
      </c>
      <c r="D1" s="12" t="s">
        <v>864</v>
      </c>
      <c r="E1" s="12" t="s">
        <v>870</v>
      </c>
      <c r="F1" s="12" t="s">
        <v>871</v>
      </c>
      <c r="G1" s="11" t="s">
        <v>46</v>
      </c>
      <c r="H1" s="11" t="s">
        <v>52</v>
      </c>
      <c r="I1" s="11" t="s">
        <v>53</v>
      </c>
      <c r="J1" s="11" t="s">
        <v>3</v>
      </c>
      <c r="K1" s="11" t="s">
        <v>47</v>
      </c>
      <c r="L1" s="11" t="s">
        <v>55</v>
      </c>
      <c r="M1" s="11" t="s">
        <v>48</v>
      </c>
      <c r="N1" s="11" t="s">
        <v>898</v>
      </c>
      <c r="O1" s="11" t="s">
        <v>899</v>
      </c>
      <c r="P1" s="11" t="s">
        <v>87</v>
      </c>
      <c r="Q1" s="11" t="s">
        <v>88</v>
      </c>
      <c r="S1" s="11" t="s">
        <v>54</v>
      </c>
      <c r="T1" s="11">
        <f>MAX(VENTAS[ID venta])+1</f>
        <v>28</v>
      </c>
    </row>
    <row r="2" spans="1:20" ht="12" customHeight="1" x14ac:dyDescent="0.3">
      <c r="A2" s="11">
        <v>1</v>
      </c>
      <c r="B2" s="58">
        <v>45083.823946759258</v>
      </c>
      <c r="C2" s="12" t="s">
        <v>893</v>
      </c>
      <c r="D2" s="12" t="s">
        <v>865</v>
      </c>
      <c r="E2" s="12" t="s">
        <v>894</v>
      </c>
      <c r="F2" s="12" t="s">
        <v>863</v>
      </c>
      <c r="G2" s="11">
        <v>1000</v>
      </c>
      <c r="H2" s="11">
        <f>VLOOKUP(VENTAS[Codigo],LISTADO_PRODUCTOS[#All],2)</f>
        <v>54173</v>
      </c>
      <c r="I2" s="11" t="str">
        <f>VLOOKUP(VENTAS[Codigo],LISTADO_PRODUCTOS[#All],3)</f>
        <v>LIBRERÍA</v>
      </c>
      <c r="J2" s="11" t="str">
        <f>VLOOKUP(VENTAS[Codigo],LISTADO_PRODUCTOS[#All],4)</f>
        <v>Cuaderno 29.7 America flex - 7792216854173</v>
      </c>
      <c r="K2" s="11" t="str">
        <f>VLOOKUP(VENTAS[Codigo],LISTADO_PRODUCTOS[#All],5)</f>
        <v>N/A</v>
      </c>
      <c r="L2" s="11">
        <v>3</v>
      </c>
      <c r="M2" s="57">
        <v>1250</v>
      </c>
      <c r="N2" s="57">
        <v>3750</v>
      </c>
      <c r="O2" s="13">
        <v>0</v>
      </c>
      <c r="P2" s="57">
        <v>3750</v>
      </c>
      <c r="Q2" s="57">
        <v>12358</v>
      </c>
    </row>
    <row r="3" spans="1:20" ht="12" customHeight="1" x14ac:dyDescent="0.3">
      <c r="A3" s="11">
        <v>2</v>
      </c>
      <c r="B3" s="58">
        <v>45083.823946759258</v>
      </c>
      <c r="C3" s="12" t="s">
        <v>893</v>
      </c>
      <c r="D3" s="12" t="s">
        <v>865</v>
      </c>
      <c r="E3" s="12" t="s">
        <v>894</v>
      </c>
      <c r="F3" s="12" t="s">
        <v>863</v>
      </c>
      <c r="G3" s="11">
        <v>1102</v>
      </c>
      <c r="H3" s="11">
        <f>VLOOKUP(VENTAS[Codigo],LISTADO_PRODUCTOS[#All],2)</f>
        <v>54263</v>
      </c>
      <c r="I3" s="11" t="str">
        <f>VLOOKUP(VENTAS[Codigo],LISTADO_PRODUCTOS[#All],3)</f>
        <v>LIBRERÍA</v>
      </c>
      <c r="J3" s="11" t="str">
        <f>VLOOKUP(VENTAS[Codigo],LISTADO_PRODUCTOS[#All],4)</f>
        <v>Boligrafo Bic Grip</v>
      </c>
      <c r="K3" s="11" t="str">
        <f>VLOOKUP(VENTAS[Codigo],LISTADO_PRODUCTOS[#All],5)</f>
        <v>N/A</v>
      </c>
      <c r="L3" s="11">
        <v>10</v>
      </c>
      <c r="M3" s="57">
        <v>1</v>
      </c>
      <c r="N3" s="57">
        <v>10</v>
      </c>
      <c r="O3" s="13">
        <v>25</v>
      </c>
      <c r="P3" s="57" t="s">
        <v>900</v>
      </c>
      <c r="Q3" s="57">
        <v>12358</v>
      </c>
    </row>
    <row r="4" spans="1:20" ht="12" customHeight="1" x14ac:dyDescent="0.3">
      <c r="A4" s="11">
        <v>3</v>
      </c>
      <c r="B4" s="58">
        <v>45083.823946759258</v>
      </c>
      <c r="C4" s="12" t="s">
        <v>893</v>
      </c>
      <c r="D4" s="12" t="s">
        <v>865</v>
      </c>
      <c r="E4" s="12" t="s">
        <v>894</v>
      </c>
      <c r="F4" s="12" t="s">
        <v>863</v>
      </c>
      <c r="G4" s="11">
        <v>1001</v>
      </c>
      <c r="H4" s="11">
        <f>VLOOKUP(VENTAS[Codigo],LISTADO_PRODUCTOS[#All],2)</f>
        <v>54174</v>
      </c>
      <c r="I4" s="11" t="str">
        <f>VLOOKUP(VENTAS[Codigo],LISTADO_PRODUCTOS[#All],3)</f>
        <v>LIBRERÍA</v>
      </c>
      <c r="J4" s="11" t="str">
        <f>VLOOKUP(VENTAS[Codigo],LISTADO_PRODUCTOS[#All],4)</f>
        <v>Cuaderno Rivadavia escolar 194h 88g</v>
      </c>
      <c r="K4" s="11" t="str">
        <f>VLOOKUP(VENTAS[Codigo],LISTADO_PRODUCTOS[#All],5)</f>
        <v>N/A</v>
      </c>
      <c r="L4" s="11">
        <v>1</v>
      </c>
      <c r="M4" s="57">
        <v>8600</v>
      </c>
      <c r="N4" s="57">
        <v>8600</v>
      </c>
      <c r="O4" s="13">
        <v>0</v>
      </c>
      <c r="P4" s="57">
        <v>8600</v>
      </c>
      <c r="Q4" s="57">
        <v>12358</v>
      </c>
    </row>
    <row r="5" spans="1:20" ht="12" customHeight="1" x14ac:dyDescent="0.3">
      <c r="A5" s="11">
        <v>4</v>
      </c>
      <c r="B5" s="58">
        <v>45083.82613425926</v>
      </c>
      <c r="C5" s="12" t="s">
        <v>893</v>
      </c>
      <c r="D5" s="12" t="s">
        <v>85</v>
      </c>
      <c r="E5" s="12" t="s">
        <v>895</v>
      </c>
      <c r="F5" s="12" t="s">
        <v>857</v>
      </c>
      <c r="G5" s="11">
        <v>1000</v>
      </c>
      <c r="H5" s="11">
        <f>VLOOKUP(VENTAS[Codigo],LISTADO_PRODUCTOS[#All],2)</f>
        <v>54173</v>
      </c>
      <c r="I5" s="11" t="str">
        <f>VLOOKUP(VENTAS[Codigo],LISTADO_PRODUCTOS[#All],3)</f>
        <v>LIBRERÍA</v>
      </c>
      <c r="J5" s="11" t="str">
        <f>VLOOKUP(VENTAS[Codigo],LISTADO_PRODUCTOS[#All],4)</f>
        <v>Cuaderno 29.7 America flex - 7792216854173</v>
      </c>
      <c r="K5" s="11" t="str">
        <f>VLOOKUP(VENTAS[Codigo],LISTADO_PRODUCTOS[#All],5)</f>
        <v>N/A</v>
      </c>
      <c r="L5" s="11">
        <v>10</v>
      </c>
      <c r="M5" s="57">
        <v>1250</v>
      </c>
      <c r="N5" s="57">
        <v>12500</v>
      </c>
      <c r="O5" s="13">
        <v>25</v>
      </c>
      <c r="P5" s="57">
        <v>9375</v>
      </c>
      <c r="Q5" s="57">
        <v>38394</v>
      </c>
    </row>
    <row r="6" spans="1:20" ht="12" customHeight="1" x14ac:dyDescent="0.3">
      <c r="A6" s="11">
        <v>5</v>
      </c>
      <c r="B6" s="58">
        <v>45083.82613425926</v>
      </c>
      <c r="C6" s="12" t="s">
        <v>893</v>
      </c>
      <c r="D6" s="12" t="s">
        <v>85</v>
      </c>
      <c r="E6" s="12" t="s">
        <v>895</v>
      </c>
      <c r="F6" s="12" t="s">
        <v>857</v>
      </c>
      <c r="G6" s="11">
        <v>1001</v>
      </c>
      <c r="H6" s="11">
        <f>VLOOKUP(VENTAS[Codigo],LISTADO_PRODUCTOS[#All],2)</f>
        <v>54174</v>
      </c>
      <c r="I6" s="11" t="str">
        <f>VLOOKUP(VENTAS[Codigo],LISTADO_PRODUCTOS[#All],3)</f>
        <v>LIBRERÍA</v>
      </c>
      <c r="J6" s="11" t="str">
        <f>VLOOKUP(VENTAS[Codigo],LISTADO_PRODUCTOS[#All],4)</f>
        <v>Cuaderno Rivadavia escolar 194h 88g</v>
      </c>
      <c r="K6" s="11" t="str">
        <f>VLOOKUP(VENTAS[Codigo],LISTADO_PRODUCTOS[#All],5)</f>
        <v>N/A</v>
      </c>
      <c r="L6" s="11">
        <v>8</v>
      </c>
      <c r="M6" s="57">
        <v>8600</v>
      </c>
      <c r="N6" s="57">
        <v>68800</v>
      </c>
      <c r="O6" s="13">
        <v>60</v>
      </c>
      <c r="P6" s="57">
        <v>27520</v>
      </c>
      <c r="Q6" s="57">
        <v>38394</v>
      </c>
    </row>
    <row r="7" spans="1:20" ht="12" customHeight="1" x14ac:dyDescent="0.3">
      <c r="A7" s="11">
        <v>6</v>
      </c>
      <c r="B7" s="58">
        <v>45083.82613425926</v>
      </c>
      <c r="C7" s="12" t="s">
        <v>893</v>
      </c>
      <c r="D7" s="12" t="s">
        <v>85</v>
      </c>
      <c r="E7" s="12" t="s">
        <v>895</v>
      </c>
      <c r="F7" s="12" t="s">
        <v>857</v>
      </c>
      <c r="G7" s="11">
        <v>1002</v>
      </c>
      <c r="H7" s="11">
        <f>VLOOKUP(VENTAS[Codigo],LISTADO_PRODUCTOS[#All],2)</f>
        <v>54175</v>
      </c>
      <c r="I7" s="11" t="str">
        <f>VLOOKUP(VENTAS[Codigo],LISTADO_PRODUCTOS[#All],3)</f>
        <v xml:space="preserve">OFICINA </v>
      </c>
      <c r="J7" s="11" t="str">
        <f>VLOOKUP(VENTAS[Codigo],LISTADO_PRODUCTOS[#All],4)</f>
        <v>Cuaderno 29.7 America Nos/Avon 80h</v>
      </c>
      <c r="K7" s="11" t="str">
        <f>VLOOKUP(VENTAS[Codigo],LISTADO_PRODUCTOS[#All],5)</f>
        <v>N/A</v>
      </c>
      <c r="L7" s="11">
        <v>1</v>
      </c>
      <c r="M7" s="57">
        <v>1499</v>
      </c>
      <c r="N7" s="57">
        <v>1499</v>
      </c>
      <c r="O7" s="13">
        <v>0</v>
      </c>
      <c r="P7" s="57">
        <v>1499</v>
      </c>
      <c r="Q7" s="57">
        <v>38394</v>
      </c>
    </row>
    <row r="8" spans="1:20" ht="12" customHeight="1" x14ac:dyDescent="0.3">
      <c r="A8" s="11">
        <v>7</v>
      </c>
      <c r="B8" s="58">
        <v>45113.457384259258</v>
      </c>
      <c r="C8" s="12" t="s">
        <v>893</v>
      </c>
      <c r="G8" s="11">
        <v>1000</v>
      </c>
      <c r="H8" s="11">
        <f>VLOOKUP(VENTAS[Codigo],LISTADO_PRODUCTOS[#All],2)</f>
        <v>54173</v>
      </c>
      <c r="I8" s="11" t="str">
        <f>VLOOKUP(VENTAS[Codigo],LISTADO_PRODUCTOS[#All],3)</f>
        <v>LIBRERÍA</v>
      </c>
      <c r="J8" s="11" t="str">
        <f>VLOOKUP(VENTAS[Codigo],LISTADO_PRODUCTOS[#All],4)</f>
        <v>Cuaderno 29.7 America flex - 7792216854173</v>
      </c>
      <c r="K8" s="11" t="str">
        <f>VLOOKUP(VENTAS[Codigo],LISTADO_PRODUCTOS[#All],5)</f>
        <v>N/A</v>
      </c>
      <c r="L8" s="11">
        <v>3</v>
      </c>
      <c r="M8" s="57">
        <v>240</v>
      </c>
      <c r="N8" s="57">
        <v>720</v>
      </c>
      <c r="O8" s="13">
        <v>25</v>
      </c>
      <c r="P8" s="57">
        <v>540</v>
      </c>
      <c r="Q8" s="57">
        <v>540</v>
      </c>
    </row>
    <row r="9" spans="1:20" ht="12" customHeight="1" x14ac:dyDescent="0.3">
      <c r="A9" s="11">
        <v>8</v>
      </c>
      <c r="B9" s="58">
        <v>45113.718425925923</v>
      </c>
      <c r="C9" s="12" t="s">
        <v>893</v>
      </c>
      <c r="D9" s="12" t="s">
        <v>866</v>
      </c>
      <c r="E9" s="12" t="s">
        <v>901</v>
      </c>
      <c r="F9" s="12" t="s">
        <v>863</v>
      </c>
      <c r="G9" s="11">
        <v>1000</v>
      </c>
      <c r="H9" s="11">
        <f>VLOOKUP(VENTAS[Codigo],LISTADO_PRODUCTOS[#All],2)</f>
        <v>54173</v>
      </c>
      <c r="I9" s="11" t="str">
        <f>VLOOKUP(VENTAS[Codigo],LISTADO_PRODUCTOS[#All],3)</f>
        <v>LIBRERÍA</v>
      </c>
      <c r="J9" s="11" t="str">
        <f>VLOOKUP(VENTAS[Codigo],LISTADO_PRODUCTOS[#All],4)</f>
        <v>Cuaderno 29.7 America flex - 7792216854173</v>
      </c>
      <c r="K9" s="11" t="str">
        <f>VLOOKUP(VENTAS[Codigo],LISTADO_PRODUCTOS[#All],5)</f>
        <v>N/A</v>
      </c>
      <c r="L9" s="11">
        <v>1</v>
      </c>
      <c r="M9" s="57">
        <v>240</v>
      </c>
      <c r="N9" s="57">
        <v>240</v>
      </c>
      <c r="O9" s="13">
        <v>0</v>
      </c>
      <c r="P9" s="57">
        <v>240</v>
      </c>
      <c r="Q9" s="57">
        <v>240</v>
      </c>
    </row>
    <row r="10" spans="1:20" ht="12" customHeight="1" x14ac:dyDescent="0.3">
      <c r="A10" s="11">
        <v>9</v>
      </c>
      <c r="B10" s="58">
        <v>45113.742858796293</v>
      </c>
      <c r="C10" s="12" t="s">
        <v>893</v>
      </c>
      <c r="D10" s="12" t="s">
        <v>902</v>
      </c>
      <c r="E10" s="12" t="s">
        <v>904</v>
      </c>
      <c r="F10" s="12" t="s">
        <v>859</v>
      </c>
      <c r="G10" s="11">
        <v>1000</v>
      </c>
      <c r="H10" s="11">
        <f>VLOOKUP(VENTAS[Codigo],LISTADO_PRODUCTOS[#All],2)</f>
        <v>54173</v>
      </c>
      <c r="I10" s="11" t="str">
        <f>VLOOKUP(VENTAS[Codigo],LISTADO_PRODUCTOS[#All],3)</f>
        <v>LIBRERÍA</v>
      </c>
      <c r="J10" s="11" t="str">
        <f>VLOOKUP(VENTAS[Codigo],LISTADO_PRODUCTOS[#All],4)</f>
        <v>Cuaderno 29.7 America flex - 7792216854173</v>
      </c>
      <c r="K10" s="11" t="str">
        <f>VLOOKUP(VENTAS[Codigo],LISTADO_PRODUCTOS[#All],5)</f>
        <v>N/A</v>
      </c>
      <c r="L10" s="11">
        <v>1</v>
      </c>
      <c r="M10" s="57">
        <v>240</v>
      </c>
      <c r="N10" s="57">
        <v>240</v>
      </c>
      <c r="O10" s="13">
        <v>0</v>
      </c>
      <c r="P10" s="57">
        <v>240</v>
      </c>
      <c r="Q10" s="57">
        <v>240</v>
      </c>
    </row>
    <row r="11" spans="1:20" ht="12" customHeight="1" x14ac:dyDescent="0.3">
      <c r="A11" s="11">
        <v>10</v>
      </c>
      <c r="B11" s="58">
        <v>45144.825185185182</v>
      </c>
      <c r="C11" s="12" t="s">
        <v>893</v>
      </c>
      <c r="D11" s="12" t="s">
        <v>866</v>
      </c>
      <c r="E11" s="12" t="s">
        <v>905</v>
      </c>
      <c r="F11" s="12" t="s">
        <v>863</v>
      </c>
      <c r="G11" s="11">
        <v>1000</v>
      </c>
      <c r="H11" s="11">
        <f>VLOOKUP(VENTAS[Codigo],LISTADO_PRODUCTOS[#All],2)</f>
        <v>54173</v>
      </c>
      <c r="I11" s="11" t="str">
        <f>VLOOKUP(VENTAS[Codigo],LISTADO_PRODUCTOS[#All],3)</f>
        <v>LIBRERÍA</v>
      </c>
      <c r="J11" s="11" t="str">
        <f>VLOOKUP(VENTAS[Codigo],LISTADO_PRODUCTOS[#All],4)</f>
        <v>Cuaderno 29.7 America flex - 7792216854173</v>
      </c>
      <c r="K11" s="11" t="str">
        <f>VLOOKUP(VENTAS[Codigo],LISTADO_PRODUCTOS[#All],5)</f>
        <v>N/A</v>
      </c>
      <c r="L11" s="11">
        <v>5</v>
      </c>
      <c r="M11" s="57">
        <v>240</v>
      </c>
      <c r="N11" s="57">
        <v>1200</v>
      </c>
      <c r="O11" s="13">
        <v>15</v>
      </c>
      <c r="P11" s="57">
        <v>1020</v>
      </c>
      <c r="Q11" s="57">
        <v>2013</v>
      </c>
    </row>
    <row r="12" spans="1:20" ht="12" customHeight="1" x14ac:dyDescent="0.3">
      <c r="A12" s="11">
        <v>11</v>
      </c>
      <c r="B12" s="58">
        <v>45144.825185185182</v>
      </c>
      <c r="C12" s="12" t="s">
        <v>893</v>
      </c>
      <c r="D12" s="12" t="s">
        <v>866</v>
      </c>
      <c r="E12" s="12" t="s">
        <v>905</v>
      </c>
      <c r="F12" s="12" t="s">
        <v>863</v>
      </c>
      <c r="G12" s="11">
        <v>1002</v>
      </c>
      <c r="H12" s="11">
        <f>VLOOKUP(VENTAS[Codigo],LISTADO_PRODUCTOS[#All],2)</f>
        <v>54175</v>
      </c>
      <c r="I12" s="11" t="str">
        <f>VLOOKUP(VENTAS[Codigo],LISTADO_PRODUCTOS[#All],3)</f>
        <v xml:space="preserve">OFICINA </v>
      </c>
      <c r="J12" s="11" t="str">
        <f>VLOOKUP(VENTAS[Codigo],LISTADO_PRODUCTOS[#All],4)</f>
        <v>Cuaderno 29.7 America Nos/Avon 80h</v>
      </c>
      <c r="K12" s="11" t="str">
        <f>VLOOKUP(VENTAS[Codigo],LISTADO_PRODUCTOS[#All],5)</f>
        <v>N/A</v>
      </c>
      <c r="L12" s="11">
        <v>3</v>
      </c>
      <c r="M12" s="57">
        <v>331</v>
      </c>
      <c r="N12" s="57">
        <v>993</v>
      </c>
      <c r="O12" s="13">
        <v>0</v>
      </c>
      <c r="P12" s="57">
        <v>993</v>
      </c>
      <c r="Q12" s="57">
        <v>2013</v>
      </c>
    </row>
    <row r="13" spans="1:20" ht="12" customHeight="1" x14ac:dyDescent="0.3">
      <c r="A13" s="11">
        <v>12</v>
      </c>
      <c r="B13" s="58">
        <v>45144.826874999999</v>
      </c>
      <c r="C13" s="12" t="s">
        <v>893</v>
      </c>
      <c r="D13" s="12" t="s">
        <v>902</v>
      </c>
      <c r="E13" s="12" t="s">
        <v>904</v>
      </c>
      <c r="F13" s="12" t="s">
        <v>857</v>
      </c>
      <c r="G13" s="11">
        <v>1002</v>
      </c>
      <c r="H13" s="11">
        <f>VLOOKUP(VENTAS[Codigo],LISTADO_PRODUCTOS[#All],2)</f>
        <v>54175</v>
      </c>
      <c r="I13" s="11" t="str">
        <f>VLOOKUP(VENTAS[Codigo],LISTADO_PRODUCTOS[#All],3)</f>
        <v xml:space="preserve">OFICINA </v>
      </c>
      <c r="J13" s="11" t="str">
        <f>VLOOKUP(VENTAS[Codigo],LISTADO_PRODUCTOS[#All],4)</f>
        <v>Cuaderno 29.7 America Nos/Avon 80h</v>
      </c>
      <c r="K13" s="11" t="str">
        <f>VLOOKUP(VENTAS[Codigo],LISTADO_PRODUCTOS[#All],5)</f>
        <v>N/A</v>
      </c>
      <c r="L13" s="11">
        <v>1</v>
      </c>
      <c r="M13" s="57">
        <v>331</v>
      </c>
      <c r="N13" s="57">
        <v>331</v>
      </c>
      <c r="O13" s="13">
        <v>0</v>
      </c>
      <c r="P13" s="57">
        <v>331</v>
      </c>
      <c r="Q13" s="57">
        <v>331</v>
      </c>
    </row>
    <row r="14" spans="1:20" ht="12" customHeight="1" x14ac:dyDescent="0.3">
      <c r="A14" s="11">
        <v>13</v>
      </c>
      <c r="B14" s="58">
        <v>45144.828206018516</v>
      </c>
      <c r="C14" s="12" t="s">
        <v>893</v>
      </c>
      <c r="D14" s="12" t="s">
        <v>902</v>
      </c>
      <c r="E14" s="12" t="s">
        <v>904</v>
      </c>
      <c r="F14" s="12" t="s">
        <v>857</v>
      </c>
      <c r="G14" s="11">
        <v>1000</v>
      </c>
      <c r="H14" s="11">
        <f>VLOOKUP(VENTAS[Codigo],LISTADO_PRODUCTOS[#All],2)</f>
        <v>54173</v>
      </c>
      <c r="I14" s="11" t="str">
        <f>VLOOKUP(VENTAS[Codigo],LISTADO_PRODUCTOS[#All],3)</f>
        <v>LIBRERÍA</v>
      </c>
      <c r="J14" s="11" t="str">
        <f>VLOOKUP(VENTAS[Codigo],LISTADO_PRODUCTOS[#All],4)</f>
        <v>Cuaderno 29.7 America flex - 7792216854173</v>
      </c>
      <c r="K14" s="11" t="str">
        <f>VLOOKUP(VENTAS[Codigo],LISTADO_PRODUCTOS[#All],5)</f>
        <v>N/A</v>
      </c>
      <c r="L14" s="11">
        <v>1</v>
      </c>
      <c r="M14" s="57">
        <v>240</v>
      </c>
      <c r="N14" s="57">
        <v>240</v>
      </c>
      <c r="O14" s="13">
        <v>0</v>
      </c>
      <c r="P14" s="57">
        <v>240</v>
      </c>
      <c r="Q14" s="57">
        <v>240</v>
      </c>
    </row>
    <row r="15" spans="1:20" ht="12" customHeight="1" x14ac:dyDescent="0.3">
      <c r="A15" s="11">
        <v>14</v>
      </c>
      <c r="B15" s="58">
        <v>45085.831076388888</v>
      </c>
      <c r="C15" s="12" t="s">
        <v>893</v>
      </c>
      <c r="D15" s="12" t="s">
        <v>902</v>
      </c>
      <c r="E15" s="12" t="s">
        <v>904</v>
      </c>
      <c r="F15" s="12" t="s">
        <v>859</v>
      </c>
      <c r="G15" s="11">
        <v>1000</v>
      </c>
      <c r="H15" s="11">
        <f>VLOOKUP(VENTAS[Codigo],LISTADO_PRODUCTOS[#All],2)</f>
        <v>54173</v>
      </c>
      <c r="I15" s="11" t="str">
        <f>VLOOKUP(VENTAS[Codigo],LISTADO_PRODUCTOS[#All],3)</f>
        <v>LIBRERÍA</v>
      </c>
      <c r="J15" s="11" t="str">
        <f>VLOOKUP(VENTAS[Codigo],LISTADO_PRODUCTOS[#All],4)</f>
        <v>Cuaderno 29.7 America flex - 7792216854173</v>
      </c>
      <c r="K15" s="11" t="str">
        <f>VLOOKUP(VENTAS[Codigo],LISTADO_PRODUCTOS[#All],5)</f>
        <v>N/A</v>
      </c>
      <c r="L15" s="11">
        <v>1</v>
      </c>
      <c r="M15" s="57">
        <v>240</v>
      </c>
      <c r="N15" s="57">
        <v>240</v>
      </c>
      <c r="O15" s="13">
        <v>0</v>
      </c>
      <c r="P15" s="57">
        <v>240</v>
      </c>
      <c r="Q15" s="57">
        <v>240</v>
      </c>
    </row>
    <row r="16" spans="1:20" ht="12" customHeight="1" x14ac:dyDescent="0.3">
      <c r="A16" s="11">
        <v>15</v>
      </c>
      <c r="B16" s="58">
        <v>45090.457974537036</v>
      </c>
      <c r="C16" s="12" t="s">
        <v>893</v>
      </c>
      <c r="D16" s="12" t="s">
        <v>902</v>
      </c>
      <c r="E16" s="12" t="s">
        <v>904</v>
      </c>
      <c r="F16" s="12" t="s">
        <v>857</v>
      </c>
      <c r="G16" s="11">
        <v>1000</v>
      </c>
      <c r="H16" s="11">
        <f>VLOOKUP(VENTAS[Codigo],LISTADO_PRODUCTOS[#All],2)</f>
        <v>54173</v>
      </c>
      <c r="I16" s="11" t="str">
        <f>VLOOKUP(VENTAS[Codigo],LISTADO_PRODUCTOS[#All],3)</f>
        <v>LIBRERÍA</v>
      </c>
      <c r="J16" s="11" t="str">
        <f>VLOOKUP(VENTAS[Codigo],LISTADO_PRODUCTOS[#All],4)</f>
        <v>Cuaderno 29.7 America flex - 7792216854173</v>
      </c>
      <c r="K16" s="11" t="str">
        <f>VLOOKUP(VENTAS[Codigo],LISTADO_PRODUCTOS[#All],5)</f>
        <v>N/A</v>
      </c>
      <c r="L16" s="11">
        <v>1</v>
      </c>
      <c r="M16" s="57">
        <v>240</v>
      </c>
      <c r="N16" s="57">
        <v>240</v>
      </c>
      <c r="O16" s="13">
        <v>0</v>
      </c>
      <c r="P16" s="57">
        <v>240</v>
      </c>
      <c r="Q16" s="57">
        <v>240</v>
      </c>
    </row>
    <row r="17" spans="1:17" ht="12" customHeight="1" x14ac:dyDescent="0.3">
      <c r="A17" s="11">
        <v>16</v>
      </c>
      <c r="B17" s="58">
        <v>45091.480023148149</v>
      </c>
      <c r="C17" s="12" t="s">
        <v>893</v>
      </c>
      <c r="D17" s="12" t="s">
        <v>866</v>
      </c>
      <c r="E17" s="12" t="s">
        <v>905</v>
      </c>
      <c r="F17" s="12" t="s">
        <v>863</v>
      </c>
      <c r="G17" s="11">
        <v>1000</v>
      </c>
      <c r="H17" s="11">
        <f>VLOOKUP(VENTAS[Codigo],LISTADO_PRODUCTOS[#All],2)</f>
        <v>54173</v>
      </c>
      <c r="I17" s="11" t="str">
        <f>VLOOKUP(VENTAS[Codigo],LISTADO_PRODUCTOS[#All],3)</f>
        <v>LIBRERÍA</v>
      </c>
      <c r="J17" s="11" t="str">
        <f>VLOOKUP(VENTAS[Codigo],LISTADO_PRODUCTOS[#All],4)</f>
        <v>Cuaderno 29.7 America flex - 7792216854173</v>
      </c>
      <c r="K17" s="11" t="str">
        <f>VLOOKUP(VENTAS[Codigo],LISTADO_PRODUCTOS[#All],5)</f>
        <v>N/A</v>
      </c>
      <c r="L17" s="11">
        <v>10</v>
      </c>
      <c r="M17" s="57">
        <v>240</v>
      </c>
      <c r="N17" s="57">
        <v>2400</v>
      </c>
      <c r="O17" s="13">
        <v>10</v>
      </c>
      <c r="P17" s="57">
        <v>2160</v>
      </c>
      <c r="Q17" s="57">
        <v>2160</v>
      </c>
    </row>
    <row r="18" spans="1:17" ht="12" customHeight="1" x14ac:dyDescent="0.3">
      <c r="A18" s="11">
        <v>17</v>
      </c>
      <c r="B18" s="58">
        <v>45091.481238425928</v>
      </c>
      <c r="C18" s="12" t="s">
        <v>893</v>
      </c>
      <c r="D18" s="12" t="s">
        <v>906</v>
      </c>
      <c r="E18" s="12" t="s">
        <v>911</v>
      </c>
      <c r="F18" s="12" t="s">
        <v>863</v>
      </c>
      <c r="G18" s="11">
        <v>1002</v>
      </c>
      <c r="H18" s="11">
        <f>VLOOKUP(VENTAS[Codigo],LISTADO_PRODUCTOS[#All],2)</f>
        <v>54175</v>
      </c>
      <c r="I18" s="11" t="str">
        <f>VLOOKUP(VENTAS[Codigo],LISTADO_PRODUCTOS[#All],3)</f>
        <v xml:space="preserve">OFICINA </v>
      </c>
      <c r="J18" s="11" t="str">
        <f>VLOOKUP(VENTAS[Codigo],LISTADO_PRODUCTOS[#All],4)</f>
        <v>Cuaderno 29.7 America Nos/Avon 80h</v>
      </c>
      <c r="K18" s="11" t="str">
        <f>VLOOKUP(VENTAS[Codigo],LISTADO_PRODUCTOS[#All],5)</f>
        <v>N/A</v>
      </c>
      <c r="L18" s="11">
        <v>3</v>
      </c>
      <c r="M18" s="57">
        <v>331</v>
      </c>
      <c r="N18" s="57">
        <v>993</v>
      </c>
      <c r="O18" s="13">
        <v>15</v>
      </c>
      <c r="P18" s="57" t="s">
        <v>910</v>
      </c>
      <c r="Q18" s="57">
        <v>1389</v>
      </c>
    </row>
    <row r="19" spans="1:17" ht="12" customHeight="1" x14ac:dyDescent="0.3">
      <c r="A19" s="11">
        <v>18</v>
      </c>
      <c r="B19" s="58">
        <v>45091.481238425928</v>
      </c>
      <c r="C19" s="12" t="s">
        <v>893</v>
      </c>
      <c r="D19" s="12" t="s">
        <v>906</v>
      </c>
      <c r="E19" s="12" t="s">
        <v>911</v>
      </c>
      <c r="F19" s="12" t="s">
        <v>863</v>
      </c>
      <c r="G19" s="11">
        <v>1009</v>
      </c>
      <c r="H19" s="11">
        <f>VLOOKUP(VENTAS[Codigo],LISTADO_PRODUCTOS[#All],2)</f>
        <v>54178</v>
      </c>
      <c r="I19" s="11" t="str">
        <f>VLOOKUP(VENTAS[Codigo],LISTADO_PRODUCTOS[#All],3)</f>
        <v>LIBRERÍA</v>
      </c>
      <c r="J19" s="11" t="str">
        <f>VLOOKUP(VENTAS[Codigo],LISTADO_PRODUCTOS[#All],4)</f>
        <v>Cuaderno E7 Éxito Colegial Tapa c/ motivos 60h</v>
      </c>
      <c r="K19" s="11" t="str">
        <f>VLOOKUP(VENTAS[Codigo],LISTADO_PRODUCTOS[#All],5)</f>
        <v>N/A</v>
      </c>
      <c r="L19" s="11">
        <v>2</v>
      </c>
      <c r="M19" s="57">
        <v>303</v>
      </c>
      <c r="N19" s="57">
        <v>606</v>
      </c>
      <c r="O19" s="13">
        <v>10</v>
      </c>
      <c r="P19" s="57" t="s">
        <v>912</v>
      </c>
      <c r="Q19" s="57">
        <v>1389</v>
      </c>
    </row>
    <row r="20" spans="1:17" ht="12" customHeight="1" x14ac:dyDescent="0.3">
      <c r="A20" s="11">
        <v>19</v>
      </c>
      <c r="B20" s="58">
        <v>45129.819201388891</v>
      </c>
      <c r="C20" s="12" t="s">
        <v>893</v>
      </c>
      <c r="D20" s="12" t="s">
        <v>906</v>
      </c>
      <c r="E20" s="12" t="s">
        <v>911</v>
      </c>
      <c r="F20" s="12" t="s">
        <v>863</v>
      </c>
      <c r="G20" s="11">
        <v>1000</v>
      </c>
      <c r="H20" s="11">
        <f>VLOOKUP(VENTAS[Codigo],LISTADO_PRODUCTOS[#All],2)</f>
        <v>54173</v>
      </c>
      <c r="I20" s="11" t="str">
        <f>VLOOKUP(VENTAS[Codigo],LISTADO_PRODUCTOS[#All],3)</f>
        <v>LIBRERÍA</v>
      </c>
      <c r="J20" s="11" t="str">
        <f>VLOOKUP(VENTAS[Codigo],LISTADO_PRODUCTOS[#All],4)</f>
        <v>Cuaderno 29.7 America flex - 7792216854173</v>
      </c>
      <c r="K20" s="11" t="str">
        <f>VLOOKUP(VENTAS[Codigo],LISTADO_PRODUCTOS[#All],5)</f>
        <v>N/A</v>
      </c>
      <c r="L20" s="11">
        <v>3</v>
      </c>
      <c r="M20" s="57">
        <v>260</v>
      </c>
      <c r="N20" s="57">
        <v>780</v>
      </c>
      <c r="O20" s="13">
        <v>0</v>
      </c>
      <c r="P20" s="57">
        <v>780</v>
      </c>
      <c r="Q20" s="57">
        <v>780</v>
      </c>
    </row>
    <row r="21" spans="1:17" ht="12" customHeight="1" x14ac:dyDescent="0.3">
      <c r="A21" s="11">
        <v>20</v>
      </c>
      <c r="B21" s="58">
        <v>45131.810648148145</v>
      </c>
      <c r="C21" s="12" t="s">
        <v>893</v>
      </c>
      <c r="D21" s="12" t="s">
        <v>906</v>
      </c>
      <c r="E21" s="12" t="s">
        <v>911</v>
      </c>
      <c r="F21" s="12" t="s">
        <v>863</v>
      </c>
      <c r="G21" s="11">
        <v>1011</v>
      </c>
      <c r="H21" s="11">
        <f>VLOOKUP(VENTAS[Codigo],LISTADO_PRODUCTOS[#All],2)</f>
        <v>54180</v>
      </c>
      <c r="I21" s="11" t="str">
        <f>VLOOKUP(VENTAS[Codigo],LISTADO_PRODUCTOS[#All],3)</f>
        <v>LIBRERÍA</v>
      </c>
      <c r="J21" s="11" t="str">
        <f>VLOOKUP(VENTAS[Codigo],LISTADO_PRODUCTOS[#All],4)</f>
        <v>Cuaderno Colegial Éxito x 100h</v>
      </c>
      <c r="K21" s="11" t="str">
        <f>VLOOKUP(VENTAS[Codigo],LISTADO_PRODUCTOS[#All],5)</f>
        <v>N/A</v>
      </c>
      <c r="L21" s="11">
        <v>5</v>
      </c>
      <c r="M21" s="57">
        <v>369</v>
      </c>
      <c r="N21" s="57">
        <v>1845</v>
      </c>
      <c r="O21" s="13">
        <v>0</v>
      </c>
      <c r="P21" s="57">
        <v>1845</v>
      </c>
      <c r="Q21" s="57">
        <v>1845</v>
      </c>
    </row>
    <row r="22" spans="1:17" ht="12" customHeight="1" x14ac:dyDescent="0.3">
      <c r="A22" s="11">
        <v>21</v>
      </c>
      <c r="B22" s="58">
        <v>45131.813217592593</v>
      </c>
      <c r="C22" s="12" t="s">
        <v>893</v>
      </c>
      <c r="D22" s="12" t="s">
        <v>866</v>
      </c>
      <c r="E22" s="12" t="s">
        <v>920</v>
      </c>
      <c r="F22" s="12" t="s">
        <v>860</v>
      </c>
      <c r="G22" s="11">
        <v>1002</v>
      </c>
      <c r="H22" s="11">
        <f>VLOOKUP(VENTAS[Codigo],LISTADO_PRODUCTOS[#All],2)</f>
        <v>54175</v>
      </c>
      <c r="I22" s="11" t="str">
        <f>VLOOKUP(VENTAS[Codigo],LISTADO_PRODUCTOS[#All],3)</f>
        <v xml:space="preserve">OFICINA </v>
      </c>
      <c r="J22" s="11" t="str">
        <f>VLOOKUP(VENTAS[Codigo],LISTADO_PRODUCTOS[#All],4)</f>
        <v>Cuaderno 29.7 America Nos/Avon 80h</v>
      </c>
      <c r="K22" s="11" t="str">
        <f>VLOOKUP(VENTAS[Codigo],LISTADO_PRODUCTOS[#All],5)</f>
        <v>N/A</v>
      </c>
      <c r="L22" s="11">
        <v>1</v>
      </c>
      <c r="M22" s="57">
        <v>500</v>
      </c>
      <c r="N22" s="57">
        <v>500</v>
      </c>
      <c r="O22" s="13">
        <v>0</v>
      </c>
      <c r="P22" s="57">
        <v>500</v>
      </c>
      <c r="Q22" s="57">
        <v>500</v>
      </c>
    </row>
    <row r="23" spans="1:17" ht="12" customHeight="1" x14ac:dyDescent="0.3">
      <c r="A23" s="11">
        <v>22</v>
      </c>
      <c r="B23" s="58">
        <v>45132.843657407408</v>
      </c>
      <c r="C23" s="12" t="s">
        <v>893</v>
      </c>
      <c r="D23" s="12" t="s">
        <v>902</v>
      </c>
      <c r="E23" s="12" t="s">
        <v>904</v>
      </c>
      <c r="F23" s="12" t="s">
        <v>857</v>
      </c>
      <c r="G23" s="11">
        <v>1002</v>
      </c>
      <c r="H23" s="11">
        <f>VLOOKUP(VENTAS[Codigo],LISTADO_PRODUCTOS[#All],2)</f>
        <v>54175</v>
      </c>
      <c r="I23" s="11" t="str">
        <f>VLOOKUP(VENTAS[Codigo],LISTADO_PRODUCTOS[#All],3)</f>
        <v xml:space="preserve">OFICINA </v>
      </c>
      <c r="J23" s="11" t="str">
        <f>VLOOKUP(VENTAS[Codigo],LISTADO_PRODUCTOS[#All],4)</f>
        <v>Cuaderno 29.7 America Nos/Avon 80h</v>
      </c>
      <c r="K23" s="11" t="str">
        <f>VLOOKUP(VENTAS[Codigo],LISTADO_PRODUCTOS[#All],5)</f>
        <v>N/A</v>
      </c>
      <c r="L23" s="11">
        <v>1</v>
      </c>
      <c r="M23" s="57">
        <v>500</v>
      </c>
      <c r="N23" s="57">
        <v>500</v>
      </c>
      <c r="O23" s="13">
        <v>0</v>
      </c>
      <c r="P23" s="57">
        <v>500</v>
      </c>
      <c r="Q23" s="57">
        <v>500</v>
      </c>
    </row>
    <row r="24" spans="1:17" ht="12" customHeight="1" x14ac:dyDescent="0.3">
      <c r="A24" s="11">
        <v>23</v>
      </c>
      <c r="B24" s="58">
        <v>45132.869456018518</v>
      </c>
      <c r="C24" s="12" t="s">
        <v>893</v>
      </c>
      <c r="D24" s="12" t="s">
        <v>902</v>
      </c>
      <c r="E24" s="12" t="s">
        <v>904</v>
      </c>
      <c r="F24" s="12" t="s">
        <v>862</v>
      </c>
      <c r="G24" s="11">
        <v>1009</v>
      </c>
      <c r="H24" s="11">
        <f>VLOOKUP(VENTAS[Codigo],LISTADO_PRODUCTOS[#All],2)</f>
        <v>54178</v>
      </c>
      <c r="I24" s="11" t="str">
        <f>VLOOKUP(VENTAS[Codigo],LISTADO_PRODUCTOS[#All],3)</f>
        <v>LIBRERÍA</v>
      </c>
      <c r="J24" s="11" t="str">
        <f>VLOOKUP(VENTAS[Codigo],LISTADO_PRODUCTOS[#All],4)</f>
        <v>Cuaderno E7 Éxito Colegial Tapa c/ motivos 60h</v>
      </c>
      <c r="K24" s="11" t="str">
        <f>VLOOKUP(VENTAS[Codigo],LISTADO_PRODUCTOS[#All],5)</f>
        <v>N/A</v>
      </c>
      <c r="L24" s="11">
        <v>3</v>
      </c>
      <c r="M24" s="57">
        <v>600</v>
      </c>
      <c r="N24" s="57">
        <v>1800</v>
      </c>
      <c r="O24" s="13">
        <v>0</v>
      </c>
      <c r="P24" s="57">
        <v>1800</v>
      </c>
      <c r="Q24" s="57">
        <v>2560</v>
      </c>
    </row>
    <row r="25" spans="1:17" ht="12" customHeight="1" x14ac:dyDescent="0.3">
      <c r="A25" s="11">
        <v>24</v>
      </c>
      <c r="B25" s="58">
        <v>45132.869456018518</v>
      </c>
      <c r="C25" s="12" t="s">
        <v>893</v>
      </c>
      <c r="D25" s="12" t="s">
        <v>902</v>
      </c>
      <c r="E25" s="12" t="s">
        <v>904</v>
      </c>
      <c r="F25" s="12" t="s">
        <v>862</v>
      </c>
      <c r="G25" s="11">
        <v>1002</v>
      </c>
      <c r="H25" s="11">
        <f>VLOOKUP(VENTAS[Codigo],LISTADO_PRODUCTOS[#All],2)</f>
        <v>54175</v>
      </c>
      <c r="I25" s="11" t="str">
        <f>VLOOKUP(VENTAS[Codigo],LISTADO_PRODUCTOS[#All],3)</f>
        <v xml:space="preserve">OFICINA </v>
      </c>
      <c r="J25" s="11" t="str">
        <f>VLOOKUP(VENTAS[Codigo],LISTADO_PRODUCTOS[#All],4)</f>
        <v>Cuaderno 29.7 America Nos/Avon 80h</v>
      </c>
      <c r="K25" s="11" t="str">
        <f>VLOOKUP(VENTAS[Codigo],LISTADO_PRODUCTOS[#All],5)</f>
        <v>N/A</v>
      </c>
      <c r="L25" s="11">
        <v>1</v>
      </c>
      <c r="M25" s="57">
        <v>500</v>
      </c>
      <c r="N25" s="57">
        <v>500</v>
      </c>
      <c r="O25" s="13">
        <v>0</v>
      </c>
      <c r="P25" s="57">
        <v>500</v>
      </c>
      <c r="Q25" s="57">
        <v>2560</v>
      </c>
    </row>
    <row r="26" spans="1:17" ht="12" customHeight="1" x14ac:dyDescent="0.3">
      <c r="A26" s="11">
        <v>25</v>
      </c>
      <c r="B26" s="58">
        <v>45132.869456018518</v>
      </c>
      <c r="C26" s="12" t="s">
        <v>893</v>
      </c>
      <c r="D26" s="12" t="s">
        <v>902</v>
      </c>
      <c r="E26" s="12" t="s">
        <v>904</v>
      </c>
      <c r="F26" s="12" t="s">
        <v>862</v>
      </c>
      <c r="G26" s="11">
        <v>1000</v>
      </c>
      <c r="H26" s="11">
        <f>VLOOKUP(VENTAS[Codigo],LISTADO_PRODUCTOS[#All],2)</f>
        <v>54173</v>
      </c>
      <c r="I26" s="11" t="str">
        <f>VLOOKUP(VENTAS[Codigo],LISTADO_PRODUCTOS[#All],3)</f>
        <v>LIBRERÍA</v>
      </c>
      <c r="J26" s="11" t="str">
        <f>VLOOKUP(VENTAS[Codigo],LISTADO_PRODUCTOS[#All],4)</f>
        <v>Cuaderno 29.7 America flex - 7792216854173</v>
      </c>
      <c r="K26" s="11" t="str">
        <f>VLOOKUP(VENTAS[Codigo],LISTADO_PRODUCTOS[#All],5)</f>
        <v>N/A</v>
      </c>
      <c r="L26" s="11">
        <v>1</v>
      </c>
      <c r="M26" s="57">
        <v>260</v>
      </c>
      <c r="N26" s="57">
        <v>260</v>
      </c>
      <c r="O26" s="13">
        <v>0</v>
      </c>
      <c r="P26" s="57">
        <v>260</v>
      </c>
      <c r="Q26" s="57">
        <v>2560</v>
      </c>
    </row>
    <row r="27" spans="1:17" ht="12" customHeight="1" x14ac:dyDescent="0.3">
      <c r="A27" s="11">
        <v>26</v>
      </c>
      <c r="B27" s="58">
        <v>45161.776076388887</v>
      </c>
      <c r="C27" s="12" t="s">
        <v>893</v>
      </c>
      <c r="D27" s="12" t="s">
        <v>941</v>
      </c>
      <c r="E27" s="12" t="s">
        <v>966</v>
      </c>
      <c r="F27" s="12" t="s">
        <v>862</v>
      </c>
      <c r="G27" s="11">
        <v>1000</v>
      </c>
      <c r="H27" s="11">
        <f>VLOOKUP(VENTAS[Codigo],LISTADO_PRODUCTOS[#All],2)</f>
        <v>54173</v>
      </c>
      <c r="I27" s="11" t="str">
        <f>VLOOKUP(VENTAS[Codigo],LISTADO_PRODUCTOS[#All],3)</f>
        <v>LIBRERÍA</v>
      </c>
      <c r="J27" s="11" t="str">
        <f>VLOOKUP(VENTAS[Codigo],LISTADO_PRODUCTOS[#All],4)</f>
        <v>Cuaderno 29.7 America flex - 7792216854173</v>
      </c>
      <c r="K27" s="11" t="str">
        <f>VLOOKUP(VENTAS[Codigo],LISTADO_PRODUCTOS[#All],5)</f>
        <v>N/A</v>
      </c>
      <c r="L27" s="11">
        <v>2</v>
      </c>
      <c r="M27" s="57">
        <v>260</v>
      </c>
      <c r="N27" s="57">
        <v>520</v>
      </c>
      <c r="O27" s="13">
        <v>0</v>
      </c>
      <c r="P27" s="57">
        <v>520</v>
      </c>
      <c r="Q27" s="57">
        <v>3720</v>
      </c>
    </row>
    <row r="28" spans="1:17" ht="12" customHeight="1" x14ac:dyDescent="0.3">
      <c r="A28" s="11">
        <v>27</v>
      </c>
      <c r="B28" s="58">
        <v>45161.776076388887</v>
      </c>
      <c r="C28" s="12" t="s">
        <v>893</v>
      </c>
      <c r="D28" s="12" t="s">
        <v>941</v>
      </c>
      <c r="E28" s="12" t="s">
        <v>966</v>
      </c>
      <c r="F28" s="12" t="s">
        <v>862</v>
      </c>
      <c r="G28" s="11">
        <v>1007</v>
      </c>
      <c r="H28" s="11">
        <f>VLOOKUP(VENTAS[Codigo],LISTADO_PRODUCTOS[#All],2)</f>
        <v>54177</v>
      </c>
      <c r="I28" s="11" t="str">
        <f>VLOOKUP(VENTAS[Codigo],LISTADO_PRODUCTOS[#All],3)</f>
        <v>LIBRERÍA</v>
      </c>
      <c r="J28" s="11" t="str">
        <f>VLOOKUP(VENTAS[Codigo],LISTADO_PRODUCTOS[#All],4)</f>
        <v>Cuaderno 16.21 America Nos c/espiral x 84h</v>
      </c>
      <c r="K28" s="11" t="str">
        <f>VLOOKUP(VENTAS[Codigo],LISTADO_PRODUCTOS[#All],5)</f>
        <v>N/A</v>
      </c>
      <c r="L28" s="11">
        <v>1</v>
      </c>
      <c r="M28" s="57">
        <v>4266</v>
      </c>
      <c r="N28" s="57">
        <v>4266</v>
      </c>
      <c r="O28" s="13">
        <v>25</v>
      </c>
      <c r="P28" s="57" t="s">
        <v>967</v>
      </c>
      <c r="Q28" s="57">
        <v>3720</v>
      </c>
    </row>
    <row r="29" spans="1:17" ht="12" customHeight="1" x14ac:dyDescent="0.3"/>
    <row r="30" spans="1:17" ht="12" customHeight="1" x14ac:dyDescent="0.3"/>
    <row r="31" spans="1:17" ht="12" customHeight="1" x14ac:dyDescent="0.3"/>
    <row r="32" spans="1:17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spans="7:11" ht="12" customHeight="1" x14ac:dyDescent="0.3"/>
    <row r="354" spans="7:11" ht="12" customHeight="1" x14ac:dyDescent="0.3"/>
    <row r="355" spans="7:11" ht="12" customHeight="1" x14ac:dyDescent="0.3"/>
    <row r="356" spans="7:11" ht="12" customHeight="1" x14ac:dyDescent="0.3"/>
    <row r="357" spans="7:11" ht="12" customHeight="1" x14ac:dyDescent="0.3"/>
    <row r="358" spans="7:11" ht="12" customHeight="1" x14ac:dyDescent="0.3"/>
    <row r="359" spans="7:11" ht="12" customHeight="1" x14ac:dyDescent="0.3"/>
    <row r="360" spans="7:11" ht="12" customHeight="1" x14ac:dyDescent="0.3"/>
    <row r="361" spans="7:11" ht="12" customHeight="1" x14ac:dyDescent="0.3"/>
    <row r="362" spans="7:11" ht="12" customHeight="1" x14ac:dyDescent="0.3"/>
    <row r="363" spans="7:11" ht="12" customHeight="1" x14ac:dyDescent="0.3"/>
    <row r="364" spans="7:11" ht="12" customHeight="1" x14ac:dyDescent="0.3"/>
    <row r="365" spans="7:11" ht="12" customHeight="1" x14ac:dyDescent="0.3"/>
    <row r="366" spans="7:11" ht="12" customHeight="1" x14ac:dyDescent="0.3"/>
    <row r="367" spans="7:11" ht="12" customHeight="1" x14ac:dyDescent="0.3">
      <c r="G367" s="11">
        <v>1001</v>
      </c>
      <c r="J367" s="11" t="s">
        <v>14</v>
      </c>
      <c r="K367" s="11" t="s">
        <v>13</v>
      </c>
    </row>
    <row r="368" spans="7:11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J408"/>
  <sheetViews>
    <sheetView zoomScale="90" zoomScaleNormal="90" workbookViewId="0">
      <selection activeCell="B20" sqref="B20"/>
    </sheetView>
  </sheetViews>
  <sheetFormatPr baseColWidth="10" defaultRowHeight="14.4" x14ac:dyDescent="0.3"/>
  <cols>
    <col min="1" max="1" width="10.33203125" style="11" customWidth="1"/>
    <col min="2" max="2" width="25.88671875" style="12" customWidth="1"/>
    <col min="3" max="3" width="8.88671875" style="11" customWidth="1"/>
    <col min="4" max="4" width="42.6640625" style="11" customWidth="1"/>
    <col min="5" max="5" width="22.21875" style="11" customWidth="1"/>
    <col min="6" max="6" width="10.88671875" style="11" bestFit="1" customWidth="1"/>
    <col min="7" max="7" width="15.6640625" style="11" customWidth="1"/>
    <col min="8" max="8" width="21.109375" style="11" customWidth="1"/>
    <col min="9" max="9" width="15.6640625" style="11" customWidth="1"/>
    <col min="10" max="10" width="13.5546875" style="11" customWidth="1"/>
    <col min="11" max="11" width="20.21875" style="11" customWidth="1"/>
    <col min="12" max="12" width="26.44140625" style="11" customWidth="1"/>
    <col min="13" max="16384" width="11.5546875" style="11"/>
  </cols>
  <sheetData>
    <row r="1" spans="1:10" ht="12" customHeight="1" x14ac:dyDescent="0.3">
      <c r="A1" s="11" t="s">
        <v>54</v>
      </c>
      <c r="B1" s="12" t="s">
        <v>51</v>
      </c>
      <c r="C1" s="11" t="s">
        <v>46</v>
      </c>
      <c r="D1" s="11" t="s">
        <v>3</v>
      </c>
      <c r="E1" s="11" t="s">
        <v>47</v>
      </c>
      <c r="F1" s="11" t="s">
        <v>7</v>
      </c>
      <c r="G1" s="11" t="s">
        <v>48</v>
      </c>
      <c r="H1" s="11" t="s">
        <v>899</v>
      </c>
      <c r="I1" s="11" t="s">
        <v>87</v>
      </c>
      <c r="J1" s="11" t="s">
        <v>88</v>
      </c>
    </row>
    <row r="2" spans="1:10" ht="12" customHeight="1" x14ac:dyDescent="0.3">
      <c r="A2" s="11">
        <v>1</v>
      </c>
      <c r="B2" s="12">
        <f>VLOOKUP(VENTAS_LISTBOX[ID venta],VENTAS[#All],2)</f>
        <v>45083.823946759258</v>
      </c>
      <c r="C2" s="11">
        <f>VLOOKUP(VENTAS_LISTBOX[ID venta],VENTAS[#All],7)</f>
        <v>1000</v>
      </c>
      <c r="D2" s="11" t="str">
        <f>VLOOKUP(VENTAS_LISTBOX[ID venta],VENTAS[#All],10)</f>
        <v>Cuaderno 29.7 America flex - 7792216854173</v>
      </c>
      <c r="E2" s="11" t="str">
        <f>VLOOKUP(VENTAS_LISTBOX[ID venta],VENTAS[#All],11)</f>
        <v>N/A</v>
      </c>
      <c r="F2" s="11">
        <f>VLOOKUP(VENTAS_LISTBOX[ID venta],VENTAS[#All],12)</f>
        <v>3</v>
      </c>
      <c r="G2" s="57">
        <f>VLOOKUP(VENTAS_LISTBOX[ID venta],VENTAS[#All],13)</f>
        <v>1250</v>
      </c>
      <c r="H2" s="13">
        <f>VLOOKUP(VENTAS_LISTBOX[ID venta],VENTAS[#All],15)</f>
        <v>0</v>
      </c>
      <c r="I2" s="57">
        <f>VLOOKUP(VENTAS_LISTBOX[ID venta],VENTAS[#All],16)</f>
        <v>3750</v>
      </c>
      <c r="J2" s="57">
        <f>VLOOKUP(VENTAS_LISTBOX[ID venta],VENTAS[#All],17)</f>
        <v>12358</v>
      </c>
    </row>
    <row r="3" spans="1:10" ht="12" customHeight="1" x14ac:dyDescent="0.3">
      <c r="A3" s="11">
        <v>2</v>
      </c>
      <c r="B3" s="12">
        <f>VLOOKUP(VENTAS_LISTBOX[ID venta],VENTAS[#All],2)</f>
        <v>45083.823946759258</v>
      </c>
      <c r="C3" s="13">
        <f>VLOOKUP(VENTAS_LISTBOX[ID venta],VENTAS[#All],7)</f>
        <v>1102</v>
      </c>
      <c r="D3" s="13" t="str">
        <f>VLOOKUP(VENTAS_LISTBOX[ID venta],VENTAS[#All],10)</f>
        <v>Boligrafo Bic Grip</v>
      </c>
      <c r="E3" s="13" t="str">
        <f>VLOOKUP(VENTAS_LISTBOX[ID venta],VENTAS[#All],11)</f>
        <v>N/A</v>
      </c>
      <c r="F3" s="13">
        <f>VLOOKUP(VENTAS_LISTBOX[ID venta],VENTAS[#All],12)</f>
        <v>10</v>
      </c>
      <c r="G3" s="57">
        <f>VLOOKUP(VENTAS_LISTBOX[ID venta],VENTAS[#All],13)</f>
        <v>1</v>
      </c>
      <c r="H3" s="13">
        <f>VLOOKUP(VENTAS_LISTBOX[ID venta],VENTAS[#All],15)</f>
        <v>25</v>
      </c>
      <c r="I3" s="57" t="str">
        <f>VLOOKUP(VENTAS_LISTBOX[ID venta],VENTAS[#All],16)</f>
        <v>7,5</v>
      </c>
      <c r="J3" s="57">
        <f>VLOOKUP(VENTAS_LISTBOX[ID venta],VENTAS[#All],17)</f>
        <v>12358</v>
      </c>
    </row>
    <row r="4" spans="1:10" ht="12" customHeight="1" x14ac:dyDescent="0.3">
      <c r="A4" s="11">
        <v>3</v>
      </c>
      <c r="B4" s="12">
        <f>VLOOKUP(VENTAS_LISTBOX[ID venta],VENTAS[#All],2)</f>
        <v>45083.823946759258</v>
      </c>
      <c r="C4" s="13">
        <f>VLOOKUP(VENTAS_LISTBOX[ID venta],VENTAS[#All],7)</f>
        <v>1001</v>
      </c>
      <c r="D4" s="13" t="str">
        <f>VLOOKUP(VENTAS_LISTBOX[ID venta],VENTAS[#All],10)</f>
        <v>Cuaderno Rivadavia escolar 194h 88g</v>
      </c>
      <c r="E4" s="13" t="str">
        <f>VLOOKUP(VENTAS_LISTBOX[ID venta],VENTAS[#All],11)</f>
        <v>N/A</v>
      </c>
      <c r="F4" s="13">
        <f>VLOOKUP(VENTAS_LISTBOX[ID venta],VENTAS[#All],12)</f>
        <v>1</v>
      </c>
      <c r="G4" s="57">
        <f>VLOOKUP(VENTAS_LISTBOX[ID venta],VENTAS[#All],13)</f>
        <v>8600</v>
      </c>
      <c r="H4" s="13">
        <f>VLOOKUP(VENTAS_LISTBOX[ID venta],VENTAS[#All],15)</f>
        <v>0</v>
      </c>
      <c r="I4" s="57">
        <f>VLOOKUP(VENTAS_LISTBOX[ID venta],VENTAS[#All],16)</f>
        <v>8600</v>
      </c>
      <c r="J4" s="57">
        <f>VLOOKUP(VENTAS_LISTBOX[ID venta],VENTAS[#All],17)</f>
        <v>12358</v>
      </c>
    </row>
    <row r="5" spans="1:10" ht="12" customHeight="1" x14ac:dyDescent="0.3">
      <c r="A5" s="11">
        <v>4</v>
      </c>
      <c r="B5" s="12">
        <f>VLOOKUP(VENTAS_LISTBOX[ID venta],VENTAS[#All],2)</f>
        <v>45083.82613425926</v>
      </c>
      <c r="C5" s="13">
        <f>VLOOKUP(VENTAS_LISTBOX[ID venta],VENTAS[#All],7)</f>
        <v>1000</v>
      </c>
      <c r="D5" s="13" t="str">
        <f>VLOOKUP(VENTAS_LISTBOX[ID venta],VENTAS[#All],10)</f>
        <v>Cuaderno 29.7 America flex - 7792216854173</v>
      </c>
      <c r="E5" s="13" t="str">
        <f>VLOOKUP(VENTAS_LISTBOX[ID venta],VENTAS[#All],11)</f>
        <v>N/A</v>
      </c>
      <c r="F5" s="13">
        <f>VLOOKUP(VENTAS_LISTBOX[ID venta],VENTAS[#All],12)</f>
        <v>10</v>
      </c>
      <c r="G5" s="57">
        <f>VLOOKUP(VENTAS_LISTBOX[ID venta],VENTAS[#All],13)</f>
        <v>1250</v>
      </c>
      <c r="H5" s="13">
        <f>VLOOKUP(VENTAS_LISTBOX[ID venta],VENTAS[#All],15)</f>
        <v>25</v>
      </c>
      <c r="I5" s="57">
        <f>VLOOKUP(VENTAS_LISTBOX[ID venta],VENTAS[#All],16)</f>
        <v>9375</v>
      </c>
      <c r="J5" s="57">
        <f>VLOOKUP(VENTAS_LISTBOX[ID venta],VENTAS[#All],17)</f>
        <v>38394</v>
      </c>
    </row>
    <row r="6" spans="1:10" ht="12" customHeight="1" x14ac:dyDescent="0.3">
      <c r="A6" s="11">
        <v>5</v>
      </c>
      <c r="B6" s="12">
        <f>VLOOKUP(VENTAS_LISTBOX[ID venta],VENTAS[#All],2)</f>
        <v>45083.82613425926</v>
      </c>
      <c r="C6" s="13">
        <f>VLOOKUP(VENTAS_LISTBOX[ID venta],VENTAS[#All],7)</f>
        <v>1001</v>
      </c>
      <c r="D6" s="13" t="str">
        <f>VLOOKUP(VENTAS_LISTBOX[ID venta],VENTAS[#All],10)</f>
        <v>Cuaderno Rivadavia escolar 194h 88g</v>
      </c>
      <c r="E6" s="13" t="str">
        <f>VLOOKUP(VENTAS_LISTBOX[ID venta],VENTAS[#All],11)</f>
        <v>N/A</v>
      </c>
      <c r="F6" s="13">
        <f>VLOOKUP(VENTAS_LISTBOX[ID venta],VENTAS[#All],12)</f>
        <v>8</v>
      </c>
      <c r="G6" s="57">
        <f>VLOOKUP(VENTAS_LISTBOX[ID venta],VENTAS[#All],13)</f>
        <v>8600</v>
      </c>
      <c r="H6" s="13">
        <f>VLOOKUP(VENTAS_LISTBOX[ID venta],VENTAS[#All],15)</f>
        <v>60</v>
      </c>
      <c r="I6" s="57">
        <f>VLOOKUP(VENTAS_LISTBOX[ID venta],VENTAS[#All],16)</f>
        <v>27520</v>
      </c>
      <c r="J6" s="57">
        <f>VLOOKUP(VENTAS_LISTBOX[ID venta],VENTAS[#All],17)</f>
        <v>38394</v>
      </c>
    </row>
    <row r="7" spans="1:10" ht="12" customHeight="1" x14ac:dyDescent="0.3">
      <c r="A7" s="11">
        <v>6</v>
      </c>
      <c r="B7" s="12">
        <f>VLOOKUP(VENTAS_LISTBOX[ID venta],VENTAS[#All],2)</f>
        <v>45083.82613425926</v>
      </c>
      <c r="C7" s="13">
        <f>VLOOKUP(VENTAS_LISTBOX[ID venta],VENTAS[#All],7)</f>
        <v>1002</v>
      </c>
      <c r="D7" s="13" t="str">
        <f>VLOOKUP(VENTAS_LISTBOX[ID venta],VENTAS[#All],10)</f>
        <v>Cuaderno 29.7 America Nos/Avon 80h</v>
      </c>
      <c r="E7" s="13" t="str">
        <f>VLOOKUP(VENTAS_LISTBOX[ID venta],VENTAS[#All],11)</f>
        <v>N/A</v>
      </c>
      <c r="F7" s="13">
        <f>VLOOKUP(VENTAS_LISTBOX[ID venta],VENTAS[#All],12)</f>
        <v>1</v>
      </c>
      <c r="G7" s="57">
        <f>VLOOKUP(VENTAS_LISTBOX[ID venta],VENTAS[#All],13)</f>
        <v>1499</v>
      </c>
      <c r="H7" s="13">
        <f>VLOOKUP(VENTAS_LISTBOX[ID venta],VENTAS[#All],15)</f>
        <v>0</v>
      </c>
      <c r="I7" s="57">
        <f>VLOOKUP(VENTAS_LISTBOX[ID venta],VENTAS[#All],16)</f>
        <v>1499</v>
      </c>
      <c r="J7" s="57">
        <f>VLOOKUP(VENTAS_LISTBOX[ID venta],VENTAS[#All],17)</f>
        <v>38394</v>
      </c>
    </row>
    <row r="8" spans="1:10" ht="12" customHeight="1" x14ac:dyDescent="0.3">
      <c r="A8" s="11">
        <v>7</v>
      </c>
      <c r="B8" s="12">
        <f>VLOOKUP(VENTAS_LISTBOX[ID venta],VENTAS[#All],2)</f>
        <v>45113.457384259258</v>
      </c>
      <c r="C8" s="13">
        <f>VLOOKUP(VENTAS_LISTBOX[ID venta],VENTAS[#All],7)</f>
        <v>1000</v>
      </c>
      <c r="D8" s="13" t="str">
        <f>VLOOKUP(VENTAS_LISTBOX[ID venta],VENTAS[#All],10)</f>
        <v>Cuaderno 29.7 America flex - 7792216854173</v>
      </c>
      <c r="E8" s="13" t="str">
        <f>VLOOKUP(VENTAS_LISTBOX[ID venta],VENTAS[#All],11)</f>
        <v>N/A</v>
      </c>
      <c r="F8" s="13">
        <f>VLOOKUP(VENTAS_LISTBOX[ID venta],VENTAS[#All],12)</f>
        <v>3</v>
      </c>
      <c r="G8" s="57">
        <f>VLOOKUP(VENTAS_LISTBOX[ID venta],VENTAS[#All],13)</f>
        <v>240</v>
      </c>
      <c r="H8" s="13">
        <f>VLOOKUP(VENTAS_LISTBOX[ID venta],VENTAS[#All],15)</f>
        <v>25</v>
      </c>
      <c r="I8" s="57">
        <f>VLOOKUP(VENTAS_LISTBOX[ID venta],VENTAS[#All],16)</f>
        <v>540</v>
      </c>
      <c r="J8" s="57">
        <f>VLOOKUP(VENTAS_LISTBOX[ID venta],VENTAS[#All],17)</f>
        <v>540</v>
      </c>
    </row>
    <row r="9" spans="1:10" ht="12" customHeight="1" x14ac:dyDescent="0.3">
      <c r="A9" s="11">
        <v>8</v>
      </c>
      <c r="B9" s="12">
        <f>VLOOKUP(VENTAS_LISTBOX[ID venta],VENTAS[#All],2)</f>
        <v>45113.718425925923</v>
      </c>
      <c r="C9" s="13">
        <f>VLOOKUP(VENTAS_LISTBOX[ID venta],VENTAS[#All],7)</f>
        <v>1000</v>
      </c>
      <c r="D9" s="13" t="str">
        <f>VLOOKUP(VENTAS_LISTBOX[ID venta],VENTAS[#All],10)</f>
        <v>Cuaderno 29.7 America flex - 7792216854173</v>
      </c>
      <c r="E9" s="13" t="str">
        <f>VLOOKUP(VENTAS_LISTBOX[ID venta],VENTAS[#All],11)</f>
        <v>N/A</v>
      </c>
      <c r="F9" s="13">
        <f>VLOOKUP(VENTAS_LISTBOX[ID venta],VENTAS[#All],12)</f>
        <v>1</v>
      </c>
      <c r="G9" s="57">
        <f>VLOOKUP(VENTAS_LISTBOX[ID venta],VENTAS[#All],13)</f>
        <v>240</v>
      </c>
      <c r="H9" s="13">
        <f>VLOOKUP(VENTAS_LISTBOX[ID venta],VENTAS[#All],15)</f>
        <v>0</v>
      </c>
      <c r="I9" s="57">
        <f>VLOOKUP(VENTAS_LISTBOX[ID venta],VENTAS[#All],16)</f>
        <v>240</v>
      </c>
      <c r="J9" s="57">
        <f>VLOOKUP(VENTAS_LISTBOX[ID venta],VENTAS[#All],17)</f>
        <v>240</v>
      </c>
    </row>
    <row r="10" spans="1:10" ht="12" customHeight="1" x14ac:dyDescent="0.3">
      <c r="A10" s="11">
        <v>9</v>
      </c>
      <c r="B10" s="12">
        <f>VLOOKUP(VENTAS_LISTBOX[ID venta],VENTAS[#All],2)</f>
        <v>45113.742858796293</v>
      </c>
      <c r="C10" s="13">
        <f>VLOOKUP(VENTAS_LISTBOX[ID venta],VENTAS[#All],7)</f>
        <v>1000</v>
      </c>
      <c r="D10" s="13" t="str">
        <f>VLOOKUP(VENTAS_LISTBOX[ID venta],VENTAS[#All],10)</f>
        <v>Cuaderno 29.7 America flex - 7792216854173</v>
      </c>
      <c r="E10" s="13" t="str">
        <f>VLOOKUP(VENTAS_LISTBOX[ID venta],VENTAS[#All],11)</f>
        <v>N/A</v>
      </c>
      <c r="F10" s="13">
        <f>VLOOKUP(VENTAS_LISTBOX[ID venta],VENTAS[#All],12)</f>
        <v>1</v>
      </c>
      <c r="G10" s="57">
        <f>VLOOKUP(VENTAS_LISTBOX[ID venta],VENTAS[#All],13)</f>
        <v>240</v>
      </c>
      <c r="H10" s="13">
        <f>VLOOKUP(VENTAS_LISTBOX[ID venta],VENTAS[#All],15)</f>
        <v>0</v>
      </c>
      <c r="I10" s="57">
        <f>VLOOKUP(VENTAS_LISTBOX[ID venta],VENTAS[#All],16)</f>
        <v>240</v>
      </c>
      <c r="J10" s="57">
        <f>VLOOKUP(VENTAS_LISTBOX[ID venta],VENTAS[#All],17)</f>
        <v>240</v>
      </c>
    </row>
    <row r="11" spans="1:10" ht="12" customHeight="1" x14ac:dyDescent="0.3">
      <c r="A11" s="11">
        <v>10</v>
      </c>
      <c r="B11" s="12">
        <f>VLOOKUP(VENTAS_LISTBOX[ID venta],VENTAS[#All],2)</f>
        <v>45144.825185185182</v>
      </c>
      <c r="C11" s="13">
        <f>VLOOKUP(VENTAS_LISTBOX[ID venta],VENTAS[#All],7)</f>
        <v>1000</v>
      </c>
      <c r="D11" s="13" t="str">
        <f>VLOOKUP(VENTAS_LISTBOX[ID venta],VENTAS[#All],10)</f>
        <v>Cuaderno 29.7 America flex - 7792216854173</v>
      </c>
      <c r="E11" s="13" t="str">
        <f>VLOOKUP(VENTAS_LISTBOX[ID venta],VENTAS[#All],11)</f>
        <v>N/A</v>
      </c>
      <c r="F11" s="13">
        <f>VLOOKUP(VENTAS_LISTBOX[ID venta],VENTAS[#All],12)</f>
        <v>5</v>
      </c>
      <c r="G11" s="57">
        <f>VLOOKUP(VENTAS_LISTBOX[ID venta],VENTAS[#All],13)</f>
        <v>240</v>
      </c>
      <c r="H11" s="13">
        <f>VLOOKUP(VENTAS_LISTBOX[ID venta],VENTAS[#All],15)</f>
        <v>15</v>
      </c>
      <c r="I11" s="57">
        <f>VLOOKUP(VENTAS_LISTBOX[ID venta],VENTAS[#All],16)</f>
        <v>1020</v>
      </c>
      <c r="J11" s="57">
        <f>VLOOKUP(VENTAS_LISTBOX[ID venta],VENTAS[#All],17)</f>
        <v>2013</v>
      </c>
    </row>
    <row r="12" spans="1:10" ht="12" customHeight="1" x14ac:dyDescent="0.3">
      <c r="A12" s="11">
        <v>11</v>
      </c>
      <c r="B12" s="12">
        <f>VLOOKUP(VENTAS_LISTBOX[ID venta],VENTAS[#All],2)</f>
        <v>45144.825185185182</v>
      </c>
      <c r="C12" s="13">
        <f>VLOOKUP(VENTAS_LISTBOX[ID venta],VENTAS[#All],7)</f>
        <v>1002</v>
      </c>
      <c r="D12" s="13" t="str">
        <f>VLOOKUP(VENTAS_LISTBOX[ID venta],VENTAS[#All],10)</f>
        <v>Cuaderno 29.7 America Nos/Avon 80h</v>
      </c>
      <c r="E12" s="13" t="str">
        <f>VLOOKUP(VENTAS_LISTBOX[ID venta],VENTAS[#All],11)</f>
        <v>N/A</v>
      </c>
      <c r="F12" s="13">
        <f>VLOOKUP(VENTAS_LISTBOX[ID venta],VENTAS[#All],12)</f>
        <v>3</v>
      </c>
      <c r="G12" s="57">
        <f>VLOOKUP(VENTAS_LISTBOX[ID venta],VENTAS[#All],13)</f>
        <v>331</v>
      </c>
      <c r="H12" s="13">
        <f>VLOOKUP(VENTAS_LISTBOX[ID venta],VENTAS[#All],15)</f>
        <v>0</v>
      </c>
      <c r="I12" s="57">
        <f>VLOOKUP(VENTAS_LISTBOX[ID venta],VENTAS[#All],16)</f>
        <v>993</v>
      </c>
      <c r="J12" s="57">
        <f>VLOOKUP(VENTAS_LISTBOX[ID venta],VENTAS[#All],17)</f>
        <v>2013</v>
      </c>
    </row>
    <row r="13" spans="1:10" ht="12" customHeight="1" x14ac:dyDescent="0.3">
      <c r="A13" s="11">
        <v>12</v>
      </c>
      <c r="B13" s="12">
        <f>VLOOKUP(VENTAS_LISTBOX[ID venta],VENTAS[#All],2)</f>
        <v>45144.826874999999</v>
      </c>
      <c r="C13" s="13">
        <f>VLOOKUP(VENTAS_LISTBOX[ID venta],VENTAS[#All],7)</f>
        <v>1002</v>
      </c>
      <c r="D13" s="13" t="str">
        <f>VLOOKUP(VENTAS_LISTBOX[ID venta],VENTAS[#All],10)</f>
        <v>Cuaderno 29.7 America Nos/Avon 80h</v>
      </c>
      <c r="E13" s="13" t="str">
        <f>VLOOKUP(VENTAS_LISTBOX[ID venta],VENTAS[#All],11)</f>
        <v>N/A</v>
      </c>
      <c r="F13" s="13">
        <f>VLOOKUP(VENTAS_LISTBOX[ID venta],VENTAS[#All],12)</f>
        <v>1</v>
      </c>
      <c r="G13" s="57">
        <f>VLOOKUP(VENTAS_LISTBOX[ID venta],VENTAS[#All],13)</f>
        <v>331</v>
      </c>
      <c r="H13" s="13">
        <f>VLOOKUP(VENTAS_LISTBOX[ID venta],VENTAS[#All],15)</f>
        <v>0</v>
      </c>
      <c r="I13" s="57">
        <f>VLOOKUP(VENTAS_LISTBOX[ID venta],VENTAS[#All],16)</f>
        <v>331</v>
      </c>
      <c r="J13" s="57">
        <f>VLOOKUP(VENTAS_LISTBOX[ID venta],VENTAS[#All],17)</f>
        <v>331</v>
      </c>
    </row>
    <row r="14" spans="1:10" ht="12" customHeight="1" x14ac:dyDescent="0.3">
      <c r="A14" s="11">
        <v>13</v>
      </c>
      <c r="B14" s="12">
        <f>VLOOKUP(VENTAS_LISTBOX[ID venta],VENTAS[#All],2)</f>
        <v>45144.828206018516</v>
      </c>
      <c r="C14" s="13">
        <f>VLOOKUP(VENTAS_LISTBOX[ID venta],VENTAS[#All],7)</f>
        <v>1000</v>
      </c>
      <c r="D14" s="13" t="str">
        <f>VLOOKUP(VENTAS_LISTBOX[ID venta],VENTAS[#All],10)</f>
        <v>Cuaderno 29.7 America flex - 7792216854173</v>
      </c>
      <c r="E14" s="13" t="str">
        <f>VLOOKUP(VENTAS_LISTBOX[ID venta],VENTAS[#All],11)</f>
        <v>N/A</v>
      </c>
      <c r="F14" s="13">
        <f>VLOOKUP(VENTAS_LISTBOX[ID venta],VENTAS[#All],12)</f>
        <v>1</v>
      </c>
      <c r="G14" s="57">
        <f>VLOOKUP(VENTAS_LISTBOX[ID venta],VENTAS[#All],13)</f>
        <v>240</v>
      </c>
      <c r="H14" s="13">
        <f>VLOOKUP(VENTAS_LISTBOX[ID venta],VENTAS[#All],15)</f>
        <v>0</v>
      </c>
      <c r="I14" s="57">
        <f>VLOOKUP(VENTAS_LISTBOX[ID venta],VENTAS[#All],16)</f>
        <v>240</v>
      </c>
      <c r="J14" s="57">
        <f>VLOOKUP(VENTAS_LISTBOX[ID venta],VENTAS[#All],17)</f>
        <v>240</v>
      </c>
    </row>
    <row r="15" spans="1:10" ht="12" customHeight="1" x14ac:dyDescent="0.3">
      <c r="A15" s="11">
        <v>14</v>
      </c>
      <c r="B15" s="12">
        <f>VLOOKUP(VENTAS_LISTBOX[ID venta],VENTAS[#All],2)</f>
        <v>45085.831076388888</v>
      </c>
      <c r="C15" s="13">
        <f>VLOOKUP(VENTAS_LISTBOX[ID venta],VENTAS[#All],7)</f>
        <v>1000</v>
      </c>
      <c r="D15" s="13" t="str">
        <f>VLOOKUP(VENTAS_LISTBOX[ID venta],VENTAS[#All],10)</f>
        <v>Cuaderno 29.7 America flex - 7792216854173</v>
      </c>
      <c r="E15" s="13" t="str">
        <f>VLOOKUP(VENTAS_LISTBOX[ID venta],VENTAS[#All],11)</f>
        <v>N/A</v>
      </c>
      <c r="F15" s="13">
        <f>VLOOKUP(VENTAS_LISTBOX[ID venta],VENTAS[#All],12)</f>
        <v>1</v>
      </c>
      <c r="G15" s="57">
        <f>VLOOKUP(VENTAS_LISTBOX[ID venta],VENTAS[#All],13)</f>
        <v>240</v>
      </c>
      <c r="H15" s="13">
        <f>VLOOKUP(VENTAS_LISTBOX[ID venta],VENTAS[#All],15)</f>
        <v>0</v>
      </c>
      <c r="I15" s="57">
        <f>VLOOKUP(VENTAS_LISTBOX[ID venta],VENTAS[#All],16)</f>
        <v>240</v>
      </c>
      <c r="J15" s="57">
        <f>VLOOKUP(VENTAS_LISTBOX[ID venta],VENTAS[#All],17)</f>
        <v>240</v>
      </c>
    </row>
    <row r="16" spans="1:10" ht="12" customHeight="1" x14ac:dyDescent="0.3">
      <c r="A16" s="11">
        <v>15</v>
      </c>
      <c r="B16" s="12">
        <f>VLOOKUP(VENTAS_LISTBOX[ID venta],VENTAS[#All],2)</f>
        <v>45090.457974537036</v>
      </c>
      <c r="C16" s="13">
        <f>VLOOKUP(VENTAS_LISTBOX[ID venta],VENTAS[#All],7)</f>
        <v>1000</v>
      </c>
      <c r="D16" s="13" t="str">
        <f>VLOOKUP(VENTAS_LISTBOX[ID venta],VENTAS[#All],10)</f>
        <v>Cuaderno 29.7 America flex - 7792216854173</v>
      </c>
      <c r="E16" s="13" t="str">
        <f>VLOOKUP(VENTAS_LISTBOX[ID venta],VENTAS[#All],11)</f>
        <v>N/A</v>
      </c>
      <c r="F16" s="13">
        <f>VLOOKUP(VENTAS_LISTBOX[ID venta],VENTAS[#All],12)</f>
        <v>1</v>
      </c>
      <c r="G16" s="57">
        <f>VLOOKUP(VENTAS_LISTBOX[ID venta],VENTAS[#All],13)</f>
        <v>240</v>
      </c>
      <c r="H16" s="13">
        <f>VLOOKUP(VENTAS_LISTBOX[ID venta],VENTAS[#All],15)</f>
        <v>0</v>
      </c>
      <c r="I16" s="57">
        <f>VLOOKUP(VENTAS_LISTBOX[ID venta],VENTAS[#All],16)</f>
        <v>240</v>
      </c>
      <c r="J16" s="57">
        <f>VLOOKUP(VENTAS_LISTBOX[ID venta],VENTAS[#All],17)</f>
        <v>240</v>
      </c>
    </row>
    <row r="17" spans="1:10" ht="12" customHeight="1" x14ac:dyDescent="0.3">
      <c r="A17" s="11">
        <v>16</v>
      </c>
      <c r="B17" s="12">
        <f>VLOOKUP(VENTAS_LISTBOX[ID venta],VENTAS[#All],2)</f>
        <v>45091.480023148149</v>
      </c>
      <c r="C17" s="13">
        <f>VLOOKUP(VENTAS_LISTBOX[ID venta],VENTAS[#All],7)</f>
        <v>1000</v>
      </c>
      <c r="D17" s="13" t="str">
        <f>VLOOKUP(VENTAS_LISTBOX[ID venta],VENTAS[#All],10)</f>
        <v>Cuaderno 29.7 America flex - 7792216854173</v>
      </c>
      <c r="E17" s="13" t="str">
        <f>VLOOKUP(VENTAS_LISTBOX[ID venta],VENTAS[#All],11)</f>
        <v>N/A</v>
      </c>
      <c r="F17" s="13">
        <f>VLOOKUP(VENTAS_LISTBOX[ID venta],VENTAS[#All],12)</f>
        <v>10</v>
      </c>
      <c r="G17" s="57">
        <f>VLOOKUP(VENTAS_LISTBOX[ID venta],VENTAS[#All],13)</f>
        <v>240</v>
      </c>
      <c r="H17" s="13">
        <f>VLOOKUP(VENTAS_LISTBOX[ID venta],VENTAS[#All],15)</f>
        <v>10</v>
      </c>
      <c r="I17" s="57">
        <f>VLOOKUP(VENTAS_LISTBOX[ID venta],VENTAS[#All],16)</f>
        <v>2160</v>
      </c>
      <c r="J17" s="57">
        <f>VLOOKUP(VENTAS_LISTBOX[ID venta],VENTAS[#All],17)</f>
        <v>2160</v>
      </c>
    </row>
    <row r="18" spans="1:10" ht="12" customHeight="1" x14ac:dyDescent="0.3">
      <c r="A18" s="11">
        <v>17</v>
      </c>
      <c r="B18" s="12">
        <f>VLOOKUP(VENTAS_LISTBOX[ID venta],VENTAS[#All],2)</f>
        <v>45091.481238425928</v>
      </c>
      <c r="C18" s="13">
        <f>VLOOKUP(VENTAS_LISTBOX[ID venta],VENTAS[#All],7)</f>
        <v>1002</v>
      </c>
      <c r="D18" s="13" t="str">
        <f>VLOOKUP(VENTAS_LISTBOX[ID venta],VENTAS[#All],10)</f>
        <v>Cuaderno 29.7 America Nos/Avon 80h</v>
      </c>
      <c r="E18" s="13" t="str">
        <f>VLOOKUP(VENTAS_LISTBOX[ID venta],VENTAS[#All],11)</f>
        <v>N/A</v>
      </c>
      <c r="F18" s="13">
        <f>VLOOKUP(VENTAS_LISTBOX[ID venta],VENTAS[#All],12)</f>
        <v>3</v>
      </c>
      <c r="G18" s="57">
        <f>VLOOKUP(VENTAS_LISTBOX[ID venta],VENTAS[#All],13)</f>
        <v>331</v>
      </c>
      <c r="H18" s="13">
        <f>VLOOKUP(VENTAS_LISTBOX[ID venta],VENTAS[#All],15)</f>
        <v>15</v>
      </c>
      <c r="I18" s="57" t="str">
        <f>VLOOKUP(VENTAS_LISTBOX[ID venta],VENTAS[#All],16)</f>
        <v>844,05</v>
      </c>
      <c r="J18" s="57">
        <f>VLOOKUP(VENTAS_LISTBOX[ID venta],VENTAS[#All],17)</f>
        <v>1389</v>
      </c>
    </row>
    <row r="19" spans="1:10" ht="12" customHeight="1" x14ac:dyDescent="0.3">
      <c r="A19" s="11">
        <v>18</v>
      </c>
      <c r="B19" s="12">
        <f>VLOOKUP(VENTAS_LISTBOX[ID venta],VENTAS[#All],2)</f>
        <v>45091.481238425928</v>
      </c>
      <c r="C19" s="13">
        <f>VLOOKUP(VENTAS_LISTBOX[ID venta],VENTAS[#All],7)</f>
        <v>1009</v>
      </c>
      <c r="D19" s="13" t="str">
        <f>VLOOKUP(VENTAS_LISTBOX[ID venta],VENTAS[#All],10)</f>
        <v>Cuaderno E7 Éxito Colegial Tapa c/ motivos 60h</v>
      </c>
      <c r="E19" s="13" t="str">
        <f>VLOOKUP(VENTAS_LISTBOX[ID venta],VENTAS[#All],11)</f>
        <v>N/A</v>
      </c>
      <c r="F19" s="13">
        <f>VLOOKUP(VENTAS_LISTBOX[ID venta],VENTAS[#All],12)</f>
        <v>2</v>
      </c>
      <c r="G19" s="57">
        <f>VLOOKUP(VENTAS_LISTBOX[ID venta],VENTAS[#All],13)</f>
        <v>303</v>
      </c>
      <c r="H19" s="13">
        <f>VLOOKUP(VENTAS_LISTBOX[ID venta],VENTAS[#All],15)</f>
        <v>10</v>
      </c>
      <c r="I19" s="57" t="str">
        <f>VLOOKUP(VENTAS_LISTBOX[ID venta],VENTAS[#All],16)</f>
        <v>545,4</v>
      </c>
      <c r="J19" s="57">
        <f>VLOOKUP(VENTAS_LISTBOX[ID venta],VENTAS[#All],17)</f>
        <v>1389</v>
      </c>
    </row>
    <row r="20" spans="1:10" ht="12" customHeight="1" x14ac:dyDescent="0.3">
      <c r="A20" s="11">
        <v>19</v>
      </c>
      <c r="B20" s="12">
        <f>VLOOKUP(VENTAS_LISTBOX[ID venta],VENTAS[#All],2)</f>
        <v>45129.819201388891</v>
      </c>
      <c r="C20" s="13">
        <f>VLOOKUP(VENTAS_LISTBOX[ID venta],VENTAS[#All],7)</f>
        <v>1000</v>
      </c>
      <c r="D20" s="13" t="str">
        <f>VLOOKUP(VENTAS_LISTBOX[ID venta],VENTAS[#All],10)</f>
        <v>Cuaderno 29.7 America flex - 7792216854173</v>
      </c>
      <c r="E20" s="13" t="str">
        <f>VLOOKUP(VENTAS_LISTBOX[ID venta],VENTAS[#All],11)</f>
        <v>N/A</v>
      </c>
      <c r="F20" s="13">
        <f>VLOOKUP(VENTAS_LISTBOX[ID venta],VENTAS[#All],12)</f>
        <v>3</v>
      </c>
      <c r="G20" s="57">
        <f>VLOOKUP(VENTAS_LISTBOX[ID venta],VENTAS[#All],13)</f>
        <v>260</v>
      </c>
      <c r="H20" s="13">
        <f>VLOOKUP(VENTAS_LISTBOX[ID venta],VENTAS[#All],15)</f>
        <v>0</v>
      </c>
      <c r="I20" s="57">
        <f>VLOOKUP(VENTAS_LISTBOX[ID venta],VENTAS[#All],16)</f>
        <v>780</v>
      </c>
      <c r="J20" s="57">
        <f>VLOOKUP(VENTAS_LISTBOX[ID venta],VENTAS[#All],17)</f>
        <v>780</v>
      </c>
    </row>
    <row r="21" spans="1:10" ht="12" customHeight="1" x14ac:dyDescent="0.3">
      <c r="A21" s="11">
        <v>20</v>
      </c>
      <c r="B21" s="12">
        <f>VLOOKUP(VENTAS_LISTBOX[ID venta],VENTAS[#All],2)</f>
        <v>45131.810648148145</v>
      </c>
      <c r="C21" s="13">
        <f>VLOOKUP(VENTAS_LISTBOX[ID venta],VENTAS[#All],7)</f>
        <v>1011</v>
      </c>
      <c r="D21" s="13" t="str">
        <f>VLOOKUP(VENTAS_LISTBOX[ID venta],VENTAS[#All],10)</f>
        <v>Cuaderno Colegial Éxito x 100h</v>
      </c>
      <c r="E21" s="13" t="str">
        <f>VLOOKUP(VENTAS_LISTBOX[ID venta],VENTAS[#All],11)</f>
        <v>N/A</v>
      </c>
      <c r="F21" s="13">
        <f>VLOOKUP(VENTAS_LISTBOX[ID venta],VENTAS[#All],12)</f>
        <v>5</v>
      </c>
      <c r="G21" s="57">
        <f>VLOOKUP(VENTAS_LISTBOX[ID venta],VENTAS[#All],13)</f>
        <v>369</v>
      </c>
      <c r="H21" s="13">
        <f>VLOOKUP(VENTAS_LISTBOX[ID venta],VENTAS[#All],15)</f>
        <v>0</v>
      </c>
      <c r="I21" s="57">
        <f>VLOOKUP(VENTAS_LISTBOX[ID venta],VENTAS[#All],16)</f>
        <v>1845</v>
      </c>
      <c r="J21" s="57">
        <f>VLOOKUP(VENTAS_LISTBOX[ID venta],VENTAS[#All],17)</f>
        <v>1845</v>
      </c>
    </row>
    <row r="22" spans="1:10" ht="12" customHeight="1" x14ac:dyDescent="0.3">
      <c r="A22" s="11">
        <v>21</v>
      </c>
      <c r="B22" s="12">
        <f>VLOOKUP(VENTAS_LISTBOX[ID venta],VENTAS[#All],2)</f>
        <v>45131.813217592593</v>
      </c>
      <c r="C22" s="13">
        <f>VLOOKUP(VENTAS_LISTBOX[ID venta],VENTAS[#All],7)</f>
        <v>1002</v>
      </c>
      <c r="D22" s="13" t="str">
        <f>VLOOKUP(VENTAS_LISTBOX[ID venta],VENTAS[#All],10)</f>
        <v>Cuaderno 29.7 America Nos/Avon 80h</v>
      </c>
      <c r="E22" s="13" t="str">
        <f>VLOOKUP(VENTAS_LISTBOX[ID venta],VENTAS[#All],11)</f>
        <v>N/A</v>
      </c>
      <c r="F22" s="13">
        <f>VLOOKUP(VENTAS_LISTBOX[ID venta],VENTAS[#All],12)</f>
        <v>1</v>
      </c>
      <c r="G22" s="57">
        <f>VLOOKUP(VENTAS_LISTBOX[ID venta],VENTAS[#All],13)</f>
        <v>500</v>
      </c>
      <c r="H22" s="13">
        <f>VLOOKUP(VENTAS_LISTBOX[ID venta],VENTAS[#All],15)</f>
        <v>0</v>
      </c>
      <c r="I22" s="57">
        <f>VLOOKUP(VENTAS_LISTBOX[ID venta],VENTAS[#All],16)</f>
        <v>500</v>
      </c>
      <c r="J22" s="57">
        <f>VLOOKUP(VENTAS_LISTBOX[ID venta],VENTAS[#All],17)</f>
        <v>500</v>
      </c>
    </row>
    <row r="23" spans="1:10" ht="12" customHeight="1" x14ac:dyDescent="0.3">
      <c r="A23" s="11">
        <v>22</v>
      </c>
      <c r="B23" s="12">
        <f>VLOOKUP(VENTAS_LISTBOX[ID venta],VENTAS[#All],2)</f>
        <v>45132.843657407408</v>
      </c>
      <c r="C23" s="13">
        <f>VLOOKUP(VENTAS_LISTBOX[ID venta],VENTAS[#All],7)</f>
        <v>1002</v>
      </c>
      <c r="D23" s="13" t="str">
        <f>VLOOKUP(VENTAS_LISTBOX[ID venta],VENTAS[#All],10)</f>
        <v>Cuaderno 29.7 America Nos/Avon 80h</v>
      </c>
      <c r="E23" s="13" t="str">
        <f>VLOOKUP(VENTAS_LISTBOX[ID venta],VENTAS[#All],11)</f>
        <v>N/A</v>
      </c>
      <c r="F23" s="13">
        <f>VLOOKUP(VENTAS_LISTBOX[ID venta],VENTAS[#All],12)</f>
        <v>1</v>
      </c>
      <c r="G23" s="57">
        <f>VLOOKUP(VENTAS_LISTBOX[ID venta],VENTAS[#All],13)</f>
        <v>500</v>
      </c>
      <c r="H23" s="13">
        <f>VLOOKUP(VENTAS_LISTBOX[ID venta],VENTAS[#All],15)</f>
        <v>0</v>
      </c>
      <c r="I23" s="57">
        <f>VLOOKUP(VENTAS_LISTBOX[ID venta],VENTAS[#All],16)</f>
        <v>500</v>
      </c>
      <c r="J23" s="57">
        <f>VLOOKUP(VENTAS_LISTBOX[ID venta],VENTAS[#All],17)</f>
        <v>500</v>
      </c>
    </row>
    <row r="24" spans="1:10" ht="12" customHeight="1" x14ac:dyDescent="0.3">
      <c r="A24" s="11">
        <v>23</v>
      </c>
      <c r="B24" s="12">
        <f>VLOOKUP(VENTAS_LISTBOX[ID venta],VENTAS[#All],2)</f>
        <v>45132.869456018518</v>
      </c>
      <c r="C24" s="13">
        <f>VLOOKUP(VENTAS_LISTBOX[ID venta],VENTAS[#All],7)</f>
        <v>1009</v>
      </c>
      <c r="D24" s="13" t="str">
        <f>VLOOKUP(VENTAS_LISTBOX[ID venta],VENTAS[#All],10)</f>
        <v>Cuaderno E7 Éxito Colegial Tapa c/ motivos 60h</v>
      </c>
      <c r="E24" s="13" t="str">
        <f>VLOOKUP(VENTAS_LISTBOX[ID venta],VENTAS[#All],11)</f>
        <v>N/A</v>
      </c>
      <c r="F24" s="13">
        <f>VLOOKUP(VENTAS_LISTBOX[ID venta],VENTAS[#All],12)</f>
        <v>3</v>
      </c>
      <c r="G24" s="57">
        <f>VLOOKUP(VENTAS_LISTBOX[ID venta],VENTAS[#All],13)</f>
        <v>600</v>
      </c>
      <c r="H24" s="13">
        <f>VLOOKUP(VENTAS_LISTBOX[ID venta],VENTAS[#All],15)</f>
        <v>0</v>
      </c>
      <c r="I24" s="57">
        <f>VLOOKUP(VENTAS_LISTBOX[ID venta],VENTAS[#All],16)</f>
        <v>1800</v>
      </c>
      <c r="J24" s="57">
        <f>VLOOKUP(VENTAS_LISTBOX[ID venta],VENTAS[#All],17)</f>
        <v>2560</v>
      </c>
    </row>
    <row r="25" spans="1:10" ht="12" customHeight="1" x14ac:dyDescent="0.3">
      <c r="A25" s="11">
        <v>24</v>
      </c>
      <c r="B25" s="12">
        <f>VLOOKUP(VENTAS_LISTBOX[ID venta],VENTAS[#All],2)</f>
        <v>45132.869456018518</v>
      </c>
      <c r="C25" s="13">
        <f>VLOOKUP(VENTAS_LISTBOX[ID venta],VENTAS[#All],7)</f>
        <v>1002</v>
      </c>
      <c r="D25" s="13" t="str">
        <f>VLOOKUP(VENTAS_LISTBOX[ID venta],VENTAS[#All],10)</f>
        <v>Cuaderno 29.7 America Nos/Avon 80h</v>
      </c>
      <c r="E25" s="13" t="str">
        <f>VLOOKUP(VENTAS_LISTBOX[ID venta],VENTAS[#All],11)</f>
        <v>N/A</v>
      </c>
      <c r="F25" s="13">
        <f>VLOOKUP(VENTAS_LISTBOX[ID venta],VENTAS[#All],12)</f>
        <v>1</v>
      </c>
      <c r="G25" s="57">
        <f>VLOOKUP(VENTAS_LISTBOX[ID venta],VENTAS[#All],13)</f>
        <v>500</v>
      </c>
      <c r="H25" s="13">
        <f>VLOOKUP(VENTAS_LISTBOX[ID venta],VENTAS[#All],15)</f>
        <v>0</v>
      </c>
      <c r="I25" s="57">
        <f>VLOOKUP(VENTAS_LISTBOX[ID venta],VENTAS[#All],16)</f>
        <v>500</v>
      </c>
      <c r="J25" s="57">
        <f>VLOOKUP(VENTAS_LISTBOX[ID venta],VENTAS[#All],17)</f>
        <v>2560</v>
      </c>
    </row>
    <row r="26" spans="1:10" ht="12" customHeight="1" x14ac:dyDescent="0.3">
      <c r="A26" s="11">
        <v>25</v>
      </c>
      <c r="B26" s="12">
        <f>VLOOKUP(VENTAS_LISTBOX[ID venta],VENTAS[#All],2)</f>
        <v>45132.869456018518</v>
      </c>
      <c r="C26" s="13">
        <f>VLOOKUP(VENTAS_LISTBOX[ID venta],VENTAS[#All],7)</f>
        <v>1000</v>
      </c>
      <c r="D26" s="13" t="str">
        <f>VLOOKUP(VENTAS_LISTBOX[ID venta],VENTAS[#All],10)</f>
        <v>Cuaderno 29.7 America flex - 7792216854173</v>
      </c>
      <c r="E26" s="13" t="str">
        <f>VLOOKUP(VENTAS_LISTBOX[ID venta],VENTAS[#All],11)</f>
        <v>N/A</v>
      </c>
      <c r="F26" s="13">
        <f>VLOOKUP(VENTAS_LISTBOX[ID venta],VENTAS[#All],12)</f>
        <v>1</v>
      </c>
      <c r="G26" s="57">
        <f>VLOOKUP(VENTAS_LISTBOX[ID venta],VENTAS[#All],13)</f>
        <v>260</v>
      </c>
      <c r="H26" s="13">
        <f>VLOOKUP(VENTAS_LISTBOX[ID venta],VENTAS[#All],15)</f>
        <v>0</v>
      </c>
      <c r="I26" s="57">
        <f>VLOOKUP(VENTAS_LISTBOX[ID venta],VENTAS[#All],16)</f>
        <v>260</v>
      </c>
      <c r="J26" s="57">
        <f>VLOOKUP(VENTAS_LISTBOX[ID venta],VENTAS[#All],17)</f>
        <v>2560</v>
      </c>
    </row>
    <row r="27" spans="1:10" ht="12" customHeight="1" x14ac:dyDescent="0.3">
      <c r="A27" s="11">
        <v>26</v>
      </c>
      <c r="B27" s="12">
        <f>VLOOKUP(VENTAS_LISTBOX[ID venta],VENTAS[#All],2)</f>
        <v>45161.776076388887</v>
      </c>
      <c r="C27" s="13">
        <f>VLOOKUP(VENTAS_LISTBOX[ID venta],VENTAS[#All],7)</f>
        <v>1000</v>
      </c>
      <c r="D27" s="13" t="str">
        <f>VLOOKUP(VENTAS_LISTBOX[ID venta],VENTAS[#All],10)</f>
        <v>Cuaderno 29.7 America flex - 7792216854173</v>
      </c>
      <c r="E27" s="13" t="str">
        <f>VLOOKUP(VENTAS_LISTBOX[ID venta],VENTAS[#All],11)</f>
        <v>N/A</v>
      </c>
      <c r="F27" s="13">
        <f>VLOOKUP(VENTAS_LISTBOX[ID venta],VENTAS[#All],12)</f>
        <v>2</v>
      </c>
      <c r="G27" s="57">
        <f>VLOOKUP(VENTAS_LISTBOX[ID venta],VENTAS[#All],13)</f>
        <v>260</v>
      </c>
      <c r="H27" s="13">
        <f>VLOOKUP(VENTAS_LISTBOX[ID venta],VENTAS[#All],15)</f>
        <v>0</v>
      </c>
      <c r="I27" s="57">
        <f>VLOOKUP(VENTAS_LISTBOX[ID venta],VENTAS[#All],16)</f>
        <v>520</v>
      </c>
      <c r="J27" s="57">
        <f>VLOOKUP(VENTAS_LISTBOX[ID venta],VENTAS[#All],17)</f>
        <v>3720</v>
      </c>
    </row>
    <row r="28" spans="1:10" ht="12" customHeight="1" x14ac:dyDescent="0.3">
      <c r="A28" s="11">
        <v>27</v>
      </c>
      <c r="B28" s="12">
        <f>VLOOKUP(VENTAS_LISTBOX[ID venta],VENTAS[#All],2)</f>
        <v>45161.776076388887</v>
      </c>
      <c r="C28" s="13">
        <f>VLOOKUP(VENTAS_LISTBOX[ID venta],VENTAS[#All],7)</f>
        <v>1007</v>
      </c>
      <c r="D28" s="13" t="str">
        <f>VLOOKUP(VENTAS_LISTBOX[ID venta],VENTAS[#All],10)</f>
        <v>Cuaderno 16.21 America Nos c/espiral x 84h</v>
      </c>
      <c r="E28" s="13" t="str">
        <f>VLOOKUP(VENTAS_LISTBOX[ID venta],VENTAS[#All],11)</f>
        <v>N/A</v>
      </c>
      <c r="F28" s="13">
        <f>VLOOKUP(VENTAS_LISTBOX[ID venta],VENTAS[#All],12)</f>
        <v>1</v>
      </c>
      <c r="G28" s="57">
        <f>VLOOKUP(VENTAS_LISTBOX[ID venta],VENTAS[#All],13)</f>
        <v>4266</v>
      </c>
      <c r="H28" s="13">
        <f>VLOOKUP(VENTAS_LISTBOX[ID venta],VENTAS[#All],15)</f>
        <v>25</v>
      </c>
      <c r="I28" s="57" t="str">
        <f>VLOOKUP(VENTAS_LISTBOX[ID venta],VENTAS[#All],16)</f>
        <v>3199,5</v>
      </c>
      <c r="J28" s="57">
        <f>VLOOKUP(VENTAS_LISTBOX[ID venta],VENTAS[#All],17)</f>
        <v>3720</v>
      </c>
    </row>
    <row r="29" spans="1:10" ht="12" customHeight="1" x14ac:dyDescent="0.3"/>
    <row r="30" spans="1:10" ht="12" customHeight="1" x14ac:dyDescent="0.3"/>
    <row r="31" spans="1:10" ht="12" customHeight="1" x14ac:dyDescent="0.3"/>
    <row r="32" spans="1:10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spans="3:5" ht="12" customHeight="1" x14ac:dyDescent="0.3">
      <c r="C369" s="11">
        <v>1001</v>
      </c>
      <c r="D369" s="11" t="s">
        <v>14</v>
      </c>
      <c r="E369" s="11" t="s">
        <v>13</v>
      </c>
    </row>
    <row r="370" spans="3:5" ht="12" customHeight="1" x14ac:dyDescent="0.3"/>
    <row r="371" spans="3:5" ht="12" customHeight="1" x14ac:dyDescent="0.3"/>
    <row r="372" spans="3:5" ht="12" customHeight="1" x14ac:dyDescent="0.3"/>
    <row r="373" spans="3:5" ht="12" customHeight="1" x14ac:dyDescent="0.3"/>
    <row r="374" spans="3:5" ht="12" customHeight="1" x14ac:dyDescent="0.3"/>
    <row r="375" spans="3:5" ht="12" customHeight="1" x14ac:dyDescent="0.3"/>
    <row r="376" spans="3:5" ht="12" customHeight="1" x14ac:dyDescent="0.3"/>
    <row r="377" spans="3:5" ht="12" customHeight="1" x14ac:dyDescent="0.3"/>
    <row r="378" spans="3:5" ht="12" customHeight="1" x14ac:dyDescent="0.3"/>
    <row r="379" spans="3:5" ht="12" customHeight="1" x14ac:dyDescent="0.3"/>
    <row r="380" spans="3:5" ht="12" customHeight="1" x14ac:dyDescent="0.3"/>
    <row r="381" spans="3:5" ht="12" customHeight="1" x14ac:dyDescent="0.3"/>
    <row r="382" spans="3:5" ht="12" customHeight="1" x14ac:dyDescent="0.3"/>
    <row r="383" spans="3:5" ht="12" customHeight="1" x14ac:dyDescent="0.3"/>
    <row r="384" spans="3:5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S410"/>
  <sheetViews>
    <sheetView topLeftCell="I1" zoomScale="90" zoomScaleNormal="90" workbookViewId="0">
      <selection activeCell="Q12" sqref="Q12"/>
    </sheetView>
  </sheetViews>
  <sheetFormatPr baseColWidth="10" defaultRowHeight="14.4" x14ac:dyDescent="0.3"/>
  <cols>
    <col min="1" max="2" width="10.33203125" style="11" customWidth="1"/>
    <col min="3" max="5" width="23.6640625" style="12" customWidth="1"/>
    <col min="6" max="6" width="27.109375" style="12" customWidth="1"/>
    <col min="7" max="7" width="8.88671875" style="11" customWidth="1"/>
    <col min="8" max="8" width="17.5546875" style="11" customWidth="1"/>
    <col min="9" max="9" width="11.21875" style="11" customWidth="1"/>
    <col min="10" max="10" width="30.88671875" style="11" customWidth="1"/>
    <col min="11" max="11" width="13.109375" style="11" customWidth="1"/>
    <col min="12" max="12" width="12.6640625" style="11" customWidth="1"/>
    <col min="13" max="13" width="15.6640625" style="11" customWidth="1"/>
    <col min="14" max="14" width="19.77734375" style="11" customWidth="1"/>
    <col min="15" max="15" width="21.44140625" style="11" customWidth="1"/>
    <col min="16" max="16" width="15.6640625" style="11" customWidth="1"/>
    <col min="17" max="17" width="31.44140625" style="11" customWidth="1"/>
    <col min="18" max="18" width="26.109375" style="11" customWidth="1"/>
    <col min="19" max="19" width="26.44140625" style="11" customWidth="1"/>
    <col min="20" max="16384" width="11.5546875" style="11"/>
  </cols>
  <sheetData>
    <row r="1" spans="1:19" ht="12" customHeight="1" x14ac:dyDescent="0.3">
      <c r="A1" s="11" t="s">
        <v>54</v>
      </c>
      <c r="B1" s="11" t="s">
        <v>907</v>
      </c>
      <c r="C1" s="12" t="s">
        <v>51</v>
      </c>
      <c r="D1" s="12" t="s">
        <v>872</v>
      </c>
      <c r="E1" s="12" t="s">
        <v>864</v>
      </c>
      <c r="F1" s="12" t="s">
        <v>870</v>
      </c>
      <c r="G1" s="11" t="s">
        <v>46</v>
      </c>
      <c r="H1" s="11" t="s">
        <v>52</v>
      </c>
      <c r="I1" s="11" t="s">
        <v>53</v>
      </c>
      <c r="J1" s="11" t="s">
        <v>3</v>
      </c>
      <c r="K1" s="11" t="s">
        <v>47</v>
      </c>
      <c r="L1" s="11" t="s">
        <v>55</v>
      </c>
      <c r="M1" s="11" t="s">
        <v>48</v>
      </c>
      <c r="N1" s="11" t="s">
        <v>898</v>
      </c>
      <c r="O1" s="11" t="s">
        <v>899</v>
      </c>
      <c r="P1" s="11" t="s">
        <v>87</v>
      </c>
      <c r="Q1" s="11" t="s">
        <v>913</v>
      </c>
      <c r="R1" s="11" t="s">
        <v>896</v>
      </c>
      <c r="S1" s="11" t="s">
        <v>897</v>
      </c>
    </row>
    <row r="2" spans="1:19" ht="12" customHeight="1" x14ac:dyDescent="0.3">
      <c r="A2" s="11">
        <v>1</v>
      </c>
      <c r="B2" s="11" t="s">
        <v>909</v>
      </c>
      <c r="C2" s="12">
        <f>VLOOKUP(FIADOS[ID venta],VENTAS[#All],2)</f>
        <v>45083.823946759258</v>
      </c>
      <c r="D2" s="12" t="str">
        <f>VLOOKUP(FIADOS[ID venta],VENTAS[#All],3)</f>
        <v>admin</v>
      </c>
      <c r="E2" s="12" t="str">
        <f>VLOOKUP(FIADOS[ID venta],VENTAS[#All],4)</f>
        <v>Corfone</v>
      </c>
      <c r="F2" s="12" t="str">
        <f>VLOOKUP(FIADOS[ID venta],VENTAS[#All],5)</f>
        <v>14 - Berardo Boso</v>
      </c>
      <c r="G2" s="11">
        <f>VLOOKUP(FIADOS[ID venta],VENTAS[#All],7)</f>
        <v>1000</v>
      </c>
      <c r="H2" s="11">
        <f>VLOOKUP(FIADOS[ID venta],VENTAS[#All],8)</f>
        <v>54173</v>
      </c>
      <c r="I2" s="11" t="str">
        <f>VLOOKUP(FIADOS[ID venta],VENTAS[#All],9)</f>
        <v>LIBRERÍA</v>
      </c>
      <c r="J2" s="11" t="str">
        <f>VLOOKUP(FIADOS[ID venta],VENTAS[#All],10)</f>
        <v>Cuaderno 29.7 America flex - 7792216854173</v>
      </c>
      <c r="K2" s="11" t="str">
        <f>VLOOKUP(FIADOS[ID venta],VENTAS[#All],11)</f>
        <v>N/A</v>
      </c>
      <c r="L2" s="11">
        <f>VLOOKUP(FIADOS[ID venta],VENTAS[#All],12)</f>
        <v>3</v>
      </c>
      <c r="M2" s="57">
        <f>VLOOKUP(FIADOS[ID venta],VENTAS[#All],13)</f>
        <v>1250</v>
      </c>
      <c r="N2" s="57">
        <f>VLOOKUP(FIADOS[ID venta],VENTAS[#All],14)</f>
        <v>3750</v>
      </c>
      <c r="O2" s="11">
        <f>VLOOKUP(FIADOS[ID venta],VENTAS[#All],15)</f>
        <v>0</v>
      </c>
      <c r="P2" s="57">
        <f>VLOOKUP(FIADOS[ID venta],VENTAS[#All],16)</f>
        <v>3750</v>
      </c>
      <c r="Q2" s="12">
        <v>45126.941192129627</v>
      </c>
      <c r="R2" s="57">
        <v>260</v>
      </c>
      <c r="S2" s="57">
        <v>780</v>
      </c>
    </row>
    <row r="3" spans="1:19" ht="12" customHeight="1" x14ac:dyDescent="0.3">
      <c r="A3" s="11">
        <v>2</v>
      </c>
      <c r="B3" s="11" t="s">
        <v>909</v>
      </c>
      <c r="C3" s="12">
        <f>VLOOKUP(FIADOS[ID venta],VENTAS[#All],2)</f>
        <v>45083.823946759258</v>
      </c>
      <c r="D3" s="12" t="str">
        <f>VLOOKUP(FIADOS[ID venta],VENTAS[#All],3)</f>
        <v>admin</v>
      </c>
      <c r="E3" s="12" t="str">
        <f>VLOOKUP(FIADOS[ID venta],VENTAS[#All],4)</f>
        <v>Corfone</v>
      </c>
      <c r="F3" s="12" t="str">
        <f>VLOOKUP(FIADOS[ID venta],VENTAS[#All],5)</f>
        <v>14 - Berardo Boso</v>
      </c>
      <c r="G3" s="11">
        <f>VLOOKUP(FIADOS[ID venta],VENTAS[#All],7)</f>
        <v>1102</v>
      </c>
      <c r="H3" s="11">
        <f>VLOOKUP(FIADOS[ID venta],VENTAS[#All],8)</f>
        <v>54263</v>
      </c>
      <c r="I3" s="11" t="str">
        <f>VLOOKUP(FIADOS[ID venta],VENTAS[#All],9)</f>
        <v>LIBRERÍA</v>
      </c>
      <c r="J3" s="11" t="str">
        <f>VLOOKUP(FIADOS[ID venta],VENTAS[#All],10)</f>
        <v>Boligrafo Bic Grip</v>
      </c>
      <c r="K3" s="11" t="str">
        <f>VLOOKUP(FIADOS[ID venta],VENTAS[#All],11)</f>
        <v>N/A</v>
      </c>
      <c r="L3" s="11">
        <f>VLOOKUP(FIADOS[ID venta],VENTAS[#All],12)</f>
        <v>10</v>
      </c>
      <c r="M3" s="57">
        <f>VLOOKUP(FIADOS[ID venta],VENTAS[#All],13)</f>
        <v>1</v>
      </c>
      <c r="N3" s="57">
        <f>VLOOKUP(FIADOS[ID venta],VENTAS[#All],14)</f>
        <v>10</v>
      </c>
      <c r="O3" s="11">
        <f>VLOOKUP(FIADOS[ID venta],VENTAS[#All],15)</f>
        <v>25</v>
      </c>
      <c r="P3" s="57" t="str">
        <f>VLOOKUP(FIADOS[ID venta],VENTAS[#All],16)</f>
        <v>7,5</v>
      </c>
      <c r="Q3" s="12">
        <v>45126.941192129627</v>
      </c>
      <c r="R3" s="57">
        <v>140</v>
      </c>
      <c r="S3" s="57">
        <v>1050</v>
      </c>
    </row>
    <row r="4" spans="1:19" ht="12" customHeight="1" x14ac:dyDescent="0.3">
      <c r="A4" s="11">
        <v>3</v>
      </c>
      <c r="B4" s="11" t="s">
        <v>909</v>
      </c>
      <c r="C4" s="12">
        <f>VLOOKUP(FIADOS[ID venta],VENTAS[#All],2)</f>
        <v>45083.823946759258</v>
      </c>
      <c r="D4" s="12" t="str">
        <f>VLOOKUP(FIADOS[ID venta],VENTAS[#All],3)</f>
        <v>admin</v>
      </c>
      <c r="E4" s="12" t="str">
        <f>VLOOKUP(FIADOS[ID venta],VENTAS[#All],4)</f>
        <v>Corfone</v>
      </c>
      <c r="F4" s="12" t="str">
        <f>VLOOKUP(FIADOS[ID venta],VENTAS[#All],5)</f>
        <v>14 - Berardo Boso</v>
      </c>
      <c r="G4" s="11">
        <f>VLOOKUP(FIADOS[ID venta],VENTAS[#All],7)</f>
        <v>1001</v>
      </c>
      <c r="H4" s="11">
        <f>VLOOKUP(FIADOS[ID venta],VENTAS[#All],8)</f>
        <v>54174</v>
      </c>
      <c r="I4" s="11" t="str">
        <f>VLOOKUP(FIADOS[ID venta],VENTAS[#All],9)</f>
        <v>LIBRERÍA</v>
      </c>
      <c r="J4" s="11" t="str">
        <f>VLOOKUP(FIADOS[ID venta],VENTAS[#All],10)</f>
        <v>Cuaderno Rivadavia escolar 194h 88g</v>
      </c>
      <c r="K4" s="11" t="str">
        <f>VLOOKUP(FIADOS[ID venta],VENTAS[#All],11)</f>
        <v>N/A</v>
      </c>
      <c r="L4" s="11">
        <f>VLOOKUP(FIADOS[ID venta],VENTAS[#All],12)</f>
        <v>1</v>
      </c>
      <c r="M4" s="57">
        <f>VLOOKUP(FIADOS[ID venta],VENTAS[#All],13)</f>
        <v>8600</v>
      </c>
      <c r="N4" s="57">
        <f>VLOOKUP(FIADOS[ID venta],VENTAS[#All],14)</f>
        <v>8600</v>
      </c>
      <c r="O4" s="11">
        <f>VLOOKUP(FIADOS[ID venta],VENTAS[#All],15)</f>
        <v>0</v>
      </c>
      <c r="P4" s="57">
        <f>VLOOKUP(FIADOS[ID venta],VENTAS[#All],16)</f>
        <v>8600</v>
      </c>
      <c r="Q4" s="12">
        <v>45126.941192129627</v>
      </c>
      <c r="R4" s="57">
        <v>8600</v>
      </c>
      <c r="S4" s="57">
        <v>8600</v>
      </c>
    </row>
    <row r="5" spans="1:19" ht="12" customHeight="1" x14ac:dyDescent="0.3">
      <c r="A5" s="11">
        <v>8</v>
      </c>
      <c r="B5" s="11" t="s">
        <v>908</v>
      </c>
      <c r="C5" s="12">
        <f>VLOOKUP(FIADOS[ID venta],VENTAS[#All],2)</f>
        <v>45113.718425925923</v>
      </c>
      <c r="D5" s="12" t="str">
        <f>VLOOKUP(FIADOS[ID venta],VENTAS[#All],3)</f>
        <v>admin</v>
      </c>
      <c r="E5" s="12" t="str">
        <f>VLOOKUP(FIADOS[ID venta],VENTAS[#All],4)</f>
        <v>Escuela</v>
      </c>
      <c r="F5" s="12" t="str">
        <f>VLOOKUP(FIADOS[ID venta],VENTAS[#All],5)</f>
        <v>13 - Gonzalez Maria Regina</v>
      </c>
      <c r="G5" s="11">
        <f>VLOOKUP(FIADOS[ID venta],VENTAS[#All],7)</f>
        <v>1000</v>
      </c>
      <c r="H5" s="11">
        <f>VLOOKUP(FIADOS[ID venta],VENTAS[#All],8)</f>
        <v>54173</v>
      </c>
      <c r="I5" s="11" t="str">
        <f>VLOOKUP(FIADOS[ID venta],VENTAS[#All],9)</f>
        <v>LIBRERÍA</v>
      </c>
      <c r="J5" s="11" t="str">
        <f>VLOOKUP(FIADOS[ID venta],VENTAS[#All],10)</f>
        <v>Cuaderno 29.7 America flex - 7792216854173</v>
      </c>
      <c r="K5" s="11" t="str">
        <f>VLOOKUP(FIADOS[ID venta],VENTAS[#All],11)</f>
        <v>N/A</v>
      </c>
      <c r="L5" s="11">
        <f>VLOOKUP(FIADOS[ID venta],VENTAS[#All],12)</f>
        <v>1</v>
      </c>
      <c r="M5" s="57">
        <f>VLOOKUP(FIADOS[ID venta],VENTAS[#All],13)</f>
        <v>240</v>
      </c>
      <c r="N5" s="57">
        <f>VLOOKUP(FIADOS[ID venta],VENTAS[#All],14)</f>
        <v>240</v>
      </c>
      <c r="O5" s="11">
        <f>VLOOKUP(FIADOS[ID venta],VENTAS[#All],15)</f>
        <v>0</v>
      </c>
      <c r="P5" s="57">
        <f>VLOOKUP(FIADOS[ID venta],VENTAS[#All],16)</f>
        <v>240</v>
      </c>
      <c r="Q5" s="12">
        <v>45129.846261574072</v>
      </c>
      <c r="R5" s="57">
        <v>260</v>
      </c>
      <c r="S5" s="57">
        <v>260</v>
      </c>
    </row>
    <row r="6" spans="1:19" ht="12" customHeight="1" x14ac:dyDescent="0.3">
      <c r="A6" s="11">
        <v>10</v>
      </c>
      <c r="B6" s="11" t="s">
        <v>908</v>
      </c>
      <c r="C6" s="12">
        <f>VLOOKUP(FIADOS[ID venta],VENTAS[#All],2)</f>
        <v>45144.825185185182</v>
      </c>
      <c r="D6" s="12" t="str">
        <f>VLOOKUP(FIADOS[ID venta],VENTAS[#All],3)</f>
        <v>admin</v>
      </c>
      <c r="E6" s="12" t="str">
        <f>VLOOKUP(FIADOS[ID venta],VENTAS[#All],4)</f>
        <v>Escuela</v>
      </c>
      <c r="F6" s="12" t="str">
        <f>VLOOKUP(FIADOS[ID venta],VENTAS[#All],5)</f>
        <v>2 - Toso Gerardo Jose</v>
      </c>
      <c r="G6" s="11">
        <f>VLOOKUP(FIADOS[ID venta],VENTAS[#All],7)</f>
        <v>1000</v>
      </c>
      <c r="H6" s="11">
        <f>VLOOKUP(FIADOS[ID venta],VENTAS[#All],8)</f>
        <v>54173</v>
      </c>
      <c r="I6" s="11" t="str">
        <f>VLOOKUP(FIADOS[ID venta],VENTAS[#All],9)</f>
        <v>LIBRERÍA</v>
      </c>
      <c r="J6" s="11" t="str">
        <f>VLOOKUP(FIADOS[ID venta],VENTAS[#All],10)</f>
        <v>Cuaderno 29.7 America flex - 7792216854173</v>
      </c>
      <c r="K6" s="11" t="str">
        <f>VLOOKUP(FIADOS[ID venta],VENTAS[#All],11)</f>
        <v>N/A</v>
      </c>
      <c r="L6" s="11">
        <f>VLOOKUP(FIADOS[ID venta],VENTAS[#All],12)</f>
        <v>5</v>
      </c>
      <c r="M6" s="57">
        <f>VLOOKUP(FIADOS[ID venta],VENTAS[#All],13)</f>
        <v>240</v>
      </c>
      <c r="N6" s="57">
        <f>VLOOKUP(FIADOS[ID venta],VENTAS[#All],14)</f>
        <v>1200</v>
      </c>
      <c r="O6" s="11">
        <f>VLOOKUP(FIADOS[ID venta],VENTAS[#All],15)</f>
        <v>15</v>
      </c>
      <c r="P6" s="57">
        <f>VLOOKUP(FIADOS[ID venta],VENTAS[#All],16)</f>
        <v>1020</v>
      </c>
      <c r="Q6" s="12">
        <v>45129.846261574072</v>
      </c>
      <c r="R6" s="57">
        <v>240</v>
      </c>
      <c r="S6" s="57">
        <v>1020</v>
      </c>
    </row>
    <row r="7" spans="1:19" ht="12" customHeight="1" x14ac:dyDescent="0.3">
      <c r="A7" s="11">
        <v>11</v>
      </c>
      <c r="B7" s="11" t="s">
        <v>908</v>
      </c>
      <c r="C7" s="12">
        <f>VLOOKUP(FIADOS[ID venta],VENTAS[#All],2)</f>
        <v>45144.825185185182</v>
      </c>
      <c r="D7" s="12" t="str">
        <f>VLOOKUP(FIADOS[ID venta],VENTAS[#All],3)</f>
        <v>admin</v>
      </c>
      <c r="E7" s="12" t="str">
        <f>VLOOKUP(FIADOS[ID venta],VENTAS[#All],4)</f>
        <v>Escuela</v>
      </c>
      <c r="F7" s="12" t="str">
        <f>VLOOKUP(FIADOS[ID venta],VENTAS[#All],5)</f>
        <v>2 - Toso Gerardo Jose</v>
      </c>
      <c r="G7" s="11">
        <f>VLOOKUP(FIADOS[ID venta],VENTAS[#All],7)</f>
        <v>1002</v>
      </c>
      <c r="H7" s="11">
        <f>VLOOKUP(FIADOS[ID venta],VENTAS[#All],8)</f>
        <v>54175</v>
      </c>
      <c r="I7" s="11" t="str">
        <f>VLOOKUP(FIADOS[ID venta],VENTAS[#All],9)</f>
        <v xml:space="preserve">OFICINA </v>
      </c>
      <c r="J7" s="11" t="str">
        <f>VLOOKUP(FIADOS[ID venta],VENTAS[#All],10)</f>
        <v>Cuaderno 29.7 America Nos/Avon 80h</v>
      </c>
      <c r="K7" s="11" t="str">
        <f>VLOOKUP(FIADOS[ID venta],VENTAS[#All],11)</f>
        <v>N/A</v>
      </c>
      <c r="L7" s="11">
        <f>VLOOKUP(FIADOS[ID venta],VENTAS[#All],12)</f>
        <v>3</v>
      </c>
      <c r="M7" s="57">
        <f>VLOOKUP(FIADOS[ID venta],VENTAS[#All],13)</f>
        <v>331</v>
      </c>
      <c r="N7" s="57">
        <f>VLOOKUP(FIADOS[ID venta],VENTAS[#All],14)</f>
        <v>993</v>
      </c>
      <c r="O7" s="11">
        <f>VLOOKUP(FIADOS[ID venta],VENTAS[#All],15)</f>
        <v>0</v>
      </c>
      <c r="P7" s="57">
        <f>VLOOKUP(FIADOS[ID venta],VENTAS[#All],16)</f>
        <v>993</v>
      </c>
      <c r="Q7" s="12">
        <v>45129.846365740741</v>
      </c>
      <c r="R7" s="57">
        <v>331</v>
      </c>
      <c r="S7" s="57">
        <v>993</v>
      </c>
    </row>
    <row r="8" spans="1:19" ht="12" customHeight="1" x14ac:dyDescent="0.3">
      <c r="A8" s="11">
        <v>16</v>
      </c>
      <c r="B8" s="11" t="s">
        <v>908</v>
      </c>
      <c r="C8" s="12">
        <f>VLOOKUP(FIADOS[ID venta],VENTAS[#All],2)</f>
        <v>45091.480023148149</v>
      </c>
      <c r="D8" s="12" t="str">
        <f>VLOOKUP(FIADOS[ID venta],VENTAS[#All],3)</f>
        <v>admin</v>
      </c>
      <c r="E8" s="12" t="str">
        <f>VLOOKUP(FIADOS[ID venta],VENTAS[#All],4)</f>
        <v>Escuela</v>
      </c>
      <c r="F8" s="12" t="str">
        <f>VLOOKUP(FIADOS[ID venta],VENTAS[#All],5)</f>
        <v>2 - Toso Gerardo Jose</v>
      </c>
      <c r="G8" s="11">
        <f>VLOOKUP(FIADOS[ID venta],VENTAS[#All],7)</f>
        <v>1000</v>
      </c>
      <c r="H8" s="11">
        <f>VLOOKUP(FIADOS[ID venta],VENTAS[#All],8)</f>
        <v>54173</v>
      </c>
      <c r="I8" s="11" t="str">
        <f>VLOOKUP(FIADOS[ID venta],VENTAS[#All],9)</f>
        <v>LIBRERÍA</v>
      </c>
      <c r="J8" s="11" t="str">
        <f>VLOOKUP(FIADOS[ID venta],VENTAS[#All],10)</f>
        <v>Cuaderno 29.7 America flex - 7792216854173</v>
      </c>
      <c r="K8" s="11" t="str">
        <f>VLOOKUP(FIADOS[ID venta],VENTAS[#All],11)</f>
        <v>N/A</v>
      </c>
      <c r="L8" s="11">
        <f>VLOOKUP(FIADOS[ID venta],VENTAS[#All],12)</f>
        <v>10</v>
      </c>
      <c r="M8" s="57">
        <f>VLOOKUP(FIADOS[ID venta],VENTAS[#All],13)</f>
        <v>240</v>
      </c>
      <c r="N8" s="57">
        <f>VLOOKUP(FIADOS[ID venta],VENTAS[#All],14)</f>
        <v>2400</v>
      </c>
      <c r="O8" s="11">
        <f>VLOOKUP(FIADOS[ID venta],VENTAS[#All],15)</f>
        <v>10</v>
      </c>
      <c r="P8" s="57">
        <f>VLOOKUP(FIADOS[ID venta],VENTAS[#All],16)</f>
        <v>2160</v>
      </c>
      <c r="Q8" s="12">
        <v>45129.846365740741</v>
      </c>
      <c r="R8" s="57">
        <v>260</v>
      </c>
      <c r="S8" s="57">
        <v>2340</v>
      </c>
    </row>
    <row r="9" spans="1:19" ht="12" customHeight="1" x14ac:dyDescent="0.3">
      <c r="A9" s="11">
        <v>17</v>
      </c>
      <c r="B9" s="11" t="s">
        <v>908</v>
      </c>
      <c r="C9" s="12">
        <f>VLOOKUP(FIADOS[ID venta],VENTAS[#All],2)</f>
        <v>45091.481238425928</v>
      </c>
      <c r="D9" s="12" t="str">
        <f>VLOOKUP(FIADOS[ID venta],VENTAS[#All],3)</f>
        <v>admin</v>
      </c>
      <c r="E9" s="12" t="str">
        <f>VLOOKUP(FIADOS[ID venta],VENTAS[#All],4)</f>
        <v>EPEC</v>
      </c>
      <c r="F9" s="12" t="str">
        <f>VLOOKUP(FIADOS[ID venta],VENTAS[#All],5)</f>
        <v>8 - Ratazzi Horacio</v>
      </c>
      <c r="G9" s="11">
        <f>VLOOKUP(FIADOS[ID venta],VENTAS[#All],7)</f>
        <v>1002</v>
      </c>
      <c r="H9" s="11">
        <f>VLOOKUP(FIADOS[ID venta],VENTAS[#All],8)</f>
        <v>54175</v>
      </c>
      <c r="I9" s="11" t="str">
        <f>VLOOKUP(FIADOS[ID venta],VENTAS[#All],9)</f>
        <v xml:space="preserve">OFICINA </v>
      </c>
      <c r="J9" s="11" t="str">
        <f>VLOOKUP(FIADOS[ID venta],VENTAS[#All],10)</f>
        <v>Cuaderno 29.7 America Nos/Avon 80h</v>
      </c>
      <c r="K9" s="11" t="str">
        <f>VLOOKUP(FIADOS[ID venta],VENTAS[#All],11)</f>
        <v>N/A</v>
      </c>
      <c r="L9" s="11">
        <f>VLOOKUP(FIADOS[ID venta],VENTAS[#All],12)</f>
        <v>3</v>
      </c>
      <c r="M9" s="57">
        <f>VLOOKUP(FIADOS[ID venta],VENTAS[#All],13)</f>
        <v>331</v>
      </c>
      <c r="N9" s="57">
        <f>VLOOKUP(FIADOS[ID venta],VENTAS[#All],14)</f>
        <v>993</v>
      </c>
      <c r="O9" s="11">
        <f>VLOOKUP(FIADOS[ID venta],VENTAS[#All],15)</f>
        <v>15</v>
      </c>
      <c r="P9" s="57" t="str">
        <f>VLOOKUP(FIADOS[ID venta],VENTAS[#All],16)</f>
        <v>844,05</v>
      </c>
      <c r="Q9" s="12">
        <v>45129.82068287037</v>
      </c>
      <c r="R9" s="57">
        <v>331</v>
      </c>
      <c r="S9" s="57" t="s">
        <v>910</v>
      </c>
    </row>
    <row r="10" spans="1:19" ht="12" customHeight="1" x14ac:dyDescent="0.3">
      <c r="A10" s="11">
        <v>18</v>
      </c>
      <c r="B10" s="11" t="s">
        <v>908</v>
      </c>
      <c r="C10" s="12">
        <f>VLOOKUP(FIADOS[ID venta],VENTAS[#All],2)</f>
        <v>45091.481238425928</v>
      </c>
      <c r="D10" s="12" t="str">
        <f>VLOOKUP(FIADOS[ID venta],VENTAS[#All],3)</f>
        <v>admin</v>
      </c>
      <c r="E10" s="12" t="str">
        <f>VLOOKUP(FIADOS[ID venta],VENTAS[#All],4)</f>
        <v>EPEC</v>
      </c>
      <c r="F10" s="12" t="str">
        <f>VLOOKUP(FIADOS[ID venta],VENTAS[#All],5)</f>
        <v>8 - Ratazzi Horacio</v>
      </c>
      <c r="G10" s="11">
        <f>VLOOKUP(FIADOS[ID venta],VENTAS[#All],7)</f>
        <v>1009</v>
      </c>
      <c r="H10" s="11">
        <f>VLOOKUP(FIADOS[ID venta],VENTAS[#All],8)</f>
        <v>54178</v>
      </c>
      <c r="I10" s="11" t="str">
        <f>VLOOKUP(FIADOS[ID venta],VENTAS[#All],9)</f>
        <v>LIBRERÍA</v>
      </c>
      <c r="J10" s="11" t="str">
        <f>VLOOKUP(FIADOS[ID venta],VENTAS[#All],10)</f>
        <v>Cuaderno E7 Éxito Colegial Tapa c/ motivos 60h</v>
      </c>
      <c r="K10" s="11" t="str">
        <f>VLOOKUP(FIADOS[ID venta],VENTAS[#All],11)</f>
        <v>N/A</v>
      </c>
      <c r="L10" s="11">
        <f>VLOOKUP(FIADOS[ID venta],VENTAS[#All],12)</f>
        <v>2</v>
      </c>
      <c r="M10" s="57">
        <f>VLOOKUP(FIADOS[ID venta],VENTAS[#All],13)</f>
        <v>303</v>
      </c>
      <c r="N10" s="57">
        <f>VLOOKUP(FIADOS[ID venta],VENTAS[#All],14)</f>
        <v>606</v>
      </c>
      <c r="O10" s="11">
        <f>VLOOKUP(FIADOS[ID venta],VENTAS[#All],15)</f>
        <v>10</v>
      </c>
      <c r="P10" s="57" t="str">
        <f>VLOOKUP(FIADOS[ID venta],VENTAS[#All],16)</f>
        <v>545,4</v>
      </c>
      <c r="Q10" s="12">
        <v>45129.82068287037</v>
      </c>
      <c r="R10" s="57">
        <v>303</v>
      </c>
      <c r="S10" s="57" t="s">
        <v>912</v>
      </c>
    </row>
    <row r="11" spans="1:19" ht="12" customHeight="1" x14ac:dyDescent="0.3">
      <c r="A11" s="11">
        <v>19</v>
      </c>
      <c r="B11" s="11" t="s">
        <v>908</v>
      </c>
      <c r="C11" s="12">
        <f>VLOOKUP(FIADOS[ID venta],VENTAS[#All],2)</f>
        <v>45129.819201388891</v>
      </c>
      <c r="D11" s="12" t="str">
        <f>VLOOKUP(FIADOS[ID venta],VENTAS[#All],3)</f>
        <v>admin</v>
      </c>
      <c r="E11" s="12" t="str">
        <f>VLOOKUP(FIADOS[ID venta],VENTAS[#All],4)</f>
        <v>EPEC</v>
      </c>
      <c r="F11" s="12" t="str">
        <f>VLOOKUP(FIADOS[ID venta],VENTAS[#All],5)</f>
        <v>8 - Ratazzi Horacio</v>
      </c>
      <c r="G11" s="11">
        <f>VLOOKUP(FIADOS[ID venta],VENTAS[#All],7)</f>
        <v>1000</v>
      </c>
      <c r="H11" s="11">
        <f>VLOOKUP(FIADOS[ID venta],VENTAS[#All],8)</f>
        <v>54173</v>
      </c>
      <c r="I11" s="11" t="str">
        <f>VLOOKUP(FIADOS[ID venta],VENTAS[#All],9)</f>
        <v>LIBRERÍA</v>
      </c>
      <c r="J11" s="11" t="str">
        <f>VLOOKUP(FIADOS[ID venta],VENTAS[#All],10)</f>
        <v>Cuaderno 29.7 America flex - 7792216854173</v>
      </c>
      <c r="K11" s="11" t="str">
        <f>VLOOKUP(FIADOS[ID venta],VENTAS[#All],11)</f>
        <v>N/A</v>
      </c>
      <c r="L11" s="11">
        <f>VLOOKUP(FIADOS[ID venta],VENTAS[#All],12)</f>
        <v>3</v>
      </c>
      <c r="M11" s="57">
        <f>VLOOKUP(FIADOS[ID venta],VENTAS[#All],13)</f>
        <v>260</v>
      </c>
      <c r="N11" s="57">
        <f>VLOOKUP(FIADOS[ID venta],VENTAS[#All],14)</f>
        <v>780</v>
      </c>
      <c r="O11" s="11">
        <f>VLOOKUP(FIADOS[ID venta],VENTAS[#All],15)</f>
        <v>0</v>
      </c>
      <c r="P11" s="57">
        <f>VLOOKUP(FIADOS[ID venta],VENTAS[#All],16)</f>
        <v>780</v>
      </c>
      <c r="Q11" s="12">
        <v>45129.82068287037</v>
      </c>
      <c r="R11" s="57">
        <v>260</v>
      </c>
      <c r="S11" s="57">
        <v>780</v>
      </c>
    </row>
    <row r="12" spans="1:19" ht="12" customHeight="1" x14ac:dyDescent="0.3">
      <c r="A12" s="11">
        <v>20</v>
      </c>
      <c r="B12" s="11" t="s">
        <v>909</v>
      </c>
      <c r="C12" s="12">
        <f>VLOOKUP(FIADOS[ID venta],VENTAS[#All],2)</f>
        <v>45131.810648148145</v>
      </c>
      <c r="D12" s="12" t="str">
        <f>VLOOKUP(FIADOS[ID venta],VENTAS[#All],3)</f>
        <v>admin</v>
      </c>
      <c r="E12" s="12" t="str">
        <f>VLOOKUP(FIADOS[ID venta],VENTAS[#All],4)</f>
        <v>EPEC</v>
      </c>
      <c r="F12" s="12" t="str">
        <f>VLOOKUP(FIADOS[ID venta],VENTAS[#All],5)</f>
        <v>8 - Ratazzi Horacio</v>
      </c>
      <c r="G12" s="11">
        <f>VLOOKUP(FIADOS[ID venta],VENTAS[#All],7)</f>
        <v>1011</v>
      </c>
      <c r="H12" s="11">
        <f>VLOOKUP(FIADOS[ID venta],VENTAS[#All],8)</f>
        <v>54180</v>
      </c>
      <c r="I12" s="11" t="str">
        <f>VLOOKUP(FIADOS[ID venta],VENTAS[#All],9)</f>
        <v>LIBRERÍA</v>
      </c>
      <c r="J12" s="11" t="str">
        <f>VLOOKUP(FIADOS[ID venta],VENTAS[#All],10)</f>
        <v>Cuaderno Colegial Éxito x 100h</v>
      </c>
      <c r="K12" s="11" t="str">
        <f>VLOOKUP(FIADOS[ID venta],VENTAS[#All],11)</f>
        <v>N/A</v>
      </c>
      <c r="L12" s="11">
        <f>VLOOKUP(FIADOS[ID venta],VENTAS[#All],12)</f>
        <v>5</v>
      </c>
      <c r="M12" s="57">
        <f>VLOOKUP(FIADOS[ID venta],VENTAS[#All],13)</f>
        <v>369</v>
      </c>
      <c r="N12" s="57">
        <f>VLOOKUP(FIADOS[ID venta],VENTAS[#All],14)</f>
        <v>1845</v>
      </c>
      <c r="O12" s="11">
        <f>VLOOKUP(FIADOS[ID venta],VENTAS[#All],15)</f>
        <v>0</v>
      </c>
      <c r="P12" s="57">
        <f>VLOOKUP(FIADOS[ID venta],VENTAS[#All],16)</f>
        <v>1845</v>
      </c>
      <c r="Q12" s="12" t="s">
        <v>13</v>
      </c>
      <c r="R12" s="57">
        <v>369</v>
      </c>
      <c r="S12" s="57">
        <v>1845</v>
      </c>
    </row>
    <row r="13" spans="1:19" ht="12" customHeight="1" x14ac:dyDescent="0.3"/>
    <row r="14" spans="1:19" ht="12" customHeight="1" x14ac:dyDescent="0.3"/>
    <row r="15" spans="1:19" ht="12" customHeight="1" x14ac:dyDescent="0.3"/>
    <row r="16" spans="1:19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spans="7:11" ht="12" customHeight="1" x14ac:dyDescent="0.3"/>
    <row r="370" spans="7:11" ht="12" customHeight="1" x14ac:dyDescent="0.3"/>
    <row r="371" spans="7:11" ht="12" customHeight="1" x14ac:dyDescent="0.3">
      <c r="G371" s="11">
        <v>1001</v>
      </c>
      <c r="J371" s="11" t="s">
        <v>14</v>
      </c>
      <c r="K371" s="11" t="s">
        <v>13</v>
      </c>
    </row>
    <row r="372" spans="7:11" ht="12" customHeight="1" x14ac:dyDescent="0.3"/>
    <row r="373" spans="7:11" ht="12" customHeight="1" x14ac:dyDescent="0.3"/>
    <row r="374" spans="7:11" ht="12" customHeight="1" x14ac:dyDescent="0.3"/>
    <row r="375" spans="7:11" ht="12" customHeight="1" x14ac:dyDescent="0.3"/>
    <row r="376" spans="7:11" ht="12" customHeight="1" x14ac:dyDescent="0.3"/>
    <row r="377" spans="7:11" ht="12" customHeight="1" x14ac:dyDescent="0.3"/>
    <row r="378" spans="7:11" ht="12" customHeight="1" x14ac:dyDescent="0.3"/>
    <row r="379" spans="7:11" ht="12" customHeight="1" x14ac:dyDescent="0.3"/>
    <row r="380" spans="7:11" ht="12" customHeight="1" x14ac:dyDescent="0.3"/>
    <row r="381" spans="7:11" ht="12" customHeight="1" x14ac:dyDescent="0.3"/>
    <row r="382" spans="7:11" ht="12" customHeight="1" x14ac:dyDescent="0.3"/>
    <row r="383" spans="7:11" ht="12" customHeight="1" x14ac:dyDescent="0.3"/>
    <row r="384" spans="7:11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J410"/>
  <sheetViews>
    <sheetView zoomScale="90" zoomScaleNormal="90" workbookViewId="0">
      <selection activeCell="D9" sqref="B9:D11"/>
    </sheetView>
  </sheetViews>
  <sheetFormatPr baseColWidth="10" defaultRowHeight="14.4" x14ac:dyDescent="0.3"/>
  <cols>
    <col min="1" max="2" width="10.33203125" style="11" customWidth="1"/>
    <col min="3" max="4" width="23.6640625" style="12" customWidth="1"/>
    <col min="5" max="5" width="44.88671875" style="11" customWidth="1"/>
    <col min="6" max="6" width="12.6640625" style="11" customWidth="1"/>
    <col min="7" max="8" width="15.6640625" style="11" customWidth="1"/>
    <col min="9" max="9" width="26.44140625" style="11" customWidth="1"/>
    <col min="10" max="10" width="18" style="11" customWidth="1"/>
    <col min="11" max="16384" width="11.5546875" style="11"/>
  </cols>
  <sheetData>
    <row r="1" spans="1:10" ht="12" customHeight="1" x14ac:dyDescent="0.3">
      <c r="A1" s="11" t="s">
        <v>54</v>
      </c>
      <c r="B1" s="11" t="s">
        <v>907</v>
      </c>
      <c r="C1" s="12" t="s">
        <v>51</v>
      </c>
      <c r="D1" s="12" t="s">
        <v>864</v>
      </c>
      <c r="E1" s="11" t="s">
        <v>3</v>
      </c>
      <c r="F1" s="11" t="s">
        <v>55</v>
      </c>
      <c r="G1" s="11" t="s">
        <v>48</v>
      </c>
      <c r="H1" s="11" t="s">
        <v>87</v>
      </c>
      <c r="I1" s="11" t="s">
        <v>896</v>
      </c>
      <c r="J1" s="11" t="s">
        <v>897</v>
      </c>
    </row>
    <row r="2" spans="1:10" ht="12" customHeight="1" x14ac:dyDescent="0.3">
      <c r="A2" s="11">
        <v>1</v>
      </c>
      <c r="B2" s="11" t="str">
        <f>VLOOKUP(FIADOS_LISTBOX[ID venta],FIADOS[#All],2)</f>
        <v>Deuda</v>
      </c>
      <c r="C2" s="12">
        <f>VLOOKUP(FIADOS_LISTBOX[ID venta],VENTAS[#All],2)</f>
        <v>45083.823946759258</v>
      </c>
      <c r="D2" s="12" t="str">
        <f>VLOOKUP(FIADOS_LISTBOX[ID venta],VENTAS[#All],4)</f>
        <v>Corfone</v>
      </c>
      <c r="E2" s="11" t="str">
        <f>VLOOKUP(FIADOS_LISTBOX[ID venta],VENTAS[#All],10)</f>
        <v>Cuaderno 29.7 America flex - 7792216854173</v>
      </c>
      <c r="F2" s="11">
        <f>VLOOKUP(FIADOS_LISTBOX[ID venta],VENTAS[#All],12)</f>
        <v>3</v>
      </c>
      <c r="G2" s="64">
        <f>VLOOKUP(FIADOS_LISTBOX[ID venta],VENTAS[#All],13)</f>
        <v>1250</v>
      </c>
      <c r="H2" s="64">
        <f>VLOOKUP(FIADOS_LISTBOX[ID venta],VENTAS[#All],16)</f>
        <v>3750</v>
      </c>
      <c r="I2" s="64">
        <f>VLOOKUP(FIADOS_LISTBOX[ID venta],FIADOS[#All],18)</f>
        <v>260</v>
      </c>
      <c r="J2" s="64">
        <f>VLOOKUP(FIADOS_LISTBOX[ID venta],FIADOS[#All],19)</f>
        <v>780</v>
      </c>
    </row>
    <row r="3" spans="1:10" ht="12" customHeight="1" x14ac:dyDescent="0.3">
      <c r="A3" s="11">
        <v>2</v>
      </c>
      <c r="B3" s="11" t="str">
        <f>VLOOKUP(FIADOS_LISTBOX[ID venta],FIADOS[#All],2)</f>
        <v>Deuda</v>
      </c>
      <c r="C3" s="12">
        <f>VLOOKUP(FIADOS_LISTBOX[ID venta],VENTAS[#All],2)</f>
        <v>45083.823946759258</v>
      </c>
      <c r="D3" s="12" t="str">
        <f>VLOOKUP(FIADOS_LISTBOX[ID venta],VENTAS[#All],4)</f>
        <v>Corfone</v>
      </c>
      <c r="E3" s="11" t="str">
        <f>VLOOKUP(FIADOS_LISTBOX[ID venta],VENTAS[#All],10)</f>
        <v>Boligrafo Bic Grip</v>
      </c>
      <c r="F3" s="11">
        <f>VLOOKUP(FIADOS_LISTBOX[ID venta],VENTAS[#All],12)</f>
        <v>10</v>
      </c>
      <c r="G3" s="64">
        <f>VLOOKUP(FIADOS_LISTBOX[ID venta],VENTAS[#All],13)</f>
        <v>1</v>
      </c>
      <c r="H3" s="64" t="str">
        <f>VLOOKUP(FIADOS_LISTBOX[ID venta],VENTAS[#All],16)</f>
        <v>7,5</v>
      </c>
      <c r="I3" s="64">
        <f>VLOOKUP(FIADOS_LISTBOX[ID venta],FIADOS[#All],18)</f>
        <v>140</v>
      </c>
      <c r="J3" s="64">
        <f>VLOOKUP(FIADOS_LISTBOX[ID venta],FIADOS[#All],19)</f>
        <v>1050</v>
      </c>
    </row>
    <row r="4" spans="1:10" ht="12" customHeight="1" x14ac:dyDescent="0.3">
      <c r="A4" s="11">
        <v>3</v>
      </c>
      <c r="B4" s="11" t="str">
        <f>VLOOKUP(FIADOS_LISTBOX[ID venta],FIADOS[#All],2)</f>
        <v>Deuda</v>
      </c>
      <c r="C4" s="12">
        <f>VLOOKUP(FIADOS_LISTBOX[ID venta],VENTAS[#All],2)</f>
        <v>45083.823946759258</v>
      </c>
      <c r="D4" s="12" t="str">
        <f>VLOOKUP(FIADOS_LISTBOX[ID venta],VENTAS[#All],4)</f>
        <v>Corfone</v>
      </c>
      <c r="E4" s="11" t="str">
        <f>VLOOKUP(FIADOS_LISTBOX[ID venta],VENTAS[#All],10)</f>
        <v>Cuaderno Rivadavia escolar 194h 88g</v>
      </c>
      <c r="F4" s="11">
        <f>VLOOKUP(FIADOS_LISTBOX[ID venta],VENTAS[#All],12)</f>
        <v>1</v>
      </c>
      <c r="G4" s="64">
        <f>VLOOKUP(FIADOS_LISTBOX[ID venta],VENTAS[#All],13)</f>
        <v>8600</v>
      </c>
      <c r="H4" s="64">
        <f>VLOOKUP(FIADOS_LISTBOX[ID venta],VENTAS[#All],16)</f>
        <v>8600</v>
      </c>
      <c r="I4" s="64">
        <f>VLOOKUP(FIADOS_LISTBOX[ID venta],FIADOS[#All],18)</f>
        <v>8600</v>
      </c>
      <c r="J4" s="64">
        <f>VLOOKUP(FIADOS_LISTBOX[ID venta],FIADOS[#All],19)</f>
        <v>8600</v>
      </c>
    </row>
    <row r="5" spans="1:10" ht="12" customHeight="1" x14ac:dyDescent="0.3">
      <c r="A5" s="11">
        <v>8</v>
      </c>
      <c r="B5" s="11" t="str">
        <f>VLOOKUP(FIADOS_LISTBOX[ID venta],FIADOS[#All],2)</f>
        <v>Abonado</v>
      </c>
      <c r="C5" s="12">
        <f>VLOOKUP(FIADOS_LISTBOX[ID venta],VENTAS[#All],2)</f>
        <v>45113.718425925923</v>
      </c>
      <c r="D5" s="12" t="str">
        <f>VLOOKUP(FIADOS_LISTBOX[ID venta],VENTAS[#All],4)</f>
        <v>Escuela</v>
      </c>
      <c r="E5" s="11" t="str">
        <f>VLOOKUP(FIADOS_LISTBOX[ID venta],VENTAS[#All],10)</f>
        <v>Cuaderno 29.7 America flex - 7792216854173</v>
      </c>
      <c r="F5" s="11">
        <f>VLOOKUP(FIADOS_LISTBOX[ID venta],VENTAS[#All],12)</f>
        <v>1</v>
      </c>
      <c r="G5" s="64">
        <f>VLOOKUP(FIADOS_LISTBOX[ID venta],VENTAS[#All],13)</f>
        <v>240</v>
      </c>
      <c r="H5" s="64">
        <f>VLOOKUP(FIADOS_LISTBOX[ID venta],VENTAS[#All],16)</f>
        <v>240</v>
      </c>
      <c r="I5" s="64">
        <f>VLOOKUP(FIADOS_LISTBOX[ID venta],FIADOS[#All],18)</f>
        <v>260</v>
      </c>
      <c r="J5" s="64">
        <f>VLOOKUP(FIADOS_LISTBOX[ID venta],FIADOS[#All],19)</f>
        <v>260</v>
      </c>
    </row>
    <row r="6" spans="1:10" ht="12" customHeight="1" x14ac:dyDescent="0.3">
      <c r="A6" s="11">
        <v>10</v>
      </c>
      <c r="B6" s="11" t="str">
        <f>VLOOKUP(FIADOS_LISTBOX[ID venta],FIADOS[#All],2)</f>
        <v>Abonado</v>
      </c>
      <c r="C6" s="12">
        <f>VLOOKUP(FIADOS_LISTBOX[ID venta],VENTAS[#All],2)</f>
        <v>45144.825185185182</v>
      </c>
      <c r="D6" s="12" t="str">
        <f>VLOOKUP(FIADOS_LISTBOX[ID venta],VENTAS[#All],4)</f>
        <v>Escuela</v>
      </c>
      <c r="E6" s="11" t="str">
        <f>VLOOKUP(FIADOS_LISTBOX[ID venta],VENTAS[#All],10)</f>
        <v>Cuaderno 29.7 America flex - 7792216854173</v>
      </c>
      <c r="F6" s="11">
        <f>VLOOKUP(FIADOS_LISTBOX[ID venta],VENTAS[#All],12)</f>
        <v>5</v>
      </c>
      <c r="G6" s="64">
        <f>VLOOKUP(FIADOS_LISTBOX[ID venta],VENTAS[#All],13)</f>
        <v>240</v>
      </c>
      <c r="H6" s="64">
        <f>VLOOKUP(FIADOS_LISTBOX[ID venta],VENTAS[#All],16)</f>
        <v>1020</v>
      </c>
      <c r="I6" s="64">
        <f>VLOOKUP(FIADOS_LISTBOX[ID venta],FIADOS[#All],18)</f>
        <v>240</v>
      </c>
      <c r="J6" s="64">
        <f>VLOOKUP(FIADOS_LISTBOX[ID venta],FIADOS[#All],19)</f>
        <v>1020</v>
      </c>
    </row>
    <row r="7" spans="1:10" ht="12" customHeight="1" x14ac:dyDescent="0.3">
      <c r="A7" s="11">
        <v>11</v>
      </c>
      <c r="B7" s="11" t="str">
        <f>VLOOKUP(FIADOS_LISTBOX[ID venta],FIADOS[#All],2)</f>
        <v>Abonado</v>
      </c>
      <c r="C7" s="12">
        <f>VLOOKUP(FIADOS_LISTBOX[ID venta],VENTAS[#All],2)</f>
        <v>45144.825185185182</v>
      </c>
      <c r="D7" s="12" t="str">
        <f>VLOOKUP(FIADOS_LISTBOX[ID venta],VENTAS[#All],4)</f>
        <v>Escuela</v>
      </c>
      <c r="E7" s="11" t="str">
        <f>VLOOKUP(FIADOS_LISTBOX[ID venta],VENTAS[#All],10)</f>
        <v>Cuaderno 29.7 America Nos/Avon 80h</v>
      </c>
      <c r="F7" s="11">
        <f>VLOOKUP(FIADOS_LISTBOX[ID venta],VENTAS[#All],12)</f>
        <v>3</v>
      </c>
      <c r="G7" s="64">
        <f>VLOOKUP(FIADOS_LISTBOX[ID venta],VENTAS[#All],13)</f>
        <v>331</v>
      </c>
      <c r="H7" s="64">
        <f>VLOOKUP(FIADOS_LISTBOX[ID venta],VENTAS[#All],16)</f>
        <v>993</v>
      </c>
      <c r="I7" s="64">
        <f>VLOOKUP(FIADOS_LISTBOX[ID venta],FIADOS[#All],18)</f>
        <v>331</v>
      </c>
      <c r="J7" s="64">
        <f>VLOOKUP(FIADOS_LISTBOX[ID venta],FIADOS[#All],19)</f>
        <v>993</v>
      </c>
    </row>
    <row r="8" spans="1:10" ht="12" customHeight="1" x14ac:dyDescent="0.3">
      <c r="A8" s="11">
        <v>16</v>
      </c>
      <c r="B8" s="11" t="str">
        <f>VLOOKUP(FIADOS_LISTBOX[ID venta],FIADOS[#All],2)</f>
        <v>Abonado</v>
      </c>
      <c r="C8" s="12">
        <f>VLOOKUP(FIADOS_LISTBOX[ID venta],VENTAS[#All],2)</f>
        <v>45091.480023148149</v>
      </c>
      <c r="D8" s="12" t="str">
        <f>VLOOKUP(FIADOS_LISTBOX[ID venta],VENTAS[#All],4)</f>
        <v>Escuela</v>
      </c>
      <c r="E8" s="11" t="str">
        <f>VLOOKUP(FIADOS_LISTBOX[ID venta],VENTAS[#All],10)</f>
        <v>Cuaderno 29.7 America flex - 7792216854173</v>
      </c>
      <c r="F8" s="11">
        <f>VLOOKUP(FIADOS_LISTBOX[ID venta],VENTAS[#All],12)</f>
        <v>10</v>
      </c>
      <c r="G8" s="64">
        <f>VLOOKUP(FIADOS_LISTBOX[ID venta],VENTAS[#All],13)</f>
        <v>240</v>
      </c>
      <c r="H8" s="64">
        <f>VLOOKUP(FIADOS_LISTBOX[ID venta],VENTAS[#All],16)</f>
        <v>2160</v>
      </c>
      <c r="I8" s="64">
        <f>VLOOKUP(FIADOS_LISTBOX[ID venta],FIADOS[#All],18)</f>
        <v>260</v>
      </c>
      <c r="J8" s="64">
        <f>VLOOKUP(FIADOS_LISTBOX[ID venta],FIADOS[#All],19)</f>
        <v>2340</v>
      </c>
    </row>
    <row r="9" spans="1:10" ht="12" customHeight="1" x14ac:dyDescent="0.3">
      <c r="A9" s="11">
        <v>17</v>
      </c>
      <c r="B9" s="11" t="str">
        <f>VLOOKUP(FIADOS_LISTBOX[ID venta],FIADOS[#All],2)</f>
        <v>Abonado</v>
      </c>
      <c r="C9" s="12">
        <f>VLOOKUP(FIADOS_LISTBOX[ID venta],VENTAS[#All],2)</f>
        <v>45091.481238425928</v>
      </c>
      <c r="D9" s="12" t="str">
        <f>VLOOKUP(FIADOS_LISTBOX[ID venta],VENTAS[#All],4)</f>
        <v>EPEC</v>
      </c>
      <c r="E9" s="11" t="str">
        <f>VLOOKUP(FIADOS_LISTBOX[ID venta],VENTAS[#All],10)</f>
        <v>Cuaderno 29.7 America Nos/Avon 80h</v>
      </c>
      <c r="F9" s="11">
        <f>VLOOKUP(FIADOS_LISTBOX[ID venta],VENTAS[#All],12)</f>
        <v>3</v>
      </c>
      <c r="G9" s="64">
        <f>VLOOKUP(FIADOS_LISTBOX[ID venta],VENTAS[#All],13)</f>
        <v>331</v>
      </c>
      <c r="H9" s="64" t="str">
        <f>VLOOKUP(FIADOS_LISTBOX[ID venta],VENTAS[#All],16)</f>
        <v>844,05</v>
      </c>
      <c r="I9" s="64">
        <f>VLOOKUP(FIADOS_LISTBOX[ID venta],FIADOS[#All],18)</f>
        <v>331</v>
      </c>
      <c r="J9" s="64" t="str">
        <f>VLOOKUP(FIADOS_LISTBOX[ID venta],FIADOS[#All],19)</f>
        <v>844,05</v>
      </c>
    </row>
    <row r="10" spans="1:10" ht="12" customHeight="1" x14ac:dyDescent="0.3">
      <c r="A10" s="11">
        <v>18</v>
      </c>
      <c r="B10" s="11" t="str">
        <f>VLOOKUP(FIADOS_LISTBOX[ID venta],FIADOS[#All],2)</f>
        <v>Abonado</v>
      </c>
      <c r="C10" s="12">
        <f>VLOOKUP(FIADOS_LISTBOX[ID venta],VENTAS[#All],2)</f>
        <v>45091.481238425928</v>
      </c>
      <c r="D10" s="12" t="str">
        <f>VLOOKUP(FIADOS_LISTBOX[ID venta],VENTAS[#All],4)</f>
        <v>EPEC</v>
      </c>
      <c r="E10" s="11" t="str">
        <f>VLOOKUP(FIADOS_LISTBOX[ID venta],VENTAS[#All],10)</f>
        <v>Cuaderno E7 Éxito Colegial Tapa c/ motivos 60h</v>
      </c>
      <c r="F10" s="11">
        <f>VLOOKUP(FIADOS_LISTBOX[ID venta],VENTAS[#All],12)</f>
        <v>2</v>
      </c>
      <c r="G10" s="64">
        <f>VLOOKUP(FIADOS_LISTBOX[ID venta],VENTAS[#All],13)</f>
        <v>303</v>
      </c>
      <c r="H10" s="64" t="str">
        <f>VLOOKUP(FIADOS_LISTBOX[ID venta],VENTAS[#All],16)</f>
        <v>545,4</v>
      </c>
      <c r="I10" s="64">
        <f>VLOOKUP(FIADOS_LISTBOX[ID venta],FIADOS[#All],18)</f>
        <v>303</v>
      </c>
      <c r="J10" s="64" t="str">
        <f>VLOOKUP(FIADOS_LISTBOX[ID venta],FIADOS[#All],19)</f>
        <v>545,4</v>
      </c>
    </row>
    <row r="11" spans="1:10" ht="12" customHeight="1" x14ac:dyDescent="0.3">
      <c r="A11" s="11">
        <v>19</v>
      </c>
      <c r="B11" s="11" t="str">
        <f>VLOOKUP(FIADOS_LISTBOX[ID venta],FIADOS[#All],2)</f>
        <v>Abonado</v>
      </c>
      <c r="C11" s="12">
        <f>VLOOKUP(FIADOS_LISTBOX[ID venta],VENTAS[#All],2)</f>
        <v>45129.819201388891</v>
      </c>
      <c r="D11" s="12" t="str">
        <f>VLOOKUP(FIADOS_LISTBOX[ID venta],VENTAS[#All],4)</f>
        <v>EPEC</v>
      </c>
      <c r="E11" s="11" t="str">
        <f>VLOOKUP(FIADOS_LISTBOX[ID venta],VENTAS[#All],10)</f>
        <v>Cuaderno 29.7 America flex - 7792216854173</v>
      </c>
      <c r="F11" s="11">
        <f>VLOOKUP(FIADOS_LISTBOX[ID venta],VENTAS[#All],12)</f>
        <v>3</v>
      </c>
      <c r="G11" s="64">
        <f>VLOOKUP(FIADOS_LISTBOX[ID venta],VENTAS[#All],13)</f>
        <v>260</v>
      </c>
      <c r="H11" s="64">
        <f>VLOOKUP(FIADOS_LISTBOX[ID venta],VENTAS[#All],16)</f>
        <v>780</v>
      </c>
      <c r="I11" s="64">
        <f>VLOOKUP(FIADOS_LISTBOX[ID venta],FIADOS[#All],18)</f>
        <v>260</v>
      </c>
      <c r="J11" s="64">
        <f>VLOOKUP(FIADOS_LISTBOX[ID venta],FIADOS[#All],19)</f>
        <v>780</v>
      </c>
    </row>
    <row r="12" spans="1:10" ht="12" customHeight="1" x14ac:dyDescent="0.3">
      <c r="A12" s="11">
        <v>20</v>
      </c>
      <c r="B12" s="11" t="str">
        <f>VLOOKUP(FIADOS_LISTBOX[ID venta],FIADOS[#All],2)</f>
        <v>Deuda</v>
      </c>
      <c r="C12" s="12">
        <f>VLOOKUP(FIADOS_LISTBOX[ID venta],VENTAS[#All],2)</f>
        <v>45131.810648148145</v>
      </c>
      <c r="D12" s="12" t="str">
        <f>VLOOKUP(FIADOS_LISTBOX[ID venta],VENTAS[#All],4)</f>
        <v>EPEC</v>
      </c>
      <c r="E12" s="11" t="str">
        <f>VLOOKUP(FIADOS_LISTBOX[ID venta],VENTAS[#All],10)</f>
        <v>Cuaderno Colegial Éxito x 100h</v>
      </c>
      <c r="F12" s="11">
        <f>VLOOKUP(FIADOS_LISTBOX[ID venta],VENTAS[#All],12)</f>
        <v>5</v>
      </c>
      <c r="G12" s="64">
        <f>VLOOKUP(FIADOS_LISTBOX[ID venta],VENTAS[#All],13)</f>
        <v>369</v>
      </c>
      <c r="H12" s="64">
        <f>VLOOKUP(FIADOS_LISTBOX[ID venta],VENTAS[#All],16)</f>
        <v>1845</v>
      </c>
      <c r="I12" s="64">
        <f>VLOOKUP(FIADOS_LISTBOX[ID venta],FIADOS[#All],18)</f>
        <v>369</v>
      </c>
      <c r="J12" s="64">
        <f>VLOOKUP(FIADOS_LISTBOX[ID venta],FIADOS[#All],19)</f>
        <v>1845</v>
      </c>
    </row>
    <row r="13" spans="1:10" ht="12" customHeight="1" x14ac:dyDescent="0.3"/>
    <row r="14" spans="1:10" ht="12" customHeight="1" x14ac:dyDescent="0.3"/>
    <row r="15" spans="1:10" ht="12" customHeight="1" x14ac:dyDescent="0.3"/>
    <row r="16" spans="1:10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spans="5:5" ht="12" customHeight="1" x14ac:dyDescent="0.3"/>
    <row r="370" spans="5:5" ht="12" customHeight="1" x14ac:dyDescent="0.3"/>
    <row r="371" spans="5:5" ht="12" customHeight="1" x14ac:dyDescent="0.3">
      <c r="E371" s="11" t="s">
        <v>14</v>
      </c>
    </row>
    <row r="372" spans="5:5" ht="12" customHeight="1" x14ac:dyDescent="0.3"/>
    <row r="373" spans="5:5" ht="12" customHeight="1" x14ac:dyDescent="0.3"/>
    <row r="374" spans="5:5" ht="12" customHeight="1" x14ac:dyDescent="0.3"/>
    <row r="375" spans="5:5" ht="12" customHeight="1" x14ac:dyDescent="0.3"/>
    <row r="376" spans="5:5" ht="12" customHeight="1" x14ac:dyDescent="0.3"/>
    <row r="377" spans="5:5" ht="12" customHeight="1" x14ac:dyDescent="0.3"/>
    <row r="378" spans="5:5" ht="12" customHeight="1" x14ac:dyDescent="0.3"/>
    <row r="379" spans="5:5" ht="12" customHeight="1" x14ac:dyDescent="0.3"/>
    <row r="380" spans="5:5" ht="12" customHeight="1" x14ac:dyDescent="0.3"/>
    <row r="381" spans="5:5" ht="12" customHeight="1" x14ac:dyDescent="0.3"/>
    <row r="382" spans="5:5" ht="12" customHeight="1" x14ac:dyDescent="0.3"/>
    <row r="383" spans="5:5" ht="12" customHeight="1" x14ac:dyDescent="0.3"/>
    <row r="384" spans="5:5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G769"/>
  <sheetViews>
    <sheetView workbookViewId="0">
      <selection activeCell="G2" sqref="G2"/>
    </sheetView>
  </sheetViews>
  <sheetFormatPr baseColWidth="10" defaultRowHeight="14.4" x14ac:dyDescent="0.3"/>
  <cols>
    <col min="1" max="1" width="12.33203125" style="4" customWidth="1"/>
    <col min="2" max="2" width="14.21875" style="4" customWidth="1"/>
    <col min="3" max="3" width="12.109375" style="4" customWidth="1"/>
    <col min="4" max="4" width="51.21875" style="4" customWidth="1"/>
    <col min="5" max="5" width="23.109375" style="4" customWidth="1"/>
    <col min="6" max="6" width="18.88671875" style="4" customWidth="1"/>
    <col min="7" max="7" width="11.5546875" style="4"/>
  </cols>
  <sheetData>
    <row r="1" spans="1:7" x14ac:dyDescent="0.3">
      <c r="A1" s="4" t="s">
        <v>46</v>
      </c>
      <c r="B1" s="4" t="s">
        <v>52</v>
      </c>
      <c r="C1" s="4" t="s">
        <v>53</v>
      </c>
      <c r="D1" s="4" t="s">
        <v>3</v>
      </c>
      <c r="E1" s="4" t="s">
        <v>47</v>
      </c>
      <c r="F1" s="4" t="s">
        <v>57</v>
      </c>
      <c r="G1" s="4" t="s">
        <v>58</v>
      </c>
    </row>
    <row r="2" spans="1:7" x14ac:dyDescent="0.3">
      <c r="A2" s="4">
        <v>1000</v>
      </c>
      <c r="B2" s="4">
        <f>VLOOKUP(TABLA_STOCK[Codigo],LISTADO_PRODUCTOS[#All],2)</f>
        <v>54173</v>
      </c>
      <c r="C2" s="6" t="str">
        <f>VLOOKUP(TABLA_STOCK[Codigo],LISTADO_PRODUCTOS[#All],3)</f>
        <v>LIBRERÍA</v>
      </c>
      <c r="D2" s="6" t="str">
        <f>VLOOKUP(TABLA_STOCK[Codigo],LISTADO_PRODUCTOS[#All],4)</f>
        <v>Cuaderno 29.7 America flex - 7792216854173</v>
      </c>
      <c r="E2" s="6" t="str">
        <f>VLOOKUP(TABLA_STOCK[Codigo],LISTADO_PRODUCTOS[#All],5)</f>
        <v>N/A</v>
      </c>
      <c r="F2" s="4" t="s">
        <v>914</v>
      </c>
      <c r="G2" s="4">
        <v>98</v>
      </c>
    </row>
    <row r="3" spans="1:7" x14ac:dyDescent="0.3">
      <c r="A3" s="4">
        <v>1001</v>
      </c>
      <c r="B3" s="4">
        <f>VLOOKUP(TABLA_STOCK[Codigo],LISTADO_PRODUCTOS[#All],2)</f>
        <v>54174</v>
      </c>
      <c r="C3" s="6" t="str">
        <f>VLOOKUP(TABLA_STOCK[Codigo],LISTADO_PRODUCTOS[#All],3)</f>
        <v>LIBRERÍA</v>
      </c>
      <c r="D3" s="6" t="str">
        <f>VLOOKUP(TABLA_STOCK[Codigo],LISTADO_PRODUCTOS[#All],4)</f>
        <v>Cuaderno Rivadavia escolar 194h 88g</v>
      </c>
      <c r="E3" s="6" t="str">
        <f>VLOOKUP(TABLA_STOCK[Codigo],LISTADO_PRODUCTOS[#All],5)</f>
        <v>N/A</v>
      </c>
      <c r="F3" s="4">
        <v>20</v>
      </c>
      <c r="G3" s="4">
        <v>0</v>
      </c>
    </row>
    <row r="4" spans="1:7" x14ac:dyDescent="0.3">
      <c r="A4" s="4">
        <v>1002</v>
      </c>
      <c r="B4" s="4">
        <f>VLOOKUP(TABLA_STOCK[Codigo],LISTADO_PRODUCTOS[#All],2)</f>
        <v>54175</v>
      </c>
      <c r="C4" s="6" t="str">
        <f>VLOOKUP(TABLA_STOCK[Codigo],LISTADO_PRODUCTOS[#All],3)</f>
        <v xml:space="preserve">OFICINA </v>
      </c>
      <c r="D4" s="6" t="str">
        <f>VLOOKUP(TABLA_STOCK[Codigo],LISTADO_PRODUCTOS[#All],4)</f>
        <v>Cuaderno 29.7 America Nos/Avon 80h</v>
      </c>
      <c r="E4" s="6" t="str">
        <f>VLOOKUP(TABLA_STOCK[Codigo],LISTADO_PRODUCTOS[#All],5)</f>
        <v>N/A</v>
      </c>
      <c r="F4" s="4" t="s">
        <v>914</v>
      </c>
      <c r="G4" s="4">
        <v>5</v>
      </c>
    </row>
    <row r="5" spans="1:7" x14ac:dyDescent="0.3">
      <c r="A5" s="4">
        <v>1004</v>
      </c>
      <c r="B5" s="4">
        <f>VLOOKUP(TABLA_STOCK[Codigo],LISTADO_PRODUCTOS[#All],2)</f>
        <v>56542156</v>
      </c>
      <c r="C5" s="6" t="str">
        <f>VLOOKUP(TABLA_STOCK[Codigo],LISTADO_PRODUCTOS[#All],3)</f>
        <v>LIBRERÍA</v>
      </c>
      <c r="D5" s="6" t="str">
        <f>VLOOKUP(TABLA_STOCK[Codigo],LISTADO_PRODUCTOS[#All],4)</f>
        <v>Resaltador Sharpie x12</v>
      </c>
      <c r="E5" s="6" t="str">
        <f>VLOOKUP(TABLA_STOCK[Codigo],LISTADO_PRODUCTOS[#All],5)</f>
        <v>N/A</v>
      </c>
      <c r="F5" s="4" t="s">
        <v>919</v>
      </c>
      <c r="G5" s="4">
        <v>0</v>
      </c>
    </row>
    <row r="6" spans="1:7" x14ac:dyDescent="0.3">
      <c r="A6" s="4">
        <v>1007</v>
      </c>
      <c r="B6" s="4">
        <f>VLOOKUP(TABLA_STOCK[Codigo],LISTADO_PRODUCTOS[#All],2)</f>
        <v>54177</v>
      </c>
      <c r="C6" s="6" t="str">
        <f>VLOOKUP(TABLA_STOCK[Codigo],LISTADO_PRODUCTOS[#All],3)</f>
        <v>LIBRERÍA</v>
      </c>
      <c r="D6" s="6" t="str">
        <f>VLOOKUP(TABLA_STOCK[Codigo],LISTADO_PRODUCTOS[#All],4)</f>
        <v>Cuaderno 16.21 America Nos c/espiral x 84h</v>
      </c>
      <c r="E6" s="6" t="str">
        <f>VLOOKUP(TABLA_STOCK[Codigo],LISTADO_PRODUCTOS[#All],5)</f>
        <v>N/A</v>
      </c>
      <c r="F6" s="4" t="s">
        <v>922</v>
      </c>
      <c r="G6" s="4">
        <v>5</v>
      </c>
    </row>
    <row r="7" spans="1:7" x14ac:dyDescent="0.3">
      <c r="A7" s="4">
        <v>1009</v>
      </c>
      <c r="B7" s="4">
        <f>VLOOKUP(TABLA_STOCK[Codigo],LISTADO_PRODUCTOS[#All],2)</f>
        <v>54178</v>
      </c>
      <c r="C7" s="6" t="str">
        <f>VLOOKUP(TABLA_STOCK[Codigo],LISTADO_PRODUCTOS[#All],3)</f>
        <v>LIBRERÍA</v>
      </c>
      <c r="D7" s="6" t="str">
        <f>VLOOKUP(TABLA_STOCK[Codigo],LISTADO_PRODUCTOS[#All],4)</f>
        <v>Cuaderno E7 Éxito Colegial Tapa c/ motivos 60h</v>
      </c>
      <c r="E7" s="6" t="str">
        <f>VLOOKUP(TABLA_STOCK[Codigo],LISTADO_PRODUCTOS[#All],5)</f>
        <v>N/A</v>
      </c>
      <c r="F7" s="4" t="s">
        <v>914</v>
      </c>
      <c r="G7" s="4">
        <v>46</v>
      </c>
    </row>
    <row r="8" spans="1:7" x14ac:dyDescent="0.3">
      <c r="A8" s="4">
        <v>1010</v>
      </c>
      <c r="B8" s="4">
        <f>VLOOKUP(TABLA_STOCK[Codigo],LISTADO_PRODUCTOS[#All],2)</f>
        <v>54179</v>
      </c>
      <c r="C8" s="6" t="str">
        <f>VLOOKUP(TABLA_STOCK[Codigo],LISTADO_PRODUCTOS[#All],3)</f>
        <v>LIBRERÍA</v>
      </c>
      <c r="D8" s="6" t="str">
        <f>VLOOKUP(TABLA_STOCK[Codigo],LISTADO_PRODUCTOS[#All],4)</f>
        <v>Cuaderno Colegial Éxito x 60h</v>
      </c>
      <c r="E8" s="6" t="str">
        <f>VLOOKUP(TABLA_STOCK[Codigo],LISTADO_PRODUCTOS[#All],5)</f>
        <v>N/A</v>
      </c>
      <c r="F8" s="4">
        <v>2</v>
      </c>
      <c r="G8" s="4">
        <v>28</v>
      </c>
    </row>
    <row r="9" spans="1:7" x14ac:dyDescent="0.3">
      <c r="A9" s="4">
        <v>1011</v>
      </c>
      <c r="B9" s="4">
        <f>VLOOKUP(TABLA_STOCK[Codigo],LISTADO_PRODUCTOS[#All],2)</f>
        <v>54180</v>
      </c>
      <c r="C9" s="6" t="str">
        <f>VLOOKUP(TABLA_STOCK[Codigo],LISTADO_PRODUCTOS[#All],3)</f>
        <v>LIBRERÍA</v>
      </c>
      <c r="D9" s="6" t="str">
        <f>VLOOKUP(TABLA_STOCK[Codigo],LISTADO_PRODUCTOS[#All],4)</f>
        <v>Cuaderno Colegial Éxito x 100h</v>
      </c>
      <c r="E9" s="6" t="str">
        <f>VLOOKUP(TABLA_STOCK[Codigo],LISTADO_PRODUCTOS[#All],5)</f>
        <v>N/A</v>
      </c>
      <c r="F9" s="4">
        <v>10</v>
      </c>
      <c r="G9" s="4">
        <v>51</v>
      </c>
    </row>
    <row r="10" spans="1:7" x14ac:dyDescent="0.3">
      <c r="A10" s="4">
        <v>1012</v>
      </c>
      <c r="B10" s="4">
        <f>VLOOKUP(TABLA_STOCK[Codigo],LISTADO_PRODUCTOS[#All],2)</f>
        <v>54181</v>
      </c>
      <c r="C10" s="6" t="str">
        <f>VLOOKUP(TABLA_STOCK[Codigo],LISTADO_PRODUCTOS[#All],3)</f>
        <v>LIBRERÍA</v>
      </c>
      <c r="D10" s="6" t="str">
        <f>VLOOKUP(TABLA_STOCK[Codigo],LISTADO_PRODUCTOS[#All],4)</f>
        <v>Cuaderno ABC Rivadavia x 60h</v>
      </c>
      <c r="E10" s="6" t="str">
        <f>VLOOKUP(TABLA_STOCK[Codigo],LISTADO_PRODUCTOS[#All],5)</f>
        <v>N/A</v>
      </c>
      <c r="F10" s="4" t="s">
        <v>921</v>
      </c>
      <c r="G10" s="4">
        <v>107</v>
      </c>
    </row>
    <row r="11" spans="1:7" x14ac:dyDescent="0.3">
      <c r="A11" s="4">
        <v>1013</v>
      </c>
      <c r="B11" s="4">
        <f>VLOOKUP(TABLA_STOCK[Codigo],LISTADO_PRODUCTOS[#All],2)</f>
        <v>54182</v>
      </c>
      <c r="C11" s="6" t="str">
        <f>VLOOKUP(TABLA_STOCK[Codigo],LISTADO_PRODUCTOS[#All],3)</f>
        <v>LIBRERÍA</v>
      </c>
      <c r="D11" s="6" t="str">
        <f>VLOOKUP(TABLA_STOCK[Codigo],LISTADO_PRODUCTOS[#All],4)</f>
        <v>Cuaderno ABC Rivadavia x 100h</v>
      </c>
      <c r="E11" s="6" t="str">
        <f>VLOOKUP(TABLA_STOCK[Codigo],LISTADO_PRODUCTOS[#All],5)</f>
        <v>N/A</v>
      </c>
      <c r="F11" s="4">
        <v>5</v>
      </c>
      <c r="G11" s="4">
        <v>25</v>
      </c>
    </row>
    <row r="12" spans="1:7" x14ac:dyDescent="0.3">
      <c r="A12" s="4">
        <v>1014</v>
      </c>
      <c r="B12" s="4">
        <f>VLOOKUP(TABLA_STOCK[Codigo],LISTADO_PRODUCTOS[#All],2)</f>
        <v>54183</v>
      </c>
      <c r="C12" s="6" t="str">
        <f>VLOOKUP(TABLA_STOCK[Codigo],LISTADO_PRODUCTOS[#All],3)</f>
        <v>LIBRERÍA</v>
      </c>
      <c r="D12" s="6" t="str">
        <f>VLOOKUP(TABLA_STOCK[Codigo],LISTADO_PRODUCTOS[#All],4)</f>
        <v>Block A6 Alfa anillado Rayado 80h</v>
      </c>
      <c r="E12" s="6" t="str">
        <f>VLOOKUP(TABLA_STOCK[Codigo],LISTADO_PRODUCTOS[#All],5)</f>
        <v>N/A</v>
      </c>
      <c r="F12" s="4">
        <v>1</v>
      </c>
      <c r="G12" s="4">
        <v>32</v>
      </c>
    </row>
    <row r="13" spans="1:7" x14ac:dyDescent="0.3">
      <c r="A13" s="4">
        <v>1015</v>
      </c>
      <c r="B13" s="4">
        <f>VLOOKUP(TABLA_STOCK[Codigo],LISTADO_PRODUCTOS[#All],2)</f>
        <v>54184</v>
      </c>
      <c r="C13" s="6" t="str">
        <f>VLOOKUP(TABLA_STOCK[Codigo],LISTADO_PRODUCTOS[#All],3)</f>
        <v>LIBRERÍA</v>
      </c>
      <c r="D13" s="6" t="str">
        <f>VLOOKUP(TABLA_STOCK[Codigo],LISTADO_PRODUCTOS[#All],4)</f>
        <v xml:space="preserve">Cuaderno 16.21 Avon x 84h Rayadas </v>
      </c>
      <c r="E13" s="6" t="str">
        <f>VLOOKUP(TABLA_STOCK[Codigo],LISTADO_PRODUCTOS[#All],5)</f>
        <v>N/A</v>
      </c>
      <c r="F13" s="4" t="s">
        <v>914</v>
      </c>
      <c r="G13" s="4">
        <v>150</v>
      </c>
    </row>
    <row r="14" spans="1:7" x14ac:dyDescent="0.3">
      <c r="A14" s="4">
        <v>1016</v>
      </c>
      <c r="B14" s="4">
        <f>VLOOKUP(TABLA_STOCK[Codigo],LISTADO_PRODUCTOS[#All],2)</f>
        <v>54185</v>
      </c>
      <c r="C14" s="6" t="str">
        <f>VLOOKUP(TABLA_STOCK[Codigo],LISTADO_PRODUCTOS[#All],3)</f>
        <v>LIBRERÍA</v>
      </c>
      <c r="D14" s="6" t="str">
        <f>VLOOKUP(TABLA_STOCK[Codigo],LISTADO_PRODUCTOS[#All],4)</f>
        <v>Block A5 anillado Alfa</v>
      </c>
      <c r="E14" s="6" t="str">
        <f>VLOOKUP(TABLA_STOCK[Codigo],LISTADO_PRODUCTOS[#All],5)</f>
        <v>N/A</v>
      </c>
      <c r="F14" s="4">
        <v>2</v>
      </c>
      <c r="G14" s="4">
        <v>20</v>
      </c>
    </row>
    <row r="15" spans="1:7" x14ac:dyDescent="0.3">
      <c r="A15" s="4">
        <v>1017</v>
      </c>
      <c r="B15" s="4">
        <f>VLOOKUP(TABLA_STOCK[Codigo],LISTADO_PRODUCTOS[#All],2)</f>
        <v>54186</v>
      </c>
      <c r="C15" s="6" t="str">
        <f>VLOOKUP(TABLA_STOCK[Codigo],LISTADO_PRODUCTOS[#All],3)</f>
        <v>LIBRERÍA</v>
      </c>
      <c r="D15" s="6" t="str">
        <f>VLOOKUP(TABLA_STOCK[Codigo],LISTADO_PRODUCTOS[#All],4)</f>
        <v>Block A4 Alfa anillado</v>
      </c>
      <c r="E15" s="6" t="str">
        <f>VLOOKUP(TABLA_STOCK[Codigo],LISTADO_PRODUCTOS[#All],5)</f>
        <v>N/A</v>
      </c>
      <c r="F15" s="4">
        <v>2</v>
      </c>
      <c r="G15" s="4">
        <v>19</v>
      </c>
    </row>
    <row r="16" spans="1:7" x14ac:dyDescent="0.3">
      <c r="A16" s="4">
        <v>1018</v>
      </c>
      <c r="B16" s="4">
        <f>VLOOKUP(TABLA_STOCK[Codigo],LISTADO_PRODUCTOS[#All],2)</f>
        <v>54187</v>
      </c>
      <c r="C16" s="6" t="str">
        <f>VLOOKUP(TABLA_STOCK[Codigo],LISTADO_PRODUCTOS[#All],3)</f>
        <v>LIBRERÍA</v>
      </c>
      <c r="D16" s="6" t="str">
        <f>VLOOKUP(TABLA_STOCK[Codigo],LISTADO_PRODUCTOS[#All],4)</f>
        <v>Block A4 Avon</v>
      </c>
      <c r="E16" s="6" t="str">
        <f>VLOOKUP(TABLA_STOCK[Codigo],LISTADO_PRODUCTOS[#All],5)</f>
        <v>N/A</v>
      </c>
      <c r="F16" s="4">
        <v>10</v>
      </c>
      <c r="G16" s="4">
        <v>6</v>
      </c>
    </row>
    <row r="17" spans="1:7" x14ac:dyDescent="0.3">
      <c r="A17" s="4">
        <v>1020</v>
      </c>
      <c r="B17" s="4">
        <f>VLOOKUP(TABLA_STOCK[Codigo],LISTADO_PRODUCTOS[#All],2)</f>
        <v>54188</v>
      </c>
      <c r="C17" s="6" t="str">
        <f>VLOOKUP(TABLA_STOCK[Codigo],LISTADO_PRODUCTOS[#All],3)</f>
        <v>LIBRERÍA</v>
      </c>
      <c r="D17" s="6" t="str">
        <f>VLOOKUP(TABLA_STOCK[Codigo],LISTADO_PRODUCTOS[#All],4)</f>
        <v>Block Oficio Avon</v>
      </c>
      <c r="E17" s="6" t="str">
        <f>VLOOKUP(TABLA_STOCK[Codigo],LISTADO_PRODUCTOS[#All],5)</f>
        <v>N/A</v>
      </c>
      <c r="F17" s="4">
        <v>20</v>
      </c>
      <c r="G17" s="4">
        <v>5</v>
      </c>
    </row>
    <row r="18" spans="1:7" x14ac:dyDescent="0.3">
      <c r="A18" s="4">
        <v>1021</v>
      </c>
      <c r="B18" s="4">
        <f>VLOOKUP(TABLA_STOCK[Codigo],LISTADO_PRODUCTOS[#All],2)</f>
        <v>54189</v>
      </c>
      <c r="C18" s="6" t="str">
        <f>VLOOKUP(TABLA_STOCK[Codigo],LISTADO_PRODUCTOS[#All],3)</f>
        <v>LIBRERÍA</v>
      </c>
      <c r="D18" s="6" t="str">
        <f>VLOOKUP(TABLA_STOCK[Codigo],LISTADO_PRODUCTOS[#All],4)</f>
        <v>Tijera para Zurdos Maped</v>
      </c>
      <c r="E18" s="6" t="str">
        <f>VLOOKUP(TABLA_STOCK[Codigo],LISTADO_PRODUCTOS[#All],5)</f>
        <v>N/A</v>
      </c>
      <c r="F18" s="4">
        <v>5</v>
      </c>
      <c r="G18" s="4">
        <v>52</v>
      </c>
    </row>
    <row r="19" spans="1:7" x14ac:dyDescent="0.3">
      <c r="A19" s="4">
        <v>1023</v>
      </c>
      <c r="B19" s="4">
        <f>VLOOKUP(TABLA_STOCK[Codigo],LISTADO_PRODUCTOS[#All],2)</f>
        <v>54190</v>
      </c>
      <c r="C19" s="6" t="str">
        <f>VLOOKUP(TABLA_STOCK[Codigo],LISTADO_PRODUCTOS[#All],3)</f>
        <v>LIBRERÍA</v>
      </c>
      <c r="D19" s="6" t="str">
        <f>VLOOKUP(TABLA_STOCK[Codigo],LISTADO_PRODUCTOS[#All],4)</f>
        <v>Cuaderno Éxito Nº3 x 48h Forrado</v>
      </c>
      <c r="E19" s="6" t="str">
        <f>VLOOKUP(TABLA_STOCK[Codigo],LISTADO_PRODUCTOS[#All],5)</f>
        <v>N/A</v>
      </c>
      <c r="F19" s="4">
        <v>1</v>
      </c>
      <c r="G19" s="4">
        <v>32</v>
      </c>
    </row>
    <row r="20" spans="1:7" x14ac:dyDescent="0.3">
      <c r="A20" s="4">
        <v>1024</v>
      </c>
      <c r="B20" s="4">
        <f>VLOOKUP(TABLA_STOCK[Codigo],LISTADO_PRODUCTOS[#All],2)</f>
        <v>54191</v>
      </c>
      <c r="C20" s="6" t="str">
        <f>VLOOKUP(TABLA_STOCK[Codigo],LISTADO_PRODUCTOS[#All],3)</f>
        <v>LIBRERÍA</v>
      </c>
      <c r="D20" s="6" t="str">
        <f>VLOOKUP(TABLA_STOCK[Codigo],LISTADO_PRODUCTOS[#All],4)</f>
        <v>Cuaderno Éxito Nº3 x 48h Motivos - 7791762225079</v>
      </c>
      <c r="E20" s="6" t="str">
        <f>VLOOKUP(TABLA_STOCK[Codigo],LISTADO_PRODUCTOS[#All],5)</f>
        <v>N/A</v>
      </c>
      <c r="F20" s="4">
        <v>5</v>
      </c>
      <c r="G20" s="4">
        <v>56</v>
      </c>
    </row>
    <row r="21" spans="1:7" x14ac:dyDescent="0.3">
      <c r="A21" s="4">
        <v>1025</v>
      </c>
      <c r="B21" s="4">
        <f>VLOOKUP(TABLA_STOCK[Codigo],LISTADO_PRODUCTOS[#All],2)</f>
        <v>54192</v>
      </c>
      <c r="C21" s="6" t="str">
        <f>VLOOKUP(TABLA_STOCK[Codigo],LISTADO_PRODUCTOS[#All],3)</f>
        <v>LIBRERÍA</v>
      </c>
      <c r="D21" s="6" t="str">
        <f>VLOOKUP(TABLA_STOCK[Codigo],LISTADO_PRODUCTOS[#All],4)</f>
        <v>Cuaderno Éxito Nº3 x 48h Lunares - 7791762378072</v>
      </c>
      <c r="E21" s="6" t="str">
        <f>VLOOKUP(TABLA_STOCK[Codigo],LISTADO_PRODUCTOS[#All],5)</f>
        <v>N/A</v>
      </c>
      <c r="F21" s="4">
        <v>2</v>
      </c>
      <c r="G21" s="4">
        <v>107</v>
      </c>
    </row>
    <row r="22" spans="1:7" x14ac:dyDescent="0.3">
      <c r="A22" s="4">
        <v>1026</v>
      </c>
      <c r="B22" s="4">
        <f>VLOOKUP(TABLA_STOCK[Codigo],LISTADO_PRODUCTOS[#All],2)</f>
        <v>54193</v>
      </c>
      <c r="C22" s="6" t="str">
        <f>VLOOKUP(TABLA_STOCK[Codigo],LISTADO_PRODUCTOS[#All],3)</f>
        <v>LIBRERÍA</v>
      </c>
      <c r="D22" s="6" t="str">
        <f>VLOOKUP(TABLA_STOCK[Codigo],LISTADO_PRODUCTOS[#All],4)</f>
        <v>Cuaderno Rivadavia Nº3 x 50h Forrado araña</v>
      </c>
      <c r="E22" s="6" t="str">
        <f>VLOOKUP(TABLA_STOCK[Codigo],LISTADO_PRODUCTOS[#All],5)</f>
        <v>N/A</v>
      </c>
      <c r="F22" s="4">
        <v>2</v>
      </c>
      <c r="G22" s="4">
        <v>25</v>
      </c>
    </row>
    <row r="23" spans="1:7" x14ac:dyDescent="0.3">
      <c r="A23" s="4">
        <v>1027</v>
      </c>
      <c r="B23" s="4">
        <f>VLOOKUP(TABLA_STOCK[Codigo],LISTADO_PRODUCTOS[#All],2)</f>
        <v>54194</v>
      </c>
      <c r="C23" s="6" t="str">
        <f>VLOOKUP(TABLA_STOCK[Codigo],LISTADO_PRODUCTOS[#All],3)</f>
        <v>LIBRERÍA</v>
      </c>
      <c r="D23" s="6" t="str">
        <f>VLOOKUP(TABLA_STOCK[Codigo],LISTADO_PRODUCTOS[#All],4)</f>
        <v>Cuaderno Rivadavia Nº3 x 50h Lunar</v>
      </c>
      <c r="E23" s="6" t="str">
        <f>VLOOKUP(TABLA_STOCK[Codigo],LISTADO_PRODUCTOS[#All],5)</f>
        <v>N/A</v>
      </c>
      <c r="F23" s="4">
        <v>10</v>
      </c>
      <c r="G23" s="4">
        <v>32</v>
      </c>
    </row>
    <row r="24" spans="1:7" x14ac:dyDescent="0.3">
      <c r="A24" s="4">
        <v>1028</v>
      </c>
      <c r="B24" s="4">
        <f>VLOOKUP(TABLA_STOCK[Codigo],LISTADO_PRODUCTOS[#All],2)</f>
        <v>54195</v>
      </c>
      <c r="C24" s="6" t="str">
        <f>VLOOKUP(TABLA_STOCK[Codigo],LISTADO_PRODUCTOS[#All],3)</f>
        <v>LIBRERÍA</v>
      </c>
      <c r="D24" s="6" t="str">
        <f>VLOOKUP(TABLA_STOCK[Codigo],LISTADO_PRODUCTOS[#All],4)</f>
        <v>Cuaderno ABC Inicial T/C</v>
      </c>
      <c r="E24" s="6" t="str">
        <f>VLOOKUP(TABLA_STOCK[Codigo],LISTADO_PRODUCTOS[#All],5)</f>
        <v>N/A</v>
      </c>
      <c r="F24" s="4">
        <v>20</v>
      </c>
      <c r="G24" s="4">
        <v>150</v>
      </c>
    </row>
    <row r="25" spans="1:7" x14ac:dyDescent="0.3">
      <c r="A25" s="4">
        <v>1029</v>
      </c>
      <c r="B25" s="4">
        <f>VLOOKUP(TABLA_STOCK[Codigo],LISTADO_PRODUCTOS[#All],2)</f>
        <v>54196</v>
      </c>
      <c r="C25" s="6" t="str">
        <f>VLOOKUP(TABLA_STOCK[Codigo],LISTADO_PRODUCTOS[#All],3)</f>
        <v>LIBRERÍA</v>
      </c>
      <c r="D25" s="6" t="str">
        <f>VLOOKUP(TABLA_STOCK[Codigo],LISTADO_PRODUCTOS[#All],4)</f>
        <v>Cuaderno Escolar Éxito x 48h Forrado</v>
      </c>
      <c r="E25" s="6" t="str">
        <f>VLOOKUP(TABLA_STOCK[Codigo],LISTADO_PRODUCTOS[#All],5)</f>
        <v>N/A</v>
      </c>
      <c r="F25" s="4">
        <v>5</v>
      </c>
      <c r="G25" s="4">
        <v>20</v>
      </c>
    </row>
    <row r="26" spans="1:7" x14ac:dyDescent="0.3">
      <c r="A26" s="4">
        <v>1030</v>
      </c>
      <c r="B26" s="4">
        <f>VLOOKUP(TABLA_STOCK[Codigo],LISTADO_PRODUCTOS[#All],2)</f>
        <v>54197</v>
      </c>
      <c r="C26" s="6" t="str">
        <f>VLOOKUP(TABLA_STOCK[Codigo],LISTADO_PRODUCTOS[#All],3)</f>
        <v>LIBRERÍA</v>
      </c>
      <c r="D26" s="6" t="str">
        <f>VLOOKUP(TABLA_STOCK[Codigo],LISTADO_PRODUCTOS[#All],4)</f>
        <v>Cuaderno Escolar ABC Rivadavia x 50h - 7792216051053</v>
      </c>
      <c r="E26" s="6" t="str">
        <f>VLOOKUP(TABLA_STOCK[Codigo],LISTADO_PRODUCTOS[#All],5)</f>
        <v>N/A</v>
      </c>
      <c r="F26" s="4">
        <v>1</v>
      </c>
      <c r="G26" s="4">
        <v>19</v>
      </c>
    </row>
    <row r="27" spans="1:7" x14ac:dyDescent="0.3">
      <c r="A27" s="4">
        <v>1031</v>
      </c>
      <c r="B27" s="4">
        <f>VLOOKUP(TABLA_STOCK[Codigo],LISTADO_PRODUCTOS[#All],2)</f>
        <v>54198</v>
      </c>
      <c r="C27" s="6" t="str">
        <f>VLOOKUP(TABLA_STOCK[Codigo],LISTADO_PRODUCTOS[#All],3)</f>
        <v>LIBRERÍA</v>
      </c>
      <c r="D27" s="6" t="str">
        <f>VLOOKUP(TABLA_STOCK[Codigo],LISTADO_PRODUCTOS[#All],4)</f>
        <v>Cuaderno Escolar America x 82h T/C - 7792216675709</v>
      </c>
      <c r="E27" s="6" t="str">
        <f>VLOOKUP(TABLA_STOCK[Codigo],LISTADO_PRODUCTOS[#All],5)</f>
        <v>N/A</v>
      </c>
      <c r="F27" s="4">
        <v>5</v>
      </c>
      <c r="G27" s="4">
        <v>6</v>
      </c>
    </row>
    <row r="28" spans="1:7" x14ac:dyDescent="0.3">
      <c r="A28" s="4">
        <v>1032</v>
      </c>
      <c r="B28" s="4">
        <f>VLOOKUP(TABLA_STOCK[Codigo],LISTADO_PRODUCTOS[#All],2)</f>
        <v>54199</v>
      </c>
      <c r="C28" s="6" t="str">
        <f>VLOOKUP(TABLA_STOCK[Codigo],LISTADO_PRODUCTOS[#All],3)</f>
        <v>LIBRERÍA</v>
      </c>
      <c r="D28" s="6" t="str">
        <f>VLOOKUP(TABLA_STOCK[Codigo],LISTADO_PRODUCTOS[#All],4)</f>
        <v xml:space="preserve"> cuaderno Escolar America 42h T/C - 7792216000495</v>
      </c>
      <c r="E28" s="6" t="str">
        <f>VLOOKUP(TABLA_STOCK[Codigo],LISTADO_PRODUCTOS[#All],5)</f>
        <v>N/A</v>
      </c>
      <c r="F28" s="4">
        <v>2</v>
      </c>
      <c r="G28" s="4">
        <v>5</v>
      </c>
    </row>
    <row r="29" spans="1:7" x14ac:dyDescent="0.3">
      <c r="A29" s="4">
        <v>1033</v>
      </c>
      <c r="B29" s="4">
        <f>VLOOKUP(TABLA_STOCK[Codigo],LISTADO_PRODUCTOS[#All],2)</f>
        <v>54200</v>
      </c>
      <c r="C29" s="6" t="str">
        <f>VLOOKUP(TABLA_STOCK[Codigo],LISTADO_PRODUCTOS[#All],3)</f>
        <v>LIBRERÍA</v>
      </c>
      <c r="D29" s="6" t="str">
        <f>VLOOKUP(TABLA_STOCK[Codigo],LISTADO_PRODUCTOS[#All],4)</f>
        <v>Cuaderno Escolar Gloria x 84h</v>
      </c>
      <c r="E29" s="6" t="str">
        <f>VLOOKUP(TABLA_STOCK[Codigo],LISTADO_PRODUCTOS[#All],5)</f>
        <v>N/A</v>
      </c>
      <c r="F29" s="4">
        <v>2</v>
      </c>
      <c r="G29" s="4">
        <v>52</v>
      </c>
    </row>
    <row r="30" spans="1:7" x14ac:dyDescent="0.3">
      <c r="A30" s="4">
        <v>1036</v>
      </c>
      <c r="B30" s="4">
        <f>VLOOKUP(TABLA_STOCK[Codigo],LISTADO_PRODUCTOS[#All],2)</f>
        <v>54201</v>
      </c>
      <c r="C30" s="6" t="str">
        <f>VLOOKUP(TABLA_STOCK[Codigo],LISTADO_PRODUCTOS[#All],3)</f>
        <v>LIBRERÍA</v>
      </c>
      <c r="D30" s="6" t="str">
        <f>VLOOKUP(TABLA_STOCK[Codigo],LISTADO_PRODUCTOS[#All],4)</f>
        <v>Cuaderno Rivadavia escolar T dura 50h 16.21</v>
      </c>
      <c r="E30" s="6" t="str">
        <f>VLOOKUP(TABLA_STOCK[Codigo],LISTADO_PRODUCTOS[#All],5)</f>
        <v>N/A</v>
      </c>
      <c r="F30" s="4">
        <v>10</v>
      </c>
      <c r="G30" s="4">
        <v>32</v>
      </c>
    </row>
    <row r="31" spans="1:7" x14ac:dyDescent="0.3">
      <c r="A31" s="4">
        <v>1038</v>
      </c>
      <c r="B31" s="4">
        <f>VLOOKUP(TABLA_STOCK[Codigo],LISTADO_PRODUCTOS[#All],2)</f>
        <v>54202</v>
      </c>
      <c r="C31" s="6" t="str">
        <f>VLOOKUP(TABLA_STOCK[Codigo],LISTADO_PRODUCTOS[#All],3)</f>
        <v>LIBRERÍA</v>
      </c>
      <c r="D31" s="6" t="str">
        <f>VLOOKUP(TABLA_STOCK[Codigo],LISTADO_PRODUCTOS[#All],4)</f>
        <v>Cuaderno T/flex Gloria x 48h - 7791762110078</v>
      </c>
      <c r="E31" s="6" t="str">
        <f>VLOOKUP(TABLA_STOCK[Codigo],LISTADO_PRODUCTOS[#All],5)</f>
        <v>N/A</v>
      </c>
      <c r="F31" s="4">
        <v>20</v>
      </c>
      <c r="G31" s="4">
        <v>56</v>
      </c>
    </row>
    <row r="32" spans="1:7" x14ac:dyDescent="0.3">
      <c r="A32" s="4">
        <v>1039</v>
      </c>
      <c r="B32" s="4">
        <f>VLOOKUP(TABLA_STOCK[Codigo],LISTADO_PRODUCTOS[#All],2)</f>
        <v>54203</v>
      </c>
      <c r="C32" s="6" t="str">
        <f>VLOOKUP(TABLA_STOCK[Codigo],LISTADO_PRODUCTOS[#All],3)</f>
        <v>LIBRERÍA</v>
      </c>
      <c r="D32" s="6" t="str">
        <f>VLOOKUP(TABLA_STOCK[Codigo],LISTADO_PRODUCTOS[#All],4)</f>
        <v>Cuaderno T/flex Gloria x 24h</v>
      </c>
      <c r="E32" s="6" t="str">
        <f>VLOOKUP(TABLA_STOCK[Codigo],LISTADO_PRODUCTOS[#All],5)</f>
        <v>N/A</v>
      </c>
      <c r="F32" s="4">
        <v>5</v>
      </c>
      <c r="G32" s="4">
        <v>107</v>
      </c>
    </row>
    <row r="33" spans="1:7" x14ac:dyDescent="0.3">
      <c r="A33" s="4">
        <v>1040</v>
      </c>
      <c r="B33" s="4">
        <f>VLOOKUP(TABLA_STOCK[Codigo],LISTADO_PRODUCTOS[#All],2)</f>
        <v>54204</v>
      </c>
      <c r="C33" s="6" t="str">
        <f>VLOOKUP(TABLA_STOCK[Codigo],LISTADO_PRODUCTOS[#All],3)</f>
        <v>LIBRERÍA</v>
      </c>
      <c r="D33" s="6" t="str">
        <f>VLOOKUP(TABLA_STOCK[Codigo],LISTADO_PRODUCTOS[#All],4)</f>
        <v>Repuesto N°3 Husares x 480h</v>
      </c>
      <c r="E33" s="6" t="str">
        <f>VLOOKUP(TABLA_STOCK[Codigo],LISTADO_PRODUCTOS[#All],5)</f>
        <v>N/A</v>
      </c>
      <c r="F33" s="4">
        <v>1</v>
      </c>
      <c r="G33" s="4">
        <v>25</v>
      </c>
    </row>
    <row r="34" spans="1:7" x14ac:dyDescent="0.3">
      <c r="A34" s="4">
        <v>1041</v>
      </c>
      <c r="B34" s="4">
        <f>VLOOKUP(TABLA_STOCK[Codigo],LISTADO_PRODUCTOS[#All],2)</f>
        <v>54205</v>
      </c>
      <c r="C34" s="6" t="str">
        <f>VLOOKUP(TABLA_STOCK[Codigo],LISTADO_PRODUCTOS[#All],3)</f>
        <v>LIBRERÍA</v>
      </c>
      <c r="D34" s="6" t="str">
        <f>VLOOKUP(TABLA_STOCK[Codigo],LISTADO_PRODUCTOS[#All],4)</f>
        <v>Repuesto A4 Éxito M/Reforzado x 96h - 7791762400124</v>
      </c>
      <c r="E34" s="6" t="str">
        <f>VLOOKUP(TABLA_STOCK[Codigo],LISTADO_PRODUCTOS[#All],5)</f>
        <v>N/A</v>
      </c>
      <c r="F34" s="4">
        <v>5</v>
      </c>
      <c r="G34" s="4">
        <v>32</v>
      </c>
    </row>
    <row r="35" spans="1:7" x14ac:dyDescent="0.3">
      <c r="A35" s="4">
        <v>1042</v>
      </c>
      <c r="B35" s="4">
        <f>VLOOKUP(TABLA_STOCK[Codigo],LISTADO_PRODUCTOS[#All],2)</f>
        <v>54206</v>
      </c>
      <c r="C35" s="6" t="str">
        <f>VLOOKUP(TABLA_STOCK[Codigo],LISTADO_PRODUCTOS[#All],3)</f>
        <v>LIBRERÍA</v>
      </c>
      <c r="D35" s="6" t="str">
        <f>VLOOKUP(TABLA_STOCK[Codigo],LISTADO_PRODUCTOS[#All],4)</f>
        <v>Repuesto A4 Rivadavia M/Ref x96h - 7792216041917</v>
      </c>
      <c r="E35" s="6" t="str">
        <f>VLOOKUP(TABLA_STOCK[Codigo],LISTADO_PRODUCTOS[#All],5)</f>
        <v>N/A</v>
      </c>
      <c r="F35" s="4">
        <v>2</v>
      </c>
      <c r="G35" s="4">
        <v>150</v>
      </c>
    </row>
    <row r="36" spans="1:7" x14ac:dyDescent="0.3">
      <c r="A36" s="4">
        <v>1043</v>
      </c>
      <c r="B36" s="4">
        <f>VLOOKUP(TABLA_STOCK[Codigo],LISTADO_PRODUCTOS[#All],2)</f>
        <v>54207</v>
      </c>
      <c r="C36" s="6" t="str">
        <f>VLOOKUP(TABLA_STOCK[Codigo],LISTADO_PRODUCTOS[#All],3)</f>
        <v>LIBRERÍA</v>
      </c>
      <c r="D36" s="6" t="str">
        <f>VLOOKUP(TABLA_STOCK[Codigo],LISTADO_PRODUCTOS[#All],4)</f>
        <v>Repuesto A4 Rivadavia M/Ref x 48h</v>
      </c>
      <c r="E36" s="6" t="str">
        <f>VLOOKUP(TABLA_STOCK[Codigo],LISTADO_PRODUCTOS[#All],5)</f>
        <v>N/A</v>
      </c>
      <c r="F36" s="4">
        <v>2</v>
      </c>
      <c r="G36" s="4">
        <v>20</v>
      </c>
    </row>
    <row r="37" spans="1:7" x14ac:dyDescent="0.3">
      <c r="A37" s="4">
        <v>1044</v>
      </c>
      <c r="B37" s="4">
        <f>VLOOKUP(TABLA_STOCK[Codigo],LISTADO_PRODUCTOS[#All],2)</f>
        <v>54208</v>
      </c>
      <c r="C37" s="6" t="str">
        <f>VLOOKUP(TABLA_STOCK[Codigo],LISTADO_PRODUCTOS[#All],3)</f>
        <v>LIBRERÍA</v>
      </c>
      <c r="D37" s="6" t="str">
        <f>VLOOKUP(TABLA_STOCK[Codigo],LISTADO_PRODUCTOS[#All],4)</f>
        <v>Repuesto escolar A4 Éxito x 192h M/Reforzado</v>
      </c>
      <c r="E37" s="6" t="str">
        <f>VLOOKUP(TABLA_STOCK[Codigo],LISTADO_PRODUCTOS[#All],5)</f>
        <v>N/A</v>
      </c>
      <c r="F37" s="4">
        <v>10</v>
      </c>
      <c r="G37" s="4">
        <v>19</v>
      </c>
    </row>
    <row r="38" spans="1:7" x14ac:dyDescent="0.3">
      <c r="A38" s="4">
        <v>1045</v>
      </c>
      <c r="B38" s="4">
        <f>VLOOKUP(TABLA_STOCK[Codigo],LISTADO_PRODUCTOS[#All],2)</f>
        <v>54209</v>
      </c>
      <c r="C38" s="6" t="str">
        <f>VLOOKUP(TABLA_STOCK[Codigo],LISTADO_PRODUCTOS[#All],3)</f>
        <v>LIBRERÍA</v>
      </c>
      <c r="D38" s="6" t="str">
        <f>VLOOKUP(TABLA_STOCK[Codigo],LISTADO_PRODUCTOS[#All],4)</f>
        <v xml:space="preserve">Repuesto A4 Husares x 48h </v>
      </c>
      <c r="E38" s="6" t="str">
        <f>VLOOKUP(TABLA_STOCK[Codigo],LISTADO_PRODUCTOS[#All],5)</f>
        <v>N/A</v>
      </c>
      <c r="F38" s="4">
        <v>20</v>
      </c>
      <c r="G38" s="4">
        <v>6</v>
      </c>
    </row>
    <row r="39" spans="1:7" x14ac:dyDescent="0.3">
      <c r="A39" s="4">
        <v>1047</v>
      </c>
      <c r="B39" s="4">
        <f>VLOOKUP(TABLA_STOCK[Codigo],LISTADO_PRODUCTOS[#All],2)</f>
        <v>54210</v>
      </c>
      <c r="C39" s="6" t="str">
        <f>VLOOKUP(TABLA_STOCK[Codigo],LISTADO_PRODUCTOS[#All],3)</f>
        <v>LIBRERÍA</v>
      </c>
      <c r="D39" s="6" t="str">
        <f>VLOOKUP(TABLA_STOCK[Codigo],LISTADO_PRODUCTOS[#All],4)</f>
        <v>Repuesto A4 Husares 120h</v>
      </c>
      <c r="E39" s="6" t="str">
        <f>VLOOKUP(TABLA_STOCK[Codigo],LISTADO_PRODUCTOS[#All],5)</f>
        <v>N/A</v>
      </c>
      <c r="F39" s="4">
        <v>5</v>
      </c>
      <c r="G39" s="4">
        <v>5</v>
      </c>
    </row>
    <row r="40" spans="1:7" x14ac:dyDescent="0.3">
      <c r="A40" s="4">
        <v>1048</v>
      </c>
      <c r="B40" s="4">
        <f>VLOOKUP(TABLA_STOCK[Codigo],LISTADO_PRODUCTOS[#All],2)</f>
        <v>54211</v>
      </c>
      <c r="C40" s="6" t="str">
        <f>VLOOKUP(TABLA_STOCK[Codigo],LISTADO_PRODUCTOS[#All],3)</f>
        <v>LIBRERÍA</v>
      </c>
      <c r="D40" s="6" t="str">
        <f>VLOOKUP(TABLA_STOCK[Codigo],LISTADO_PRODUCTOS[#All],4)</f>
        <v>Repuesto Nº3 Éxito M/R x 480h</v>
      </c>
      <c r="E40" s="6" t="str">
        <f>VLOOKUP(TABLA_STOCK[Codigo],LISTADO_PRODUCTOS[#All],5)</f>
        <v>N/A</v>
      </c>
      <c r="F40" s="4">
        <v>1</v>
      </c>
      <c r="G40" s="4">
        <v>52</v>
      </c>
    </row>
    <row r="41" spans="1:7" x14ac:dyDescent="0.3">
      <c r="A41" s="4">
        <v>1049</v>
      </c>
      <c r="B41" s="4">
        <f>VLOOKUP(TABLA_STOCK[Codigo],LISTADO_PRODUCTOS[#All],2)</f>
        <v>54212</v>
      </c>
      <c r="C41" s="6" t="str">
        <f>VLOOKUP(TABLA_STOCK[Codigo],LISTADO_PRODUCTOS[#All],3)</f>
        <v>LIBRERÍA</v>
      </c>
      <c r="D41" s="6" t="str">
        <f>VLOOKUP(TABLA_STOCK[Codigo],LISTADO_PRODUCTOS[#All],4)</f>
        <v>Repuesto Nº3 Éxito M/R x 96h - 7791762480126</v>
      </c>
      <c r="E41" s="6" t="str">
        <f>VLOOKUP(TABLA_STOCK[Codigo],LISTADO_PRODUCTOS[#All],5)</f>
        <v>N/A</v>
      </c>
      <c r="F41" s="4">
        <v>5</v>
      </c>
      <c r="G41" s="4">
        <v>32</v>
      </c>
    </row>
    <row r="42" spans="1:7" x14ac:dyDescent="0.3">
      <c r="A42" s="4">
        <v>1050</v>
      </c>
      <c r="B42" s="4">
        <f>VLOOKUP(TABLA_STOCK[Codigo],LISTADO_PRODUCTOS[#All],2)</f>
        <v>54213</v>
      </c>
      <c r="C42" s="6" t="str">
        <f>VLOOKUP(TABLA_STOCK[Codigo],LISTADO_PRODUCTOS[#All],3)</f>
        <v>LIBRERÍA</v>
      </c>
      <c r="D42" s="6" t="str">
        <f>VLOOKUP(TABLA_STOCK[Codigo],LISTADO_PRODUCTOS[#All],4)</f>
        <v>Repuesto Éxito N°3 M/R x 48h</v>
      </c>
      <c r="E42" s="6" t="str">
        <f>VLOOKUP(TABLA_STOCK[Codigo],LISTADO_PRODUCTOS[#All],5)</f>
        <v>N/A</v>
      </c>
      <c r="F42" s="4">
        <v>2</v>
      </c>
      <c r="G42" s="4">
        <v>56</v>
      </c>
    </row>
    <row r="43" spans="1:7" x14ac:dyDescent="0.3">
      <c r="A43" s="4">
        <v>1051</v>
      </c>
      <c r="B43" s="4">
        <f>VLOOKUP(TABLA_STOCK[Codigo],LISTADO_PRODUCTOS[#All],2)</f>
        <v>54214</v>
      </c>
      <c r="C43" s="6" t="str">
        <f>VLOOKUP(TABLA_STOCK[Codigo],LISTADO_PRODUCTOS[#All],3)</f>
        <v>LIBRERÍA</v>
      </c>
      <c r="D43" s="6" t="str">
        <f>VLOOKUP(TABLA_STOCK[Codigo],LISTADO_PRODUCTOS[#All],4)</f>
        <v>Repuesto Nº3 Éxito M/R x 24h</v>
      </c>
      <c r="E43" s="6" t="str">
        <f>VLOOKUP(TABLA_STOCK[Codigo],LISTADO_PRODUCTOS[#All],5)</f>
        <v>N/A</v>
      </c>
      <c r="F43" s="4">
        <v>2</v>
      </c>
      <c r="G43" s="4">
        <v>107</v>
      </c>
    </row>
    <row r="44" spans="1:7" x14ac:dyDescent="0.3">
      <c r="A44" s="4">
        <v>1052</v>
      </c>
      <c r="B44" s="4">
        <f>VLOOKUP(TABLA_STOCK[Codigo],LISTADO_PRODUCTOS[#All],2)</f>
        <v>54215</v>
      </c>
      <c r="C44" s="6" t="str">
        <f>VLOOKUP(TABLA_STOCK[Codigo],LISTADO_PRODUCTOS[#All],3)</f>
        <v>LIBRERÍA</v>
      </c>
      <c r="D44" s="6" t="str">
        <f>VLOOKUP(TABLA_STOCK[Codigo],LISTADO_PRODUCTOS[#All],4)</f>
        <v>Repuesto Nº3 Éxito x 480h</v>
      </c>
      <c r="E44" s="6" t="str">
        <f>VLOOKUP(TABLA_STOCK[Codigo],LISTADO_PRODUCTOS[#All],5)</f>
        <v>N/A</v>
      </c>
      <c r="F44" s="4">
        <v>10</v>
      </c>
      <c r="G44" s="4">
        <v>25</v>
      </c>
    </row>
    <row r="45" spans="1:7" x14ac:dyDescent="0.3">
      <c r="A45" s="4">
        <v>1053</v>
      </c>
      <c r="B45" s="4">
        <f>VLOOKUP(TABLA_STOCK[Codigo],LISTADO_PRODUCTOS[#All],2)</f>
        <v>54216</v>
      </c>
      <c r="C45" s="6" t="str">
        <f>VLOOKUP(TABLA_STOCK[Codigo],LISTADO_PRODUCTOS[#All],3)</f>
        <v>LIBRERÍA</v>
      </c>
      <c r="D45" s="6" t="str">
        <f>VLOOKUP(TABLA_STOCK[Codigo],LISTADO_PRODUCTOS[#All],4)</f>
        <v>Repuesto Nº3 Éxito x 96h</v>
      </c>
      <c r="E45" s="6" t="str">
        <f>VLOOKUP(TABLA_STOCK[Codigo],LISTADO_PRODUCTOS[#All],5)</f>
        <v>N/A</v>
      </c>
      <c r="F45" s="4">
        <v>20</v>
      </c>
      <c r="G45" s="4">
        <v>32</v>
      </c>
    </row>
    <row r="46" spans="1:7" x14ac:dyDescent="0.3">
      <c r="A46" s="4">
        <v>1054</v>
      </c>
      <c r="B46" s="4">
        <f>VLOOKUP(TABLA_STOCK[Codigo],LISTADO_PRODUCTOS[#All],2)</f>
        <v>54217</v>
      </c>
      <c r="C46" s="6" t="str">
        <f>VLOOKUP(TABLA_STOCK[Codigo],LISTADO_PRODUCTOS[#All],3)</f>
        <v>LIBRERÍA</v>
      </c>
      <c r="D46" s="6" t="str">
        <f>VLOOKUP(TABLA_STOCK[Codigo],LISTADO_PRODUCTOS[#All],4)</f>
        <v>Repuesto Nº3 Éxito x 48h</v>
      </c>
      <c r="E46" s="6" t="str">
        <f>VLOOKUP(TABLA_STOCK[Codigo],LISTADO_PRODUCTOS[#All],5)</f>
        <v>N/A</v>
      </c>
      <c r="F46" s="4">
        <v>5</v>
      </c>
      <c r="G46" s="4">
        <v>150</v>
      </c>
    </row>
    <row r="47" spans="1:7" x14ac:dyDescent="0.3">
      <c r="A47" s="4">
        <v>1055</v>
      </c>
      <c r="B47" s="4">
        <f>VLOOKUP(TABLA_STOCK[Codigo],LISTADO_PRODUCTOS[#All],2)</f>
        <v>54218</v>
      </c>
      <c r="C47" s="6" t="str">
        <f>VLOOKUP(TABLA_STOCK[Codigo],LISTADO_PRODUCTOS[#All],3)</f>
        <v>LIBRERÍA</v>
      </c>
      <c r="D47" s="6" t="str">
        <f>VLOOKUP(TABLA_STOCK[Codigo],LISTADO_PRODUCTOS[#All],4)</f>
        <v>Repuesto Nº3 Éxito x 24h - 7791762486333</v>
      </c>
      <c r="E47" s="6" t="str">
        <f>VLOOKUP(TABLA_STOCK[Codigo],LISTADO_PRODUCTOS[#All],5)</f>
        <v>N/A</v>
      </c>
      <c r="F47" s="4">
        <v>1</v>
      </c>
      <c r="G47" s="4">
        <v>20</v>
      </c>
    </row>
    <row r="48" spans="1:7" x14ac:dyDescent="0.3">
      <c r="A48" s="4">
        <v>1056</v>
      </c>
      <c r="B48" s="4">
        <f>VLOOKUP(TABLA_STOCK[Codigo],LISTADO_PRODUCTOS[#All],2)</f>
        <v>54219</v>
      </c>
      <c r="C48" s="6" t="str">
        <f>VLOOKUP(TABLA_STOCK[Codigo],LISTADO_PRODUCTOS[#All],3)</f>
        <v>LIBRERÍA</v>
      </c>
      <c r="D48" s="6" t="str">
        <f>VLOOKUP(TABLA_STOCK[Codigo],LISTADO_PRODUCTOS[#All],4)</f>
        <v>Repuesto Nº3 Rivadavia x 480h - 7792216050162</v>
      </c>
      <c r="E48" s="6" t="str">
        <f>VLOOKUP(TABLA_STOCK[Codigo],LISTADO_PRODUCTOS[#All],5)</f>
        <v>N/A</v>
      </c>
      <c r="F48" s="4">
        <v>5</v>
      </c>
      <c r="G48" s="4">
        <v>19</v>
      </c>
    </row>
    <row r="49" spans="1:7" x14ac:dyDescent="0.3">
      <c r="A49" s="4">
        <v>1057</v>
      </c>
      <c r="B49" s="4">
        <f>VLOOKUP(TABLA_STOCK[Codigo],LISTADO_PRODUCTOS[#All],2)</f>
        <v>54220</v>
      </c>
      <c r="C49" s="6" t="str">
        <f>VLOOKUP(TABLA_STOCK[Codigo],LISTADO_PRODUCTOS[#All],3)</f>
        <v>LIBRERÍA</v>
      </c>
      <c r="D49" s="6" t="str">
        <f>VLOOKUP(TABLA_STOCK[Codigo],LISTADO_PRODUCTOS[#All],4)</f>
        <v>Repuesto Nº3 Rivadavia x 96h - 7792216041658</v>
      </c>
      <c r="E49" s="6" t="str">
        <f>VLOOKUP(TABLA_STOCK[Codigo],LISTADO_PRODUCTOS[#All],5)</f>
        <v>N/A</v>
      </c>
      <c r="F49" s="4">
        <v>2</v>
      </c>
      <c r="G49" s="4">
        <v>6</v>
      </c>
    </row>
    <row r="50" spans="1:7" x14ac:dyDescent="0.3">
      <c r="A50" s="4">
        <v>1058</v>
      </c>
      <c r="B50" s="4">
        <f>VLOOKUP(TABLA_STOCK[Codigo],LISTADO_PRODUCTOS[#All],2)</f>
        <v>54221</v>
      </c>
      <c r="C50" s="6" t="str">
        <f>VLOOKUP(TABLA_STOCK[Codigo],LISTADO_PRODUCTOS[#All],3)</f>
        <v>LIBRERÍA</v>
      </c>
      <c r="D50" s="6" t="str">
        <f>VLOOKUP(TABLA_STOCK[Codigo],LISTADO_PRODUCTOS[#All],4)</f>
        <v>Repuesto Nº3 Rivadavia x 48h</v>
      </c>
      <c r="E50" s="6" t="str">
        <f>VLOOKUP(TABLA_STOCK[Codigo],LISTADO_PRODUCTOS[#All],5)</f>
        <v>N/A</v>
      </c>
      <c r="F50" s="4">
        <v>2</v>
      </c>
      <c r="G50" s="4">
        <v>5</v>
      </c>
    </row>
    <row r="51" spans="1:7" x14ac:dyDescent="0.3">
      <c r="A51" s="4">
        <v>1059</v>
      </c>
      <c r="B51" s="4">
        <f>VLOOKUP(TABLA_STOCK[Codigo],LISTADO_PRODUCTOS[#All],2)</f>
        <v>54222</v>
      </c>
      <c r="C51" s="6" t="str">
        <f>VLOOKUP(TABLA_STOCK[Codigo],LISTADO_PRODUCTOS[#All],3)</f>
        <v>LIBRERÍA</v>
      </c>
      <c r="D51" s="6" t="str">
        <f>VLOOKUP(TABLA_STOCK[Codigo],LISTADO_PRODUCTOS[#All],4)</f>
        <v>Repuesto Nº3 Rivadavia x 24h</v>
      </c>
      <c r="E51" s="6" t="str">
        <f>VLOOKUP(TABLA_STOCK[Codigo],LISTADO_PRODUCTOS[#All],5)</f>
        <v>N/A</v>
      </c>
      <c r="F51" s="4">
        <v>10</v>
      </c>
      <c r="G51" s="4">
        <v>52</v>
      </c>
    </row>
    <row r="52" spans="1:7" x14ac:dyDescent="0.3">
      <c r="A52" s="4">
        <v>1060</v>
      </c>
      <c r="B52" s="4">
        <f>VLOOKUP(TABLA_STOCK[Codigo],LISTADO_PRODUCTOS[#All],2)</f>
        <v>54223</v>
      </c>
      <c r="C52" s="6" t="str">
        <f>VLOOKUP(TABLA_STOCK[Codigo],LISTADO_PRODUCTOS[#All],3)</f>
        <v>LIBRERÍA</v>
      </c>
      <c r="D52" s="6" t="str">
        <f>VLOOKUP(TABLA_STOCK[Codigo],LISTADO_PRODUCTOS[#All],4)</f>
        <v>Cuaderno T/flex Gloria x 84h</v>
      </c>
      <c r="E52" s="6" t="str">
        <f>VLOOKUP(TABLA_STOCK[Codigo],LISTADO_PRODUCTOS[#All],5)</f>
        <v>N/A</v>
      </c>
      <c r="F52" s="4">
        <v>20</v>
      </c>
      <c r="G52" s="4">
        <v>32</v>
      </c>
    </row>
    <row r="53" spans="1:7" x14ac:dyDescent="0.3">
      <c r="A53" s="4">
        <v>1061</v>
      </c>
      <c r="B53" s="4">
        <f>VLOOKUP(TABLA_STOCK[Codigo],LISTADO_PRODUCTOS[#All],2)</f>
        <v>54224</v>
      </c>
      <c r="C53" s="6" t="str">
        <f>VLOOKUP(TABLA_STOCK[Codigo],LISTADO_PRODUCTOS[#All],3)</f>
        <v>LIBRERÍA</v>
      </c>
      <c r="D53" s="6" t="str">
        <f>VLOOKUP(TABLA_STOCK[Codigo],LISTADO_PRODUCTOS[#All],4)</f>
        <v xml:space="preserve">Repuesto husares x 96h A4 rayado - </v>
      </c>
      <c r="E53" s="6" t="str">
        <f>VLOOKUP(TABLA_STOCK[Codigo],LISTADO_PRODUCTOS[#All],5)</f>
        <v>N/A</v>
      </c>
      <c r="F53" s="4">
        <v>5</v>
      </c>
      <c r="G53" s="4">
        <v>56</v>
      </c>
    </row>
    <row r="54" spans="1:7" x14ac:dyDescent="0.3">
      <c r="A54" s="4">
        <v>1062</v>
      </c>
      <c r="B54" s="4">
        <f>VLOOKUP(TABLA_STOCK[Codigo],LISTADO_PRODUCTOS[#All],2)</f>
        <v>54225</v>
      </c>
      <c r="C54" s="6" t="str">
        <f>VLOOKUP(TABLA_STOCK[Codigo],LISTADO_PRODUCTOS[#All],3)</f>
        <v>LIBRERÍA</v>
      </c>
      <c r="D54" s="6" t="str">
        <f>VLOOKUP(TABLA_STOCK[Codigo],LISTADO_PRODUCTOS[#All],4)</f>
        <v>Repuesto A4 Husares 96h - 7792564060837</v>
      </c>
      <c r="E54" s="6" t="str">
        <f>VLOOKUP(TABLA_STOCK[Codigo],LISTADO_PRODUCTOS[#All],5)</f>
        <v>N/A</v>
      </c>
      <c r="F54" s="4">
        <v>1</v>
      </c>
      <c r="G54" s="4">
        <v>107</v>
      </c>
    </row>
    <row r="55" spans="1:7" x14ac:dyDescent="0.3">
      <c r="A55" s="4">
        <v>1063</v>
      </c>
      <c r="B55" s="4">
        <f>VLOOKUP(TABLA_STOCK[Codigo],LISTADO_PRODUCTOS[#All],2)</f>
        <v>54226</v>
      </c>
      <c r="C55" s="6" t="str">
        <f>VLOOKUP(TABLA_STOCK[Codigo],LISTADO_PRODUCTOS[#All],3)</f>
        <v>LIBRERÍA</v>
      </c>
      <c r="D55" s="6" t="str">
        <f>VLOOKUP(TABLA_STOCK[Codigo],LISTADO_PRODUCTOS[#All],4)</f>
        <v>Repuesto escolar N°3 Husares x 96h</v>
      </c>
      <c r="E55" s="6" t="str">
        <f>VLOOKUP(TABLA_STOCK[Codigo],LISTADO_PRODUCTOS[#All],5)</f>
        <v>N/A</v>
      </c>
      <c r="F55" s="4">
        <v>5</v>
      </c>
      <c r="G55" s="4">
        <v>25</v>
      </c>
    </row>
    <row r="56" spans="1:7" x14ac:dyDescent="0.3">
      <c r="A56" s="4">
        <v>1064</v>
      </c>
      <c r="B56" s="4">
        <f>VLOOKUP(TABLA_STOCK[Codigo],LISTADO_PRODUCTOS[#All],2)</f>
        <v>54227</v>
      </c>
      <c r="C56" s="6" t="str">
        <f>VLOOKUP(TABLA_STOCK[Codigo],LISTADO_PRODUCTOS[#All],3)</f>
        <v>LIBRERÍA</v>
      </c>
      <c r="D56" s="6" t="str">
        <f>VLOOKUP(TABLA_STOCK[Codigo],LISTADO_PRODUCTOS[#All],4)</f>
        <v>Repuesto Nº6 Canson Luma Blanco</v>
      </c>
      <c r="E56" s="6" t="str">
        <f>VLOOKUP(TABLA_STOCK[Codigo],LISTADO_PRODUCTOS[#All],5)</f>
        <v>N/A</v>
      </c>
      <c r="F56" s="4">
        <v>2</v>
      </c>
      <c r="G56" s="4">
        <v>32</v>
      </c>
    </row>
    <row r="57" spans="1:7" x14ac:dyDescent="0.3">
      <c r="A57" s="4">
        <v>1065</v>
      </c>
      <c r="B57" s="4">
        <f>VLOOKUP(TABLA_STOCK[Codigo],LISTADO_PRODUCTOS[#All],2)</f>
        <v>54228</v>
      </c>
      <c r="C57" s="6" t="str">
        <f>VLOOKUP(TABLA_STOCK[Codigo],LISTADO_PRODUCTOS[#All],3)</f>
        <v>LIBRERÍA</v>
      </c>
      <c r="D57" s="6" t="str">
        <f>VLOOKUP(TABLA_STOCK[Codigo],LISTADO_PRODUCTOS[#All],4)</f>
        <v>Repuesto Nº5 Canson Luma Blanco</v>
      </c>
      <c r="E57" s="6" t="str">
        <f>VLOOKUP(TABLA_STOCK[Codigo],LISTADO_PRODUCTOS[#All],5)</f>
        <v>N/A</v>
      </c>
      <c r="F57" s="4">
        <v>10</v>
      </c>
      <c r="G57" s="4">
        <v>150</v>
      </c>
    </row>
    <row r="58" spans="1:7" x14ac:dyDescent="0.3">
      <c r="A58" s="4">
        <v>1066</v>
      </c>
      <c r="B58" s="4">
        <f>VLOOKUP(TABLA_STOCK[Codigo],LISTADO_PRODUCTOS[#All],2)</f>
        <v>54229</v>
      </c>
      <c r="C58" s="6" t="str">
        <f>VLOOKUP(TABLA_STOCK[Codigo],LISTADO_PRODUCTOS[#All],3)</f>
        <v>LIBRERÍA</v>
      </c>
      <c r="D58" s="6" t="str">
        <f>VLOOKUP(TABLA_STOCK[Codigo],LISTADO_PRODUCTOS[#All],4)</f>
        <v>Repuesto Nº3 Canson Luma Blanco</v>
      </c>
      <c r="E58" s="6" t="str">
        <f>VLOOKUP(TABLA_STOCK[Codigo],LISTADO_PRODUCTOS[#All],5)</f>
        <v>N/A</v>
      </c>
      <c r="F58" s="4">
        <v>20</v>
      </c>
      <c r="G58" s="4">
        <v>20</v>
      </c>
    </row>
    <row r="59" spans="1:7" x14ac:dyDescent="0.3">
      <c r="A59" s="4">
        <v>1067</v>
      </c>
      <c r="B59" s="4">
        <f>VLOOKUP(TABLA_STOCK[Codigo],LISTADO_PRODUCTOS[#All],2)</f>
        <v>54230</v>
      </c>
      <c r="C59" s="6" t="str">
        <f>VLOOKUP(TABLA_STOCK[Codigo],LISTADO_PRODUCTOS[#All],3)</f>
        <v>LIBRERÍA</v>
      </c>
      <c r="D59" s="6" t="str">
        <f>VLOOKUP(TABLA_STOCK[Codigo],LISTADO_PRODUCTOS[#All],4)</f>
        <v>Repuesto Nº5 Canson Luma Color</v>
      </c>
      <c r="E59" s="6" t="str">
        <f>VLOOKUP(TABLA_STOCK[Codigo],LISTADO_PRODUCTOS[#All],5)</f>
        <v>N/A</v>
      </c>
      <c r="F59" s="4">
        <v>5</v>
      </c>
      <c r="G59" s="4">
        <v>19</v>
      </c>
    </row>
    <row r="60" spans="1:7" x14ac:dyDescent="0.3">
      <c r="A60" s="4">
        <v>1068</v>
      </c>
      <c r="B60" s="4">
        <f>VLOOKUP(TABLA_STOCK[Codigo],LISTADO_PRODUCTOS[#All],2)</f>
        <v>54231</v>
      </c>
      <c r="C60" s="6" t="str">
        <f>VLOOKUP(TABLA_STOCK[Codigo],LISTADO_PRODUCTOS[#All],3)</f>
        <v>LIBRERÍA</v>
      </c>
      <c r="D60" s="6" t="str">
        <f>VLOOKUP(TABLA_STOCK[Codigo],LISTADO_PRODUCTOS[#All],4)</f>
        <v>Repuesto Nº3 Canson Luma Color</v>
      </c>
      <c r="E60" s="6" t="str">
        <f>VLOOKUP(TABLA_STOCK[Codigo],LISTADO_PRODUCTOS[#All],5)</f>
        <v>N/A</v>
      </c>
      <c r="F60" s="4">
        <v>1</v>
      </c>
      <c r="G60" s="4">
        <v>6</v>
      </c>
    </row>
    <row r="61" spans="1:7" x14ac:dyDescent="0.3">
      <c r="A61" s="4">
        <v>1069</v>
      </c>
      <c r="B61" s="4">
        <f>VLOOKUP(TABLA_STOCK[Codigo],LISTADO_PRODUCTOS[#All],2)</f>
        <v>54232</v>
      </c>
      <c r="C61" s="6" t="str">
        <f>VLOOKUP(TABLA_STOCK[Codigo],LISTADO_PRODUCTOS[#All],3)</f>
        <v>LIBRERÍA</v>
      </c>
      <c r="D61" s="6" t="str">
        <f>VLOOKUP(TABLA_STOCK[Codigo],LISTADO_PRODUCTOS[#All],4)</f>
        <v>Repuesto Nº5 Canson Luma Negro</v>
      </c>
      <c r="E61" s="6" t="str">
        <f>VLOOKUP(TABLA_STOCK[Codigo],LISTADO_PRODUCTOS[#All],5)</f>
        <v>N/A</v>
      </c>
      <c r="F61" s="4">
        <v>5</v>
      </c>
      <c r="G61" s="4">
        <v>5</v>
      </c>
    </row>
    <row r="62" spans="1:7" x14ac:dyDescent="0.3">
      <c r="A62" s="4">
        <v>1070</v>
      </c>
      <c r="B62" s="4">
        <f>VLOOKUP(TABLA_STOCK[Codigo],LISTADO_PRODUCTOS[#All],2)</f>
        <v>54233</v>
      </c>
      <c r="C62" s="6" t="str">
        <f>VLOOKUP(TABLA_STOCK[Codigo],LISTADO_PRODUCTOS[#All],3)</f>
        <v>LIBRERÍA</v>
      </c>
      <c r="D62" s="6" t="str">
        <f>VLOOKUP(TABLA_STOCK[Codigo],LISTADO_PRODUCTOS[#All],4)</f>
        <v>Repuesto Nº3 Canson Luma Negro</v>
      </c>
      <c r="E62" s="6" t="str">
        <f>VLOOKUP(TABLA_STOCK[Codigo],LISTADO_PRODUCTOS[#All],5)</f>
        <v>N/A</v>
      </c>
      <c r="F62" s="4">
        <v>2</v>
      </c>
      <c r="G62" s="4">
        <v>52</v>
      </c>
    </row>
    <row r="63" spans="1:7" x14ac:dyDescent="0.3">
      <c r="A63" s="4">
        <v>1071</v>
      </c>
      <c r="B63" s="4">
        <f>VLOOKUP(TABLA_STOCK[Codigo],LISTADO_PRODUCTOS[#All],2)</f>
        <v>54234</v>
      </c>
      <c r="C63" s="6" t="str">
        <f>VLOOKUP(TABLA_STOCK[Codigo],LISTADO_PRODUCTOS[#All],3)</f>
        <v>LIBRERÍA</v>
      </c>
      <c r="D63" s="6" t="str">
        <f>VLOOKUP(TABLA_STOCK[Codigo],LISTADO_PRODUCTOS[#All],4)</f>
        <v>Repuesto Nº5 Calcar Luma</v>
      </c>
      <c r="E63" s="6" t="str">
        <f>VLOOKUP(TABLA_STOCK[Codigo],LISTADO_PRODUCTOS[#All],5)</f>
        <v>N/A</v>
      </c>
      <c r="F63" s="4">
        <v>2</v>
      </c>
      <c r="G63" s="4">
        <v>32</v>
      </c>
    </row>
    <row r="64" spans="1:7" x14ac:dyDescent="0.3">
      <c r="A64" s="4">
        <v>1072</v>
      </c>
      <c r="B64" s="4">
        <f>VLOOKUP(TABLA_STOCK[Codigo],LISTADO_PRODUCTOS[#All],2)</f>
        <v>54235</v>
      </c>
      <c r="C64" s="6" t="str">
        <f>VLOOKUP(TABLA_STOCK[Codigo],LISTADO_PRODUCTOS[#All],3)</f>
        <v>LIBRERÍA</v>
      </c>
      <c r="D64" s="6" t="str">
        <f>VLOOKUP(TABLA_STOCK[Codigo],LISTADO_PRODUCTOS[#All],4)</f>
        <v>Repuesto Nº3 Calcar Luma</v>
      </c>
      <c r="E64" s="6" t="str">
        <f>VLOOKUP(TABLA_STOCK[Codigo],LISTADO_PRODUCTOS[#All],5)</f>
        <v>N/A</v>
      </c>
      <c r="F64" s="4">
        <v>10</v>
      </c>
      <c r="G64" s="4">
        <v>56</v>
      </c>
    </row>
    <row r="65" spans="1:7" x14ac:dyDescent="0.3">
      <c r="A65" s="4">
        <v>1073</v>
      </c>
      <c r="B65" s="4">
        <f>VLOOKUP(TABLA_STOCK[Codigo],LISTADO_PRODUCTOS[#All],2)</f>
        <v>54236</v>
      </c>
      <c r="C65" s="6" t="str">
        <f>VLOOKUP(TABLA_STOCK[Codigo],LISTADO_PRODUCTOS[#All],3)</f>
        <v>LIBRERÍA</v>
      </c>
      <c r="D65" s="6" t="str">
        <f>VLOOKUP(TABLA_STOCK[Codigo],LISTADO_PRODUCTOS[#All],4)</f>
        <v>Carpeta escolar Nº3 colores y dibujos lindos Mooving</v>
      </c>
      <c r="E65" s="6" t="str">
        <f>VLOOKUP(TABLA_STOCK[Codigo],LISTADO_PRODUCTOS[#All],5)</f>
        <v>N/A</v>
      </c>
      <c r="F65" s="4">
        <v>20</v>
      </c>
      <c r="G65" s="4">
        <v>107</v>
      </c>
    </row>
    <row r="66" spans="1:7" x14ac:dyDescent="0.3">
      <c r="A66" s="4">
        <v>1074</v>
      </c>
      <c r="B66" s="4">
        <f>VLOOKUP(TABLA_STOCK[Codigo],LISTADO_PRODUCTOS[#All],2)</f>
        <v>54237</v>
      </c>
      <c r="C66" s="6" t="str">
        <f>VLOOKUP(TABLA_STOCK[Codigo],LISTADO_PRODUCTOS[#All],3)</f>
        <v>LIBRERÍA</v>
      </c>
      <c r="D66" s="6" t="str">
        <f>VLOOKUP(TABLA_STOCK[Codigo],LISTADO_PRODUCTOS[#All],4)</f>
        <v>Carpeta Nº3 Neon 2020</v>
      </c>
      <c r="E66" s="6" t="str">
        <f>VLOOKUP(TABLA_STOCK[Codigo],LISTADO_PRODUCTOS[#All],5)</f>
        <v>N/A</v>
      </c>
      <c r="F66" s="4">
        <v>5</v>
      </c>
      <c r="G66" s="4">
        <v>25</v>
      </c>
    </row>
    <row r="67" spans="1:7" x14ac:dyDescent="0.3">
      <c r="A67" s="4">
        <v>1075</v>
      </c>
      <c r="B67" s="4">
        <f>VLOOKUP(TABLA_STOCK[Codigo],LISTADO_PRODUCTOS[#All],2)</f>
        <v>54238</v>
      </c>
      <c r="C67" s="6" t="str">
        <f>VLOOKUP(TABLA_STOCK[Codigo],LISTADO_PRODUCTOS[#All],3)</f>
        <v>LIBRERÍA</v>
      </c>
      <c r="D67" s="6" t="str">
        <f>VLOOKUP(TABLA_STOCK[Codigo],LISTADO_PRODUCTOS[#All],4)</f>
        <v>Carpeta Nº3 Jurasic Park</v>
      </c>
      <c r="E67" s="6" t="str">
        <f>VLOOKUP(TABLA_STOCK[Codigo],LISTADO_PRODUCTOS[#All],5)</f>
        <v>N/A</v>
      </c>
      <c r="F67" s="4">
        <v>1</v>
      </c>
      <c r="G67" s="4">
        <v>32</v>
      </c>
    </row>
    <row r="68" spans="1:7" x14ac:dyDescent="0.3">
      <c r="A68" s="4">
        <v>1076</v>
      </c>
      <c r="B68" s="4">
        <f>VLOOKUP(TABLA_STOCK[Codigo],LISTADO_PRODUCTOS[#All],2)</f>
        <v>54239</v>
      </c>
      <c r="C68" s="6" t="str">
        <f>VLOOKUP(TABLA_STOCK[Codigo],LISTADO_PRODUCTOS[#All],3)</f>
        <v>LIBRERÍA</v>
      </c>
      <c r="D68" s="6" t="str">
        <f>VLOOKUP(TABLA_STOCK[Codigo],LISTADO_PRODUCTOS[#All],4)</f>
        <v>Carpeta Nº3 3aros diseño zapatilla linea snakers Ito 2020</v>
      </c>
      <c r="E68" s="6" t="str">
        <f>VLOOKUP(TABLA_STOCK[Codigo],LISTADO_PRODUCTOS[#All],5)</f>
        <v>N/A</v>
      </c>
      <c r="F68" s="4">
        <v>5</v>
      </c>
      <c r="G68" s="4">
        <v>150</v>
      </c>
    </row>
    <row r="69" spans="1:7" x14ac:dyDescent="0.3">
      <c r="A69" s="4">
        <v>1077</v>
      </c>
      <c r="B69" s="4">
        <f>VLOOKUP(TABLA_STOCK[Codigo],LISTADO_PRODUCTOS[#All],2)</f>
        <v>54240</v>
      </c>
      <c r="C69" s="6" t="str">
        <f>VLOOKUP(TABLA_STOCK[Codigo],LISTADO_PRODUCTOS[#All],3)</f>
        <v>LIBRERÍA</v>
      </c>
      <c r="D69" s="6" t="str">
        <f>VLOOKUP(TABLA_STOCK[Codigo],LISTADO_PRODUCTOS[#All],4)</f>
        <v>Carpeta Nº3 isofit forrada lisa</v>
      </c>
      <c r="E69" s="6" t="str">
        <f>VLOOKUP(TABLA_STOCK[Codigo],LISTADO_PRODUCTOS[#All],5)</f>
        <v>N/A</v>
      </c>
      <c r="F69" s="4">
        <v>2</v>
      </c>
      <c r="G69" s="4">
        <v>20</v>
      </c>
    </row>
    <row r="70" spans="1:7" x14ac:dyDescent="0.3">
      <c r="A70" s="4">
        <v>1078</v>
      </c>
      <c r="B70" s="4">
        <f>VLOOKUP(TABLA_STOCK[Codigo],LISTADO_PRODUCTOS[#All],2)</f>
        <v>54241</v>
      </c>
      <c r="C70" s="6" t="str">
        <f>VLOOKUP(TABLA_STOCK[Codigo],LISTADO_PRODUCTOS[#All],3)</f>
        <v>LIBRERÍA</v>
      </c>
      <c r="D70" s="6" t="str">
        <f>VLOOKUP(TABLA_STOCK[Codigo],LISTADO_PRODUCTOS[#All],4)</f>
        <v>Carpeta Nº3 Rivadavia C/Çhojas</v>
      </c>
      <c r="E70" s="6" t="str">
        <f>VLOOKUP(TABLA_STOCK[Codigo],LISTADO_PRODUCTOS[#All],5)</f>
        <v>N/A</v>
      </c>
      <c r="F70" s="4">
        <v>2</v>
      </c>
      <c r="G70" s="4">
        <v>19</v>
      </c>
    </row>
    <row r="71" spans="1:7" x14ac:dyDescent="0.3">
      <c r="A71" s="4">
        <v>1079</v>
      </c>
      <c r="B71" s="4">
        <f>VLOOKUP(TABLA_STOCK[Codigo],LISTADO_PRODUCTOS[#All],2)</f>
        <v>54242</v>
      </c>
      <c r="C71" s="6" t="str">
        <f>VLOOKUP(TABLA_STOCK[Codigo],LISTADO_PRODUCTOS[#All],3)</f>
        <v>LIBRERÍA</v>
      </c>
      <c r="D71" s="6" t="str">
        <f>VLOOKUP(TABLA_STOCK[Codigo],LISTADO_PRODUCTOS[#All],4)</f>
        <v>Carpeta escolar Nº3 Util-off Mia / Love</v>
      </c>
      <c r="E71" s="6" t="str">
        <f>VLOOKUP(TABLA_STOCK[Codigo],LISTADO_PRODUCTOS[#All],5)</f>
        <v>N/A</v>
      </c>
      <c r="F71" s="4">
        <v>10</v>
      </c>
      <c r="G71" s="4">
        <v>6</v>
      </c>
    </row>
    <row r="72" spans="1:7" x14ac:dyDescent="0.3">
      <c r="A72" s="4">
        <v>1080</v>
      </c>
      <c r="B72" s="4">
        <f>VLOOKUP(TABLA_STOCK[Codigo],LISTADO_PRODUCTOS[#All],2)</f>
        <v>54243</v>
      </c>
      <c r="C72" s="6" t="str">
        <f>VLOOKUP(TABLA_STOCK[Codigo],LISTADO_PRODUCTOS[#All],3)</f>
        <v>LIBRERÍA</v>
      </c>
      <c r="D72" s="6" t="str">
        <f>VLOOKUP(TABLA_STOCK[Codigo],LISTADO_PRODUCTOS[#All],4)</f>
        <v>Carpeta Dibujo Nº3 3aros (Se entrega con aros OTA 35mm)</v>
      </c>
      <c r="E72" s="6" t="str">
        <f>VLOOKUP(TABLA_STOCK[Codigo],LISTADO_PRODUCTOS[#All],5)</f>
        <v>N/A</v>
      </c>
      <c r="F72" s="4">
        <v>20</v>
      </c>
      <c r="G72" s="4">
        <v>5</v>
      </c>
    </row>
    <row r="73" spans="1:7" x14ac:dyDescent="0.3">
      <c r="A73" s="4">
        <v>1081</v>
      </c>
      <c r="B73" s="4">
        <f>VLOOKUP(TABLA_STOCK[Codigo],LISTADO_PRODUCTOS[#All],2)</f>
        <v>54244</v>
      </c>
      <c r="C73" s="6" t="str">
        <f>VLOOKUP(TABLA_STOCK[Codigo],LISTADO_PRODUCTOS[#All],3)</f>
        <v>LIBRERÍA</v>
      </c>
      <c r="D73" s="6" t="str">
        <f>VLOOKUP(TABLA_STOCK[Codigo],LISTADO_PRODUCTOS[#All],4)</f>
        <v>Carpeta Avery esquela 3 anillos small format</v>
      </c>
      <c r="E73" s="6" t="str">
        <f>VLOOKUP(TABLA_STOCK[Codigo],LISTADO_PRODUCTOS[#All],5)</f>
        <v>N/A</v>
      </c>
      <c r="F73" s="4">
        <v>5</v>
      </c>
      <c r="G73" s="4">
        <v>52</v>
      </c>
    </row>
    <row r="74" spans="1:7" x14ac:dyDescent="0.3">
      <c r="A74" s="4">
        <v>1082</v>
      </c>
      <c r="B74" s="4">
        <f>VLOOKUP(TABLA_STOCK[Codigo],LISTADO_PRODUCTOS[#All],2)</f>
        <v>54245</v>
      </c>
      <c r="C74" s="6" t="str">
        <f>VLOOKUP(TABLA_STOCK[Codigo],LISTADO_PRODUCTOS[#All],3)</f>
        <v>LIBRERÍA</v>
      </c>
      <c r="D74" s="6" t="str">
        <f>VLOOKUP(TABLA_STOCK[Codigo],LISTADO_PRODUCTOS[#All],4)</f>
        <v>Cuaderno Nº3 Triunfante lunares x 50h</v>
      </c>
      <c r="E74" s="6" t="str">
        <f>VLOOKUP(TABLA_STOCK[Codigo],LISTADO_PRODUCTOS[#All],5)</f>
        <v>N/A</v>
      </c>
      <c r="F74" s="4">
        <v>1</v>
      </c>
      <c r="G74" s="4">
        <v>32</v>
      </c>
    </row>
    <row r="75" spans="1:7" x14ac:dyDescent="0.3">
      <c r="A75" s="4">
        <v>1083</v>
      </c>
      <c r="B75" s="4">
        <f>VLOOKUP(TABLA_STOCK[Codigo],LISTADO_PRODUCTOS[#All],2)</f>
        <v>54246</v>
      </c>
      <c r="C75" s="6" t="str">
        <f>VLOOKUP(TABLA_STOCK[Codigo],LISTADO_PRODUCTOS[#All],3)</f>
        <v>LIBRERÍA</v>
      </c>
      <c r="D75" s="6" t="str">
        <f>VLOOKUP(TABLA_STOCK[Codigo],LISTADO_PRODUCTOS[#All],4)</f>
        <v>Carpeta Nº5 mooving / camaron brujo / rexon / ink-drop  c/aros</v>
      </c>
      <c r="E75" s="6" t="str">
        <f>VLOOKUP(TABLA_STOCK[Codigo],LISTADO_PRODUCTOS[#All],5)</f>
        <v>N/A</v>
      </c>
      <c r="F75" s="4">
        <v>5</v>
      </c>
      <c r="G75" s="4">
        <v>56</v>
      </c>
    </row>
    <row r="76" spans="1:7" x14ac:dyDescent="0.3">
      <c r="A76" s="4">
        <v>1084</v>
      </c>
      <c r="B76" s="4">
        <f>VLOOKUP(TABLA_STOCK[Codigo],LISTADO_PRODUCTOS[#All],2)</f>
        <v>54247</v>
      </c>
      <c r="C76" s="6" t="str">
        <f>VLOOKUP(TABLA_STOCK[Codigo],LISTADO_PRODUCTOS[#All],3)</f>
        <v>LIBRERÍA</v>
      </c>
      <c r="D76" s="6" t="str">
        <f>VLOOKUP(TABLA_STOCK[Codigo],LISTADO_PRODUCTOS[#All],4)</f>
        <v>Carpeta Nº5 el nene c/aros y hojas</v>
      </c>
      <c r="E76" s="6" t="str">
        <f>VLOOKUP(TABLA_STOCK[Codigo],LISTADO_PRODUCTOS[#All],5)</f>
        <v>N/A</v>
      </c>
      <c r="F76" s="4">
        <v>2</v>
      </c>
      <c r="G76" s="4">
        <v>107</v>
      </c>
    </row>
    <row r="77" spans="1:7" x14ac:dyDescent="0.3">
      <c r="A77" s="4">
        <v>1085</v>
      </c>
      <c r="B77" s="4">
        <f>VLOOKUP(TABLA_STOCK[Codigo],LISTADO_PRODUCTOS[#All],2)</f>
        <v>54248</v>
      </c>
      <c r="C77" s="6" t="str">
        <f>VLOOKUP(TABLA_STOCK[Codigo],LISTADO_PRODUCTOS[#All],3)</f>
        <v>LIBRERÍA</v>
      </c>
      <c r="D77" s="6" t="str">
        <f>VLOOKUP(TABLA_STOCK[Codigo],LISTADO_PRODUCTOS[#All],4)</f>
        <v>Carpeta Nº5 C/Relieve</v>
      </c>
      <c r="E77" s="6" t="str">
        <f>VLOOKUP(TABLA_STOCK[Codigo],LISTADO_PRODUCTOS[#All],5)</f>
        <v>N/A</v>
      </c>
      <c r="F77" s="4">
        <v>2</v>
      </c>
      <c r="G77" s="4">
        <v>25</v>
      </c>
    </row>
    <row r="78" spans="1:7" x14ac:dyDescent="0.3">
      <c r="A78" s="4">
        <v>1086</v>
      </c>
      <c r="B78" s="4">
        <f>VLOOKUP(TABLA_STOCK[Codigo],LISTADO_PRODUCTOS[#All],2)</f>
        <v>54249</v>
      </c>
      <c r="C78" s="6" t="str">
        <f>VLOOKUP(TABLA_STOCK[Codigo],LISTADO_PRODUCTOS[#All],3)</f>
        <v>LIBRERÍA</v>
      </c>
      <c r="D78" s="6" t="str">
        <f>VLOOKUP(TABLA_STOCK[Codigo],LISTADO_PRODUCTOS[#All],4)</f>
        <v>Carpeta Nº5 Lavable</v>
      </c>
      <c r="E78" s="6" t="str">
        <f>VLOOKUP(TABLA_STOCK[Codigo],LISTADO_PRODUCTOS[#All],5)</f>
        <v>N/A</v>
      </c>
      <c r="F78" s="4">
        <v>10</v>
      </c>
      <c r="G78" s="4">
        <v>32</v>
      </c>
    </row>
    <row r="79" spans="1:7" x14ac:dyDescent="0.3">
      <c r="A79" s="4">
        <v>1087</v>
      </c>
      <c r="B79" s="4">
        <f>VLOOKUP(TABLA_STOCK[Codigo],LISTADO_PRODUCTOS[#All],2)</f>
        <v>54250</v>
      </c>
      <c r="C79" s="6" t="str">
        <f>VLOOKUP(TABLA_STOCK[Codigo],LISTADO_PRODUCTOS[#All],3)</f>
        <v>LIBRERÍA</v>
      </c>
      <c r="D79" s="6" t="str">
        <f>VLOOKUP(TABLA_STOCK[Codigo],LISTADO_PRODUCTOS[#All],4)</f>
        <v>Carpeta 3 Solapas Mot. Varios</v>
      </c>
      <c r="E79" s="6" t="str">
        <f>VLOOKUP(TABLA_STOCK[Codigo],LISTADO_PRODUCTOS[#All],5)</f>
        <v>N/A</v>
      </c>
      <c r="F79" s="4">
        <v>20</v>
      </c>
      <c r="G79" s="4">
        <v>150</v>
      </c>
    </row>
    <row r="80" spans="1:7" x14ac:dyDescent="0.3">
      <c r="A80" s="4">
        <v>1088</v>
      </c>
      <c r="B80" s="4">
        <f>VLOOKUP(TABLA_STOCK[Codigo],LISTADO_PRODUCTOS[#All],2)</f>
        <v>54251</v>
      </c>
      <c r="C80" s="6" t="str">
        <f>VLOOKUP(TABLA_STOCK[Codigo],LISTADO_PRODUCTOS[#All],3)</f>
        <v>LIBRERÍA</v>
      </c>
      <c r="D80" s="6" t="str">
        <f>VLOOKUP(TABLA_STOCK[Codigo],LISTADO_PRODUCTOS[#All],4)</f>
        <v>Carpeta 3 Solapas Comun</v>
      </c>
      <c r="E80" s="6" t="str">
        <f>VLOOKUP(TABLA_STOCK[Codigo],LISTADO_PRODUCTOS[#All],5)</f>
        <v>N/A</v>
      </c>
      <c r="F80" s="4">
        <v>5</v>
      </c>
      <c r="G80" s="4">
        <v>20</v>
      </c>
    </row>
    <row r="81" spans="1:7" x14ac:dyDescent="0.3">
      <c r="A81" s="4">
        <v>1089</v>
      </c>
      <c r="B81" s="4">
        <f>VLOOKUP(TABLA_STOCK[Codigo],LISTADO_PRODUCTOS[#All],2)</f>
        <v>54252</v>
      </c>
      <c r="C81" s="6" t="str">
        <f>VLOOKUP(TABLA_STOCK[Codigo],LISTADO_PRODUCTOS[#All],3)</f>
        <v>LIBRERÍA</v>
      </c>
      <c r="D81" s="6" t="str">
        <f>VLOOKUP(TABLA_STOCK[Codigo],LISTADO_PRODUCTOS[#All],4)</f>
        <v>Carpeta 3 solapas 35 x 50 Rivadavia</v>
      </c>
      <c r="E81" s="6" t="str">
        <f>VLOOKUP(TABLA_STOCK[Codigo],LISTADO_PRODUCTOS[#All],5)</f>
        <v>N/A</v>
      </c>
      <c r="F81" s="4">
        <v>1</v>
      </c>
      <c r="G81" s="4">
        <v>19</v>
      </c>
    </row>
    <row r="82" spans="1:7" x14ac:dyDescent="0.3">
      <c r="A82" s="4">
        <v>1090</v>
      </c>
      <c r="B82" s="4">
        <f>VLOOKUP(TABLA_STOCK[Codigo],LISTADO_PRODUCTOS[#All],2)</f>
        <v>54253</v>
      </c>
      <c r="C82" s="6" t="str">
        <f>VLOOKUP(TABLA_STOCK[Codigo],LISTADO_PRODUCTOS[#All],3)</f>
        <v>LIBRERÍA</v>
      </c>
      <c r="D82" s="6" t="str">
        <f>VLOOKUP(TABLA_STOCK[Codigo],LISTADO_PRODUCTOS[#All],4)</f>
        <v>Carpeta Fibra 35 x 50</v>
      </c>
      <c r="E82" s="6" t="str">
        <f>VLOOKUP(TABLA_STOCK[Codigo],LISTADO_PRODUCTOS[#All],5)</f>
        <v>N/A</v>
      </c>
      <c r="F82" s="4">
        <v>5</v>
      </c>
      <c r="G82" s="4">
        <v>6</v>
      </c>
    </row>
    <row r="83" spans="1:7" x14ac:dyDescent="0.3">
      <c r="A83" s="4">
        <v>1091</v>
      </c>
      <c r="B83" s="4">
        <f>VLOOKUP(TABLA_STOCK[Codigo],LISTADO_PRODUCTOS[#All],2)</f>
        <v>54254</v>
      </c>
      <c r="C83" s="6" t="str">
        <f>VLOOKUP(TABLA_STOCK[Codigo],LISTADO_PRODUCTOS[#All],3)</f>
        <v>LIBRERÍA</v>
      </c>
      <c r="D83" s="6" t="str">
        <f>VLOOKUP(TABLA_STOCK[Codigo],LISTADO_PRODUCTOS[#All],4)</f>
        <v>Repuesto Canson N°5 Luma FLUO</v>
      </c>
      <c r="E83" s="6" t="str">
        <f>VLOOKUP(TABLA_STOCK[Codigo],LISTADO_PRODUCTOS[#All],5)</f>
        <v>N/A</v>
      </c>
      <c r="F83" s="4">
        <v>2</v>
      </c>
      <c r="G83" s="4">
        <v>5</v>
      </c>
    </row>
    <row r="84" spans="1:7" x14ac:dyDescent="0.3">
      <c r="A84" s="4">
        <v>1092</v>
      </c>
      <c r="B84" s="4">
        <f>VLOOKUP(TABLA_STOCK[Codigo],LISTADO_PRODUCTOS[#All],2)</f>
        <v>54255</v>
      </c>
      <c r="C84" s="6" t="str">
        <f>VLOOKUP(TABLA_STOCK[Codigo],LISTADO_PRODUCTOS[#All],3)</f>
        <v>LIBRERÍA</v>
      </c>
      <c r="D84" s="6" t="str">
        <f>VLOOKUP(TABLA_STOCK[Codigo],LISTADO_PRODUCTOS[#All],4)</f>
        <v>Carpeta A4 Arte Benito/Barsky/Elisa/Milagros c/repuesto</v>
      </c>
      <c r="E84" s="6" t="str">
        <f>VLOOKUP(TABLA_STOCK[Codigo],LISTADO_PRODUCTOS[#All],5)</f>
        <v>N/A</v>
      </c>
      <c r="F84" s="4">
        <v>10</v>
      </c>
      <c r="G84" s="4">
        <v>52</v>
      </c>
    </row>
    <row r="85" spans="1:7" x14ac:dyDescent="0.3">
      <c r="A85" s="4">
        <v>1093</v>
      </c>
      <c r="B85" s="4">
        <f>VLOOKUP(TABLA_STOCK[Codigo],LISTADO_PRODUCTOS[#All],2)</f>
        <v>54256</v>
      </c>
      <c r="C85" s="6" t="str">
        <f>VLOOKUP(TABLA_STOCK[Codigo],LISTADO_PRODUCTOS[#All],3)</f>
        <v>LIBRERÍA</v>
      </c>
      <c r="D85" s="6" t="str">
        <f>VLOOKUP(TABLA_STOCK[Codigo],LISTADO_PRODUCTOS[#All],4)</f>
        <v>Carpeta A4 Rivadavia c/repuesto x96hray y 48h cuad + separadores</v>
      </c>
      <c r="E85" s="6" t="str">
        <f>VLOOKUP(TABLA_STOCK[Codigo],LISTADO_PRODUCTOS[#All],5)</f>
        <v>N/A</v>
      </c>
      <c r="F85" s="4">
        <v>20</v>
      </c>
      <c r="G85" s="4">
        <v>32</v>
      </c>
    </row>
    <row r="86" spans="1:7" x14ac:dyDescent="0.3">
      <c r="A86" s="4">
        <v>1094</v>
      </c>
      <c r="B86" s="4">
        <f>VLOOKUP(TABLA_STOCK[Codigo],LISTADO_PRODUCTOS[#All],2)</f>
        <v>54257</v>
      </c>
      <c r="C86" s="6" t="str">
        <f>VLOOKUP(TABLA_STOCK[Codigo],LISTADO_PRODUCTOS[#All],3)</f>
        <v>LIBRERÍA</v>
      </c>
      <c r="D86" s="6" t="str">
        <f>VLOOKUP(TABLA_STOCK[Codigo],LISTADO_PRODUCTOS[#All],4)</f>
        <v>Carpeta A4 Arte Clip/Bloom/barsky/benito c/repuesto</v>
      </c>
      <c r="E86" s="6" t="str">
        <f>VLOOKUP(TABLA_STOCK[Codigo],LISTADO_PRODUCTOS[#All],5)</f>
        <v>N/A</v>
      </c>
      <c r="F86" s="4">
        <v>5</v>
      </c>
      <c r="G86" s="4">
        <v>56</v>
      </c>
    </row>
    <row r="87" spans="1:7" x14ac:dyDescent="0.3">
      <c r="A87" s="4">
        <v>1095</v>
      </c>
      <c r="B87" s="4">
        <f>VLOOKUP(TABLA_STOCK[Codigo],LISTADO_PRODUCTOS[#All],2)</f>
        <v>54258</v>
      </c>
      <c r="C87" s="6" t="str">
        <f>VLOOKUP(TABLA_STOCK[Codigo],LISTADO_PRODUCTOS[#All],3)</f>
        <v>LIBRERÍA</v>
      </c>
      <c r="D87" s="6" t="str">
        <f>VLOOKUP(TABLA_STOCK[Codigo],LISTADO_PRODUCTOS[#All],4)</f>
        <v>Marcador Maped Color Peps Duo Stamp</v>
      </c>
      <c r="E87" s="6" t="str">
        <f>VLOOKUP(TABLA_STOCK[Codigo],LISTADO_PRODUCTOS[#All],5)</f>
        <v>N/A</v>
      </c>
      <c r="F87" s="4">
        <v>1</v>
      </c>
      <c r="G87" s="4">
        <v>107</v>
      </c>
    </row>
    <row r="88" spans="1:7" x14ac:dyDescent="0.3">
      <c r="A88" s="4">
        <v>1098</v>
      </c>
      <c r="B88" s="4">
        <f>VLOOKUP(TABLA_STOCK[Codigo],LISTADO_PRODUCTOS[#All],2)</f>
        <v>54259</v>
      </c>
      <c r="C88" s="6" t="str">
        <f>VLOOKUP(TABLA_STOCK[Codigo],LISTADO_PRODUCTOS[#All],3)</f>
        <v>LIBRERÍA</v>
      </c>
      <c r="D88" s="6" t="str">
        <f>VLOOKUP(TABLA_STOCK[Codigo],LISTADO_PRODUCTOS[#All],4)</f>
        <v>Crayon Pizzini x 6u Art. 9206</v>
      </c>
      <c r="E88" s="6" t="str">
        <f>VLOOKUP(TABLA_STOCK[Codigo],LISTADO_PRODUCTOS[#All],5)</f>
        <v>N/A</v>
      </c>
      <c r="F88" s="4">
        <v>5</v>
      </c>
      <c r="G88" s="4">
        <v>25</v>
      </c>
    </row>
    <row r="89" spans="1:7" x14ac:dyDescent="0.3">
      <c r="A89" s="4">
        <v>1099</v>
      </c>
      <c r="B89" s="4">
        <f>VLOOKUP(TABLA_STOCK[Codigo],LISTADO_PRODUCTOS[#All],2)</f>
        <v>54260</v>
      </c>
      <c r="C89" s="6" t="str">
        <f>VLOOKUP(TABLA_STOCK[Codigo],LISTADO_PRODUCTOS[#All],3)</f>
        <v>LIBRERÍA</v>
      </c>
      <c r="D89" s="6" t="str">
        <f>VLOOKUP(TABLA_STOCK[Codigo],LISTADO_PRODUCTOS[#All],4)</f>
        <v>Block de dibujo Luma/triunfante Nº5 20/24 hojas color</v>
      </c>
      <c r="E89" s="6" t="str">
        <f>VLOOKUP(TABLA_STOCK[Codigo],LISTADO_PRODUCTOS[#All],5)</f>
        <v>N/A</v>
      </c>
      <c r="F89" s="4">
        <v>2</v>
      </c>
      <c r="G89" s="4">
        <v>32</v>
      </c>
    </row>
    <row r="90" spans="1:7" x14ac:dyDescent="0.3">
      <c r="A90" s="4">
        <v>1100</v>
      </c>
      <c r="B90" s="4">
        <f>VLOOKUP(TABLA_STOCK[Codigo],LISTADO_PRODUCTOS[#All],2)</f>
        <v>54261</v>
      </c>
      <c r="C90" s="6" t="str">
        <f>VLOOKUP(TABLA_STOCK[Codigo],LISTADO_PRODUCTOS[#All],3)</f>
        <v>LIBRERÍA</v>
      </c>
      <c r="D90" s="6" t="str">
        <f>VLOOKUP(TABLA_STOCK[Codigo],LISTADO_PRODUCTOS[#All],4)</f>
        <v>Micro Tank pen 0,7</v>
      </c>
      <c r="E90" s="6" t="str">
        <f>VLOOKUP(TABLA_STOCK[Codigo],LISTADO_PRODUCTOS[#All],5)</f>
        <v>N/A</v>
      </c>
      <c r="F90" s="4">
        <v>2</v>
      </c>
      <c r="G90" s="4">
        <v>150</v>
      </c>
    </row>
    <row r="91" spans="1:7" x14ac:dyDescent="0.3">
      <c r="A91" s="4">
        <v>1101</v>
      </c>
      <c r="B91" s="4">
        <f>VLOOKUP(TABLA_STOCK[Codigo],LISTADO_PRODUCTOS[#All],2)</f>
        <v>54262</v>
      </c>
      <c r="C91" s="6" t="str">
        <f>VLOOKUP(TABLA_STOCK[Codigo],LISTADO_PRODUCTOS[#All],3)</f>
        <v>LIBRERÍA</v>
      </c>
      <c r="D91" s="6" t="str">
        <f>VLOOKUP(TABLA_STOCK[Codigo],LISTADO_PRODUCTOS[#All],4)</f>
        <v>Toyo Max 0,7</v>
      </c>
      <c r="E91" s="6" t="str">
        <f>VLOOKUP(TABLA_STOCK[Codigo],LISTADO_PRODUCTOS[#All],5)</f>
        <v>N/A</v>
      </c>
      <c r="F91" s="4">
        <v>10</v>
      </c>
      <c r="G91" s="4">
        <v>20</v>
      </c>
    </row>
    <row r="92" spans="1:7" x14ac:dyDescent="0.3">
      <c r="A92" s="4">
        <v>1102</v>
      </c>
      <c r="B92" s="4">
        <f>VLOOKUP(TABLA_STOCK[Codigo],LISTADO_PRODUCTOS[#All],2)</f>
        <v>54263</v>
      </c>
      <c r="C92" s="6" t="str">
        <f>VLOOKUP(TABLA_STOCK[Codigo],LISTADO_PRODUCTOS[#All],3)</f>
        <v>LIBRERÍA</v>
      </c>
      <c r="D92" s="6" t="str">
        <f>VLOOKUP(TABLA_STOCK[Codigo],LISTADO_PRODUCTOS[#All],4)</f>
        <v>Boligrafo Bic Grip</v>
      </c>
      <c r="E92" s="6" t="str">
        <f>VLOOKUP(TABLA_STOCK[Codigo],LISTADO_PRODUCTOS[#All],5)</f>
        <v>N/A</v>
      </c>
      <c r="F92" s="4">
        <v>20</v>
      </c>
      <c r="G92" s="4">
        <v>9</v>
      </c>
    </row>
    <row r="93" spans="1:7" x14ac:dyDescent="0.3">
      <c r="A93" s="4">
        <v>1103</v>
      </c>
      <c r="B93" s="4">
        <f>VLOOKUP(TABLA_STOCK[Codigo],LISTADO_PRODUCTOS[#All],2)</f>
        <v>54264</v>
      </c>
      <c r="C93" s="6" t="str">
        <f>VLOOKUP(TABLA_STOCK[Codigo],LISTADO_PRODUCTOS[#All],3)</f>
        <v>LIBRERÍA</v>
      </c>
      <c r="D93" s="6" t="str">
        <f>VLOOKUP(TABLA_STOCK[Codigo],LISTADO_PRODUCTOS[#All],4)</f>
        <v>Boligrafo Paper Mate Kilometrico 300RT</v>
      </c>
      <c r="E93" s="6" t="str">
        <f>VLOOKUP(TABLA_STOCK[Codigo],LISTADO_PRODUCTOS[#All],5)</f>
        <v>N/A</v>
      </c>
      <c r="F93" s="4">
        <v>5</v>
      </c>
      <c r="G93" s="4">
        <v>6</v>
      </c>
    </row>
    <row r="94" spans="1:7" x14ac:dyDescent="0.3">
      <c r="A94" s="4">
        <v>1104</v>
      </c>
      <c r="B94" s="4">
        <f>VLOOKUP(TABLA_STOCK[Codigo],LISTADO_PRODUCTOS[#All],2)</f>
        <v>54265</v>
      </c>
      <c r="C94" s="6" t="str">
        <f>VLOOKUP(TABLA_STOCK[Codigo],LISTADO_PRODUCTOS[#All],3)</f>
        <v>LIBRERÍA</v>
      </c>
      <c r="D94" s="6" t="str">
        <f>VLOOKUP(TABLA_STOCK[Codigo],LISTADO_PRODUCTOS[#All],4)</f>
        <v>Boligrafo Bic Cristal fina 2x $300</v>
      </c>
      <c r="E94" s="6" t="str">
        <f>VLOOKUP(TABLA_STOCK[Codigo],LISTADO_PRODUCTOS[#All],5)</f>
        <v>N/A</v>
      </c>
      <c r="F94" s="4">
        <v>1</v>
      </c>
      <c r="G94" s="4">
        <v>5</v>
      </c>
    </row>
    <row r="95" spans="1:7" x14ac:dyDescent="0.3">
      <c r="A95" s="4">
        <v>1105</v>
      </c>
      <c r="B95" s="4">
        <f>VLOOKUP(TABLA_STOCK[Codigo],LISTADO_PRODUCTOS[#All],2)</f>
        <v>54266</v>
      </c>
      <c r="C95" s="6" t="str">
        <f>VLOOKUP(TABLA_STOCK[Codigo],LISTADO_PRODUCTOS[#All],3)</f>
        <v>LIBRERÍA</v>
      </c>
      <c r="D95" s="6" t="str">
        <f>VLOOKUP(TABLA_STOCK[Codigo],LISTADO_PRODUCTOS[#All],4)</f>
        <v>Boligrafo Bic Cristal</v>
      </c>
      <c r="E95" s="6" t="str">
        <f>VLOOKUP(TABLA_STOCK[Codigo],LISTADO_PRODUCTOS[#All],5)</f>
        <v>N/A</v>
      </c>
      <c r="F95" s="4">
        <v>5</v>
      </c>
      <c r="G95" s="4">
        <v>52</v>
      </c>
    </row>
    <row r="96" spans="1:7" x14ac:dyDescent="0.3">
      <c r="A96" s="4">
        <v>1107</v>
      </c>
      <c r="B96" s="4">
        <f>VLOOKUP(TABLA_STOCK[Codigo],LISTADO_PRODUCTOS[#All],2)</f>
        <v>54267</v>
      </c>
      <c r="C96" s="6" t="str">
        <f>VLOOKUP(TABLA_STOCK[Codigo],LISTADO_PRODUCTOS[#All],3)</f>
        <v>LIBRERÍA</v>
      </c>
      <c r="D96" s="6" t="str">
        <f>VLOOKUP(TABLA_STOCK[Codigo],LISTADO_PRODUCTOS[#All],4)</f>
        <v>Boligrafo Faber Trilux 3 x $300</v>
      </c>
      <c r="E96" s="6" t="str">
        <f>VLOOKUP(TABLA_STOCK[Codigo],LISTADO_PRODUCTOS[#All],5)</f>
        <v>N/A</v>
      </c>
      <c r="F96" s="4">
        <v>2</v>
      </c>
      <c r="G96" s="4">
        <v>32</v>
      </c>
    </row>
    <row r="97" spans="1:7" x14ac:dyDescent="0.3">
      <c r="A97" s="4">
        <v>1108</v>
      </c>
      <c r="B97" s="4">
        <f>VLOOKUP(TABLA_STOCK[Codigo],LISTADO_PRODUCTOS[#All],2)</f>
        <v>54268</v>
      </c>
      <c r="C97" s="6" t="str">
        <f>VLOOKUP(TABLA_STOCK[Codigo],LISTADO_PRODUCTOS[#All],3)</f>
        <v>LIBRERÍA</v>
      </c>
      <c r="D97" s="6" t="str">
        <f>VLOOKUP(TABLA_STOCK[Codigo],LISTADO_PRODUCTOS[#All],4)</f>
        <v>Boligrafo Bic opaco 2 x $300</v>
      </c>
      <c r="E97" s="6" t="str">
        <f>VLOOKUP(TABLA_STOCK[Codigo],LISTADO_PRODUCTOS[#All],5)</f>
        <v>N/A</v>
      </c>
      <c r="F97" s="4">
        <v>2</v>
      </c>
      <c r="G97" s="4">
        <v>56</v>
      </c>
    </row>
    <row r="98" spans="1:7" x14ac:dyDescent="0.3">
      <c r="A98" s="4">
        <v>1109</v>
      </c>
      <c r="B98" s="4">
        <f>VLOOKUP(TABLA_STOCK[Codigo],LISTADO_PRODUCTOS[#All],2)</f>
        <v>54269</v>
      </c>
      <c r="C98" s="6" t="str">
        <f>VLOOKUP(TABLA_STOCK[Codigo],LISTADO_PRODUCTOS[#All],3)</f>
        <v>LIBRERÍA</v>
      </c>
      <c r="D98" s="6" t="str">
        <f>VLOOKUP(TABLA_STOCK[Codigo],LISTADO_PRODUCTOS[#All],4)</f>
        <v>Boligrafo Bic Vive</v>
      </c>
      <c r="E98" s="6" t="str">
        <f>VLOOKUP(TABLA_STOCK[Codigo],LISTADO_PRODUCTOS[#All],5)</f>
        <v>N/A</v>
      </c>
      <c r="F98" s="4">
        <v>10</v>
      </c>
      <c r="G98" s="4">
        <v>107</v>
      </c>
    </row>
    <row r="99" spans="1:7" x14ac:dyDescent="0.3">
      <c r="A99" s="4">
        <v>1110</v>
      </c>
      <c r="B99" s="4">
        <f>VLOOKUP(TABLA_STOCK[Codigo],LISTADO_PRODUCTOS[#All],2)</f>
        <v>54270</v>
      </c>
      <c r="C99" s="6" t="str">
        <f>VLOOKUP(TABLA_STOCK[Codigo],LISTADO_PRODUCTOS[#All],3)</f>
        <v>LIBRERÍA</v>
      </c>
      <c r="D99" s="6" t="str">
        <f>VLOOKUP(TABLA_STOCK[Codigo],LISTADO_PRODUCTOS[#All],4)</f>
        <v>Boligrafo Bic Shimmer 2 x $300</v>
      </c>
      <c r="E99" s="6" t="str">
        <f>VLOOKUP(TABLA_STOCK[Codigo],LISTADO_PRODUCTOS[#All],5)</f>
        <v>N/A</v>
      </c>
      <c r="F99" s="4">
        <v>20</v>
      </c>
      <c r="G99" s="4">
        <v>25</v>
      </c>
    </row>
    <row r="100" spans="1:7" x14ac:dyDescent="0.3">
      <c r="A100" s="4">
        <v>1111</v>
      </c>
      <c r="B100" s="4">
        <f>VLOOKUP(TABLA_STOCK[Codigo],LISTADO_PRODUCTOS[#All],2)</f>
        <v>54271</v>
      </c>
      <c r="C100" s="6" t="str">
        <f>VLOOKUP(TABLA_STOCK[Codigo],LISTADO_PRODUCTOS[#All],3)</f>
        <v>LIBRERÍA</v>
      </c>
      <c r="D100" s="6" t="str">
        <f>VLOOKUP(TABLA_STOCK[Codigo],LISTADO_PRODUCTOS[#All],4)</f>
        <v>Boligrafo Bic Opaco fina</v>
      </c>
      <c r="E100" s="6" t="str">
        <f>VLOOKUP(TABLA_STOCK[Codigo],LISTADO_PRODUCTOS[#All],5)</f>
        <v>N/A</v>
      </c>
      <c r="F100" s="4">
        <v>5</v>
      </c>
      <c r="G100" s="4">
        <v>32</v>
      </c>
    </row>
    <row r="101" spans="1:7" x14ac:dyDescent="0.3">
      <c r="A101" s="4">
        <v>1112</v>
      </c>
      <c r="B101" s="4">
        <f>VLOOKUP(TABLA_STOCK[Codigo],LISTADO_PRODUCTOS[#All],2)</f>
        <v>54272</v>
      </c>
      <c r="C101" s="6" t="str">
        <f>VLOOKUP(TABLA_STOCK[Codigo],LISTADO_PRODUCTOS[#All],3)</f>
        <v>LIBRERÍA</v>
      </c>
      <c r="D101" s="6" t="str">
        <f>VLOOKUP(TABLA_STOCK[Codigo],LISTADO_PRODUCTOS[#All],4)</f>
        <v>Boligrafo Bic Bold</v>
      </c>
      <c r="E101" s="6" t="str">
        <f>VLOOKUP(TABLA_STOCK[Codigo],LISTADO_PRODUCTOS[#All],5)</f>
        <v>N/A</v>
      </c>
      <c r="F101" s="4">
        <v>1</v>
      </c>
      <c r="G101" s="4">
        <v>150</v>
      </c>
    </row>
    <row r="102" spans="1:7" x14ac:dyDescent="0.3">
      <c r="A102" s="4">
        <v>1113</v>
      </c>
      <c r="B102" s="4">
        <f>VLOOKUP(TABLA_STOCK[Codigo],LISTADO_PRODUCTOS[#All],2)</f>
        <v>54273</v>
      </c>
      <c r="C102" s="6" t="str">
        <f>VLOOKUP(TABLA_STOCK[Codigo],LISTADO_PRODUCTOS[#All],3)</f>
        <v>LIBRERÍA</v>
      </c>
      <c r="D102" s="6" t="str">
        <f>VLOOKUP(TABLA_STOCK[Codigo],LISTADO_PRODUCTOS[#All],4)</f>
        <v>Roller Bic Gripp</v>
      </c>
      <c r="E102" s="6" t="str">
        <f>VLOOKUP(TABLA_STOCK[Codigo],LISTADO_PRODUCTOS[#All],5)</f>
        <v>N/A</v>
      </c>
      <c r="F102" s="4">
        <v>5</v>
      </c>
      <c r="G102" s="4">
        <v>20</v>
      </c>
    </row>
    <row r="103" spans="1:7" x14ac:dyDescent="0.3">
      <c r="A103" s="4">
        <v>1114</v>
      </c>
      <c r="B103" s="4">
        <f>VLOOKUP(TABLA_STOCK[Codigo],LISTADO_PRODUCTOS[#All],2)</f>
        <v>54274</v>
      </c>
      <c r="C103" s="6" t="str">
        <f>VLOOKUP(TABLA_STOCK[Codigo],LISTADO_PRODUCTOS[#All],3)</f>
        <v>LIBRERÍA</v>
      </c>
      <c r="D103" s="6" t="str">
        <f>VLOOKUP(TABLA_STOCK[Codigo],LISTADO_PRODUCTOS[#All],4)</f>
        <v>Carpeta N°3 con cordon Comunes</v>
      </c>
      <c r="E103" s="6" t="str">
        <f>VLOOKUP(TABLA_STOCK[Codigo],LISTADO_PRODUCTOS[#All],5)</f>
        <v>N/A</v>
      </c>
      <c r="F103" s="4">
        <v>2</v>
      </c>
      <c r="G103" s="4">
        <v>19</v>
      </c>
    </row>
    <row r="104" spans="1:7" x14ac:dyDescent="0.3">
      <c r="A104" s="4">
        <v>1115</v>
      </c>
      <c r="B104" s="4">
        <f>VLOOKUP(TABLA_STOCK[Codigo],LISTADO_PRODUCTOS[#All],2)</f>
        <v>54275</v>
      </c>
      <c r="C104" s="6" t="str">
        <f>VLOOKUP(TABLA_STOCK[Codigo],LISTADO_PRODUCTOS[#All],3)</f>
        <v>LIBRERÍA</v>
      </c>
      <c r="D104" s="6" t="str">
        <f>VLOOKUP(TABLA_STOCK[Codigo],LISTADO_PRODUCTOS[#All],4)</f>
        <v>Boligrafo borrable Erasermate comun</v>
      </c>
      <c r="E104" s="6" t="str">
        <f>VLOOKUP(TABLA_STOCK[Codigo],LISTADO_PRODUCTOS[#All],5)</f>
        <v>N/A</v>
      </c>
      <c r="F104" s="4">
        <v>2</v>
      </c>
      <c r="G104" s="4">
        <v>6</v>
      </c>
    </row>
    <row r="105" spans="1:7" x14ac:dyDescent="0.3">
      <c r="A105" s="4">
        <v>1116</v>
      </c>
      <c r="B105" s="4">
        <f>VLOOKUP(TABLA_STOCK[Codigo],LISTADO_PRODUCTOS[#All],2)</f>
        <v>54276</v>
      </c>
      <c r="C105" s="6" t="str">
        <f>VLOOKUP(TABLA_STOCK[Codigo],LISTADO_PRODUCTOS[#All],3)</f>
        <v>LIBRERÍA</v>
      </c>
      <c r="D105" s="6" t="str">
        <f>VLOOKUP(TABLA_STOCK[Codigo],LISTADO_PRODUCTOS[#All],4)</f>
        <v>Boligrafo Borrable OLAMI Negro</v>
      </c>
      <c r="E105" s="6" t="str">
        <f>VLOOKUP(TABLA_STOCK[Codigo],LISTADO_PRODUCTOS[#All],5)</f>
        <v>N/A</v>
      </c>
      <c r="F105" s="4">
        <v>10</v>
      </c>
      <c r="G105" s="4">
        <v>5</v>
      </c>
    </row>
    <row r="106" spans="1:7" x14ac:dyDescent="0.3">
      <c r="A106" s="4">
        <v>1117</v>
      </c>
      <c r="B106" s="4">
        <f>VLOOKUP(TABLA_STOCK[Codigo],LISTADO_PRODUCTOS[#All],2)</f>
        <v>54277</v>
      </c>
      <c r="C106" s="6" t="str">
        <f>VLOOKUP(TABLA_STOCK[Codigo],LISTADO_PRODUCTOS[#All],3)</f>
        <v>LIBRERÍA</v>
      </c>
      <c r="D106" s="6" t="str">
        <f>VLOOKUP(TABLA_STOCK[Codigo],LISTADO_PRODUCTOS[#All],4)</f>
        <v>Portaminas Filgo Real Grip 0.5</v>
      </c>
      <c r="E106" s="6" t="str">
        <f>VLOOKUP(TABLA_STOCK[Codigo],LISTADO_PRODUCTOS[#All],5)</f>
        <v>N/A</v>
      </c>
      <c r="F106" s="4">
        <v>20</v>
      </c>
      <c r="G106" s="4">
        <v>52</v>
      </c>
    </row>
    <row r="107" spans="1:7" x14ac:dyDescent="0.3">
      <c r="A107" s="4">
        <v>1118</v>
      </c>
      <c r="B107" s="4">
        <f>VLOOKUP(TABLA_STOCK[Codigo],LISTADO_PRODUCTOS[#All],2)</f>
        <v>54278</v>
      </c>
      <c r="C107" s="6" t="str">
        <f>VLOOKUP(TABLA_STOCK[Codigo],LISTADO_PRODUCTOS[#All],3)</f>
        <v>LIBRERÍA</v>
      </c>
      <c r="D107" s="6" t="str">
        <f>VLOOKUP(TABLA_STOCK[Codigo],LISTADO_PRODUCTOS[#All],4)</f>
        <v>Boligrafo Wero retractil Pastel Notes Corazon</v>
      </c>
      <c r="E107" s="6" t="str">
        <f>VLOOKUP(TABLA_STOCK[Codigo],LISTADO_PRODUCTOS[#All],5)</f>
        <v>N/A</v>
      </c>
      <c r="F107" s="4">
        <v>5</v>
      </c>
      <c r="G107" s="4">
        <v>32</v>
      </c>
    </row>
    <row r="108" spans="1:7" x14ac:dyDescent="0.3">
      <c r="A108" s="4">
        <v>1119</v>
      </c>
      <c r="B108" s="4">
        <f>VLOOKUP(TABLA_STOCK[Codigo],LISTADO_PRODUCTOS[#All],2)</f>
        <v>54279</v>
      </c>
      <c r="C108" s="6" t="str">
        <f>VLOOKUP(TABLA_STOCK[Codigo],LISTADO_PRODUCTOS[#All],3)</f>
        <v>LIBRERÍA</v>
      </c>
      <c r="D108" s="6" t="str">
        <f>VLOOKUP(TABLA_STOCK[Codigo],LISTADO_PRODUCTOS[#All],4)</f>
        <v>Boligrafo retractil pastel notes unicornio</v>
      </c>
      <c r="E108" s="6" t="str">
        <f>VLOOKUP(TABLA_STOCK[Codigo],LISTADO_PRODUCTOS[#All],5)</f>
        <v>N/A</v>
      </c>
      <c r="F108" s="4">
        <v>1</v>
      </c>
      <c r="G108" s="4">
        <v>56</v>
      </c>
    </row>
    <row r="109" spans="1:7" x14ac:dyDescent="0.3">
      <c r="A109" s="4">
        <v>1124</v>
      </c>
      <c r="B109" s="4">
        <f>VLOOKUP(TABLA_STOCK[Codigo],LISTADO_PRODUCTOS[#All],2)</f>
        <v>54280</v>
      </c>
      <c r="C109" s="6" t="str">
        <f>VLOOKUP(TABLA_STOCK[Codigo],LISTADO_PRODUCTOS[#All],3)</f>
        <v>LIBRERÍA</v>
      </c>
      <c r="D109" s="6" t="str">
        <f>VLOOKUP(TABLA_STOCK[Codigo],LISTADO_PRODUCTOS[#All],4)</f>
        <v>Portaminas Bic Clic Matic Atlantis pencil 0.5</v>
      </c>
      <c r="E109" s="6" t="str">
        <f>VLOOKUP(TABLA_STOCK[Codigo],LISTADO_PRODUCTOS[#All],5)</f>
        <v>N/A</v>
      </c>
      <c r="F109" s="4">
        <v>5</v>
      </c>
      <c r="G109" s="4">
        <v>107</v>
      </c>
    </row>
    <row r="110" spans="1:7" x14ac:dyDescent="0.3">
      <c r="A110" s="4">
        <v>1125</v>
      </c>
      <c r="B110" s="4">
        <f>VLOOKUP(TABLA_STOCK[Codigo],LISTADO_PRODUCTOS[#All],2)</f>
        <v>54281</v>
      </c>
      <c r="C110" s="6" t="str">
        <f>VLOOKUP(TABLA_STOCK[Codigo],LISTADO_PRODUCTOS[#All],3)</f>
        <v>LIBRERÍA</v>
      </c>
      <c r="D110" s="6" t="str">
        <f>VLOOKUP(TABLA_STOCK[Codigo],LISTADO_PRODUCTOS[#All],4)</f>
        <v>Minas pizzini 0.5 HB - Art. S5300HB - 7793198530079</v>
      </c>
      <c r="E110" s="6" t="str">
        <f>VLOOKUP(TABLA_STOCK[Codigo],LISTADO_PRODUCTOS[#All],5)</f>
        <v>N/A</v>
      </c>
      <c r="F110" s="4">
        <v>2</v>
      </c>
      <c r="G110" s="4">
        <v>25</v>
      </c>
    </row>
    <row r="111" spans="1:7" x14ac:dyDescent="0.3">
      <c r="A111" s="4">
        <v>1126</v>
      </c>
      <c r="B111" s="4">
        <f>VLOOKUP(TABLA_STOCK[Codigo],LISTADO_PRODUCTOS[#All],2)</f>
        <v>54282</v>
      </c>
      <c r="C111" s="6" t="str">
        <f>VLOOKUP(TABLA_STOCK[Codigo],LISTADO_PRODUCTOS[#All],3)</f>
        <v>LIBRERÍA</v>
      </c>
      <c r="D111" s="6" t="str">
        <f>VLOOKUP(TABLA_STOCK[Codigo],LISTADO_PRODUCTOS[#All],4)</f>
        <v>Minas Pizzini 0,7 HB - Art. S7300HB - 7793198730073</v>
      </c>
      <c r="E111" s="6" t="str">
        <f>VLOOKUP(TABLA_STOCK[Codigo],LISTADO_PRODUCTOS[#All],5)</f>
        <v>N/A</v>
      </c>
      <c r="F111" s="4">
        <v>10</v>
      </c>
      <c r="G111" s="4">
        <v>32</v>
      </c>
    </row>
    <row r="112" spans="1:7" x14ac:dyDescent="0.3">
      <c r="A112" s="4">
        <v>1127</v>
      </c>
      <c r="B112" s="4">
        <f>VLOOKUP(TABLA_STOCK[Codigo],LISTADO_PRODUCTOS[#All],2)</f>
        <v>54283</v>
      </c>
      <c r="C112" s="6" t="str">
        <f>VLOOKUP(TABLA_STOCK[Codigo],LISTADO_PRODUCTOS[#All],3)</f>
        <v>LIBRERÍA</v>
      </c>
      <c r="D112" s="6" t="str">
        <f>VLOOKUP(TABLA_STOCK[Codigo],LISTADO_PRODUCTOS[#All],4)</f>
        <v>Minas Faber Castell 0.5 HB</v>
      </c>
      <c r="E112" s="6" t="str">
        <f>VLOOKUP(TABLA_STOCK[Codigo],LISTADO_PRODUCTOS[#All],5)</f>
        <v>N/A</v>
      </c>
      <c r="F112" s="4">
        <v>20</v>
      </c>
      <c r="G112" s="4">
        <v>150</v>
      </c>
    </row>
    <row r="113" spans="1:7" x14ac:dyDescent="0.3">
      <c r="A113" s="4">
        <v>1128</v>
      </c>
      <c r="B113" s="4">
        <f>VLOOKUP(TABLA_STOCK[Codigo],LISTADO_PRODUCTOS[#All],2)</f>
        <v>54284</v>
      </c>
      <c r="C113" s="6" t="str">
        <f>VLOOKUP(TABLA_STOCK[Codigo],LISTADO_PRODUCTOS[#All],3)</f>
        <v>LIBRERÍA</v>
      </c>
      <c r="D113" s="6" t="str">
        <f>VLOOKUP(TABLA_STOCK[Codigo],LISTADO_PRODUCTOS[#All],4)</f>
        <v>Minas Faber Castell 0,7 HB</v>
      </c>
      <c r="E113" s="6" t="str">
        <f>VLOOKUP(TABLA_STOCK[Codigo],LISTADO_PRODUCTOS[#All],5)</f>
        <v>N/A</v>
      </c>
      <c r="F113" s="4">
        <v>5</v>
      </c>
      <c r="G113" s="4">
        <v>20</v>
      </c>
    </row>
    <row r="114" spans="1:7" x14ac:dyDescent="0.3">
      <c r="A114" s="4">
        <v>1129</v>
      </c>
      <c r="B114" s="4">
        <f>VLOOKUP(TABLA_STOCK[Codigo],LISTADO_PRODUCTOS[#All],2)</f>
        <v>54285</v>
      </c>
      <c r="C114" s="6" t="str">
        <f>VLOOKUP(TABLA_STOCK[Codigo],LISTADO_PRODUCTOS[#All],3)</f>
        <v>LIBRERÍA</v>
      </c>
      <c r="D114" s="6" t="str">
        <f>VLOOKUP(TABLA_STOCK[Codigo],LISTADO_PRODUCTOS[#All],4)</f>
        <v>Minas Faber Castell 0.5 2H</v>
      </c>
      <c r="E114" s="6" t="str">
        <f>VLOOKUP(TABLA_STOCK[Codigo],LISTADO_PRODUCTOS[#All],5)</f>
        <v>N/A</v>
      </c>
      <c r="F114" s="4">
        <v>1</v>
      </c>
      <c r="G114" s="4">
        <v>19</v>
      </c>
    </row>
    <row r="115" spans="1:7" x14ac:dyDescent="0.3">
      <c r="A115" s="4">
        <v>1130</v>
      </c>
      <c r="B115" s="4">
        <f>VLOOKUP(TABLA_STOCK[Codigo],LISTADO_PRODUCTOS[#All],2)</f>
        <v>54286</v>
      </c>
      <c r="C115" s="6" t="str">
        <f>VLOOKUP(TABLA_STOCK[Codigo],LISTADO_PRODUCTOS[#All],3)</f>
        <v>LIBRERÍA</v>
      </c>
      <c r="D115" s="6" t="str">
        <f>VLOOKUP(TABLA_STOCK[Codigo],LISTADO_PRODUCTOS[#All],4)</f>
        <v>Minas Pizzini 2mm B - Art. S20300B - 7793198203034</v>
      </c>
      <c r="E115" s="6" t="str">
        <f>VLOOKUP(TABLA_STOCK[Codigo],LISTADO_PRODUCTOS[#All],5)</f>
        <v>N/A</v>
      </c>
      <c r="F115" s="4">
        <v>5</v>
      </c>
      <c r="G115" s="4">
        <v>6</v>
      </c>
    </row>
    <row r="116" spans="1:7" x14ac:dyDescent="0.3">
      <c r="A116" s="4">
        <v>1131</v>
      </c>
      <c r="B116" s="4">
        <f>VLOOKUP(TABLA_STOCK[Codigo],LISTADO_PRODUCTOS[#All],2)</f>
        <v>54287</v>
      </c>
      <c r="C116" s="6" t="str">
        <f>VLOOKUP(TABLA_STOCK[Codigo],LISTADO_PRODUCTOS[#All],3)</f>
        <v>LIBRERÍA</v>
      </c>
      <c r="D116" s="6" t="str">
        <f>VLOOKUP(TABLA_STOCK[Codigo],LISTADO_PRODUCTOS[#All],4)</f>
        <v>Sacapuntas Maped CROC CROC</v>
      </c>
      <c r="E116" s="6" t="str">
        <f>VLOOKUP(TABLA_STOCK[Codigo],LISTADO_PRODUCTOS[#All],5)</f>
        <v>N/A</v>
      </c>
      <c r="F116" s="4">
        <v>2</v>
      </c>
      <c r="G116" s="4">
        <v>5</v>
      </c>
    </row>
    <row r="117" spans="1:7" x14ac:dyDescent="0.3">
      <c r="A117" s="4">
        <v>1132</v>
      </c>
      <c r="B117" s="4">
        <f>VLOOKUP(TABLA_STOCK[Codigo],LISTADO_PRODUCTOS[#All],2)</f>
        <v>54288</v>
      </c>
      <c r="C117" s="6" t="str">
        <f>VLOOKUP(TABLA_STOCK[Codigo],LISTADO_PRODUCTOS[#All],3)</f>
        <v>LIBRERÍA</v>
      </c>
      <c r="D117" s="6" t="str">
        <f>VLOOKUP(TABLA_STOCK[Codigo],LISTADO_PRODUCTOS[#All],4)</f>
        <v>Notas Adhesivas WERO Fun WE 1144</v>
      </c>
      <c r="E117" s="6" t="str">
        <f>VLOOKUP(TABLA_STOCK[Codigo],LISTADO_PRODUCTOS[#All],5)</f>
        <v>N/A</v>
      </c>
      <c r="F117" s="4">
        <v>2</v>
      </c>
      <c r="G117" s="4">
        <v>52</v>
      </c>
    </row>
    <row r="118" spans="1:7" x14ac:dyDescent="0.3">
      <c r="A118" s="4">
        <v>1133</v>
      </c>
      <c r="B118" s="4">
        <f>VLOOKUP(TABLA_STOCK[Codigo],LISTADO_PRODUCTOS[#All],2)</f>
        <v>54289</v>
      </c>
      <c r="C118" s="6" t="str">
        <f>VLOOKUP(TABLA_STOCK[Codigo],LISTADO_PRODUCTOS[#All],3)</f>
        <v>LIBRERÍA</v>
      </c>
      <c r="D118" s="6" t="str">
        <f>VLOOKUP(TABLA_STOCK[Codigo],LISTADO_PRODUCTOS[#All],4)</f>
        <v>Gomas c/formas Wero Cool Pops c/u se vende x unidad</v>
      </c>
      <c r="E118" s="6" t="str">
        <f>VLOOKUP(TABLA_STOCK[Codigo],LISTADO_PRODUCTOS[#All],5)</f>
        <v>N/A</v>
      </c>
      <c r="F118" s="4">
        <v>10</v>
      </c>
      <c r="G118" s="4">
        <v>32</v>
      </c>
    </row>
    <row r="119" spans="1:7" x14ac:dyDescent="0.3">
      <c r="A119" s="4">
        <v>1136</v>
      </c>
      <c r="B119" s="4">
        <f>VLOOKUP(TABLA_STOCK[Codigo],LISTADO_PRODUCTOS[#All],2)</f>
        <v>54290</v>
      </c>
      <c r="C119" s="6" t="str">
        <f>VLOOKUP(TABLA_STOCK[Codigo],LISTADO_PRODUCTOS[#All],3)</f>
        <v>LIBRERÍA</v>
      </c>
      <c r="D119" s="6" t="str">
        <f>VLOOKUP(TABLA_STOCK[Codigo],LISTADO_PRODUCTOS[#All],4)</f>
        <v xml:space="preserve">Separador de materias cartulina con lengüeta A4/Of x5u color </v>
      </c>
      <c r="E119" s="6" t="str">
        <f>VLOOKUP(TABLA_STOCK[Codigo],LISTADO_PRODUCTOS[#All],5)</f>
        <v>N/A</v>
      </c>
      <c r="F119" s="4">
        <v>20</v>
      </c>
      <c r="G119" s="4">
        <v>56</v>
      </c>
    </row>
    <row r="120" spans="1:7" x14ac:dyDescent="0.3">
      <c r="A120" s="4">
        <v>1137</v>
      </c>
      <c r="B120" s="4">
        <f>VLOOKUP(TABLA_STOCK[Codigo],LISTADO_PRODUCTOS[#All],2)</f>
        <v>54291</v>
      </c>
      <c r="C120" s="6" t="str">
        <f>VLOOKUP(TABLA_STOCK[Codigo],LISTADO_PRODUCTOS[#All],3)</f>
        <v>LIBRERÍA</v>
      </c>
      <c r="D120" s="6" t="str">
        <f>VLOOKUP(TABLA_STOCK[Codigo],LISTADO_PRODUCTOS[#All],4)</f>
        <v>Compas pizzini Pk133 - Art. PK133 - 7793198133003</v>
      </c>
      <c r="E120" s="6" t="str">
        <f>VLOOKUP(TABLA_STOCK[Codigo],LISTADO_PRODUCTOS[#All],5)</f>
        <v>N/A</v>
      </c>
      <c r="F120" s="4">
        <v>5</v>
      </c>
      <c r="G120" s="4">
        <v>107</v>
      </c>
    </row>
    <row r="121" spans="1:7" x14ac:dyDescent="0.3">
      <c r="A121" s="4">
        <v>1138</v>
      </c>
      <c r="B121" s="4">
        <f>VLOOKUP(TABLA_STOCK[Codigo],LISTADO_PRODUCTOS[#All],2)</f>
        <v>54292</v>
      </c>
      <c r="C121" s="6" t="str">
        <f>VLOOKUP(TABLA_STOCK[Codigo],LISTADO_PRODUCTOS[#All],3)</f>
        <v>LIBRERÍA</v>
      </c>
      <c r="D121" s="6" t="str">
        <f>VLOOKUP(TABLA_STOCK[Codigo],LISTADO_PRODUCTOS[#All],4)</f>
        <v>Compas Pelikan en caja</v>
      </c>
      <c r="E121" s="6" t="str">
        <f>VLOOKUP(TABLA_STOCK[Codigo],LISTADO_PRODUCTOS[#All],5)</f>
        <v>N/A</v>
      </c>
      <c r="F121" s="4">
        <v>1</v>
      </c>
      <c r="G121" s="4">
        <v>25</v>
      </c>
    </row>
    <row r="122" spans="1:7" x14ac:dyDescent="0.3">
      <c r="A122" s="4">
        <v>1139</v>
      </c>
      <c r="B122" s="4">
        <f>VLOOKUP(TABLA_STOCK[Codigo],LISTADO_PRODUCTOS[#All],2)</f>
        <v>54293</v>
      </c>
      <c r="C122" s="6" t="str">
        <f>VLOOKUP(TABLA_STOCK[Codigo],LISTADO_PRODUCTOS[#All],3)</f>
        <v>LIBRERÍA</v>
      </c>
      <c r="D122" s="6" t="str">
        <f>VLOOKUP(TABLA_STOCK[Codigo],LISTADO_PRODUCTOS[#All],4)</f>
        <v>Resaltador Micro Margi 2000</v>
      </c>
      <c r="E122" s="6" t="str">
        <f>VLOOKUP(TABLA_STOCK[Codigo],LISTADO_PRODUCTOS[#All],5)</f>
        <v>N/A</v>
      </c>
      <c r="F122" s="4">
        <v>5</v>
      </c>
      <c r="G122" s="4">
        <v>32</v>
      </c>
    </row>
    <row r="123" spans="1:7" x14ac:dyDescent="0.3">
      <c r="A123" s="4">
        <v>1141</v>
      </c>
      <c r="B123" s="4">
        <f>VLOOKUP(TABLA_STOCK[Codigo],LISTADO_PRODUCTOS[#All],2)</f>
        <v>54294</v>
      </c>
      <c r="C123" s="6" t="str">
        <f>VLOOKUP(TABLA_STOCK[Codigo],LISTADO_PRODUCTOS[#All],3)</f>
        <v>LIBRERÍA</v>
      </c>
      <c r="D123" s="6" t="str">
        <f>VLOOKUP(TABLA_STOCK[Codigo],LISTADO_PRODUCTOS[#All],4)</f>
        <v>Resaltador Pizzini Duo - Art. 1282 - 7793198128887</v>
      </c>
      <c r="E123" s="6" t="str">
        <f>VLOOKUP(TABLA_STOCK[Codigo],LISTADO_PRODUCTOS[#All],5)</f>
        <v>N/A</v>
      </c>
      <c r="F123" s="4">
        <v>2</v>
      </c>
      <c r="G123" s="4">
        <v>150</v>
      </c>
    </row>
    <row r="124" spans="1:7" x14ac:dyDescent="0.3">
      <c r="A124" s="4">
        <v>1142</v>
      </c>
      <c r="B124" s="4">
        <f>VLOOKUP(TABLA_STOCK[Codigo],LISTADO_PRODUCTOS[#All],2)</f>
        <v>54295</v>
      </c>
      <c r="C124" s="6" t="str">
        <f>VLOOKUP(TABLA_STOCK[Codigo],LISTADO_PRODUCTOS[#All],3)</f>
        <v>LIBRERÍA</v>
      </c>
      <c r="D124" s="6" t="str">
        <f>VLOOKUP(TABLA_STOCK[Codigo],LISTADO_PRODUCTOS[#All],4)</f>
        <v>Resaltador edding 342</v>
      </c>
      <c r="E124" s="6" t="str">
        <f>VLOOKUP(TABLA_STOCK[Codigo],LISTADO_PRODUCTOS[#All],5)</f>
        <v>N/A</v>
      </c>
      <c r="F124" s="4">
        <v>2</v>
      </c>
      <c r="G124" s="4">
        <v>20</v>
      </c>
    </row>
    <row r="125" spans="1:7" x14ac:dyDescent="0.3">
      <c r="A125" s="4">
        <v>1143</v>
      </c>
      <c r="B125" s="4">
        <f>VLOOKUP(TABLA_STOCK[Codigo],LISTADO_PRODUCTOS[#All],2)</f>
        <v>54296</v>
      </c>
      <c r="C125" s="6" t="str">
        <f>VLOOKUP(TABLA_STOCK[Codigo],LISTADO_PRODUCTOS[#All],3)</f>
        <v>LIBRERÍA</v>
      </c>
      <c r="D125" s="6" t="str">
        <f>VLOOKUP(TABLA_STOCK[Codigo],LISTADO_PRODUCTOS[#All],4)</f>
        <v>Resaltador Bic</v>
      </c>
      <c r="E125" s="6" t="str">
        <f>VLOOKUP(TABLA_STOCK[Codigo],LISTADO_PRODUCTOS[#All],5)</f>
        <v>N/A</v>
      </c>
      <c r="F125" s="4">
        <v>10</v>
      </c>
      <c r="G125" s="4">
        <v>19</v>
      </c>
    </row>
    <row r="126" spans="1:7" x14ac:dyDescent="0.3">
      <c r="A126" s="4">
        <v>1144</v>
      </c>
      <c r="B126" s="4">
        <f>VLOOKUP(TABLA_STOCK[Codigo],LISTADO_PRODUCTOS[#All],2)</f>
        <v>54297</v>
      </c>
      <c r="C126" s="6" t="str">
        <f>VLOOKUP(TABLA_STOCK[Codigo],LISTADO_PRODUCTOS[#All],3)</f>
        <v>LIBRERÍA</v>
      </c>
      <c r="D126" s="6" t="str">
        <f>VLOOKUP(TABLA_STOCK[Codigo],LISTADO_PRODUCTOS[#All],4)</f>
        <v>Marcador escolar Maped DUO TIP x 10u</v>
      </c>
      <c r="E126" s="6" t="str">
        <f>VLOOKUP(TABLA_STOCK[Codigo],LISTADO_PRODUCTOS[#All],5)</f>
        <v>N/A</v>
      </c>
      <c r="F126" s="4">
        <v>20</v>
      </c>
      <c r="G126" s="4">
        <v>6</v>
      </c>
    </row>
    <row r="127" spans="1:7" x14ac:dyDescent="0.3">
      <c r="A127" s="4">
        <v>1149</v>
      </c>
      <c r="B127" s="4">
        <f>VLOOKUP(TABLA_STOCK[Codigo],LISTADO_PRODUCTOS[#All],2)</f>
        <v>54298</v>
      </c>
      <c r="C127" s="6" t="str">
        <f>VLOOKUP(TABLA_STOCK[Codigo],LISTADO_PRODUCTOS[#All],3)</f>
        <v>LIBRERÍA</v>
      </c>
      <c r="D127" s="6" t="str">
        <f>VLOOKUP(TABLA_STOCK[Codigo],LISTADO_PRODUCTOS[#All],4)</f>
        <v>Fibron Bic Marking Biselado extra grueso</v>
      </c>
      <c r="E127" s="6" t="str">
        <f>VLOOKUP(TABLA_STOCK[Codigo],LISTADO_PRODUCTOS[#All],5)</f>
        <v>N/A</v>
      </c>
      <c r="F127" s="4">
        <v>5</v>
      </c>
      <c r="G127" s="4">
        <v>5</v>
      </c>
    </row>
    <row r="128" spans="1:7" x14ac:dyDescent="0.3">
      <c r="A128" s="4">
        <v>1150</v>
      </c>
      <c r="B128" s="4">
        <f>VLOOKUP(TABLA_STOCK[Codigo],LISTADO_PRODUCTOS[#All],2)</f>
        <v>54299</v>
      </c>
      <c r="C128" s="6" t="str">
        <f>VLOOKUP(TABLA_STOCK[Codigo],LISTADO_PRODUCTOS[#All],3)</f>
        <v>LIBRERÍA</v>
      </c>
      <c r="D128" s="6" t="str">
        <f>VLOOKUP(TABLA_STOCK[Codigo],LISTADO_PRODUCTOS[#All],4)</f>
        <v>Fibron Bic Marking redondo</v>
      </c>
      <c r="E128" s="6" t="str">
        <f>VLOOKUP(TABLA_STOCK[Codigo],LISTADO_PRODUCTOS[#All],5)</f>
        <v>N/A</v>
      </c>
      <c r="F128" s="4">
        <v>1</v>
      </c>
      <c r="G128" s="4">
        <v>52</v>
      </c>
    </row>
    <row r="129" spans="1:7" x14ac:dyDescent="0.3">
      <c r="A129" s="4">
        <v>1451</v>
      </c>
      <c r="B129" s="4">
        <f>VLOOKUP(TABLA_STOCK[Codigo],LISTADO_PRODUCTOS[#All],2)</f>
        <v>54392</v>
      </c>
      <c r="C129" s="6" t="str">
        <f>VLOOKUP(TABLA_STOCK[Codigo],LISTADO_PRODUCTOS[#All],3)</f>
        <v>LIBRERÍA</v>
      </c>
      <c r="D129" s="6" t="str">
        <f>VLOOKUP(TABLA_STOCK[Codigo],LISTADO_PRODUCTOS[#All],4)</f>
        <v>Set de Resaltadores NUWA x5u en dispenser</v>
      </c>
      <c r="E129" s="6" t="str">
        <f>VLOOKUP(TABLA_STOCK[Codigo],LISTADO_PRODUCTOS[#All],5)</f>
        <v>N/A</v>
      </c>
      <c r="F129" s="4">
        <v>5</v>
      </c>
      <c r="G129" s="4">
        <v>32</v>
      </c>
    </row>
    <row r="130" spans="1:7" x14ac:dyDescent="0.3">
      <c r="A130" s="4">
        <v>1151</v>
      </c>
      <c r="B130" s="4">
        <f>VLOOKUP(TABLA_STOCK[Codigo],LISTADO_PRODUCTOS[#All],2)</f>
        <v>54299</v>
      </c>
      <c r="C130" s="6" t="str">
        <f>VLOOKUP(TABLA_STOCK[Codigo],LISTADO_PRODUCTOS[#All],3)</f>
        <v>LIBRERÍA</v>
      </c>
      <c r="D130" s="6" t="str">
        <f>VLOOKUP(TABLA_STOCK[Codigo],LISTADO_PRODUCTOS[#All],4)</f>
        <v>Fibron Bic Marking redondo</v>
      </c>
      <c r="E130" s="6" t="str">
        <f>VLOOKUP(TABLA_STOCK[Codigo],LISTADO_PRODUCTOS[#All],5)</f>
        <v>N/A</v>
      </c>
      <c r="F130" s="4">
        <v>2</v>
      </c>
      <c r="G130" s="4">
        <v>56</v>
      </c>
    </row>
    <row r="131" spans="1:7" x14ac:dyDescent="0.3">
      <c r="A131" s="4">
        <v>1153</v>
      </c>
      <c r="B131" s="4">
        <f>VLOOKUP(TABLA_STOCK[Codigo],LISTADO_PRODUCTOS[#All],2)</f>
        <v>54299</v>
      </c>
      <c r="C131" s="6" t="str">
        <f>VLOOKUP(TABLA_STOCK[Codigo],LISTADO_PRODUCTOS[#All],3)</f>
        <v>LIBRERÍA</v>
      </c>
      <c r="D131" s="6" t="str">
        <f>VLOOKUP(TABLA_STOCK[Codigo],LISTADO_PRODUCTOS[#All],4)</f>
        <v>Fibron Bic Marking redondo</v>
      </c>
      <c r="E131" s="6" t="str">
        <f>VLOOKUP(TABLA_STOCK[Codigo],LISTADO_PRODUCTOS[#All],5)</f>
        <v>N/A</v>
      </c>
      <c r="F131" s="4">
        <v>2</v>
      </c>
      <c r="G131" s="4">
        <v>107</v>
      </c>
    </row>
    <row r="132" spans="1:7" x14ac:dyDescent="0.3">
      <c r="A132" s="4">
        <v>1154</v>
      </c>
      <c r="B132" s="4">
        <f>VLOOKUP(TABLA_STOCK[Codigo],LISTADO_PRODUCTOS[#All],2)</f>
        <v>54303</v>
      </c>
      <c r="C132" s="6" t="str">
        <f>VLOOKUP(TABLA_STOCK[Codigo],LISTADO_PRODUCTOS[#All],3)</f>
        <v>LIBRERÍA</v>
      </c>
      <c r="D132" s="6" t="str">
        <f>VLOOKUP(TABLA_STOCK[Codigo],LISTADO_PRODUCTOS[#All],4)</f>
        <v>Tijera Maped advanced office 17cm</v>
      </c>
      <c r="E132" s="6" t="str">
        <f>VLOOKUP(TABLA_STOCK[Codigo],LISTADO_PRODUCTOS[#All],5)</f>
        <v>N/A</v>
      </c>
      <c r="F132" s="4">
        <v>10</v>
      </c>
      <c r="G132" s="4">
        <v>25</v>
      </c>
    </row>
    <row r="133" spans="1:7" x14ac:dyDescent="0.3">
      <c r="A133" s="4">
        <v>1155</v>
      </c>
      <c r="B133" s="4">
        <f>VLOOKUP(TABLA_STOCK[Codigo],LISTADO_PRODUCTOS[#All],2)</f>
        <v>54304</v>
      </c>
      <c r="C133" s="6" t="str">
        <f>VLOOKUP(TABLA_STOCK[Codigo],LISTADO_PRODUCTOS[#All],3)</f>
        <v>LIBRERÍA</v>
      </c>
      <c r="D133" s="6" t="str">
        <f>VLOOKUP(TABLA_STOCK[Codigo],LISTADO_PRODUCTOS[#All],4)</f>
        <v>Tijera Maped Universal 21cm</v>
      </c>
      <c r="E133" s="6" t="str">
        <f>VLOOKUP(TABLA_STOCK[Codigo],LISTADO_PRODUCTOS[#All],5)</f>
        <v>N/A</v>
      </c>
      <c r="F133" s="4">
        <v>20</v>
      </c>
      <c r="G133" s="4">
        <v>32</v>
      </c>
    </row>
    <row r="134" spans="1:7" x14ac:dyDescent="0.3">
      <c r="A134" s="4">
        <v>1156</v>
      </c>
      <c r="B134" s="4">
        <f>VLOOKUP(TABLA_STOCK[Codigo],LISTADO_PRODUCTOS[#All],2)</f>
        <v>54305</v>
      </c>
      <c r="C134" s="6" t="str">
        <f>VLOOKUP(TABLA_STOCK[Codigo],LISTADO_PRODUCTOS[#All],3)</f>
        <v>LIBRERÍA</v>
      </c>
      <c r="D134" s="6" t="str">
        <f>VLOOKUP(TABLA_STOCK[Codigo],LISTADO_PRODUCTOS[#All],4)</f>
        <v>Tijera Olami Standard 17.5cm</v>
      </c>
      <c r="E134" s="6" t="str">
        <f>VLOOKUP(TABLA_STOCK[Codigo],LISTADO_PRODUCTOS[#All],5)</f>
        <v>N/A</v>
      </c>
      <c r="F134" s="4">
        <v>5</v>
      </c>
      <c r="G134" s="4">
        <v>150</v>
      </c>
    </row>
    <row r="135" spans="1:7" x14ac:dyDescent="0.3">
      <c r="A135" s="4">
        <v>1161</v>
      </c>
      <c r="B135" s="4">
        <f>VLOOKUP(TABLA_STOCK[Codigo],LISTADO_PRODUCTOS[#All],2)</f>
        <v>54306</v>
      </c>
      <c r="C135" s="6" t="str">
        <f>VLOOKUP(TABLA_STOCK[Codigo],LISTADO_PRODUCTOS[#All],3)</f>
        <v>LIBRERÍA</v>
      </c>
      <c r="D135" s="6" t="str">
        <f>VLOOKUP(TABLA_STOCK[Codigo],LISTADO_PRODUCTOS[#All],4)</f>
        <v>Crayon Ezco Jumbo x 12u</v>
      </c>
      <c r="E135" s="6" t="str">
        <f>VLOOKUP(TABLA_STOCK[Codigo],LISTADO_PRODUCTOS[#All],5)</f>
        <v>N/A</v>
      </c>
      <c r="F135" s="4">
        <v>1</v>
      </c>
      <c r="G135" s="4">
        <v>20</v>
      </c>
    </row>
    <row r="136" spans="1:7" x14ac:dyDescent="0.3">
      <c r="A136" s="4">
        <v>1162</v>
      </c>
      <c r="B136" s="4">
        <f>VLOOKUP(TABLA_STOCK[Codigo],LISTADO_PRODUCTOS[#All],2)</f>
        <v>54307</v>
      </c>
      <c r="C136" s="6" t="str">
        <f>VLOOKUP(TABLA_STOCK[Codigo],LISTADO_PRODUCTOS[#All],3)</f>
        <v>LIBRERÍA</v>
      </c>
      <c r="D136" s="6" t="str">
        <f>VLOOKUP(TABLA_STOCK[Codigo],LISTADO_PRODUCTOS[#All],4)</f>
        <v>Lapices de colores Bic Evolution x 24</v>
      </c>
      <c r="E136" s="6" t="str">
        <f>VLOOKUP(TABLA_STOCK[Codigo],LISTADO_PRODUCTOS[#All],5)</f>
        <v>N/A</v>
      </c>
      <c r="F136" s="4">
        <v>5</v>
      </c>
      <c r="G136" s="4">
        <v>19</v>
      </c>
    </row>
    <row r="137" spans="1:7" x14ac:dyDescent="0.3">
      <c r="A137" s="4">
        <v>1163</v>
      </c>
      <c r="B137" s="4">
        <f>VLOOKUP(TABLA_STOCK[Codigo],LISTADO_PRODUCTOS[#All],2)</f>
        <v>54308</v>
      </c>
      <c r="C137" s="6" t="str">
        <f>VLOOKUP(TABLA_STOCK[Codigo],LISTADO_PRODUCTOS[#All],3)</f>
        <v>LIBRERÍA</v>
      </c>
      <c r="D137" s="6" t="str">
        <f>VLOOKUP(TABLA_STOCK[Codigo],LISTADO_PRODUCTOS[#All],4)</f>
        <v>Lapices de colores Skycolor pastel x 12</v>
      </c>
      <c r="E137" s="6" t="str">
        <f>VLOOKUP(TABLA_STOCK[Codigo],LISTADO_PRODUCTOS[#All],5)</f>
        <v>N/A</v>
      </c>
      <c r="F137" s="4">
        <v>2</v>
      </c>
      <c r="G137" s="4">
        <v>6</v>
      </c>
    </row>
    <row r="138" spans="1:7" x14ac:dyDescent="0.3">
      <c r="A138" s="4">
        <v>1164</v>
      </c>
      <c r="B138" s="4">
        <f>VLOOKUP(TABLA_STOCK[Codigo],LISTADO_PRODUCTOS[#All],2)</f>
        <v>54309</v>
      </c>
      <c r="C138" s="6" t="str">
        <f>VLOOKUP(TABLA_STOCK[Codigo],LISTADO_PRODUCTOS[#All],3)</f>
        <v>LIBRERÍA</v>
      </c>
      <c r="D138" s="6" t="str">
        <f>VLOOKUP(TABLA_STOCK[Codigo],LISTADO_PRODUCTOS[#All],4)</f>
        <v>Lapices de colores Maped Star pinturitas x 36 u</v>
      </c>
      <c r="E138" s="6" t="str">
        <f>VLOOKUP(TABLA_STOCK[Codigo],LISTADO_PRODUCTOS[#All],5)</f>
        <v>N/A</v>
      </c>
      <c r="F138" s="4">
        <v>10</v>
      </c>
      <c r="G138" s="4">
        <v>5</v>
      </c>
    </row>
    <row r="139" spans="1:7" x14ac:dyDescent="0.3">
      <c r="A139" s="4">
        <v>1165</v>
      </c>
      <c r="B139" s="4">
        <f>VLOOKUP(TABLA_STOCK[Codigo],LISTADO_PRODUCTOS[#All],2)</f>
        <v>54310</v>
      </c>
      <c r="C139" s="6" t="str">
        <f>VLOOKUP(TABLA_STOCK[Codigo],LISTADO_PRODUCTOS[#All],3)</f>
        <v>LIBRERÍA</v>
      </c>
      <c r="D139" s="6" t="str">
        <f>VLOOKUP(TABLA_STOCK[Codigo],LISTADO_PRODUCTOS[#All],4)</f>
        <v>Lapices de colores Maped Star pinturitas x 48 u</v>
      </c>
      <c r="E139" s="6" t="str">
        <f>VLOOKUP(TABLA_STOCK[Codigo],LISTADO_PRODUCTOS[#All],5)</f>
        <v>N/A</v>
      </c>
      <c r="F139" s="4">
        <v>20</v>
      </c>
      <c r="G139" s="4">
        <v>52</v>
      </c>
    </row>
    <row r="140" spans="1:7" x14ac:dyDescent="0.3">
      <c r="A140" s="4">
        <v>1167</v>
      </c>
      <c r="B140" s="4">
        <f>VLOOKUP(TABLA_STOCK[Codigo],LISTADO_PRODUCTOS[#All],2)</f>
        <v>54311</v>
      </c>
      <c r="C140" s="6" t="str">
        <f>VLOOKUP(TABLA_STOCK[Codigo],LISTADO_PRODUCTOS[#All],3)</f>
        <v>LIBRERÍA</v>
      </c>
      <c r="D140" s="6" t="str">
        <f>VLOOKUP(TABLA_STOCK[Codigo],LISTADO_PRODUCTOS[#All],4)</f>
        <v>Colores Sylvapen x6 Fluo</v>
      </c>
      <c r="E140" s="6" t="str">
        <f>VLOOKUP(TABLA_STOCK[Codigo],LISTADO_PRODUCTOS[#All],5)</f>
        <v>N/A</v>
      </c>
      <c r="F140" s="4">
        <v>5</v>
      </c>
      <c r="G140" s="4">
        <v>32</v>
      </c>
    </row>
    <row r="141" spans="1:7" x14ac:dyDescent="0.3">
      <c r="A141" s="4">
        <v>1168</v>
      </c>
      <c r="B141" s="4">
        <f>VLOOKUP(TABLA_STOCK[Codigo],LISTADO_PRODUCTOS[#All],2)</f>
        <v>54312</v>
      </c>
      <c r="C141" s="6" t="str">
        <f>VLOOKUP(TABLA_STOCK[Codigo],LISTADO_PRODUCTOS[#All],3)</f>
        <v>LIBRERÍA</v>
      </c>
      <c r="D141" s="6" t="str">
        <f>VLOOKUP(TABLA_STOCK[Codigo],LISTADO_PRODUCTOS[#All],4)</f>
        <v>Colores x 12 Simball Largos Acuarelables</v>
      </c>
      <c r="E141" s="6" t="str">
        <f>VLOOKUP(TABLA_STOCK[Codigo],LISTADO_PRODUCTOS[#All],5)</f>
        <v>N/A</v>
      </c>
      <c r="F141" s="4">
        <v>1</v>
      </c>
      <c r="G141" s="4">
        <v>56</v>
      </c>
    </row>
    <row r="142" spans="1:7" x14ac:dyDescent="0.3">
      <c r="A142" s="4">
        <v>1169</v>
      </c>
      <c r="B142" s="4">
        <f>VLOOKUP(TABLA_STOCK[Codigo],LISTADO_PRODUCTOS[#All],2)</f>
        <v>54313</v>
      </c>
      <c r="C142" s="6" t="str">
        <f>VLOOKUP(TABLA_STOCK[Codigo],LISTADO_PRODUCTOS[#All],3)</f>
        <v>LIBRERÍA</v>
      </c>
      <c r="D142" s="6" t="str">
        <f>VLOOKUP(TABLA_STOCK[Codigo],LISTADO_PRODUCTOS[#All],4)</f>
        <v>Colores Simball x 12 largos innovation</v>
      </c>
      <c r="E142" s="6" t="str">
        <f>VLOOKUP(TABLA_STOCK[Codigo],LISTADO_PRODUCTOS[#All],5)</f>
        <v>N/A</v>
      </c>
      <c r="F142" s="4">
        <v>5</v>
      </c>
      <c r="G142" s="4">
        <v>107</v>
      </c>
    </row>
    <row r="143" spans="1:7" x14ac:dyDescent="0.3">
      <c r="A143" s="4">
        <v>1171</v>
      </c>
      <c r="B143" s="4">
        <f>VLOOKUP(TABLA_STOCK[Codigo],LISTADO_PRODUCTOS[#All],2)</f>
        <v>54314</v>
      </c>
      <c r="C143" s="6" t="str">
        <f>VLOOKUP(TABLA_STOCK[Codigo],LISTADO_PRODUCTOS[#All],3)</f>
        <v>LIBRERÍA</v>
      </c>
      <c r="D143" s="6" t="str">
        <f>VLOOKUP(TABLA_STOCK[Codigo],LISTADO_PRODUCTOS[#All],4)</f>
        <v>Lapices de colores Pastel Mooving Dulce pastel x 10</v>
      </c>
      <c r="E143" s="6" t="str">
        <f>VLOOKUP(TABLA_STOCK[Codigo],LISTADO_PRODUCTOS[#All],5)</f>
        <v>N/A</v>
      </c>
      <c r="F143" s="4">
        <v>2</v>
      </c>
      <c r="G143" s="4">
        <v>25</v>
      </c>
    </row>
    <row r="144" spans="1:7" x14ac:dyDescent="0.3">
      <c r="A144" s="4">
        <v>1173</v>
      </c>
      <c r="B144" s="4">
        <f>VLOOKUP(TABLA_STOCK[Codigo],LISTADO_PRODUCTOS[#All],2)</f>
        <v>54315</v>
      </c>
      <c r="C144" s="6" t="str">
        <f>VLOOKUP(TABLA_STOCK[Codigo],LISTADO_PRODUCTOS[#All],3)</f>
        <v>LIBRERÍA</v>
      </c>
      <c r="D144" s="6" t="str">
        <f>VLOOKUP(TABLA_STOCK[Codigo],LISTADO_PRODUCTOS[#All],4)</f>
        <v>Lapices de colores Paper mate x 15u incluye 3 NEON</v>
      </c>
      <c r="E144" s="6" t="str">
        <f>VLOOKUP(TABLA_STOCK[Codigo],LISTADO_PRODUCTOS[#All],5)</f>
        <v>N/A</v>
      </c>
      <c r="F144" s="4">
        <v>2</v>
      </c>
      <c r="G144" s="4">
        <v>32</v>
      </c>
    </row>
    <row r="145" spans="1:7" x14ac:dyDescent="0.3">
      <c r="A145" s="4">
        <v>1174</v>
      </c>
      <c r="B145" s="4">
        <f>VLOOKUP(TABLA_STOCK[Codigo],LISTADO_PRODUCTOS[#All],2)</f>
        <v>54316</v>
      </c>
      <c r="C145" s="6" t="str">
        <f>VLOOKUP(TABLA_STOCK[Codigo],LISTADO_PRODUCTOS[#All],3)</f>
        <v>LIBRERÍA</v>
      </c>
      <c r="D145" s="6" t="str">
        <f>VLOOKUP(TABLA_STOCK[Codigo],LISTADO_PRODUCTOS[#All],4)</f>
        <v xml:space="preserve">Colores Faber castell x24 </v>
      </c>
      <c r="E145" s="6" t="str">
        <f>VLOOKUP(TABLA_STOCK[Codigo],LISTADO_PRODUCTOS[#All],5)</f>
        <v>N/A</v>
      </c>
      <c r="F145" s="4">
        <v>10</v>
      </c>
      <c r="G145" s="4">
        <v>150</v>
      </c>
    </row>
    <row r="146" spans="1:7" x14ac:dyDescent="0.3">
      <c r="A146" s="4">
        <v>1175</v>
      </c>
      <c r="B146" s="4">
        <f>VLOOKUP(TABLA_STOCK[Codigo],LISTADO_PRODUCTOS[#All],2)</f>
        <v>54317</v>
      </c>
      <c r="C146" s="6" t="str">
        <f>VLOOKUP(TABLA_STOCK[Codigo],LISTADO_PRODUCTOS[#All],3)</f>
        <v>LIBRERÍA</v>
      </c>
      <c r="D146" s="6" t="str">
        <f>VLOOKUP(TABLA_STOCK[Codigo],LISTADO_PRODUCTOS[#All],4)</f>
        <v xml:space="preserve">Colores Faber Castell x12 +2N </v>
      </c>
      <c r="E146" s="6" t="str">
        <f>VLOOKUP(TABLA_STOCK[Codigo],LISTADO_PRODUCTOS[#All],5)</f>
        <v>N/A</v>
      </c>
      <c r="F146" s="4">
        <v>20</v>
      </c>
      <c r="G146" s="4">
        <v>20</v>
      </c>
    </row>
    <row r="147" spans="1:7" x14ac:dyDescent="0.3">
      <c r="A147" s="4">
        <v>1176</v>
      </c>
      <c r="B147" s="4">
        <f>VLOOKUP(TABLA_STOCK[Codigo],LISTADO_PRODUCTOS[#All],2)</f>
        <v>54318</v>
      </c>
      <c r="C147" s="6" t="str">
        <f>VLOOKUP(TABLA_STOCK[Codigo],LISTADO_PRODUCTOS[#All],3)</f>
        <v>LIBRERÍA</v>
      </c>
      <c r="D147" s="6" t="str">
        <f>VLOOKUP(TABLA_STOCK[Codigo],LISTADO_PRODUCTOS[#All],4)</f>
        <v>Marcadores escolares Skycolor x 10</v>
      </c>
      <c r="E147" s="6" t="str">
        <f>VLOOKUP(TABLA_STOCK[Codigo],LISTADO_PRODUCTOS[#All],5)</f>
        <v>N/A</v>
      </c>
      <c r="F147" s="4">
        <v>5</v>
      </c>
      <c r="G147" s="4">
        <v>19</v>
      </c>
    </row>
    <row r="148" spans="1:7" x14ac:dyDescent="0.3">
      <c r="A148" s="4">
        <v>1180</v>
      </c>
      <c r="B148" s="4">
        <f>VLOOKUP(TABLA_STOCK[Codigo],LISTADO_PRODUCTOS[#All],2)</f>
        <v>54319</v>
      </c>
      <c r="C148" s="6" t="str">
        <f>VLOOKUP(TABLA_STOCK[Codigo],LISTADO_PRODUCTOS[#All],3)</f>
        <v>LIBRERÍA</v>
      </c>
      <c r="D148" s="6" t="str">
        <f>VLOOKUP(TABLA_STOCK[Codigo],LISTADO_PRODUCTOS[#All],4)</f>
        <v>Marcadores Maped Long Life punta conica</v>
      </c>
      <c r="E148" s="6" t="str">
        <f>VLOOKUP(TABLA_STOCK[Codigo],LISTADO_PRODUCTOS[#All],5)</f>
        <v>N/A</v>
      </c>
      <c r="F148" s="4">
        <v>1</v>
      </c>
      <c r="G148" s="4">
        <v>6</v>
      </c>
    </row>
    <row r="149" spans="1:7" x14ac:dyDescent="0.3">
      <c r="A149" s="4">
        <v>1181</v>
      </c>
      <c r="B149" s="4">
        <f>VLOOKUP(TABLA_STOCK[Codigo],LISTADO_PRODUCTOS[#All],2)</f>
        <v>54320</v>
      </c>
      <c r="C149" s="6" t="str">
        <f>VLOOKUP(TABLA_STOCK[Codigo],LISTADO_PRODUCTOS[#All],3)</f>
        <v>LIBRERÍA</v>
      </c>
      <c r="D149" s="6" t="str">
        <f>VLOOKUP(TABLA_STOCK[Codigo],LISTADO_PRODUCTOS[#All],4)</f>
        <v>Cuaderno America T/Flex 48h</v>
      </c>
      <c r="E149" s="6" t="str">
        <f>VLOOKUP(TABLA_STOCK[Codigo],LISTADO_PRODUCTOS[#All],5)</f>
        <v>N/A</v>
      </c>
      <c r="F149" s="4">
        <v>5</v>
      </c>
      <c r="G149" s="4">
        <v>5</v>
      </c>
    </row>
    <row r="150" spans="1:7" x14ac:dyDescent="0.3">
      <c r="A150" s="4">
        <v>1183</v>
      </c>
      <c r="B150" s="4">
        <f>VLOOKUP(TABLA_STOCK[Codigo],LISTADO_PRODUCTOS[#All],2)</f>
        <v>54321</v>
      </c>
      <c r="C150" s="6" t="str">
        <f>VLOOKUP(TABLA_STOCK[Codigo],LISTADO_PRODUCTOS[#All],3)</f>
        <v>LIBRERÍA</v>
      </c>
      <c r="D150" s="6" t="str">
        <f>VLOOKUP(TABLA_STOCK[Codigo],LISTADO_PRODUCTOS[#All],4)</f>
        <v>Marcadores Deli Sketch triangular Doble punta Box x 12u</v>
      </c>
      <c r="E150" s="6" t="str">
        <f>VLOOKUP(TABLA_STOCK[Codigo],LISTADO_PRODUCTOS[#All],5)</f>
        <v>N/A</v>
      </c>
      <c r="F150" s="4">
        <v>2</v>
      </c>
      <c r="G150" s="4">
        <v>52</v>
      </c>
    </row>
    <row r="151" spans="1:7" x14ac:dyDescent="0.3">
      <c r="A151" s="4">
        <v>1186</v>
      </c>
      <c r="B151" s="4">
        <f>VLOOKUP(TABLA_STOCK[Codigo],LISTADO_PRODUCTOS[#All],2)</f>
        <v>54322</v>
      </c>
      <c r="C151" s="6" t="str">
        <f>VLOOKUP(TABLA_STOCK[Codigo],LISTADO_PRODUCTOS[#All],3)</f>
        <v>LIBRERÍA</v>
      </c>
      <c r="D151" s="6" t="str">
        <f>VLOOKUP(TABLA_STOCK[Codigo],LISTADO_PRODUCTOS[#All],4)</f>
        <v>Marcador Trabí Art Brush Pastel x 6u</v>
      </c>
      <c r="E151" s="6" t="str">
        <f>VLOOKUP(TABLA_STOCK[Codigo],LISTADO_PRODUCTOS[#All],5)</f>
        <v>N/A</v>
      </c>
      <c r="F151" s="4">
        <v>2</v>
      </c>
      <c r="G151" s="4">
        <v>32</v>
      </c>
    </row>
    <row r="152" spans="1:7" x14ac:dyDescent="0.3">
      <c r="A152" s="4">
        <v>1187</v>
      </c>
      <c r="B152" s="4">
        <f>VLOOKUP(TABLA_STOCK[Codigo],LISTADO_PRODUCTOS[#All],2)</f>
        <v>54323</v>
      </c>
      <c r="C152" s="6" t="str">
        <f>VLOOKUP(TABLA_STOCK[Codigo],LISTADO_PRODUCTOS[#All],3)</f>
        <v>LIBRERÍA</v>
      </c>
      <c r="D152" s="6" t="str">
        <f>VLOOKUP(TABLA_STOCK[Codigo],LISTADO_PRODUCTOS[#All],4)</f>
        <v>Tijera Maped Advanced 21cm Asim Try Me</v>
      </c>
      <c r="E152" s="6" t="str">
        <f>VLOOKUP(TABLA_STOCK[Codigo],LISTADO_PRODUCTOS[#All],5)</f>
        <v>N/A</v>
      </c>
      <c r="F152" s="4">
        <v>10</v>
      </c>
      <c r="G152" s="4">
        <v>56</v>
      </c>
    </row>
    <row r="153" spans="1:7" x14ac:dyDescent="0.3">
      <c r="A153" s="4">
        <v>1188</v>
      </c>
      <c r="B153" s="4">
        <f>VLOOKUP(TABLA_STOCK[Codigo],LISTADO_PRODUCTOS[#All],2)</f>
        <v>54324</v>
      </c>
      <c r="C153" s="6" t="str">
        <f>VLOOKUP(TABLA_STOCK[Codigo],LISTADO_PRODUCTOS[#All],3)</f>
        <v>LIBRERÍA</v>
      </c>
      <c r="D153" s="6" t="str">
        <f>VLOOKUP(TABLA_STOCK[Codigo],LISTADO_PRODUCTOS[#All],4)</f>
        <v>Portaminas Micro Executive 0,7</v>
      </c>
      <c r="E153" s="6" t="str">
        <f>VLOOKUP(TABLA_STOCK[Codigo],LISTADO_PRODUCTOS[#All],5)</f>
        <v>N/A</v>
      </c>
      <c r="F153" s="4">
        <v>20</v>
      </c>
      <c r="G153" s="4">
        <v>107</v>
      </c>
    </row>
    <row r="154" spans="1:7" x14ac:dyDescent="0.3">
      <c r="A154" s="4">
        <v>1189</v>
      </c>
      <c r="B154" s="4">
        <f>VLOOKUP(TABLA_STOCK[Codigo],LISTADO_PRODUCTOS[#All],2)</f>
        <v>54325</v>
      </c>
      <c r="C154" s="6" t="str">
        <f>VLOOKUP(TABLA_STOCK[Codigo],LISTADO_PRODUCTOS[#All],3)</f>
        <v>LIBRERÍA</v>
      </c>
      <c r="D154" s="6" t="str">
        <f>VLOOKUP(TABLA_STOCK[Codigo],LISTADO_PRODUCTOS[#All],4)</f>
        <v>Adhesivo Sintetico Pizzini x 30ml</v>
      </c>
      <c r="E154" s="6" t="str">
        <f>VLOOKUP(TABLA_STOCK[Codigo],LISTADO_PRODUCTOS[#All],5)</f>
        <v>N/A</v>
      </c>
      <c r="F154" s="4">
        <v>5</v>
      </c>
      <c r="G154" s="4">
        <v>25</v>
      </c>
    </row>
    <row r="155" spans="1:7" x14ac:dyDescent="0.3">
      <c r="A155" s="4">
        <v>1190</v>
      </c>
      <c r="B155" s="4">
        <f>VLOOKUP(TABLA_STOCK[Codigo],LISTADO_PRODUCTOS[#All],2)</f>
        <v>54326</v>
      </c>
      <c r="C155" s="6" t="str">
        <f>VLOOKUP(TABLA_STOCK[Codigo],LISTADO_PRODUCTOS[#All],3)</f>
        <v>LIBRERÍA</v>
      </c>
      <c r="D155" s="6" t="str">
        <f>VLOOKUP(TABLA_STOCK[Codigo],LISTADO_PRODUCTOS[#All],4)</f>
        <v>Adhesivo Sintetico Voligoma x 30ml</v>
      </c>
      <c r="E155" s="6" t="str">
        <f>VLOOKUP(TABLA_STOCK[Codigo],LISTADO_PRODUCTOS[#All],5)</f>
        <v>N/A</v>
      </c>
      <c r="F155" s="4">
        <v>1</v>
      </c>
      <c r="G155" s="4">
        <v>32</v>
      </c>
    </row>
    <row r="156" spans="1:7" x14ac:dyDescent="0.3">
      <c r="A156" s="4">
        <v>1191</v>
      </c>
      <c r="B156" s="4">
        <f>VLOOKUP(TABLA_STOCK[Codigo],LISTADO_PRODUCTOS[#All],2)</f>
        <v>54327</v>
      </c>
      <c r="C156" s="6" t="str">
        <f>VLOOKUP(TABLA_STOCK[Codigo],LISTADO_PRODUCTOS[#All],3)</f>
        <v>LIBRERÍA</v>
      </c>
      <c r="D156" s="6" t="str">
        <f>VLOOKUP(TABLA_STOCK[Codigo],LISTADO_PRODUCTOS[#All],4)</f>
        <v>Adhesivo Sintetico Voligoma x 50ml</v>
      </c>
      <c r="E156" s="6" t="str">
        <f>VLOOKUP(TABLA_STOCK[Codigo],LISTADO_PRODUCTOS[#All],5)</f>
        <v>N/A</v>
      </c>
      <c r="F156" s="4">
        <v>5</v>
      </c>
      <c r="G156" s="4">
        <v>150</v>
      </c>
    </row>
    <row r="157" spans="1:7" x14ac:dyDescent="0.3">
      <c r="A157" s="4">
        <v>1192</v>
      </c>
      <c r="B157" s="4">
        <f>VLOOKUP(TABLA_STOCK[Codigo],LISTADO_PRODUCTOS[#All],2)</f>
        <v>54328</v>
      </c>
      <c r="C157" s="6" t="str">
        <f>VLOOKUP(TABLA_STOCK[Codigo],LISTADO_PRODUCTOS[#All],3)</f>
        <v>LIBRERÍA</v>
      </c>
      <c r="D157" s="6" t="str">
        <f>VLOOKUP(TABLA_STOCK[Codigo],LISTADO_PRODUCTOS[#All],4)</f>
        <v>Silicona liquida Pritt 105gr</v>
      </c>
      <c r="E157" s="6" t="str">
        <f>VLOOKUP(TABLA_STOCK[Codigo],LISTADO_PRODUCTOS[#All],5)</f>
        <v>N/A</v>
      </c>
      <c r="F157" s="4">
        <v>2</v>
      </c>
      <c r="G157" s="4">
        <v>20</v>
      </c>
    </row>
    <row r="158" spans="1:7" x14ac:dyDescent="0.3">
      <c r="A158" s="4">
        <v>1194</v>
      </c>
      <c r="B158" s="4">
        <f>VLOOKUP(TABLA_STOCK[Codigo],LISTADO_PRODUCTOS[#All],2)</f>
        <v>54329</v>
      </c>
      <c r="C158" s="6" t="str">
        <f>VLOOKUP(TABLA_STOCK[Codigo],LISTADO_PRODUCTOS[#All],3)</f>
        <v>LIBRERÍA</v>
      </c>
      <c r="D158" s="6" t="str">
        <f>VLOOKUP(TABLA_STOCK[Codigo],LISTADO_PRODUCTOS[#All],4)</f>
        <v>Adhesivo vinilico Señorita x 1Kg</v>
      </c>
      <c r="E158" s="6" t="str">
        <f>VLOOKUP(TABLA_STOCK[Codigo],LISTADO_PRODUCTOS[#All],5)</f>
        <v>N/A</v>
      </c>
      <c r="F158" s="4">
        <v>2</v>
      </c>
      <c r="G158" s="4">
        <v>19</v>
      </c>
    </row>
    <row r="159" spans="1:7" x14ac:dyDescent="0.3">
      <c r="A159" s="4">
        <v>1195</v>
      </c>
      <c r="B159" s="4">
        <f>VLOOKUP(TABLA_STOCK[Codigo],LISTADO_PRODUCTOS[#All],2)</f>
        <v>54330</v>
      </c>
      <c r="C159" s="6" t="str">
        <f>VLOOKUP(TABLA_STOCK[Codigo],LISTADO_PRODUCTOS[#All],3)</f>
        <v>LIBRERÍA</v>
      </c>
      <c r="D159" s="6" t="str">
        <f>VLOOKUP(TABLA_STOCK[Codigo],LISTADO_PRODUCTOS[#All],4)</f>
        <v>Adhesivo vinilico Señorita/Maped x 500gr</v>
      </c>
      <c r="E159" s="6" t="str">
        <f>VLOOKUP(TABLA_STOCK[Codigo],LISTADO_PRODUCTOS[#All],5)</f>
        <v>N/A</v>
      </c>
      <c r="F159" s="4">
        <v>10</v>
      </c>
      <c r="G159" s="4">
        <v>6</v>
      </c>
    </row>
    <row r="160" spans="1:7" x14ac:dyDescent="0.3">
      <c r="A160" s="4">
        <v>1196</v>
      </c>
      <c r="B160" s="4">
        <f>VLOOKUP(TABLA_STOCK[Codigo],LISTADO_PRODUCTOS[#All],2)</f>
        <v>54331</v>
      </c>
      <c r="C160" s="6" t="str">
        <f>VLOOKUP(TABLA_STOCK[Codigo],LISTADO_PRODUCTOS[#All],3)</f>
        <v>LIBRERÍA</v>
      </c>
      <c r="D160" s="6" t="str">
        <f>VLOOKUP(TABLA_STOCK[Codigo],LISTADO_PRODUCTOS[#All],4)</f>
        <v>Adhesivo vinilico Señorita/Maped x 250gr</v>
      </c>
      <c r="E160" s="6" t="str">
        <f>VLOOKUP(TABLA_STOCK[Codigo],LISTADO_PRODUCTOS[#All],5)</f>
        <v>N/A</v>
      </c>
      <c r="F160" s="4">
        <v>20</v>
      </c>
      <c r="G160" s="4">
        <v>5</v>
      </c>
    </row>
    <row r="161" spans="1:7" x14ac:dyDescent="0.3">
      <c r="A161" s="4">
        <v>1197</v>
      </c>
      <c r="B161" s="4">
        <f>VLOOKUP(TABLA_STOCK[Codigo],LISTADO_PRODUCTOS[#All],2)</f>
        <v>54332</v>
      </c>
      <c r="C161" s="6" t="str">
        <f>VLOOKUP(TABLA_STOCK[Codigo],LISTADO_PRODUCTOS[#All],3)</f>
        <v>LIBRERÍA</v>
      </c>
      <c r="D161" s="6" t="str">
        <f>VLOOKUP(TABLA_STOCK[Codigo],LISTADO_PRODUCTOS[#All],4)</f>
        <v>Adhesivo vinilico Señorita/Maped x 100gr/125gr</v>
      </c>
      <c r="E161" s="6" t="str">
        <f>VLOOKUP(TABLA_STOCK[Codigo],LISTADO_PRODUCTOS[#All],5)</f>
        <v>N/A</v>
      </c>
      <c r="F161" s="4">
        <v>5</v>
      </c>
      <c r="G161" s="4">
        <v>52</v>
      </c>
    </row>
    <row r="162" spans="1:7" x14ac:dyDescent="0.3">
      <c r="A162" s="4">
        <v>1199</v>
      </c>
      <c r="B162" s="4">
        <f>VLOOKUP(TABLA_STOCK[Codigo],LISTADO_PRODUCTOS[#All],2)</f>
        <v>54333</v>
      </c>
      <c r="C162" s="6" t="str">
        <f>VLOOKUP(TABLA_STOCK[Codigo],LISTADO_PRODUCTOS[#All],3)</f>
        <v>LIBRERÍA</v>
      </c>
      <c r="D162" s="6" t="str">
        <f>VLOOKUP(TABLA_STOCK[Codigo],LISTADO_PRODUCTOS[#All],4)</f>
        <v>Goma de borrar Maped Technic</v>
      </c>
      <c r="E162" s="6" t="str">
        <f>VLOOKUP(TABLA_STOCK[Codigo],LISTADO_PRODUCTOS[#All],5)</f>
        <v>N/A</v>
      </c>
      <c r="F162" s="4">
        <v>1</v>
      </c>
      <c r="G162" s="4">
        <v>32</v>
      </c>
    </row>
    <row r="163" spans="1:7" x14ac:dyDescent="0.3">
      <c r="A163" s="4">
        <v>1205</v>
      </c>
      <c r="B163" s="4">
        <f>VLOOKUP(TABLA_STOCK[Codigo],LISTADO_PRODUCTOS[#All],2)</f>
        <v>54334</v>
      </c>
      <c r="C163" s="6" t="str">
        <f>VLOOKUP(TABLA_STOCK[Codigo],LISTADO_PRODUCTOS[#All],3)</f>
        <v>LIBRERÍA</v>
      </c>
      <c r="D163" s="6" t="str">
        <f>VLOOKUP(TABLA_STOCK[Codigo],LISTADO_PRODUCTOS[#All],4)</f>
        <v xml:space="preserve">Papel Glace Lustre </v>
      </c>
      <c r="E163" s="6" t="str">
        <f>VLOOKUP(TABLA_STOCK[Codigo],LISTADO_PRODUCTOS[#All],5)</f>
        <v>N/A</v>
      </c>
      <c r="F163" s="4">
        <v>5</v>
      </c>
      <c r="G163" s="4">
        <v>56</v>
      </c>
    </row>
    <row r="164" spans="1:7" x14ac:dyDescent="0.3">
      <c r="A164" s="4">
        <v>1206</v>
      </c>
      <c r="B164" s="4">
        <f>VLOOKUP(TABLA_STOCK[Codigo],LISTADO_PRODUCTOS[#All],2)</f>
        <v>54335</v>
      </c>
      <c r="C164" s="6" t="str">
        <f>VLOOKUP(TABLA_STOCK[Codigo],LISTADO_PRODUCTOS[#All],3)</f>
        <v>LIBRERÍA</v>
      </c>
      <c r="D164" s="6" t="str">
        <f>VLOOKUP(TABLA_STOCK[Codigo],LISTADO_PRODUCTOS[#All],4)</f>
        <v xml:space="preserve">Papel Glace Fluo - </v>
      </c>
      <c r="E164" s="6" t="str">
        <f>VLOOKUP(TABLA_STOCK[Codigo],LISTADO_PRODUCTOS[#All],5)</f>
        <v>N/A</v>
      </c>
      <c r="F164" s="4">
        <v>2</v>
      </c>
      <c r="G164" s="4">
        <v>107</v>
      </c>
    </row>
    <row r="165" spans="1:7" x14ac:dyDescent="0.3">
      <c r="A165" s="4">
        <v>1207</v>
      </c>
      <c r="B165" s="4">
        <f>VLOOKUP(TABLA_STOCK[Codigo],LISTADO_PRODUCTOS[#All],2)</f>
        <v>54336</v>
      </c>
      <c r="C165" s="6" t="str">
        <f>VLOOKUP(TABLA_STOCK[Codigo],LISTADO_PRODUCTOS[#All],3)</f>
        <v>LIBRERÍA</v>
      </c>
      <c r="D165" s="6" t="str">
        <f>VLOOKUP(TABLA_STOCK[Codigo],LISTADO_PRODUCTOS[#All],4)</f>
        <v>Papel Glace metalizado -</v>
      </c>
      <c r="E165" s="6" t="str">
        <f>VLOOKUP(TABLA_STOCK[Codigo],LISTADO_PRODUCTOS[#All],5)</f>
        <v>N/A</v>
      </c>
      <c r="F165" s="4">
        <v>10</v>
      </c>
      <c r="G165" s="4">
        <v>25</v>
      </c>
    </row>
    <row r="166" spans="1:7" x14ac:dyDescent="0.3">
      <c r="A166" s="4">
        <v>1208</v>
      </c>
      <c r="B166" s="4">
        <f>VLOOKUP(TABLA_STOCK[Codigo],LISTADO_PRODUCTOS[#All],2)</f>
        <v>54337</v>
      </c>
      <c r="C166" s="6" t="str">
        <f>VLOOKUP(TABLA_STOCK[Codigo],LISTADO_PRODUCTOS[#All],3)</f>
        <v>LIBRERÍA</v>
      </c>
      <c r="D166" s="6" t="str">
        <f>VLOOKUP(TABLA_STOCK[Codigo],LISTADO_PRODUCTOS[#All],4)</f>
        <v>Sacapuntas Maped Vivo</v>
      </c>
      <c r="E166" s="6" t="str">
        <f>VLOOKUP(TABLA_STOCK[Codigo],LISTADO_PRODUCTOS[#All],5)</f>
        <v>N/A</v>
      </c>
      <c r="F166" s="4">
        <v>20</v>
      </c>
      <c r="G166" s="4">
        <v>32</v>
      </c>
    </row>
    <row r="167" spans="1:7" x14ac:dyDescent="0.3">
      <c r="A167" s="4">
        <v>1209</v>
      </c>
      <c r="B167" s="4">
        <f>VLOOKUP(TABLA_STOCK[Codigo],LISTADO_PRODUCTOS[#All],2)</f>
        <v>54338</v>
      </c>
      <c r="C167" s="6" t="str">
        <f>VLOOKUP(TABLA_STOCK[Codigo],LISTADO_PRODUCTOS[#All],3)</f>
        <v>LIBRERÍA</v>
      </c>
      <c r="D167" s="6" t="str">
        <f>VLOOKUP(TABLA_STOCK[Codigo],LISTADO_PRODUCTOS[#All],4)</f>
        <v>Sacapuntas Maped monstruito</v>
      </c>
      <c r="E167" s="6" t="str">
        <f>VLOOKUP(TABLA_STOCK[Codigo],LISTADO_PRODUCTOS[#All],5)</f>
        <v>N/A</v>
      </c>
      <c r="F167" s="4">
        <v>5</v>
      </c>
      <c r="G167" s="4">
        <v>150</v>
      </c>
    </row>
    <row r="168" spans="1:7" x14ac:dyDescent="0.3">
      <c r="A168" s="4">
        <v>1210</v>
      </c>
      <c r="B168" s="4">
        <f>VLOOKUP(TABLA_STOCK[Codigo],LISTADO_PRODUCTOS[#All],2)</f>
        <v>54339</v>
      </c>
      <c r="C168" s="6" t="str">
        <f>VLOOKUP(TABLA_STOCK[Codigo],LISTADO_PRODUCTOS[#All],3)</f>
        <v>LIBRERÍA</v>
      </c>
      <c r="D168" s="6" t="str">
        <f>VLOOKUP(TABLA_STOCK[Codigo],LISTADO_PRODUCTOS[#All],4)</f>
        <v>Sacapuntas Metal</v>
      </c>
      <c r="E168" s="6" t="str">
        <f>VLOOKUP(TABLA_STOCK[Codigo],LISTADO_PRODUCTOS[#All],5)</f>
        <v>N/A</v>
      </c>
      <c r="F168" s="4">
        <v>1</v>
      </c>
      <c r="G168" s="4">
        <v>20</v>
      </c>
    </row>
    <row r="169" spans="1:7" x14ac:dyDescent="0.3">
      <c r="A169" s="4">
        <v>1211</v>
      </c>
      <c r="B169" s="4">
        <f>VLOOKUP(TABLA_STOCK[Codigo],LISTADO_PRODUCTOS[#All],2)</f>
        <v>54340</v>
      </c>
      <c r="C169" s="6" t="str">
        <f>VLOOKUP(TABLA_STOCK[Codigo],LISTADO_PRODUCTOS[#All],3)</f>
        <v>LIBRERÍA</v>
      </c>
      <c r="D169" s="6" t="str">
        <f>VLOOKUP(TABLA_STOCK[Codigo],LISTADO_PRODUCTOS[#All],4)</f>
        <v>Lapiz Negro Filgo Pinto</v>
      </c>
      <c r="E169" s="6" t="str">
        <f>VLOOKUP(TABLA_STOCK[Codigo],LISTADO_PRODUCTOS[#All],5)</f>
        <v>N/A</v>
      </c>
      <c r="F169" s="4">
        <v>5</v>
      </c>
      <c r="G169" s="4">
        <v>19</v>
      </c>
    </row>
    <row r="170" spans="1:7" x14ac:dyDescent="0.3">
      <c r="A170" s="4">
        <v>1212</v>
      </c>
      <c r="B170" s="4">
        <f>VLOOKUP(TABLA_STOCK[Codigo],LISTADO_PRODUCTOS[#All],2)</f>
        <v>54341</v>
      </c>
      <c r="C170" s="6" t="str">
        <f>VLOOKUP(TABLA_STOCK[Codigo],LISTADO_PRODUCTOS[#All],3)</f>
        <v>LIBRERÍA</v>
      </c>
      <c r="D170" s="6" t="str">
        <f>VLOOKUP(TABLA_STOCK[Codigo],LISTADO_PRODUCTOS[#All],4)</f>
        <v>Lapiz Negro Bic Evolution</v>
      </c>
      <c r="E170" s="6" t="str">
        <f>VLOOKUP(TABLA_STOCK[Codigo],LISTADO_PRODUCTOS[#All],5)</f>
        <v>N/A</v>
      </c>
      <c r="F170" s="4">
        <v>2</v>
      </c>
      <c r="G170" s="4">
        <v>6</v>
      </c>
    </row>
    <row r="171" spans="1:7" x14ac:dyDescent="0.3">
      <c r="A171" s="4">
        <v>1213</v>
      </c>
      <c r="B171" s="4">
        <f>VLOOKUP(TABLA_STOCK[Codigo],LISTADO_PRODUCTOS[#All],2)</f>
        <v>54342</v>
      </c>
      <c r="C171" s="6" t="str">
        <f>VLOOKUP(TABLA_STOCK[Codigo],LISTADO_PRODUCTOS[#All],3)</f>
        <v>LIBRERÍA</v>
      </c>
      <c r="D171" s="6" t="str">
        <f>VLOOKUP(TABLA_STOCK[Codigo],LISTADO_PRODUCTOS[#All],4)</f>
        <v xml:space="preserve">Lapiz Negro Skycolor </v>
      </c>
      <c r="E171" s="6" t="str">
        <f>VLOOKUP(TABLA_STOCK[Codigo],LISTADO_PRODUCTOS[#All],5)</f>
        <v>N/A</v>
      </c>
      <c r="F171" s="4">
        <v>2</v>
      </c>
      <c r="G171" s="4">
        <v>5</v>
      </c>
    </row>
    <row r="172" spans="1:7" x14ac:dyDescent="0.3">
      <c r="A172" s="4">
        <v>1215</v>
      </c>
      <c r="B172" s="4">
        <f>VLOOKUP(TABLA_STOCK[Codigo],LISTADO_PRODUCTOS[#All],2)</f>
        <v>54343</v>
      </c>
      <c r="C172" s="6" t="str">
        <f>VLOOKUP(TABLA_STOCK[Codigo],LISTADO_PRODUCTOS[#All],3)</f>
        <v>LIBRERÍA</v>
      </c>
      <c r="D172" s="6" t="str">
        <f>VLOOKUP(TABLA_STOCK[Codigo],LISTADO_PRODUCTOS[#All],4)</f>
        <v>Regla Pizzini 20cm Art. 1702 - 170268</v>
      </c>
      <c r="E172" s="6" t="str">
        <f>VLOOKUP(TABLA_STOCK[Codigo],LISTADO_PRODUCTOS[#All],5)</f>
        <v>N/A</v>
      </c>
      <c r="F172" s="4">
        <v>10</v>
      </c>
      <c r="G172" s="4">
        <v>52</v>
      </c>
    </row>
    <row r="173" spans="1:7" x14ac:dyDescent="0.3">
      <c r="A173" s="4">
        <v>1216</v>
      </c>
      <c r="B173" s="4">
        <f>VLOOKUP(TABLA_STOCK[Codigo],LISTADO_PRODUCTOS[#All],2)</f>
        <v>54344</v>
      </c>
      <c r="C173" s="6" t="str">
        <f>VLOOKUP(TABLA_STOCK[Codigo],LISTADO_PRODUCTOS[#All],3)</f>
        <v>LIBRERÍA</v>
      </c>
      <c r="D173" s="6" t="str">
        <f>VLOOKUP(TABLA_STOCK[Codigo],LISTADO_PRODUCTOS[#All],4)</f>
        <v>Regla Pizzini 30cm Art. 170230 - 7793198170275</v>
      </c>
      <c r="E173" s="6" t="str">
        <f>VLOOKUP(TABLA_STOCK[Codigo],LISTADO_PRODUCTOS[#All],5)</f>
        <v>N/A</v>
      </c>
      <c r="F173" s="4">
        <v>20</v>
      </c>
      <c r="G173" s="4">
        <v>32</v>
      </c>
    </row>
    <row r="174" spans="1:7" x14ac:dyDescent="0.3">
      <c r="A174" s="4">
        <v>1219</v>
      </c>
      <c r="B174" s="4">
        <f>VLOOKUP(TABLA_STOCK[Codigo],LISTADO_PRODUCTOS[#All],2)</f>
        <v>54345</v>
      </c>
      <c r="C174" s="6" t="str">
        <f>VLOOKUP(TABLA_STOCK[Codigo],LISTADO_PRODUCTOS[#All],3)</f>
        <v>LIBRERÍA</v>
      </c>
      <c r="D174" s="6" t="str">
        <f>VLOOKUP(TABLA_STOCK[Codigo],LISTADO_PRODUCTOS[#All],4)</f>
        <v>Set de Geometria Pizzini Mi mundo Pastel</v>
      </c>
      <c r="E174" s="6" t="str">
        <f>VLOOKUP(TABLA_STOCK[Codigo],LISTADO_PRODUCTOS[#All],5)</f>
        <v>N/A</v>
      </c>
      <c r="F174" s="4">
        <v>5</v>
      </c>
      <c r="G174" s="4">
        <v>56</v>
      </c>
    </row>
    <row r="175" spans="1:7" x14ac:dyDescent="0.3">
      <c r="A175" s="4">
        <v>1223</v>
      </c>
      <c r="B175" s="4">
        <f>VLOOKUP(TABLA_STOCK[Codigo],LISTADO_PRODUCTOS[#All],2)</f>
        <v>54346</v>
      </c>
      <c r="C175" s="6" t="str">
        <f>VLOOKUP(TABLA_STOCK[Codigo],LISTADO_PRODUCTOS[#All],3)</f>
        <v>LIBRERÍA</v>
      </c>
      <c r="D175" s="6" t="str">
        <f>VLOOKUP(TABLA_STOCK[Codigo],LISTADO_PRODUCTOS[#All],4)</f>
        <v>Regla Flexible x20cm Keyroad/util uno</v>
      </c>
      <c r="E175" s="6" t="str">
        <f>VLOOKUP(TABLA_STOCK[Codigo],LISTADO_PRODUCTOS[#All],5)</f>
        <v>N/A</v>
      </c>
      <c r="F175" s="4">
        <v>1</v>
      </c>
      <c r="G175" s="4">
        <v>107</v>
      </c>
    </row>
    <row r="176" spans="1:7" x14ac:dyDescent="0.3">
      <c r="A176" s="4">
        <v>1224</v>
      </c>
      <c r="B176" s="4">
        <f>VLOOKUP(TABLA_STOCK[Codigo],LISTADO_PRODUCTOS[#All],2)</f>
        <v>54347</v>
      </c>
      <c r="C176" s="6" t="str">
        <f>VLOOKUP(TABLA_STOCK[Codigo],LISTADO_PRODUCTOS[#All],3)</f>
        <v>LIBRERÍA</v>
      </c>
      <c r="D176" s="6" t="str">
        <f>VLOOKUP(TABLA_STOCK[Codigo],LISTADO_PRODUCTOS[#All],4)</f>
        <v>Regla de aluminio con porta lapiz Keyroad 20cm</v>
      </c>
      <c r="E176" s="6" t="str">
        <f>VLOOKUP(TABLA_STOCK[Codigo],LISTADO_PRODUCTOS[#All],5)</f>
        <v>N/A</v>
      </c>
      <c r="F176" s="4">
        <v>5</v>
      </c>
      <c r="G176" s="4">
        <v>25</v>
      </c>
    </row>
    <row r="177" spans="1:7" x14ac:dyDescent="0.3">
      <c r="A177" s="4">
        <v>1227</v>
      </c>
      <c r="B177" s="4">
        <f>VLOOKUP(TABLA_STOCK[Codigo],LISTADO_PRODUCTOS[#All],2)</f>
        <v>54348</v>
      </c>
      <c r="C177" s="6" t="str">
        <f>VLOOKUP(TABLA_STOCK[Codigo],LISTADO_PRODUCTOS[#All],3)</f>
        <v>LIBRERÍA</v>
      </c>
      <c r="D177" s="6" t="str">
        <f>VLOOKUP(TABLA_STOCK[Codigo],LISTADO_PRODUCTOS[#All],4)</f>
        <v>Escuadra 45º Pizzini 20cm</v>
      </c>
      <c r="E177" s="6" t="str">
        <f>VLOOKUP(TABLA_STOCK[Codigo],LISTADO_PRODUCTOS[#All],5)</f>
        <v>N/A</v>
      </c>
      <c r="F177" s="4">
        <v>2</v>
      </c>
      <c r="G177" s="4">
        <v>32</v>
      </c>
    </row>
    <row r="178" spans="1:7" x14ac:dyDescent="0.3">
      <c r="A178" s="4">
        <v>1228</v>
      </c>
      <c r="B178" s="4">
        <f>VLOOKUP(TABLA_STOCK[Codigo],LISTADO_PRODUCTOS[#All],2)</f>
        <v>54349</v>
      </c>
      <c r="C178" s="6" t="str">
        <f>VLOOKUP(TABLA_STOCK[Codigo],LISTADO_PRODUCTOS[#All],3)</f>
        <v>LIBRERÍA</v>
      </c>
      <c r="D178" s="6" t="str">
        <f>VLOOKUP(TABLA_STOCK[Codigo],LISTADO_PRODUCTOS[#All],4)</f>
        <v>Escuadra 30º Pizzini 20cm</v>
      </c>
      <c r="E178" s="6" t="str">
        <f>VLOOKUP(TABLA_STOCK[Codigo],LISTADO_PRODUCTOS[#All],5)</f>
        <v>N/A</v>
      </c>
      <c r="F178" s="4">
        <v>2</v>
      </c>
      <c r="G178" s="4">
        <v>150</v>
      </c>
    </row>
    <row r="179" spans="1:7" x14ac:dyDescent="0.3">
      <c r="A179" s="4">
        <v>1430</v>
      </c>
      <c r="B179" s="4">
        <f>VLOOKUP(TABLA_STOCK[Codigo],LISTADO_PRODUCTOS[#All],2)</f>
        <v>54392</v>
      </c>
      <c r="C179" s="6" t="str">
        <f>VLOOKUP(TABLA_STOCK[Codigo],LISTADO_PRODUCTOS[#All],3)</f>
        <v>LIBRERÍA</v>
      </c>
      <c r="D179" s="6" t="str">
        <f>VLOOKUP(TABLA_STOCK[Codigo],LISTADO_PRODUCTOS[#All],4)</f>
        <v>Set de Resaltadores NUWA x5u en dispenser</v>
      </c>
      <c r="E179" s="6" t="str">
        <f>VLOOKUP(TABLA_STOCK[Codigo],LISTADO_PRODUCTOS[#All],5)</f>
        <v>N/A</v>
      </c>
      <c r="F179" s="4">
        <v>10</v>
      </c>
      <c r="G179" s="4">
        <v>20</v>
      </c>
    </row>
    <row r="180" spans="1:7" x14ac:dyDescent="0.3">
      <c r="A180" s="4">
        <v>1432</v>
      </c>
      <c r="B180" s="4">
        <f>VLOOKUP(TABLA_STOCK[Codigo],LISTADO_PRODUCTOS[#All],2)</f>
        <v>54392</v>
      </c>
      <c r="C180" s="6" t="str">
        <f>VLOOKUP(TABLA_STOCK[Codigo],LISTADO_PRODUCTOS[#All],3)</f>
        <v>LIBRERÍA</v>
      </c>
      <c r="D180" s="6" t="str">
        <f>VLOOKUP(TABLA_STOCK[Codigo],LISTADO_PRODUCTOS[#All],4)</f>
        <v>Set de Resaltadores NUWA x5u en dispenser</v>
      </c>
      <c r="E180" s="6" t="str">
        <f>VLOOKUP(TABLA_STOCK[Codigo],LISTADO_PRODUCTOS[#All],5)</f>
        <v>N/A</v>
      </c>
      <c r="F180" s="4">
        <v>20</v>
      </c>
      <c r="G180" s="4">
        <v>19</v>
      </c>
    </row>
    <row r="181" spans="1:7" x14ac:dyDescent="0.3">
      <c r="A181" s="4">
        <v>1230</v>
      </c>
      <c r="B181" s="4">
        <f>VLOOKUP(TABLA_STOCK[Codigo],LISTADO_PRODUCTOS[#All],2)</f>
        <v>54349</v>
      </c>
      <c r="C181" s="6" t="str">
        <f>VLOOKUP(TABLA_STOCK[Codigo],LISTADO_PRODUCTOS[#All],3)</f>
        <v>LIBRERÍA</v>
      </c>
      <c r="D181" s="6" t="str">
        <f>VLOOKUP(TABLA_STOCK[Codigo],LISTADO_PRODUCTOS[#All],4)</f>
        <v>Escuadra 30º Pizzini 20cm</v>
      </c>
      <c r="E181" s="6" t="str">
        <f>VLOOKUP(TABLA_STOCK[Codigo],LISTADO_PRODUCTOS[#All],5)</f>
        <v>N/A</v>
      </c>
      <c r="F181" s="4">
        <v>5</v>
      </c>
      <c r="G181" s="4">
        <v>6</v>
      </c>
    </row>
    <row r="182" spans="1:7" x14ac:dyDescent="0.3">
      <c r="A182" s="4">
        <v>1231</v>
      </c>
      <c r="B182" s="4">
        <f>VLOOKUP(TABLA_STOCK[Codigo],LISTADO_PRODUCTOS[#All],2)</f>
        <v>54349</v>
      </c>
      <c r="C182" s="6" t="str">
        <f>VLOOKUP(TABLA_STOCK[Codigo],LISTADO_PRODUCTOS[#All],3)</f>
        <v>LIBRERÍA</v>
      </c>
      <c r="D182" s="6" t="str">
        <f>VLOOKUP(TABLA_STOCK[Codigo],LISTADO_PRODUCTOS[#All],4)</f>
        <v>Escuadra 30º Pizzini 20cm</v>
      </c>
      <c r="E182" s="6" t="str">
        <f>VLOOKUP(TABLA_STOCK[Codigo],LISTADO_PRODUCTOS[#All],5)</f>
        <v>N/A</v>
      </c>
      <c r="F182" s="4">
        <v>1</v>
      </c>
      <c r="G182" s="4">
        <v>5</v>
      </c>
    </row>
    <row r="183" spans="1:7" x14ac:dyDescent="0.3">
      <c r="A183" s="4">
        <v>1232</v>
      </c>
      <c r="B183" s="4">
        <f>VLOOKUP(TABLA_STOCK[Codigo],LISTADO_PRODUCTOS[#All],2)</f>
        <v>54349</v>
      </c>
      <c r="C183" s="6" t="str">
        <f>VLOOKUP(TABLA_STOCK[Codigo],LISTADO_PRODUCTOS[#All],3)</f>
        <v>LIBRERÍA</v>
      </c>
      <c r="D183" s="6" t="str">
        <f>VLOOKUP(TABLA_STOCK[Codigo],LISTADO_PRODUCTOS[#All],4)</f>
        <v>Escuadra 30º Pizzini 20cm</v>
      </c>
      <c r="E183" s="6" t="str">
        <f>VLOOKUP(TABLA_STOCK[Codigo],LISTADO_PRODUCTOS[#All],5)</f>
        <v>N/A</v>
      </c>
      <c r="F183" s="4">
        <v>5</v>
      </c>
      <c r="G183" s="4">
        <v>52</v>
      </c>
    </row>
    <row r="184" spans="1:7" x14ac:dyDescent="0.3">
      <c r="A184" s="4">
        <v>1233</v>
      </c>
      <c r="B184" s="4">
        <f>VLOOKUP(TABLA_STOCK[Codigo],LISTADO_PRODUCTOS[#All],2)</f>
        <v>54349</v>
      </c>
      <c r="C184" s="6" t="str">
        <f>VLOOKUP(TABLA_STOCK[Codigo],LISTADO_PRODUCTOS[#All],3)</f>
        <v>LIBRERÍA</v>
      </c>
      <c r="D184" s="6" t="str">
        <f>VLOOKUP(TABLA_STOCK[Codigo],LISTADO_PRODUCTOS[#All],4)</f>
        <v>Escuadra 30º Pizzini 20cm</v>
      </c>
      <c r="E184" s="6" t="str">
        <f>VLOOKUP(TABLA_STOCK[Codigo],LISTADO_PRODUCTOS[#All],5)</f>
        <v>N/A</v>
      </c>
      <c r="F184" s="4">
        <v>2</v>
      </c>
      <c r="G184" s="4">
        <v>32</v>
      </c>
    </row>
    <row r="185" spans="1:7" x14ac:dyDescent="0.3">
      <c r="A185" s="4">
        <v>1234</v>
      </c>
      <c r="B185" s="4">
        <f>VLOOKUP(TABLA_STOCK[Codigo],LISTADO_PRODUCTOS[#All],2)</f>
        <v>54349</v>
      </c>
      <c r="C185" s="6" t="str">
        <f>VLOOKUP(TABLA_STOCK[Codigo],LISTADO_PRODUCTOS[#All],3)</f>
        <v>LIBRERÍA</v>
      </c>
      <c r="D185" s="6" t="str">
        <f>VLOOKUP(TABLA_STOCK[Codigo],LISTADO_PRODUCTOS[#All],4)</f>
        <v>Escuadra 30º Pizzini 20cm</v>
      </c>
      <c r="E185" s="6" t="str">
        <f>VLOOKUP(TABLA_STOCK[Codigo],LISTADO_PRODUCTOS[#All],5)</f>
        <v>N/A</v>
      </c>
      <c r="F185" s="4">
        <v>2</v>
      </c>
      <c r="G185" s="4">
        <v>56</v>
      </c>
    </row>
    <row r="186" spans="1:7" x14ac:dyDescent="0.3">
      <c r="A186" s="4">
        <v>1236</v>
      </c>
      <c r="B186" s="4">
        <f>VLOOKUP(TABLA_STOCK[Codigo],LISTADO_PRODUCTOS[#All],2)</f>
        <v>54349</v>
      </c>
      <c r="C186" s="6" t="str">
        <f>VLOOKUP(TABLA_STOCK[Codigo],LISTADO_PRODUCTOS[#All],3)</f>
        <v>LIBRERÍA</v>
      </c>
      <c r="D186" s="6" t="str">
        <f>VLOOKUP(TABLA_STOCK[Codigo],LISTADO_PRODUCTOS[#All],4)</f>
        <v>Escuadra 30º Pizzini 20cm</v>
      </c>
      <c r="E186" s="6" t="str">
        <f>VLOOKUP(TABLA_STOCK[Codigo],LISTADO_PRODUCTOS[#All],5)</f>
        <v>N/A</v>
      </c>
      <c r="F186" s="4">
        <v>10</v>
      </c>
      <c r="G186" s="4">
        <v>107</v>
      </c>
    </row>
    <row r="187" spans="1:7" x14ac:dyDescent="0.3">
      <c r="A187" s="4">
        <v>1237</v>
      </c>
      <c r="B187" s="4">
        <f>VLOOKUP(TABLA_STOCK[Codigo],LISTADO_PRODUCTOS[#All],2)</f>
        <v>54349</v>
      </c>
      <c r="C187" s="6" t="str">
        <f>VLOOKUP(TABLA_STOCK[Codigo],LISTADO_PRODUCTOS[#All],3)</f>
        <v>LIBRERÍA</v>
      </c>
      <c r="D187" s="6" t="str">
        <f>VLOOKUP(TABLA_STOCK[Codigo],LISTADO_PRODUCTOS[#All],4)</f>
        <v>Escuadra 30º Pizzini 20cm</v>
      </c>
      <c r="E187" s="6" t="str">
        <f>VLOOKUP(TABLA_STOCK[Codigo],LISTADO_PRODUCTOS[#All],5)</f>
        <v>N/A</v>
      </c>
      <c r="F187" s="4">
        <v>20</v>
      </c>
      <c r="G187" s="4">
        <v>25</v>
      </c>
    </row>
    <row r="188" spans="1:7" x14ac:dyDescent="0.3">
      <c r="A188" s="4">
        <v>1238</v>
      </c>
      <c r="B188" s="4">
        <f>VLOOKUP(TABLA_STOCK[Codigo],LISTADO_PRODUCTOS[#All],2)</f>
        <v>54349</v>
      </c>
      <c r="C188" s="6" t="str">
        <f>VLOOKUP(TABLA_STOCK[Codigo],LISTADO_PRODUCTOS[#All],3)</f>
        <v>LIBRERÍA</v>
      </c>
      <c r="D188" s="6" t="str">
        <f>VLOOKUP(TABLA_STOCK[Codigo],LISTADO_PRODUCTOS[#All],4)</f>
        <v>Escuadra 30º Pizzini 20cm</v>
      </c>
      <c r="E188" s="6" t="str">
        <f>VLOOKUP(TABLA_STOCK[Codigo],LISTADO_PRODUCTOS[#All],5)</f>
        <v>N/A</v>
      </c>
      <c r="F188" s="4">
        <v>5</v>
      </c>
      <c r="G188" s="4">
        <v>32</v>
      </c>
    </row>
    <row r="189" spans="1:7" x14ac:dyDescent="0.3">
      <c r="A189" s="4">
        <v>1239</v>
      </c>
      <c r="B189" s="4">
        <f>VLOOKUP(TABLA_STOCK[Codigo],LISTADO_PRODUCTOS[#All],2)</f>
        <v>54349</v>
      </c>
      <c r="C189" s="6" t="str">
        <f>VLOOKUP(TABLA_STOCK[Codigo],LISTADO_PRODUCTOS[#All],3)</f>
        <v>LIBRERÍA</v>
      </c>
      <c r="D189" s="6" t="str">
        <f>VLOOKUP(TABLA_STOCK[Codigo],LISTADO_PRODUCTOS[#All],4)</f>
        <v>Escuadra 30º Pizzini 20cm</v>
      </c>
      <c r="E189" s="6" t="str">
        <f>VLOOKUP(TABLA_STOCK[Codigo],LISTADO_PRODUCTOS[#All],5)</f>
        <v>N/A</v>
      </c>
      <c r="F189" s="4">
        <v>1</v>
      </c>
      <c r="G189" s="4">
        <v>150</v>
      </c>
    </row>
    <row r="190" spans="1:7" x14ac:dyDescent="0.3">
      <c r="A190" s="4">
        <v>1241</v>
      </c>
      <c r="B190" s="4">
        <f>VLOOKUP(TABLA_STOCK[Codigo],LISTADO_PRODUCTOS[#All],2)</f>
        <v>54349</v>
      </c>
      <c r="C190" s="6" t="str">
        <f>VLOOKUP(TABLA_STOCK[Codigo],LISTADO_PRODUCTOS[#All],3)</f>
        <v>LIBRERÍA</v>
      </c>
      <c r="D190" s="6" t="str">
        <f>VLOOKUP(TABLA_STOCK[Codigo],LISTADO_PRODUCTOS[#All],4)</f>
        <v>Escuadra 30º Pizzini 20cm</v>
      </c>
      <c r="E190" s="6" t="str">
        <f>VLOOKUP(TABLA_STOCK[Codigo],LISTADO_PRODUCTOS[#All],5)</f>
        <v>N/A</v>
      </c>
      <c r="F190" s="4">
        <v>5</v>
      </c>
      <c r="G190" s="4">
        <v>20</v>
      </c>
    </row>
    <row r="191" spans="1:7" x14ac:dyDescent="0.3">
      <c r="A191" s="4">
        <v>1245</v>
      </c>
      <c r="B191" s="4">
        <f>VLOOKUP(TABLA_STOCK[Codigo],LISTADO_PRODUCTOS[#All],2)</f>
        <v>54349</v>
      </c>
      <c r="C191" s="6" t="str">
        <f>VLOOKUP(TABLA_STOCK[Codigo],LISTADO_PRODUCTOS[#All],3)</f>
        <v>LIBRERÍA</v>
      </c>
      <c r="D191" s="6" t="str">
        <f>VLOOKUP(TABLA_STOCK[Codigo],LISTADO_PRODUCTOS[#All],4)</f>
        <v>Escuadra 30º Pizzini 20cm</v>
      </c>
      <c r="E191" s="6" t="str">
        <f>VLOOKUP(TABLA_STOCK[Codigo],LISTADO_PRODUCTOS[#All],5)</f>
        <v>N/A</v>
      </c>
      <c r="F191" s="4">
        <v>2</v>
      </c>
      <c r="G191" s="4">
        <v>19</v>
      </c>
    </row>
    <row r="192" spans="1:7" x14ac:dyDescent="0.3">
      <c r="A192" s="4">
        <v>1246</v>
      </c>
      <c r="B192" s="4">
        <f>VLOOKUP(TABLA_STOCK[Codigo],LISTADO_PRODUCTOS[#All],2)</f>
        <v>54363</v>
      </c>
      <c r="C192" s="6" t="str">
        <f>VLOOKUP(TABLA_STOCK[Codigo],LISTADO_PRODUCTOS[#All],3)</f>
        <v>LIBRERÍA</v>
      </c>
      <c r="D192" s="6" t="str">
        <f>VLOOKUP(TABLA_STOCK[Codigo],LISTADO_PRODUCTOS[#All],4)</f>
        <v>Escarapela Tela</v>
      </c>
      <c r="E192" s="6" t="str">
        <f>VLOOKUP(TABLA_STOCK[Codigo],LISTADO_PRODUCTOS[#All],5)</f>
        <v>N/A</v>
      </c>
      <c r="F192" s="4">
        <v>10</v>
      </c>
      <c r="G192" s="4">
        <v>6</v>
      </c>
    </row>
    <row r="193" spans="1:7" x14ac:dyDescent="0.3">
      <c r="A193" s="4">
        <v>1300</v>
      </c>
      <c r="B193" s="4">
        <f>VLOOKUP(TABLA_STOCK[Codigo],LISTADO_PRODUCTOS[#All],2)</f>
        <v>54364</v>
      </c>
      <c r="C193" s="6" t="str">
        <f>VLOOKUP(TABLA_STOCK[Codigo],LISTADO_PRODUCTOS[#All],3)</f>
        <v>LIBRERÍA</v>
      </c>
      <c r="D193" s="6" t="str">
        <f>VLOOKUP(TABLA_STOCK[Codigo],LISTADO_PRODUCTOS[#All],4)</f>
        <v>Goma Maped Technic Duo New Generation</v>
      </c>
      <c r="E193" s="6" t="str">
        <f>VLOOKUP(TABLA_STOCK[Codigo],LISTADO_PRODUCTOS[#All],5)</f>
        <v>N/A</v>
      </c>
      <c r="F193" s="4">
        <v>20</v>
      </c>
      <c r="G193" s="4">
        <v>5</v>
      </c>
    </row>
    <row r="194" spans="1:7" x14ac:dyDescent="0.3">
      <c r="A194" s="4">
        <v>1301</v>
      </c>
      <c r="B194" s="4">
        <f>VLOOKUP(TABLA_STOCK[Codigo],LISTADO_PRODUCTOS[#All],2)</f>
        <v>54365</v>
      </c>
      <c r="C194" s="6" t="str">
        <f>VLOOKUP(TABLA_STOCK[Codigo],LISTADO_PRODUCTOS[#All],3)</f>
        <v>LIBRERÍA</v>
      </c>
      <c r="D194" s="6" t="str">
        <f>VLOOKUP(TABLA_STOCK[Codigo],LISTADO_PRODUCTOS[#All],4)</f>
        <v>Boligrafo Filgo Fastrack retractil</v>
      </c>
      <c r="E194" s="6" t="str">
        <f>VLOOKUP(TABLA_STOCK[Codigo],LISTADO_PRODUCTOS[#All],5)</f>
        <v>N/A</v>
      </c>
      <c r="F194" s="4">
        <v>5</v>
      </c>
      <c r="G194" s="4">
        <v>52</v>
      </c>
    </row>
    <row r="195" spans="1:7" x14ac:dyDescent="0.3">
      <c r="A195" s="4">
        <v>1302</v>
      </c>
      <c r="B195" s="4">
        <f>VLOOKUP(TABLA_STOCK[Codigo],LISTADO_PRODUCTOS[#All],2)</f>
        <v>54366</v>
      </c>
      <c r="C195" s="6" t="str">
        <f>VLOOKUP(TABLA_STOCK[Codigo],LISTADO_PRODUCTOS[#All],3)</f>
        <v>LIBRERÍA</v>
      </c>
      <c r="D195" s="6" t="str">
        <f>VLOOKUP(TABLA_STOCK[Codigo],LISTADO_PRODUCTOS[#All],4)</f>
        <v>Tabla Periodica</v>
      </c>
      <c r="E195" s="6" t="str">
        <f>VLOOKUP(TABLA_STOCK[Codigo],LISTADO_PRODUCTOS[#All],5)</f>
        <v>N/A</v>
      </c>
      <c r="F195" s="4">
        <v>1</v>
      </c>
      <c r="G195" s="4">
        <v>32</v>
      </c>
    </row>
    <row r="196" spans="1:7" x14ac:dyDescent="0.3">
      <c r="A196" s="4">
        <v>1304</v>
      </c>
      <c r="B196" s="4">
        <f>VLOOKUP(TABLA_STOCK[Codigo],LISTADO_PRODUCTOS[#All],2)</f>
        <v>54367</v>
      </c>
      <c r="C196" s="6" t="str">
        <f>VLOOKUP(TABLA_STOCK[Codigo],LISTADO_PRODUCTOS[#All],3)</f>
        <v>LIBRERÍA</v>
      </c>
      <c r="D196" s="6" t="str">
        <f>VLOOKUP(TABLA_STOCK[Codigo],LISTADO_PRODUCTOS[#All],4)</f>
        <v>Escarapelas varias tela</v>
      </c>
      <c r="E196" s="6" t="str">
        <f>VLOOKUP(TABLA_STOCK[Codigo],LISTADO_PRODUCTOS[#All],5)</f>
        <v>N/A</v>
      </c>
      <c r="F196" s="4">
        <v>5</v>
      </c>
      <c r="G196" s="4">
        <v>56</v>
      </c>
    </row>
    <row r="197" spans="1:7" x14ac:dyDescent="0.3">
      <c r="A197" s="4">
        <v>1305</v>
      </c>
      <c r="B197" s="4">
        <f>VLOOKUP(TABLA_STOCK[Codigo],LISTADO_PRODUCTOS[#All],2)</f>
        <v>54368</v>
      </c>
      <c r="C197" s="6" t="str">
        <f>VLOOKUP(TABLA_STOCK[Codigo],LISTADO_PRODUCTOS[#All],3)</f>
        <v>LIBRERÍA</v>
      </c>
      <c r="D197" s="6" t="str">
        <f>VLOOKUP(TABLA_STOCK[Codigo],LISTADO_PRODUCTOS[#All],4)</f>
        <v>Lapiz Negro Trabí Neon por fuera y diseño C/Goma</v>
      </c>
      <c r="E197" s="6" t="str">
        <f>VLOOKUP(TABLA_STOCK[Codigo],LISTADO_PRODUCTOS[#All],5)</f>
        <v>N/A</v>
      </c>
      <c r="F197" s="4">
        <v>2</v>
      </c>
      <c r="G197" s="4">
        <v>107</v>
      </c>
    </row>
    <row r="198" spans="1:7" x14ac:dyDescent="0.3">
      <c r="A198" s="4">
        <v>1306</v>
      </c>
      <c r="B198" s="4">
        <f>VLOOKUP(TABLA_STOCK[Codigo],LISTADO_PRODUCTOS[#All],2)</f>
        <v>54369</v>
      </c>
      <c r="C198" s="6" t="str">
        <f>VLOOKUP(TABLA_STOCK[Codigo],LISTADO_PRODUCTOS[#All],3)</f>
        <v>LIBRERÍA</v>
      </c>
      <c r="D198" s="6" t="str">
        <f>VLOOKUP(TABLA_STOCK[Codigo],LISTADO_PRODUCTOS[#All],4)</f>
        <v>Blister Lapiz Negro Mooving Disney x 6u</v>
      </c>
      <c r="E198" s="6" t="str">
        <f>VLOOKUP(TABLA_STOCK[Codigo],LISTADO_PRODUCTOS[#All],5)</f>
        <v>N/A</v>
      </c>
      <c r="F198" s="4">
        <v>2</v>
      </c>
      <c r="G198" s="4">
        <v>25</v>
      </c>
    </row>
    <row r="199" spans="1:7" x14ac:dyDescent="0.3">
      <c r="A199" s="4">
        <v>1307</v>
      </c>
      <c r="B199" s="4">
        <f>VLOOKUP(TABLA_STOCK[Codigo],LISTADO_PRODUCTOS[#All],2)</f>
        <v>54370</v>
      </c>
      <c r="C199" s="6" t="str">
        <f>VLOOKUP(TABLA_STOCK[Codigo],LISTADO_PRODUCTOS[#All],3)</f>
        <v>LIBRERÍA</v>
      </c>
      <c r="D199" s="6" t="str">
        <f>VLOOKUP(TABLA_STOCK[Codigo],LISTADO_PRODUCTOS[#All],4)</f>
        <v>Roller Tinta Gel Mooving x10</v>
      </c>
      <c r="E199" s="6" t="str">
        <f>VLOOKUP(TABLA_STOCK[Codigo],LISTADO_PRODUCTOS[#All],5)</f>
        <v>N/A</v>
      </c>
      <c r="F199" s="4">
        <v>10</v>
      </c>
      <c r="G199" s="4">
        <v>32</v>
      </c>
    </row>
    <row r="200" spans="1:7" x14ac:dyDescent="0.3">
      <c r="A200" s="4">
        <v>1308</v>
      </c>
      <c r="B200" s="4">
        <f>VLOOKUP(TABLA_STOCK[Codigo],LISTADO_PRODUCTOS[#All],2)</f>
        <v>54371</v>
      </c>
      <c r="C200" s="6" t="str">
        <f>VLOOKUP(TABLA_STOCK[Codigo],LISTADO_PRODUCTOS[#All],3)</f>
        <v>LIBRERÍA</v>
      </c>
      <c r="D200" s="6" t="str">
        <f>VLOOKUP(TABLA_STOCK[Codigo],LISTADO_PRODUCTOS[#All],4)</f>
        <v>Roller Silky NEON/PASTEL Mooving x5</v>
      </c>
      <c r="E200" s="6" t="str">
        <f>VLOOKUP(TABLA_STOCK[Codigo],LISTADO_PRODUCTOS[#All],5)</f>
        <v>N/A</v>
      </c>
      <c r="F200" s="4">
        <v>20</v>
      </c>
      <c r="G200" s="4">
        <v>150</v>
      </c>
    </row>
    <row r="201" spans="1:7" x14ac:dyDescent="0.3">
      <c r="A201" s="4">
        <v>1309</v>
      </c>
      <c r="B201" s="4">
        <f>VLOOKUP(TABLA_STOCK[Codigo],LISTADO_PRODUCTOS[#All],2)</f>
        <v>54372</v>
      </c>
      <c r="C201" s="6" t="str">
        <f>VLOOKUP(TABLA_STOCK[Codigo],LISTADO_PRODUCTOS[#All],3)</f>
        <v>LIBRERÍA</v>
      </c>
      <c r="D201" s="6" t="str">
        <f>VLOOKUP(TABLA_STOCK[Codigo],LISTADO_PRODUCTOS[#All],4)</f>
        <v>Resaltadores NEON / PASTEL Dupla ideal Mooving x 4</v>
      </c>
      <c r="E201" s="6" t="str">
        <f>VLOOKUP(TABLA_STOCK[Codigo],LISTADO_PRODUCTOS[#All],5)</f>
        <v>N/A</v>
      </c>
      <c r="F201" s="4">
        <v>5</v>
      </c>
      <c r="G201" s="4">
        <v>20</v>
      </c>
    </row>
    <row r="202" spans="1:7" x14ac:dyDescent="0.3">
      <c r="A202" s="4">
        <v>1310</v>
      </c>
      <c r="B202" s="4">
        <f>VLOOKUP(TABLA_STOCK[Codigo],LISTADO_PRODUCTOS[#All],2)</f>
        <v>54373</v>
      </c>
      <c r="C202" s="6" t="str">
        <f>VLOOKUP(TABLA_STOCK[Codigo],LISTADO_PRODUCTOS[#All],3)</f>
        <v>LIBRERÍA</v>
      </c>
      <c r="D202" s="6" t="str">
        <f>VLOOKUP(TABLA_STOCK[Codigo],LISTADO_PRODUCTOS[#All],4)</f>
        <v>Resaltador NEON Colores Aroma Perfumados x 4u</v>
      </c>
      <c r="E202" s="6" t="str">
        <f>VLOOKUP(TABLA_STOCK[Codigo],LISTADO_PRODUCTOS[#All],5)</f>
        <v>N/A</v>
      </c>
      <c r="F202" s="4">
        <v>1</v>
      </c>
      <c r="G202" s="4">
        <v>19</v>
      </c>
    </row>
    <row r="203" spans="1:7" x14ac:dyDescent="0.3">
      <c r="A203" s="4">
        <v>1311</v>
      </c>
      <c r="B203" s="4">
        <f>VLOOKUP(TABLA_STOCK[Codigo],LISTADO_PRODUCTOS[#All],2)</f>
        <v>54374</v>
      </c>
      <c r="C203" s="6" t="str">
        <f>VLOOKUP(TABLA_STOCK[Codigo],LISTADO_PRODUCTOS[#All],3)</f>
        <v>LIBRERÍA</v>
      </c>
      <c r="D203" s="6" t="str">
        <f>VLOOKUP(TABLA_STOCK[Codigo],LISTADO_PRODUCTOS[#All],4)</f>
        <v>Resaltadores Glitter Mooving x4</v>
      </c>
      <c r="E203" s="6" t="str">
        <f>VLOOKUP(TABLA_STOCK[Codigo],LISTADO_PRODUCTOS[#All],5)</f>
        <v>N/A</v>
      </c>
      <c r="F203" s="4">
        <v>5</v>
      </c>
      <c r="G203" s="4">
        <v>6</v>
      </c>
    </row>
    <row r="204" spans="1:7" x14ac:dyDescent="0.3">
      <c r="A204" s="4">
        <v>1400</v>
      </c>
      <c r="B204" s="4">
        <f>VLOOKUP(TABLA_STOCK[Codigo],LISTADO_PRODUCTOS[#All],2)</f>
        <v>54375</v>
      </c>
      <c r="C204" s="6" t="str">
        <f>VLOOKUP(TABLA_STOCK[Codigo],LISTADO_PRODUCTOS[#All],3)</f>
        <v>LIBRERÍA</v>
      </c>
      <c r="D204" s="6" t="str">
        <f>VLOOKUP(TABLA_STOCK[Codigo],LISTADO_PRODUCTOS[#All],4)</f>
        <v>Libreta NAT Ledesma tapa flexible 16.21 42h</v>
      </c>
      <c r="E204" s="6" t="str">
        <f>VLOOKUP(TABLA_STOCK[Codigo],LISTADO_PRODUCTOS[#All],5)</f>
        <v>N/A</v>
      </c>
      <c r="F204" s="4">
        <v>2</v>
      </c>
      <c r="G204" s="4">
        <v>5</v>
      </c>
    </row>
    <row r="205" spans="1:7" x14ac:dyDescent="0.3">
      <c r="A205" s="4">
        <v>1405</v>
      </c>
      <c r="B205" s="4">
        <f>VLOOKUP(TABLA_STOCK[Codigo],LISTADO_PRODUCTOS[#All],2)</f>
        <v>54376</v>
      </c>
      <c r="C205" s="6" t="str">
        <f>VLOOKUP(TABLA_STOCK[Codigo],LISTADO_PRODUCTOS[#All],3)</f>
        <v>LIBRERÍA</v>
      </c>
      <c r="D205" s="6" t="str">
        <f>VLOOKUP(TABLA_STOCK[Codigo],LISTADO_PRODUCTOS[#All],4)</f>
        <v>Marcador doble punta Trabí Duplo Permanente</v>
      </c>
      <c r="E205" s="6" t="str">
        <f>VLOOKUP(TABLA_STOCK[Codigo],LISTADO_PRODUCTOS[#All],5)</f>
        <v>N/A</v>
      </c>
      <c r="F205" s="4">
        <v>2</v>
      </c>
      <c r="G205" s="4">
        <v>52</v>
      </c>
    </row>
    <row r="206" spans="1:7" x14ac:dyDescent="0.3">
      <c r="A206" s="4">
        <v>1408</v>
      </c>
      <c r="B206" s="4">
        <f>VLOOKUP(TABLA_STOCK[Codigo],LISTADO_PRODUCTOS[#All],2)</f>
        <v>54377</v>
      </c>
      <c r="C206" s="6" t="str">
        <f>VLOOKUP(TABLA_STOCK[Codigo],LISTADO_PRODUCTOS[#All],3)</f>
        <v>LIBRERÍA</v>
      </c>
      <c r="D206" s="6" t="str">
        <f>VLOOKUP(TABLA_STOCK[Codigo],LISTADO_PRODUCTOS[#All],4)</f>
        <v>Cuaderno Triunfante 16.21 T/Carton 120hs</v>
      </c>
      <c r="E206" s="6" t="str">
        <f>VLOOKUP(TABLA_STOCK[Codigo],LISTADO_PRODUCTOS[#All],5)</f>
        <v>N/A</v>
      </c>
      <c r="F206" s="4">
        <v>10</v>
      </c>
      <c r="G206" s="4">
        <v>32</v>
      </c>
    </row>
    <row r="207" spans="1:7" x14ac:dyDescent="0.3">
      <c r="A207" s="4">
        <v>1409</v>
      </c>
      <c r="B207" s="4">
        <f>VLOOKUP(TABLA_STOCK[Codigo],LISTADO_PRODUCTOS[#All],2)</f>
        <v>54378</v>
      </c>
      <c r="C207" s="6" t="str">
        <f>VLOOKUP(TABLA_STOCK[Codigo],LISTADO_PRODUCTOS[#All],3)</f>
        <v>LIBRERÍA</v>
      </c>
      <c r="D207" s="6" t="str">
        <f>VLOOKUP(TABLA_STOCK[Codigo],LISTADO_PRODUCTOS[#All],4)</f>
        <v>Repuesto Éxito NAT x288h C/Margen Reforzado N°3</v>
      </c>
      <c r="E207" s="6" t="str">
        <f>VLOOKUP(TABLA_STOCK[Codigo],LISTADO_PRODUCTOS[#All],5)</f>
        <v>N/A</v>
      </c>
      <c r="F207" s="4">
        <v>20</v>
      </c>
      <c r="G207" s="4">
        <v>56</v>
      </c>
    </row>
    <row r="208" spans="1:7" x14ac:dyDescent="0.3">
      <c r="A208" s="4">
        <v>1411</v>
      </c>
      <c r="B208" s="4">
        <f>VLOOKUP(TABLA_STOCK[Codigo],LISTADO_PRODUCTOS[#All],2)</f>
        <v>54379</v>
      </c>
      <c r="C208" s="6" t="str">
        <f>VLOOKUP(TABLA_STOCK[Codigo],LISTADO_PRODUCTOS[#All],3)</f>
        <v>LIBRERÍA</v>
      </c>
      <c r="D208" s="6" t="str">
        <f>VLOOKUP(TABLA_STOCK[Codigo],LISTADO_PRODUCTOS[#All],4)</f>
        <v>Repuesto Éxito N°3 NAT M/R x 96h</v>
      </c>
      <c r="E208" s="6" t="str">
        <f>VLOOKUP(TABLA_STOCK[Codigo],LISTADO_PRODUCTOS[#All],5)</f>
        <v>N/A</v>
      </c>
      <c r="F208" s="4">
        <v>5</v>
      </c>
      <c r="G208" s="4">
        <v>107</v>
      </c>
    </row>
    <row r="209" spans="1:7" x14ac:dyDescent="0.3">
      <c r="A209" s="4">
        <v>1414</v>
      </c>
      <c r="B209" s="4">
        <f>VLOOKUP(TABLA_STOCK[Codigo],LISTADO_PRODUCTOS[#All],2)</f>
        <v>54380</v>
      </c>
      <c r="C209" s="6" t="str">
        <f>VLOOKUP(TABLA_STOCK[Codigo],LISTADO_PRODUCTOS[#All],3)</f>
        <v>LIBRERÍA</v>
      </c>
      <c r="D209" s="6" t="str">
        <f>VLOOKUP(TABLA_STOCK[Codigo],LISTADO_PRODUCTOS[#All],4)</f>
        <v>Repuesto escolar N°3 Éxito NAT con Margen Reforzado x 96h</v>
      </c>
      <c r="E209" s="6" t="str">
        <f>VLOOKUP(TABLA_STOCK[Codigo],LISTADO_PRODUCTOS[#All],5)</f>
        <v>N/A</v>
      </c>
      <c r="F209" s="4">
        <v>1</v>
      </c>
      <c r="G209" s="4">
        <v>25</v>
      </c>
    </row>
    <row r="210" spans="1:7" x14ac:dyDescent="0.3">
      <c r="A210" s="4">
        <v>1415</v>
      </c>
      <c r="B210" s="4">
        <f>VLOOKUP(TABLA_STOCK[Codigo],LISTADO_PRODUCTOS[#All],2)</f>
        <v>54381</v>
      </c>
      <c r="C210" s="6" t="str">
        <f>VLOOKUP(TABLA_STOCK[Codigo],LISTADO_PRODUCTOS[#All],3)</f>
        <v>LIBRERÍA</v>
      </c>
      <c r="D210" s="6" t="str">
        <f>VLOOKUP(TABLA_STOCK[Codigo],LISTADO_PRODUCTOS[#All],4)</f>
        <v>Repuesto Calcar Nº5 Luma</v>
      </c>
      <c r="E210" s="6" t="str">
        <f>VLOOKUP(TABLA_STOCK[Codigo],LISTADO_PRODUCTOS[#All],5)</f>
        <v>N/A</v>
      </c>
      <c r="F210" s="4">
        <v>5</v>
      </c>
      <c r="G210" s="4">
        <v>32</v>
      </c>
    </row>
    <row r="211" spans="1:7" x14ac:dyDescent="0.3">
      <c r="A211" s="4">
        <v>1416</v>
      </c>
      <c r="B211" s="4">
        <f>VLOOKUP(TABLA_STOCK[Codigo],LISTADO_PRODUCTOS[#All],2)</f>
        <v>54382</v>
      </c>
      <c r="C211" s="6" t="str">
        <f>VLOOKUP(TABLA_STOCK[Codigo],LISTADO_PRODUCTOS[#All],3)</f>
        <v>LIBRERÍA</v>
      </c>
      <c r="D211" s="6" t="str">
        <f>VLOOKUP(TABLA_STOCK[Codigo],LISTADO_PRODUCTOS[#All],4)</f>
        <v>Repuesto Calcar Nº3 Luma</v>
      </c>
      <c r="E211" s="6" t="str">
        <f>VLOOKUP(TABLA_STOCK[Codigo],LISTADO_PRODUCTOS[#All],5)</f>
        <v>N/A</v>
      </c>
      <c r="F211" s="4">
        <v>2</v>
      </c>
      <c r="G211" s="4">
        <v>150</v>
      </c>
    </row>
    <row r="212" spans="1:7" x14ac:dyDescent="0.3">
      <c r="A212" s="4">
        <v>1417</v>
      </c>
      <c r="B212" s="4">
        <f>VLOOKUP(TABLA_STOCK[Codigo],LISTADO_PRODUCTOS[#All],2)</f>
        <v>54383</v>
      </c>
      <c r="C212" s="6" t="str">
        <f>VLOOKUP(TABLA_STOCK[Codigo],LISTADO_PRODUCTOS[#All],3)</f>
        <v>LIBRERÍA</v>
      </c>
      <c r="D212" s="6" t="str">
        <f>VLOOKUP(TABLA_STOCK[Codigo],LISTADO_PRODUCTOS[#All],4)</f>
        <v>Mapa Nº6</v>
      </c>
      <c r="E212" s="6" t="str">
        <f>VLOOKUP(TABLA_STOCK[Codigo],LISTADO_PRODUCTOS[#All],5)</f>
        <v>N/A</v>
      </c>
      <c r="F212" s="4">
        <v>2</v>
      </c>
      <c r="G212" s="4">
        <v>20</v>
      </c>
    </row>
    <row r="213" spans="1:7" x14ac:dyDescent="0.3">
      <c r="A213" s="4">
        <v>1418</v>
      </c>
      <c r="B213" s="4">
        <f>VLOOKUP(TABLA_STOCK[Codigo],LISTADO_PRODUCTOS[#All],2)</f>
        <v>54384</v>
      </c>
      <c r="C213" s="6" t="str">
        <f>VLOOKUP(TABLA_STOCK[Codigo],LISTADO_PRODUCTOS[#All],3)</f>
        <v>LIBRERÍA</v>
      </c>
      <c r="D213" s="6" t="str">
        <f>VLOOKUP(TABLA_STOCK[Codigo],LISTADO_PRODUCTOS[#All],4)</f>
        <v>Cuaderno Triunfante/Laprida Nº3 x 50h - 7792216049913</v>
      </c>
      <c r="E213" s="6" t="str">
        <f>VLOOKUP(TABLA_STOCK[Codigo],LISTADO_PRODUCTOS[#All],5)</f>
        <v>N/A</v>
      </c>
      <c r="F213" s="4">
        <v>10</v>
      </c>
      <c r="G213" s="4">
        <v>19</v>
      </c>
    </row>
    <row r="214" spans="1:7" x14ac:dyDescent="0.3">
      <c r="A214" s="4">
        <v>1420</v>
      </c>
      <c r="B214" s="4">
        <f>VLOOKUP(TABLA_STOCK[Codigo],LISTADO_PRODUCTOS[#All],2)</f>
        <v>54385</v>
      </c>
      <c r="C214" s="6" t="str">
        <f>VLOOKUP(TABLA_STOCK[Codigo],LISTADO_PRODUCTOS[#All],3)</f>
        <v>LIBRERÍA</v>
      </c>
      <c r="D214" s="6" t="str">
        <f>VLOOKUP(TABLA_STOCK[Codigo],LISTADO_PRODUCTOS[#All],4)</f>
        <v>Flauta Blester NC</v>
      </c>
      <c r="E214" s="6" t="str">
        <f>VLOOKUP(TABLA_STOCK[Codigo],LISTADO_PRODUCTOS[#All],5)</f>
        <v>N/A</v>
      </c>
      <c r="F214" s="4">
        <v>20</v>
      </c>
      <c r="G214" s="4">
        <v>6</v>
      </c>
    </row>
    <row r="215" spans="1:7" x14ac:dyDescent="0.3">
      <c r="A215" s="4">
        <v>1421</v>
      </c>
      <c r="B215" s="4">
        <f>VLOOKUP(TABLA_STOCK[Codigo],LISTADO_PRODUCTOS[#All],2)</f>
        <v>54386</v>
      </c>
      <c r="C215" s="6" t="str">
        <f>VLOOKUP(TABLA_STOCK[Codigo],LISTADO_PRODUCTOS[#All],3)</f>
        <v>LIBRERÍA</v>
      </c>
      <c r="D215" s="6" t="str">
        <f>VLOOKUP(TABLA_STOCK[Codigo],LISTADO_PRODUCTOS[#All],4)</f>
        <v>Escalimetro Maped en estuche</v>
      </c>
      <c r="E215" s="6" t="str">
        <f>VLOOKUP(TABLA_STOCK[Codigo],LISTADO_PRODUCTOS[#All],5)</f>
        <v>N/A</v>
      </c>
      <c r="F215" s="4">
        <v>5</v>
      </c>
      <c r="G215" s="4">
        <v>5</v>
      </c>
    </row>
    <row r="216" spans="1:7" x14ac:dyDescent="0.3">
      <c r="A216" s="4">
        <v>1423</v>
      </c>
      <c r="B216" s="4">
        <f>VLOOKUP(TABLA_STOCK[Codigo],LISTADO_PRODUCTOS[#All],2)</f>
        <v>54387</v>
      </c>
      <c r="C216" s="6" t="str">
        <f>VLOOKUP(TABLA_STOCK[Codigo],LISTADO_PRODUCTOS[#All],3)</f>
        <v>LIBRERÍA</v>
      </c>
      <c r="D216" s="6" t="str">
        <f>VLOOKUP(TABLA_STOCK[Codigo],LISTADO_PRODUCTOS[#All],4)</f>
        <v>Adhesivo vinilico Tintoretto/model/playcolor/Maxxum x 250gr</v>
      </c>
      <c r="E216" s="6" t="str">
        <f>VLOOKUP(TABLA_STOCK[Codigo],LISTADO_PRODUCTOS[#All],5)</f>
        <v>N/A</v>
      </c>
      <c r="F216" s="4">
        <v>1</v>
      </c>
      <c r="G216" s="4">
        <v>52</v>
      </c>
    </row>
    <row r="217" spans="1:7" x14ac:dyDescent="0.3">
      <c r="A217" s="4">
        <v>1424</v>
      </c>
      <c r="B217" s="4">
        <f>VLOOKUP(TABLA_STOCK[Codigo],LISTADO_PRODUCTOS[#All],2)</f>
        <v>54388</v>
      </c>
      <c r="C217" s="6" t="str">
        <f>VLOOKUP(TABLA_STOCK[Codigo],LISTADO_PRODUCTOS[#All],3)</f>
        <v>LIBRERÍA</v>
      </c>
      <c r="D217" s="6" t="str">
        <f>VLOOKUP(TABLA_STOCK[Codigo],LISTADO_PRODUCTOS[#All],4)</f>
        <v>Transportador Maped 10cm en bolsa</v>
      </c>
      <c r="E217" s="6" t="str">
        <f>VLOOKUP(TABLA_STOCK[Codigo],LISTADO_PRODUCTOS[#All],5)</f>
        <v>N/A</v>
      </c>
      <c r="F217" s="4">
        <v>5</v>
      </c>
      <c r="G217" s="4">
        <v>32</v>
      </c>
    </row>
    <row r="218" spans="1:7" x14ac:dyDescent="0.3">
      <c r="A218" s="4">
        <v>1425</v>
      </c>
      <c r="B218" s="4">
        <f>VLOOKUP(TABLA_STOCK[Codigo],LISTADO_PRODUCTOS[#All],2)</f>
        <v>54389</v>
      </c>
      <c r="C218" s="6" t="str">
        <f>VLOOKUP(TABLA_STOCK[Codigo],LISTADO_PRODUCTOS[#All],3)</f>
        <v>LIBRERÍA</v>
      </c>
      <c r="D218" s="6" t="str">
        <f>VLOOKUP(TABLA_STOCK[Codigo],LISTADO_PRODUCTOS[#All],4)</f>
        <v>Corrector Filgo 012 - 7795513049518</v>
      </c>
      <c r="E218" s="6" t="str">
        <f>VLOOKUP(TABLA_STOCK[Codigo],LISTADO_PRODUCTOS[#All],5)</f>
        <v>N/A</v>
      </c>
      <c r="F218" s="4">
        <v>2</v>
      </c>
      <c r="G218" s="4">
        <v>56</v>
      </c>
    </row>
    <row r="219" spans="1:7" x14ac:dyDescent="0.3">
      <c r="A219" s="4">
        <v>1426</v>
      </c>
      <c r="B219" s="4">
        <f>VLOOKUP(TABLA_STOCK[Codigo],LISTADO_PRODUCTOS[#All],2)</f>
        <v>54390</v>
      </c>
      <c r="C219" s="6" t="str">
        <f>VLOOKUP(TABLA_STOCK[Codigo],LISTADO_PRODUCTOS[#All],3)</f>
        <v>LIBRERÍA</v>
      </c>
      <c r="D219" s="6" t="str">
        <f>VLOOKUP(TABLA_STOCK[Codigo],LISTADO_PRODUCTOS[#All],4)</f>
        <v>Multibase de madera</v>
      </c>
      <c r="E219" s="6" t="str">
        <f>VLOOKUP(TABLA_STOCK[Codigo],LISTADO_PRODUCTOS[#All],5)</f>
        <v>N/A</v>
      </c>
      <c r="F219" s="4">
        <v>10</v>
      </c>
      <c r="G219" s="4">
        <v>107</v>
      </c>
    </row>
    <row r="220" spans="1:7" x14ac:dyDescent="0.3">
      <c r="A220" s="4">
        <v>1427</v>
      </c>
      <c r="B220" s="4">
        <f>VLOOKUP(TABLA_STOCK[Codigo],LISTADO_PRODUCTOS[#All],2)</f>
        <v>54391</v>
      </c>
      <c r="C220" s="6" t="str">
        <f>VLOOKUP(TABLA_STOCK[Codigo],LISTADO_PRODUCTOS[#All],3)</f>
        <v>LIBRERÍA</v>
      </c>
      <c r="D220" s="6" t="str">
        <f>VLOOKUP(TABLA_STOCK[Codigo],LISTADO_PRODUCTOS[#All],4)</f>
        <v>Resaltador en Blister Mini tubo x 6</v>
      </c>
      <c r="E220" s="6" t="str">
        <f>VLOOKUP(TABLA_STOCK[Codigo],LISTADO_PRODUCTOS[#All],5)</f>
        <v>N/A</v>
      </c>
      <c r="F220" s="4">
        <v>20</v>
      </c>
      <c r="G220" s="4">
        <v>25</v>
      </c>
    </row>
    <row r="221" spans="1:7" x14ac:dyDescent="0.3">
      <c r="A221" s="4">
        <v>1428</v>
      </c>
      <c r="B221" s="4">
        <f>VLOOKUP(TABLA_STOCK[Codigo],LISTADO_PRODUCTOS[#All],2)</f>
        <v>54392</v>
      </c>
      <c r="C221" s="6" t="str">
        <f>VLOOKUP(TABLA_STOCK[Codigo],LISTADO_PRODUCTOS[#All],3)</f>
        <v>LIBRERÍA</v>
      </c>
      <c r="D221" s="6" t="str">
        <f>VLOOKUP(TABLA_STOCK[Codigo],LISTADO_PRODUCTOS[#All],4)</f>
        <v>Set de Resaltadores NUWA x5u en dispenser</v>
      </c>
      <c r="E221" s="6" t="str">
        <f>VLOOKUP(TABLA_STOCK[Codigo],LISTADO_PRODUCTOS[#All],5)</f>
        <v>N/A</v>
      </c>
      <c r="F221" s="4">
        <v>5</v>
      </c>
      <c r="G221" s="4">
        <v>32</v>
      </c>
    </row>
    <row r="222" spans="1:7" x14ac:dyDescent="0.3">
      <c r="A222" s="4">
        <v>1500</v>
      </c>
      <c r="B222" s="4">
        <f>VLOOKUP(TABLA_STOCK[Codigo],LISTADO_PRODUCTOS[#All],2)</f>
        <v>54393</v>
      </c>
      <c r="C222" s="6" t="str">
        <f>VLOOKUP(TABLA_STOCK[Codigo],LISTADO_PRODUCTOS[#All],3)</f>
        <v>LIBRERÍA</v>
      </c>
      <c r="D222" s="6" t="str">
        <f>VLOOKUP(TABLA_STOCK[Codigo],LISTADO_PRODUCTOS[#All],4)</f>
        <v>Carpeta N°5 Kraft color</v>
      </c>
      <c r="E222" s="6" t="str">
        <f>VLOOKUP(TABLA_STOCK[Codigo],LISTADO_PRODUCTOS[#All],5)</f>
        <v>N/A</v>
      </c>
      <c r="F222" s="4">
        <v>1</v>
      </c>
      <c r="G222" s="4">
        <v>150</v>
      </c>
    </row>
    <row r="223" spans="1:7" x14ac:dyDescent="0.3">
      <c r="A223" s="4">
        <v>1501</v>
      </c>
      <c r="B223" s="4">
        <f>VLOOKUP(TABLA_STOCK[Codigo],LISTADO_PRODUCTOS[#All],2)</f>
        <v>54394</v>
      </c>
      <c r="C223" s="6" t="str">
        <f>VLOOKUP(TABLA_STOCK[Codigo],LISTADO_PRODUCTOS[#All],3)</f>
        <v>LIBRERÍA</v>
      </c>
      <c r="D223" s="6" t="str">
        <f>VLOOKUP(TABLA_STOCK[Codigo],LISTADO_PRODUCTOS[#All],4)</f>
        <v>Goma Keyroad Windmill</v>
      </c>
      <c r="E223" s="6" t="str">
        <f>VLOOKUP(TABLA_STOCK[Codigo],LISTADO_PRODUCTOS[#All],5)</f>
        <v>N/A</v>
      </c>
      <c r="F223" s="4">
        <v>5</v>
      </c>
      <c r="G223" s="4">
        <v>20</v>
      </c>
    </row>
    <row r="224" spans="1:7" x14ac:dyDescent="0.3">
      <c r="A224" s="4">
        <v>1504</v>
      </c>
      <c r="B224" s="4">
        <f>VLOOKUP(TABLA_STOCK[Codigo],LISTADO_PRODUCTOS[#All],2)</f>
        <v>54395</v>
      </c>
      <c r="C224" s="6" t="str">
        <f>VLOOKUP(TABLA_STOCK[Codigo],LISTADO_PRODUCTOS[#All],3)</f>
        <v>LIBRERÍA</v>
      </c>
      <c r="D224" s="6" t="str">
        <f>VLOOKUP(TABLA_STOCK[Codigo],LISTADO_PRODUCTOS[#All],4)</f>
        <v>Cuaderno ABC Inicial</v>
      </c>
      <c r="E224" s="6" t="str">
        <f>VLOOKUP(TABLA_STOCK[Codigo],LISTADO_PRODUCTOS[#All],5)</f>
        <v>N/A</v>
      </c>
      <c r="F224" s="4">
        <v>2</v>
      </c>
      <c r="G224" s="4">
        <v>19</v>
      </c>
    </row>
    <row r="225" spans="1:7" x14ac:dyDescent="0.3">
      <c r="A225" s="4">
        <v>1505</v>
      </c>
      <c r="B225" s="4">
        <f>VLOOKUP(TABLA_STOCK[Codigo],LISTADO_PRODUCTOS[#All],2)</f>
        <v>54396</v>
      </c>
      <c r="C225" s="6" t="str">
        <f>VLOOKUP(TABLA_STOCK[Codigo],LISTADO_PRODUCTOS[#All],3)</f>
        <v>LIBRERÍA</v>
      </c>
      <c r="D225" s="6" t="str">
        <f>VLOOKUP(TABLA_STOCK[Codigo],LISTADO_PRODUCTOS[#All],4)</f>
        <v>Bandera Argentina 1,3 x 2,5 S/sol</v>
      </c>
      <c r="E225" s="6" t="str">
        <f>VLOOKUP(TABLA_STOCK[Codigo],LISTADO_PRODUCTOS[#All],5)</f>
        <v>N/A</v>
      </c>
      <c r="F225" s="4">
        <v>2</v>
      </c>
      <c r="G225" s="4">
        <v>6</v>
      </c>
    </row>
    <row r="226" spans="1:7" x14ac:dyDescent="0.3">
      <c r="A226" s="4">
        <v>1506</v>
      </c>
      <c r="B226" s="4">
        <f>VLOOKUP(TABLA_STOCK[Codigo],LISTADO_PRODUCTOS[#All],2)</f>
        <v>54397</v>
      </c>
      <c r="C226" s="6" t="str">
        <f>VLOOKUP(TABLA_STOCK[Codigo],LISTADO_PRODUCTOS[#All],3)</f>
        <v>LIBRERÍA</v>
      </c>
      <c r="D226" s="6" t="str">
        <f>VLOOKUP(TABLA_STOCK[Codigo],LISTADO_PRODUCTOS[#All],4)</f>
        <v>Block de dibujo Muresco D/especiales x 20h Nº5</v>
      </c>
      <c r="E226" s="6" t="str">
        <f>VLOOKUP(TABLA_STOCK[Codigo],LISTADO_PRODUCTOS[#All],5)</f>
        <v>N/A</v>
      </c>
      <c r="F226" s="4">
        <v>10</v>
      </c>
      <c r="G226" s="4">
        <v>5</v>
      </c>
    </row>
    <row r="227" spans="1:7" x14ac:dyDescent="0.3">
      <c r="A227" s="4">
        <v>1507</v>
      </c>
      <c r="B227" s="4">
        <f>VLOOKUP(TABLA_STOCK[Codigo],LISTADO_PRODUCTOS[#All],2)</f>
        <v>54398</v>
      </c>
      <c r="C227" s="6" t="str">
        <f>VLOOKUP(TABLA_STOCK[Codigo],LISTADO_PRODUCTOS[#All],3)</f>
        <v>LIBRERÍA</v>
      </c>
      <c r="D227" s="6" t="str">
        <f>VLOOKUP(TABLA_STOCK[Codigo],LISTADO_PRODUCTOS[#All],4)</f>
        <v>Cartulina entretenida Muresco pre cortada formas varias presentacion A4</v>
      </c>
      <c r="E227" s="6" t="str">
        <f>VLOOKUP(TABLA_STOCK[Codigo],LISTADO_PRODUCTOS[#All],5)</f>
        <v>N/A</v>
      </c>
      <c r="F227" s="4">
        <v>20</v>
      </c>
      <c r="G227" s="4">
        <v>52</v>
      </c>
    </row>
    <row r="228" spans="1:7" x14ac:dyDescent="0.3">
      <c r="A228" s="4">
        <v>1508</v>
      </c>
      <c r="B228" s="4">
        <f>VLOOKUP(TABLA_STOCK[Codigo],LISTADO_PRODUCTOS[#All],2)</f>
        <v>54399</v>
      </c>
      <c r="C228" s="6" t="str">
        <f>VLOOKUP(TABLA_STOCK[Codigo],LISTADO_PRODUCTOS[#All],3)</f>
        <v>LIBRERÍA</v>
      </c>
      <c r="D228" s="6" t="str">
        <f>VLOOKUP(TABLA_STOCK[Codigo],LISTADO_PRODUCTOS[#All],4)</f>
        <v>Marcadores Color Peps Glitter x 10</v>
      </c>
      <c r="E228" s="6" t="str">
        <f>VLOOKUP(TABLA_STOCK[Codigo],LISTADO_PRODUCTOS[#All],5)</f>
        <v>N/A</v>
      </c>
      <c r="F228" s="4">
        <v>5</v>
      </c>
      <c r="G228" s="4">
        <v>32</v>
      </c>
    </row>
    <row r="229" spans="1:7" x14ac:dyDescent="0.3">
      <c r="A229" s="4">
        <v>1511</v>
      </c>
      <c r="B229" s="4">
        <f>VLOOKUP(TABLA_STOCK[Codigo],LISTADO_PRODUCTOS[#All],2)</f>
        <v>54400</v>
      </c>
      <c r="C229" s="6" t="str">
        <f>VLOOKUP(TABLA_STOCK[Codigo],LISTADO_PRODUCTOS[#All],3)</f>
        <v>LIBRERÍA</v>
      </c>
      <c r="D229" s="6" t="str">
        <f>VLOOKUP(TABLA_STOCK[Codigo],LISTADO_PRODUCTOS[#All],4)</f>
        <v>Adhesivo vinilico Tintoretto x 100gr</v>
      </c>
      <c r="E229" s="6" t="str">
        <f>VLOOKUP(TABLA_STOCK[Codigo],LISTADO_PRODUCTOS[#All],5)</f>
        <v>N/A</v>
      </c>
      <c r="F229" s="4">
        <v>1</v>
      </c>
      <c r="G229" s="4">
        <v>56</v>
      </c>
    </row>
    <row r="230" spans="1:7" x14ac:dyDescent="0.3">
      <c r="A230" s="4">
        <v>1512</v>
      </c>
      <c r="B230" s="4">
        <f>VLOOKUP(TABLA_STOCK[Codigo],LISTADO_PRODUCTOS[#All],2)</f>
        <v>54401</v>
      </c>
      <c r="C230" s="6" t="str">
        <f>VLOOKUP(TABLA_STOCK[Codigo],LISTADO_PRODUCTOS[#All],3)</f>
        <v>LIBRERÍA</v>
      </c>
      <c r="D230" s="6" t="str">
        <f>VLOOKUP(TABLA_STOCK[Codigo],LISTADO_PRODUCTOS[#All],4)</f>
        <v>Marcador Trabí para Pizarra blanca Recargable 450</v>
      </c>
      <c r="E230" s="6" t="str">
        <f>VLOOKUP(TABLA_STOCK[Codigo],LISTADO_PRODUCTOS[#All],5)</f>
        <v>N/A</v>
      </c>
      <c r="F230" s="4">
        <v>5</v>
      </c>
      <c r="G230" s="4">
        <v>107</v>
      </c>
    </row>
    <row r="231" spans="1:7" x14ac:dyDescent="0.3">
      <c r="A231" s="4">
        <v>1514</v>
      </c>
      <c r="B231" s="4">
        <f>VLOOKUP(TABLA_STOCK[Codigo],LISTADO_PRODUCTOS[#All],2)</f>
        <v>54402</v>
      </c>
      <c r="C231" s="6" t="str">
        <f>VLOOKUP(TABLA_STOCK[Codigo],LISTADO_PRODUCTOS[#All],3)</f>
        <v>LIBRERÍA</v>
      </c>
      <c r="D231" s="6" t="str">
        <f>VLOOKUP(TABLA_STOCK[Codigo],LISTADO_PRODUCTOS[#All],4)</f>
        <v>Block Dibujo Éxito/Luma Nº5 Blanco - 7791762319426</v>
      </c>
      <c r="E231" s="6" t="str">
        <f>VLOOKUP(TABLA_STOCK[Codigo],LISTADO_PRODUCTOS[#All],5)</f>
        <v>N/A</v>
      </c>
      <c r="F231" s="4">
        <v>2</v>
      </c>
      <c r="G231" s="4">
        <v>25</v>
      </c>
    </row>
    <row r="232" spans="1:7" x14ac:dyDescent="0.3">
      <c r="A232" s="4">
        <v>1515</v>
      </c>
      <c r="B232" s="4">
        <f>VLOOKUP(TABLA_STOCK[Codigo],LISTADO_PRODUCTOS[#All],2)</f>
        <v>54403</v>
      </c>
      <c r="C232" s="6" t="str">
        <f>VLOOKUP(TABLA_STOCK[Codigo],LISTADO_PRODUCTOS[#All],3)</f>
        <v>LIBRERÍA</v>
      </c>
      <c r="D232" s="6" t="str">
        <f>VLOOKUP(TABLA_STOCK[Codigo],LISTADO_PRODUCTOS[#All],4)</f>
        <v>Block Dibujo Éxito/Luma Nº6 Blanco</v>
      </c>
      <c r="E232" s="6" t="str">
        <f>VLOOKUP(TABLA_STOCK[Codigo],LISTADO_PRODUCTOS[#All],5)</f>
        <v>N/A</v>
      </c>
      <c r="F232" s="4">
        <v>2</v>
      </c>
      <c r="G232" s="4">
        <v>32</v>
      </c>
    </row>
    <row r="233" spans="1:7" x14ac:dyDescent="0.3">
      <c r="A233" s="4">
        <v>1516</v>
      </c>
      <c r="B233" s="4">
        <f>VLOOKUP(TABLA_STOCK[Codigo],LISTADO_PRODUCTOS[#All],2)</f>
        <v>54404</v>
      </c>
      <c r="C233" s="6" t="str">
        <f>VLOOKUP(TABLA_STOCK[Codigo],LISTADO_PRODUCTOS[#All],3)</f>
        <v>LIBRERÍA</v>
      </c>
      <c r="D233" s="6" t="str">
        <f>VLOOKUP(TABLA_STOCK[Codigo],LISTADO_PRODUCTOS[#All],4)</f>
        <v>Set de Geometria Maped x4 piezas 30cm</v>
      </c>
      <c r="E233" s="6" t="str">
        <f>VLOOKUP(TABLA_STOCK[Codigo],LISTADO_PRODUCTOS[#All],5)</f>
        <v>N/A</v>
      </c>
      <c r="F233" s="4">
        <v>10</v>
      </c>
      <c r="G233" s="4">
        <v>150</v>
      </c>
    </row>
    <row r="234" spans="1:7" x14ac:dyDescent="0.3">
      <c r="A234" s="4">
        <v>1517</v>
      </c>
      <c r="B234" s="4">
        <f>VLOOKUP(TABLA_STOCK[Codigo],LISTADO_PRODUCTOS[#All],2)</f>
        <v>54405</v>
      </c>
      <c r="C234" s="6" t="str">
        <f>VLOOKUP(TABLA_STOCK[Codigo],LISTADO_PRODUCTOS[#All],3)</f>
        <v>LIBRERÍA</v>
      </c>
      <c r="D234" s="6" t="str">
        <f>VLOOKUP(TABLA_STOCK[Codigo],LISTADO_PRODUCTOS[#All],4)</f>
        <v>Tijera para zurdos Maped</v>
      </c>
      <c r="E234" s="6" t="str">
        <f>VLOOKUP(TABLA_STOCK[Codigo],LISTADO_PRODUCTOS[#All],5)</f>
        <v>N/A</v>
      </c>
      <c r="F234" s="4">
        <v>20</v>
      </c>
      <c r="G234" s="4">
        <v>20</v>
      </c>
    </row>
    <row r="235" spans="1:7" x14ac:dyDescent="0.3">
      <c r="A235" s="4">
        <v>1518</v>
      </c>
      <c r="B235" s="4">
        <f>VLOOKUP(TABLA_STOCK[Codigo],LISTADO_PRODUCTOS[#All],2)</f>
        <v>54406</v>
      </c>
      <c r="C235" s="6" t="str">
        <f>VLOOKUP(TABLA_STOCK[Codigo],LISTADO_PRODUCTOS[#All],3)</f>
        <v>LIBRERÍA</v>
      </c>
      <c r="D235" s="6" t="str">
        <f>VLOOKUP(TABLA_STOCK[Codigo],LISTADO_PRODUCTOS[#All],4)</f>
        <v xml:space="preserve">Silicona Liquida CBX x 30ml </v>
      </c>
      <c r="E235" s="6" t="str">
        <f>VLOOKUP(TABLA_STOCK[Codigo],LISTADO_PRODUCTOS[#All],5)</f>
        <v>N/A</v>
      </c>
      <c r="F235" s="4">
        <v>5</v>
      </c>
      <c r="G235" s="4">
        <v>19</v>
      </c>
    </row>
    <row r="236" spans="1:7" x14ac:dyDescent="0.3">
      <c r="A236" s="4">
        <v>1519</v>
      </c>
      <c r="B236" s="4">
        <f>VLOOKUP(TABLA_STOCK[Codigo],LISTADO_PRODUCTOS[#All],2)</f>
        <v>54407</v>
      </c>
      <c r="C236" s="6" t="str">
        <f>VLOOKUP(TABLA_STOCK[Codigo],LISTADO_PRODUCTOS[#All],3)</f>
        <v>LIBRERÍA</v>
      </c>
      <c r="D236" s="6" t="str">
        <f>VLOOKUP(TABLA_STOCK[Codigo],LISTADO_PRODUCTOS[#All],4)</f>
        <v>Colores Simball Largo x 24 innovation</v>
      </c>
      <c r="E236" s="6" t="str">
        <f>VLOOKUP(TABLA_STOCK[Codigo],LISTADO_PRODUCTOS[#All],5)</f>
        <v>N/A</v>
      </c>
      <c r="F236" s="4">
        <v>1</v>
      </c>
      <c r="G236" s="4">
        <v>6</v>
      </c>
    </row>
    <row r="237" spans="1:7" x14ac:dyDescent="0.3">
      <c r="A237" s="4">
        <v>1520</v>
      </c>
      <c r="B237" s="4">
        <f>VLOOKUP(TABLA_STOCK[Codigo],LISTADO_PRODUCTOS[#All],2)</f>
        <v>54408</v>
      </c>
      <c r="C237" s="6" t="str">
        <f>VLOOKUP(TABLA_STOCK[Codigo],LISTADO_PRODUCTOS[#All],3)</f>
        <v>LIBRERÍA</v>
      </c>
      <c r="D237" s="6" t="str">
        <f>VLOOKUP(TABLA_STOCK[Codigo],LISTADO_PRODUCTOS[#All],4)</f>
        <v>Tijera Maped Office Advance Soft Gel 21cm</v>
      </c>
      <c r="E237" s="6" t="str">
        <f>VLOOKUP(TABLA_STOCK[Codigo],LISTADO_PRODUCTOS[#All],5)</f>
        <v>N/A</v>
      </c>
      <c r="F237" s="4">
        <v>5</v>
      </c>
      <c r="G237" s="4">
        <v>5</v>
      </c>
    </row>
    <row r="238" spans="1:7" x14ac:dyDescent="0.3">
      <c r="A238" s="4">
        <v>1521</v>
      </c>
      <c r="B238" s="4">
        <f>VLOOKUP(TABLA_STOCK[Codigo],LISTADO_PRODUCTOS[#All],2)</f>
        <v>54409</v>
      </c>
      <c r="C238" s="6" t="str">
        <f>VLOOKUP(TABLA_STOCK[Codigo],LISTADO_PRODUCTOS[#All],3)</f>
        <v>LIBRERÍA</v>
      </c>
      <c r="D238" s="6" t="str">
        <f>VLOOKUP(TABLA_STOCK[Codigo],LISTADO_PRODUCTOS[#All],4)</f>
        <v>Set de Geometria Maped x 3 piezas</v>
      </c>
      <c r="E238" s="6" t="str">
        <f>VLOOKUP(TABLA_STOCK[Codigo],LISTADO_PRODUCTOS[#All],5)</f>
        <v>N/A</v>
      </c>
      <c r="F238" s="4">
        <v>2</v>
      </c>
      <c r="G238" s="4">
        <v>52</v>
      </c>
    </row>
    <row r="239" spans="1:7" x14ac:dyDescent="0.3">
      <c r="A239" s="4">
        <v>1522</v>
      </c>
      <c r="B239" s="4">
        <f>VLOOKUP(TABLA_STOCK[Codigo],LISTADO_PRODUCTOS[#All],2)</f>
        <v>54410</v>
      </c>
      <c r="C239" s="6" t="str">
        <f>VLOOKUP(TABLA_STOCK[Codigo],LISTADO_PRODUCTOS[#All],3)</f>
        <v>LIBRERÍA</v>
      </c>
      <c r="D239" s="6" t="str">
        <f>VLOOKUP(TABLA_STOCK[Codigo],LISTADO_PRODUCTOS[#All],4)</f>
        <v>Set de Geometria Glee x 3 piezas</v>
      </c>
      <c r="E239" s="6" t="str">
        <f>VLOOKUP(TABLA_STOCK[Codigo],LISTADO_PRODUCTOS[#All],5)</f>
        <v>N/A</v>
      </c>
      <c r="F239" s="4">
        <v>2</v>
      </c>
      <c r="G239" s="4">
        <v>32</v>
      </c>
    </row>
    <row r="240" spans="1:7" x14ac:dyDescent="0.3">
      <c r="A240" s="4">
        <v>1523</v>
      </c>
      <c r="B240" s="4">
        <f>VLOOKUP(TABLA_STOCK[Codigo],LISTADO_PRODUCTOS[#All],2)</f>
        <v>54411</v>
      </c>
      <c r="C240" s="6" t="str">
        <f>VLOOKUP(TABLA_STOCK[Codigo],LISTADO_PRODUCTOS[#All],3)</f>
        <v>LIBRERÍA</v>
      </c>
      <c r="D240" s="6" t="str">
        <f>VLOOKUP(TABLA_STOCK[Codigo],LISTADO_PRODUCTOS[#All],4)</f>
        <v>Resaltador Maped Glitter Pastel</v>
      </c>
      <c r="E240" s="6" t="str">
        <f>VLOOKUP(TABLA_STOCK[Codigo],LISTADO_PRODUCTOS[#All],5)</f>
        <v>N/A</v>
      </c>
      <c r="F240" s="4">
        <v>10</v>
      </c>
      <c r="G240" s="4">
        <v>56</v>
      </c>
    </row>
    <row r="241" spans="1:7" x14ac:dyDescent="0.3">
      <c r="A241" s="4">
        <v>1524</v>
      </c>
      <c r="B241" s="4">
        <f>VLOOKUP(TABLA_STOCK[Codigo],LISTADO_PRODUCTOS[#All],2)</f>
        <v>54412</v>
      </c>
      <c r="C241" s="6" t="str">
        <f>VLOOKUP(TABLA_STOCK[Codigo],LISTADO_PRODUCTOS[#All],3)</f>
        <v>LIBRERÍA</v>
      </c>
      <c r="D241" s="6" t="str">
        <f>VLOOKUP(TABLA_STOCK[Codigo],LISTADO_PRODUCTOS[#All],4)</f>
        <v>Resaltador Maped  PASTEL</v>
      </c>
      <c r="E241" s="6" t="str">
        <f>VLOOKUP(TABLA_STOCK[Codigo],LISTADO_PRODUCTOS[#All],5)</f>
        <v>N/A</v>
      </c>
      <c r="F241" s="4">
        <v>20</v>
      </c>
      <c r="G241" s="4">
        <v>107</v>
      </c>
    </row>
    <row r="242" spans="1:7" x14ac:dyDescent="0.3">
      <c r="A242" s="4">
        <v>1525</v>
      </c>
      <c r="B242" s="4">
        <f>VLOOKUP(TABLA_STOCK[Codigo],LISTADO_PRODUCTOS[#All],2)</f>
        <v>54413</v>
      </c>
      <c r="C242" s="6" t="str">
        <f>VLOOKUP(TABLA_STOCK[Codigo],LISTADO_PRODUCTOS[#All],3)</f>
        <v>LIBRERÍA</v>
      </c>
      <c r="D242" s="6" t="str">
        <f>VLOOKUP(TABLA_STOCK[Codigo],LISTADO_PRODUCTOS[#All],4)</f>
        <v xml:space="preserve">Resaltador Maped FLUO </v>
      </c>
      <c r="E242" s="6" t="str">
        <f>VLOOKUP(TABLA_STOCK[Codigo],LISTADO_PRODUCTOS[#All],5)</f>
        <v>N/A</v>
      </c>
      <c r="F242" s="4">
        <v>5</v>
      </c>
      <c r="G242" s="4">
        <v>25</v>
      </c>
    </row>
    <row r="243" spans="1:7" x14ac:dyDescent="0.3">
      <c r="A243" s="4">
        <v>1532</v>
      </c>
      <c r="B243" s="4">
        <f>VLOOKUP(TABLA_STOCK[Codigo],LISTADO_PRODUCTOS[#All],2)</f>
        <v>54414</v>
      </c>
      <c r="C243" s="6" t="str">
        <f>VLOOKUP(TABLA_STOCK[Codigo],LISTADO_PRODUCTOS[#All],3)</f>
        <v>LIBRERÍA</v>
      </c>
      <c r="D243" s="6" t="str">
        <f>VLOOKUP(TABLA_STOCK[Codigo],LISTADO_PRODUCTOS[#All],4)</f>
        <v>Carpeta Rivadavia Nº3 con repuesto x96h ray y 48h cuad y separadores</v>
      </c>
      <c r="E243" s="6" t="str">
        <f>VLOOKUP(TABLA_STOCK[Codigo],LISTADO_PRODUCTOS[#All],5)</f>
        <v>N/A</v>
      </c>
      <c r="F243" s="4">
        <v>1</v>
      </c>
      <c r="G243" s="4">
        <v>32</v>
      </c>
    </row>
    <row r="244" spans="1:7" x14ac:dyDescent="0.3">
      <c r="A244" s="4">
        <v>1533</v>
      </c>
      <c r="B244" s="4">
        <f>VLOOKUP(TABLA_STOCK[Codigo],LISTADO_PRODUCTOS[#All],2)</f>
        <v>54415</v>
      </c>
      <c r="C244" s="6" t="str">
        <f>VLOOKUP(TABLA_STOCK[Codigo],LISTADO_PRODUCTOS[#All],3)</f>
        <v>LIBRERÍA</v>
      </c>
      <c r="D244" s="6" t="str">
        <f>VLOOKUP(TABLA_STOCK[Codigo],LISTADO_PRODUCTOS[#All],4)</f>
        <v>Marcador Trabí Mega Pinturon x 10</v>
      </c>
      <c r="E244" s="6" t="str">
        <f>VLOOKUP(TABLA_STOCK[Codigo],LISTADO_PRODUCTOS[#All],5)</f>
        <v>N/A</v>
      </c>
      <c r="F244" s="4">
        <v>5</v>
      </c>
      <c r="G244" s="4">
        <v>150</v>
      </c>
    </row>
    <row r="245" spans="1:7" x14ac:dyDescent="0.3">
      <c r="A245" s="4">
        <v>1534</v>
      </c>
      <c r="B245" s="4">
        <f>VLOOKUP(TABLA_STOCK[Codigo],LISTADO_PRODUCTOS[#All],2)</f>
        <v>54416</v>
      </c>
      <c r="C245" s="6" t="str">
        <f>VLOOKUP(TABLA_STOCK[Codigo],LISTADO_PRODUCTOS[#All],3)</f>
        <v>LIBRERÍA</v>
      </c>
      <c r="D245" s="6" t="str">
        <f>VLOOKUP(TABLA_STOCK[Codigo],LISTADO_PRODUCTOS[#All],4)</f>
        <v>MarcadorPelikan Colorella Star Jumbo x8u</v>
      </c>
      <c r="E245" s="6" t="str">
        <f>VLOOKUP(TABLA_STOCK[Codigo],LISTADO_PRODUCTOS[#All],5)</f>
        <v>N/A</v>
      </c>
      <c r="F245" s="4">
        <v>2</v>
      </c>
      <c r="G245" s="4">
        <v>20</v>
      </c>
    </row>
    <row r="246" spans="1:7" x14ac:dyDescent="0.3">
      <c r="A246" s="4">
        <v>1535</v>
      </c>
      <c r="B246" s="4">
        <f>VLOOKUP(TABLA_STOCK[Codigo],LISTADO_PRODUCTOS[#All],2)</f>
        <v>54417</v>
      </c>
      <c r="C246" s="6" t="str">
        <f>VLOOKUP(TABLA_STOCK[Codigo],LISTADO_PRODUCTOS[#All],3)</f>
        <v>LIBRERÍA</v>
      </c>
      <c r="D246" s="6" t="str">
        <f>VLOOKUP(TABLA_STOCK[Codigo],LISTADO_PRODUCTOS[#All],4)</f>
        <v>Marcador Pizzini Mio x 10 - 7793198801001</v>
      </c>
      <c r="E246" s="6" t="str">
        <f>VLOOKUP(TABLA_STOCK[Codigo],LISTADO_PRODUCTOS[#All],5)</f>
        <v>N/A</v>
      </c>
      <c r="F246" s="4">
        <v>10</v>
      </c>
      <c r="G246" s="4">
        <v>19</v>
      </c>
    </row>
    <row r="247" spans="1:7" x14ac:dyDescent="0.3">
      <c r="A247" s="4">
        <v>1536</v>
      </c>
      <c r="B247" s="4">
        <f>VLOOKUP(TABLA_STOCK[Codigo],LISTADO_PRODUCTOS[#All],2)</f>
        <v>54418</v>
      </c>
      <c r="C247" s="6" t="str">
        <f>VLOOKUP(TABLA_STOCK[Codigo],LISTADO_PRODUCTOS[#All],3)</f>
        <v>LIBRERÍA</v>
      </c>
      <c r="D247" s="6" t="str">
        <f>VLOOKUP(TABLA_STOCK[Codigo],LISTADO_PRODUCTOS[#All],4)</f>
        <v>Rompecabezas de madera</v>
      </c>
      <c r="E247" s="6" t="str">
        <f>VLOOKUP(TABLA_STOCK[Codigo],LISTADO_PRODUCTOS[#All],5)</f>
        <v>N/A</v>
      </c>
      <c r="F247" s="4">
        <v>20</v>
      </c>
      <c r="G247" s="4">
        <v>6</v>
      </c>
    </row>
    <row r="248" spans="1:7" x14ac:dyDescent="0.3">
      <c r="A248" s="4">
        <v>1538</v>
      </c>
      <c r="B248" s="4">
        <f>VLOOKUP(TABLA_STOCK[Codigo],LISTADO_PRODUCTOS[#All],2)</f>
        <v>54419</v>
      </c>
      <c r="C248" s="6" t="str">
        <f>VLOOKUP(TABLA_STOCK[Codigo],LISTADO_PRODUCTOS[#All],3)</f>
        <v>LIBRERÍA</v>
      </c>
      <c r="D248" s="6" t="str">
        <f>VLOOKUP(TABLA_STOCK[Codigo],LISTADO_PRODUCTOS[#All],4)</f>
        <v>Block Triunfante Blanco N°6</v>
      </c>
      <c r="E248" s="6" t="str">
        <f>VLOOKUP(TABLA_STOCK[Codigo],LISTADO_PRODUCTOS[#All],5)</f>
        <v>N/A</v>
      </c>
      <c r="F248" s="4">
        <v>5</v>
      </c>
      <c r="G248" s="4">
        <v>5</v>
      </c>
    </row>
    <row r="249" spans="1:7" x14ac:dyDescent="0.3">
      <c r="A249" s="4">
        <v>1541</v>
      </c>
      <c r="B249" s="4">
        <f>VLOOKUP(TABLA_STOCK[Codigo],LISTADO_PRODUCTOS[#All],2)</f>
        <v>54420</v>
      </c>
      <c r="C249" s="6" t="str">
        <f>VLOOKUP(TABLA_STOCK[Codigo],LISTADO_PRODUCTOS[#All],3)</f>
        <v>LIBRERÍA</v>
      </c>
      <c r="D249" s="6" t="str">
        <f>VLOOKUP(TABLA_STOCK[Codigo],LISTADO_PRODUCTOS[#All],4)</f>
        <v>Cuaderno de caligrafia Laprida T/Flex</v>
      </c>
      <c r="E249" s="6" t="str">
        <f>VLOOKUP(TABLA_STOCK[Codigo],LISTADO_PRODUCTOS[#All],5)</f>
        <v>N/A</v>
      </c>
      <c r="F249" s="4">
        <v>1</v>
      </c>
      <c r="G249" s="4">
        <v>52</v>
      </c>
    </row>
    <row r="250" spans="1:7" x14ac:dyDescent="0.3">
      <c r="A250" s="4">
        <v>1544</v>
      </c>
      <c r="B250" s="4">
        <f>VLOOKUP(TABLA_STOCK[Codigo],LISTADO_PRODUCTOS[#All],2)</f>
        <v>54421</v>
      </c>
      <c r="C250" s="6" t="str">
        <f>VLOOKUP(TABLA_STOCK[Codigo],LISTADO_PRODUCTOS[#All],3)</f>
        <v>LIBRERÍA</v>
      </c>
      <c r="D250" s="6" t="str">
        <f>VLOOKUP(TABLA_STOCK[Codigo],LISTADO_PRODUCTOS[#All],4)</f>
        <v>Cuaderno colegial fantasia x 60h</v>
      </c>
      <c r="E250" s="6" t="str">
        <f>VLOOKUP(TABLA_STOCK[Codigo],LISTADO_PRODUCTOS[#All],5)</f>
        <v>N/A</v>
      </c>
      <c r="F250" s="4">
        <v>5</v>
      </c>
      <c r="G250" s="4">
        <v>32</v>
      </c>
    </row>
    <row r="251" spans="1:7" x14ac:dyDescent="0.3">
      <c r="A251" s="4">
        <v>1545</v>
      </c>
      <c r="B251" s="4">
        <f>VLOOKUP(TABLA_STOCK[Codigo],LISTADO_PRODUCTOS[#All],2)</f>
        <v>54422</v>
      </c>
      <c r="C251" s="6" t="str">
        <f>VLOOKUP(TABLA_STOCK[Codigo],LISTADO_PRODUCTOS[#All],3)</f>
        <v>LIBRERÍA</v>
      </c>
      <c r="D251" s="6" t="str">
        <f>VLOOKUP(TABLA_STOCK[Codigo],LISTADO_PRODUCTOS[#All],4)</f>
        <v>Bandera Argentina 90x150 S/sol</v>
      </c>
      <c r="E251" s="6" t="str">
        <f>VLOOKUP(TABLA_STOCK[Codigo],LISTADO_PRODUCTOS[#All],5)</f>
        <v>N/A</v>
      </c>
      <c r="F251" s="4">
        <v>2</v>
      </c>
      <c r="G251" s="4">
        <v>56</v>
      </c>
    </row>
    <row r="252" spans="1:7" x14ac:dyDescent="0.3">
      <c r="A252" s="4">
        <v>1546</v>
      </c>
      <c r="B252" s="4">
        <f>VLOOKUP(TABLA_STOCK[Codigo],LISTADO_PRODUCTOS[#All],2)</f>
        <v>54423</v>
      </c>
      <c r="C252" s="6" t="str">
        <f>VLOOKUP(TABLA_STOCK[Codigo],LISTADO_PRODUCTOS[#All],3)</f>
        <v>LIBRERÍA</v>
      </c>
      <c r="D252" s="6" t="str">
        <f>VLOOKUP(TABLA_STOCK[Codigo],LISTADO_PRODUCTOS[#All],4)</f>
        <v>Bandera Argentina 50x100 S/sol</v>
      </c>
      <c r="E252" s="6" t="str">
        <f>VLOOKUP(TABLA_STOCK[Codigo],LISTADO_PRODUCTOS[#All],5)</f>
        <v>N/A</v>
      </c>
      <c r="F252" s="4">
        <v>2</v>
      </c>
      <c r="G252" s="4">
        <v>107</v>
      </c>
    </row>
    <row r="253" spans="1:7" x14ac:dyDescent="0.3">
      <c r="A253" s="4">
        <v>1548</v>
      </c>
      <c r="B253" s="4">
        <f>VLOOKUP(TABLA_STOCK[Codigo],LISTADO_PRODUCTOS[#All],2)</f>
        <v>54424</v>
      </c>
      <c r="C253" s="6" t="str">
        <f>VLOOKUP(TABLA_STOCK[Codigo],LISTADO_PRODUCTOS[#All],3)</f>
        <v>LIBRERÍA</v>
      </c>
      <c r="D253" s="6" t="str">
        <f>VLOOKUP(TABLA_STOCK[Codigo],LISTADO_PRODUCTOS[#All],4)</f>
        <v>Block Dibujo Nº6 Triunfante/Luma Color</v>
      </c>
      <c r="E253" s="6" t="str">
        <f>VLOOKUP(TABLA_STOCK[Codigo],LISTADO_PRODUCTOS[#All],5)</f>
        <v>N/A</v>
      </c>
      <c r="F253" s="4">
        <v>10</v>
      </c>
      <c r="G253" s="4">
        <v>25</v>
      </c>
    </row>
    <row r="254" spans="1:7" x14ac:dyDescent="0.3">
      <c r="A254" s="4">
        <v>1553</v>
      </c>
      <c r="B254" s="4">
        <f>VLOOKUP(TABLA_STOCK[Codigo],LISTADO_PRODUCTOS[#All],2)</f>
        <v>54425</v>
      </c>
      <c r="C254" s="6" t="str">
        <f>VLOOKUP(TABLA_STOCK[Codigo],LISTADO_PRODUCTOS[#All],3)</f>
        <v>LIBRERÍA</v>
      </c>
      <c r="D254" s="6" t="str">
        <f>VLOOKUP(TABLA_STOCK[Codigo],LISTADO_PRODUCTOS[#All],4)</f>
        <v>Fibron Trabi permanente 411</v>
      </c>
      <c r="E254" s="6" t="str">
        <f>VLOOKUP(TABLA_STOCK[Codigo],LISTADO_PRODUCTOS[#All],5)</f>
        <v>N/A</v>
      </c>
      <c r="F254" s="4">
        <v>20</v>
      </c>
      <c r="G254" s="4">
        <v>32</v>
      </c>
    </row>
    <row r="255" spans="1:7" x14ac:dyDescent="0.3">
      <c r="A255" s="4">
        <v>1556</v>
      </c>
      <c r="B255" s="4">
        <f>VLOOKUP(TABLA_STOCK[Codigo],LISTADO_PRODUCTOS[#All],2)</f>
        <v>54426</v>
      </c>
      <c r="C255" s="6" t="str">
        <f>VLOOKUP(TABLA_STOCK[Codigo],LISTADO_PRODUCTOS[#All],3)</f>
        <v>LIBRERÍA</v>
      </c>
      <c r="D255" s="6" t="str">
        <f>VLOOKUP(TABLA_STOCK[Codigo],LISTADO_PRODUCTOS[#All],4)</f>
        <v>Block art deco Alfa 20h Nº5</v>
      </c>
      <c r="E255" s="6" t="str">
        <f>VLOOKUP(TABLA_STOCK[Codigo],LISTADO_PRODUCTOS[#All],5)</f>
        <v>N/A</v>
      </c>
      <c r="F255" s="4">
        <v>5</v>
      </c>
      <c r="G255" s="4">
        <v>150</v>
      </c>
    </row>
    <row r="256" spans="1:7" x14ac:dyDescent="0.3">
      <c r="A256" s="4">
        <v>1557</v>
      </c>
      <c r="B256" s="4">
        <f>VLOOKUP(TABLA_STOCK[Codigo],LISTADO_PRODUCTOS[#All],2)</f>
        <v>54427</v>
      </c>
      <c r="C256" s="6" t="str">
        <f>VLOOKUP(TABLA_STOCK[Codigo],LISTADO_PRODUCTOS[#All],3)</f>
        <v>LIBRERÍA</v>
      </c>
      <c r="D256" s="6" t="str">
        <f>VLOOKUP(TABLA_STOCK[Codigo],LISTADO_PRODUCTOS[#All],4)</f>
        <v>Regla 50cm PIZZINI PROFESIONAL 173250 - 7793198173252</v>
      </c>
      <c r="E256" s="6" t="str">
        <f>VLOOKUP(TABLA_STOCK[Codigo],LISTADO_PRODUCTOS[#All],5)</f>
        <v>N/A</v>
      </c>
      <c r="F256" s="4">
        <v>1</v>
      </c>
      <c r="G256" s="4">
        <v>20</v>
      </c>
    </row>
    <row r="257" spans="1:7" x14ac:dyDescent="0.3">
      <c r="A257" s="4">
        <v>1558</v>
      </c>
      <c r="B257" s="4">
        <f>VLOOKUP(TABLA_STOCK[Codigo],LISTADO_PRODUCTOS[#All],2)</f>
        <v>54428</v>
      </c>
      <c r="C257" s="6" t="str">
        <f>VLOOKUP(TABLA_STOCK[Codigo],LISTADO_PRODUCTOS[#All],3)</f>
        <v>LIBRERÍA</v>
      </c>
      <c r="D257" s="6" t="str">
        <f>VLOOKUP(TABLA_STOCK[Codigo],LISTADO_PRODUCTOS[#All],4)</f>
        <v>Block Dibujo Blanco N°5 Gloria - 103602 - 7791762001154</v>
      </c>
      <c r="E257" s="6" t="str">
        <f>VLOOKUP(TABLA_STOCK[Codigo],LISTADO_PRODUCTOS[#All],5)</f>
        <v>N/A</v>
      </c>
      <c r="F257" s="4">
        <v>5</v>
      </c>
      <c r="G257" s="4">
        <v>19</v>
      </c>
    </row>
    <row r="258" spans="1:7" x14ac:dyDescent="0.3">
      <c r="A258" s="4">
        <v>1559</v>
      </c>
      <c r="B258" s="4">
        <f>VLOOKUP(TABLA_STOCK[Codigo],LISTADO_PRODUCTOS[#All],2)</f>
        <v>54429</v>
      </c>
      <c r="C258" s="6" t="str">
        <f>VLOOKUP(TABLA_STOCK[Codigo],LISTADO_PRODUCTOS[#All],3)</f>
        <v>LIBRERÍA</v>
      </c>
      <c r="D258" s="6" t="str">
        <f>VLOOKUP(TABLA_STOCK[Codigo],LISTADO_PRODUCTOS[#All],4)</f>
        <v>Lapiz de Graduacion Staedtler</v>
      </c>
      <c r="E258" s="6" t="str">
        <f>VLOOKUP(TABLA_STOCK[Codigo],LISTADO_PRODUCTOS[#All],5)</f>
        <v>N/A</v>
      </c>
      <c r="F258" s="4">
        <v>2</v>
      </c>
      <c r="G258" s="4">
        <v>6</v>
      </c>
    </row>
    <row r="259" spans="1:7" x14ac:dyDescent="0.3">
      <c r="A259" s="4">
        <v>1560</v>
      </c>
      <c r="B259" s="4">
        <f>VLOOKUP(TABLA_STOCK[Codigo],LISTADO_PRODUCTOS[#All],2)</f>
        <v>54430</v>
      </c>
      <c r="C259" s="6" t="str">
        <f>VLOOKUP(TABLA_STOCK[Codigo],LISTADO_PRODUCTOS[#All],3)</f>
        <v>LIBRERÍA</v>
      </c>
      <c r="D259" s="6" t="str">
        <f>VLOOKUP(TABLA_STOCK[Codigo],LISTADO_PRODUCTOS[#All],4)</f>
        <v>Lapiz de Graduacion Faber Castell</v>
      </c>
      <c r="E259" s="6" t="str">
        <f>VLOOKUP(TABLA_STOCK[Codigo],LISTADO_PRODUCTOS[#All],5)</f>
        <v>N/A</v>
      </c>
      <c r="F259" s="4">
        <v>2</v>
      </c>
      <c r="G259" s="4">
        <v>5</v>
      </c>
    </row>
    <row r="260" spans="1:7" x14ac:dyDescent="0.3">
      <c r="A260" s="4">
        <v>1561</v>
      </c>
      <c r="B260" s="4">
        <f>VLOOKUP(TABLA_STOCK[Codigo],LISTADO_PRODUCTOS[#All],2)</f>
        <v>54431</v>
      </c>
      <c r="C260" s="6" t="str">
        <f>VLOOKUP(TABLA_STOCK[Codigo],LISTADO_PRODUCTOS[#All],3)</f>
        <v>LIBRERÍA</v>
      </c>
      <c r="D260" s="6" t="str">
        <f>VLOOKUP(TABLA_STOCK[Codigo],LISTADO_PRODUCTOS[#All],4)</f>
        <v>Tabla periodica para carpeta</v>
      </c>
      <c r="E260" s="6" t="str">
        <f>VLOOKUP(TABLA_STOCK[Codigo],LISTADO_PRODUCTOS[#All],5)</f>
        <v>N/A</v>
      </c>
      <c r="F260" s="4">
        <v>10</v>
      </c>
      <c r="G260" s="4">
        <v>52</v>
      </c>
    </row>
    <row r="261" spans="1:7" x14ac:dyDescent="0.3">
      <c r="A261" s="4">
        <v>1563</v>
      </c>
      <c r="B261" s="4">
        <f>VLOOKUP(TABLA_STOCK[Codigo],LISTADO_PRODUCTOS[#All],2)</f>
        <v>54432</v>
      </c>
      <c r="C261" s="6" t="str">
        <f>VLOOKUP(TABLA_STOCK[Codigo],LISTADO_PRODUCTOS[#All],3)</f>
        <v>LIBRERÍA</v>
      </c>
      <c r="D261" s="6" t="str">
        <f>VLOOKUP(TABLA_STOCK[Codigo],LISTADO_PRODUCTOS[#All],4)</f>
        <v>Block Dibujo Color N°5 Gloria - 103603 - 7791762001161</v>
      </c>
      <c r="E261" s="6" t="str">
        <f>VLOOKUP(TABLA_STOCK[Codigo],LISTADO_PRODUCTOS[#All],5)</f>
        <v>N/A</v>
      </c>
      <c r="F261" s="4">
        <v>20</v>
      </c>
      <c r="G261" s="4">
        <v>32</v>
      </c>
    </row>
    <row r="262" spans="1:7" x14ac:dyDescent="0.3">
      <c r="A262" s="4">
        <v>1565</v>
      </c>
      <c r="B262" s="4">
        <f>VLOOKUP(TABLA_STOCK[Codigo],LISTADO_PRODUCTOS[#All],2)</f>
        <v>54433</v>
      </c>
      <c r="C262" s="6" t="str">
        <f>VLOOKUP(TABLA_STOCK[Codigo],LISTADO_PRODUCTOS[#All],3)</f>
        <v>LIBRERÍA</v>
      </c>
      <c r="D262" s="6" t="str">
        <f>VLOOKUP(TABLA_STOCK[Codigo],LISTADO_PRODUCTOS[#All],4)</f>
        <v>Sacapuntas Maped Ñoki</v>
      </c>
      <c r="E262" s="6" t="str">
        <f>VLOOKUP(TABLA_STOCK[Codigo],LISTADO_PRODUCTOS[#All],5)</f>
        <v>N/A</v>
      </c>
      <c r="F262" s="4">
        <v>5</v>
      </c>
      <c r="G262" s="4">
        <v>56</v>
      </c>
    </row>
    <row r="263" spans="1:7" x14ac:dyDescent="0.3">
      <c r="A263" s="4">
        <v>1569</v>
      </c>
      <c r="B263" s="4">
        <f>VLOOKUP(TABLA_STOCK[Codigo],LISTADO_PRODUCTOS[#All],2)</f>
        <v>54434</v>
      </c>
      <c r="C263" s="6" t="str">
        <f>VLOOKUP(TABLA_STOCK[Codigo],LISTADO_PRODUCTOS[#All],3)</f>
        <v>LIBRERÍA</v>
      </c>
      <c r="D263" s="6" t="str">
        <f>VLOOKUP(TABLA_STOCK[Codigo],LISTADO_PRODUCTOS[#All],4)</f>
        <v xml:space="preserve">Aro OTA Sifap 35mm c/u </v>
      </c>
      <c r="E263" s="6" t="str">
        <f>VLOOKUP(TABLA_STOCK[Codigo],LISTADO_PRODUCTOS[#All],5)</f>
        <v>N/A</v>
      </c>
      <c r="F263" s="4">
        <v>1</v>
      </c>
      <c r="G263" s="4">
        <v>107</v>
      </c>
    </row>
    <row r="264" spans="1:7" x14ac:dyDescent="0.3">
      <c r="A264" s="4">
        <v>1570</v>
      </c>
      <c r="B264" s="4">
        <f>VLOOKUP(TABLA_STOCK[Codigo],LISTADO_PRODUCTOS[#All],2)</f>
        <v>54435</v>
      </c>
      <c r="C264" s="6" t="str">
        <f>VLOOKUP(TABLA_STOCK[Codigo],LISTADO_PRODUCTOS[#All],3)</f>
        <v>LIBRERÍA</v>
      </c>
      <c r="D264" s="6" t="str">
        <f>VLOOKUP(TABLA_STOCK[Codigo],LISTADO_PRODUCTOS[#All],4)</f>
        <v>Aro OTA Sifap 40mm c/u</v>
      </c>
      <c r="E264" s="6" t="str">
        <f>VLOOKUP(TABLA_STOCK[Codigo],LISTADO_PRODUCTOS[#All],5)</f>
        <v>N/A</v>
      </c>
      <c r="F264" s="4">
        <v>5</v>
      </c>
      <c r="G264" s="4">
        <v>25</v>
      </c>
    </row>
    <row r="265" spans="1:7" x14ac:dyDescent="0.3">
      <c r="A265" s="4">
        <v>1571</v>
      </c>
      <c r="B265" s="4">
        <f>VLOOKUP(TABLA_STOCK[Codigo],LISTADO_PRODUCTOS[#All],2)</f>
        <v>54436</v>
      </c>
      <c r="C265" s="6" t="str">
        <f>VLOOKUP(TABLA_STOCK[Codigo],LISTADO_PRODUCTOS[#All],3)</f>
        <v>LIBRERÍA</v>
      </c>
      <c r="D265" s="6" t="str">
        <f>VLOOKUP(TABLA_STOCK[Codigo],LISTADO_PRODUCTOS[#All],4)</f>
        <v xml:space="preserve">Aro OTA Sifap 50mm c/u </v>
      </c>
      <c r="E265" s="6" t="str">
        <f>VLOOKUP(TABLA_STOCK[Codigo],LISTADO_PRODUCTOS[#All],5)</f>
        <v>N/A</v>
      </c>
      <c r="F265" s="4">
        <v>2</v>
      </c>
      <c r="G265" s="4">
        <v>32</v>
      </c>
    </row>
    <row r="266" spans="1:7" x14ac:dyDescent="0.3">
      <c r="A266" s="4">
        <v>1578</v>
      </c>
      <c r="B266" s="4">
        <f>VLOOKUP(TABLA_STOCK[Codigo],LISTADO_PRODUCTOS[#All],2)</f>
        <v>54437</v>
      </c>
      <c r="C266" s="6" t="str">
        <f>VLOOKUP(TABLA_STOCK[Codigo],LISTADO_PRODUCTOS[#All],3)</f>
        <v>LIBRERÍA</v>
      </c>
      <c r="D266" s="6" t="str">
        <f>VLOOKUP(TABLA_STOCK[Codigo],LISTADO_PRODUCTOS[#All],4)</f>
        <v>Tijera simball escolar Pop 12cm</v>
      </c>
      <c r="E266" s="6" t="str">
        <f>VLOOKUP(TABLA_STOCK[Codigo],LISTADO_PRODUCTOS[#All],5)</f>
        <v>N/A</v>
      </c>
      <c r="F266" s="4">
        <v>2</v>
      </c>
      <c r="G266" s="4">
        <v>150</v>
      </c>
    </row>
    <row r="267" spans="1:7" x14ac:dyDescent="0.3">
      <c r="A267" s="4">
        <v>1579</v>
      </c>
      <c r="B267" s="4">
        <f>VLOOKUP(TABLA_STOCK[Codigo],LISTADO_PRODUCTOS[#All],2)</f>
        <v>54438</v>
      </c>
      <c r="C267" s="6" t="str">
        <f>VLOOKUP(TABLA_STOCK[Codigo],LISTADO_PRODUCTOS[#All],3)</f>
        <v>LIBRERÍA</v>
      </c>
      <c r="D267" s="6" t="str">
        <f>VLOOKUP(TABLA_STOCK[Codigo],LISTADO_PRODUCTOS[#All],4)</f>
        <v>Compas Maped Portalapiz</v>
      </c>
      <c r="E267" s="6" t="str">
        <f>VLOOKUP(TABLA_STOCK[Codigo],LISTADO_PRODUCTOS[#All],5)</f>
        <v>N/A</v>
      </c>
      <c r="F267" s="4">
        <v>10</v>
      </c>
      <c r="G267" s="4">
        <v>20</v>
      </c>
    </row>
    <row r="268" spans="1:7" x14ac:dyDescent="0.3">
      <c r="A268" s="4">
        <v>1580</v>
      </c>
      <c r="B268" s="4">
        <f>VLOOKUP(TABLA_STOCK[Codigo],LISTADO_PRODUCTOS[#All],2)</f>
        <v>54439</v>
      </c>
      <c r="C268" s="6" t="str">
        <f>VLOOKUP(TABLA_STOCK[Codigo],LISTADO_PRODUCTOS[#All],3)</f>
        <v>LIBRERÍA</v>
      </c>
      <c r="D268" s="6" t="str">
        <f>VLOOKUP(TABLA_STOCK[Codigo],LISTADO_PRODUCTOS[#All],4)</f>
        <v>Colores Faber Castell x12 cortos</v>
      </c>
      <c r="E268" s="6" t="str">
        <f>VLOOKUP(TABLA_STOCK[Codigo],LISTADO_PRODUCTOS[#All],5)</f>
        <v>N/A</v>
      </c>
      <c r="F268" s="4">
        <v>20</v>
      </c>
      <c r="G268" s="4">
        <v>19</v>
      </c>
    </row>
    <row r="269" spans="1:7" x14ac:dyDescent="0.3">
      <c r="A269" s="4">
        <v>1581</v>
      </c>
      <c r="B269" s="4">
        <f>VLOOKUP(TABLA_STOCK[Codigo],LISTADO_PRODUCTOS[#All],2)</f>
        <v>54440</v>
      </c>
      <c r="C269" s="6" t="str">
        <f>VLOOKUP(TABLA_STOCK[Codigo],LISTADO_PRODUCTOS[#All],3)</f>
        <v>LIBRERÍA</v>
      </c>
      <c r="D269" s="6" t="str">
        <f>VLOOKUP(TABLA_STOCK[Codigo],LISTADO_PRODUCTOS[#All],4)</f>
        <v>Roller Simball Pöwer Gel Mix up x 10u 5 Gel + 5 Glitter</v>
      </c>
      <c r="E269" s="6" t="str">
        <f>VLOOKUP(TABLA_STOCK[Codigo],LISTADO_PRODUCTOS[#All],5)</f>
        <v>N/A</v>
      </c>
      <c r="F269" s="4">
        <v>5</v>
      </c>
      <c r="G269" s="4">
        <v>6</v>
      </c>
    </row>
    <row r="270" spans="1:7" x14ac:dyDescent="0.3">
      <c r="A270" s="4">
        <v>1582</v>
      </c>
      <c r="B270" s="4">
        <f>VLOOKUP(TABLA_STOCK[Codigo],LISTADO_PRODUCTOS[#All],2)</f>
        <v>54441</v>
      </c>
      <c r="C270" s="6" t="str">
        <f>VLOOKUP(TABLA_STOCK[Codigo],LISTADO_PRODUCTOS[#All],3)</f>
        <v>LIBRERÍA</v>
      </c>
      <c r="D270" s="6" t="str">
        <f>VLOOKUP(TABLA_STOCK[Codigo],LISTADO_PRODUCTOS[#All],4)</f>
        <v>Marcador de Pintura Trabí MarkAll</v>
      </c>
      <c r="E270" s="6" t="str">
        <f>VLOOKUP(TABLA_STOCK[Codigo],LISTADO_PRODUCTOS[#All],5)</f>
        <v>N/A</v>
      </c>
      <c r="F270" s="4">
        <v>1</v>
      </c>
      <c r="G270" s="4">
        <v>5</v>
      </c>
    </row>
    <row r="271" spans="1:7" x14ac:dyDescent="0.3">
      <c r="A271" s="4">
        <v>1583</v>
      </c>
      <c r="B271" s="4">
        <f>VLOOKUP(TABLA_STOCK[Codigo],LISTADO_PRODUCTOS[#All],2)</f>
        <v>54442</v>
      </c>
      <c r="C271" s="6" t="str">
        <f>VLOOKUP(TABLA_STOCK[Codigo],LISTADO_PRODUCTOS[#All],3)</f>
        <v>LIBRERÍA</v>
      </c>
      <c r="D271" s="6" t="str">
        <f>VLOOKUP(TABLA_STOCK[Codigo],LISTADO_PRODUCTOS[#All],4)</f>
        <v>Minas OTA para compas</v>
      </c>
      <c r="E271" s="6" t="str">
        <f>VLOOKUP(TABLA_STOCK[Codigo],LISTADO_PRODUCTOS[#All],5)</f>
        <v>N/A</v>
      </c>
      <c r="F271" s="4">
        <v>5</v>
      </c>
      <c r="G271" s="4">
        <v>52</v>
      </c>
    </row>
    <row r="272" spans="1:7" x14ac:dyDescent="0.3">
      <c r="A272" s="4">
        <v>1584</v>
      </c>
      <c r="B272" s="4">
        <f>VLOOKUP(TABLA_STOCK[Codigo],LISTADO_PRODUCTOS[#All],2)</f>
        <v>54443</v>
      </c>
      <c r="C272" s="6" t="str">
        <f>VLOOKUP(TABLA_STOCK[Codigo],LISTADO_PRODUCTOS[#All],3)</f>
        <v>LIBRERÍA</v>
      </c>
      <c r="D272" s="6" t="str">
        <f>VLOOKUP(TABLA_STOCK[Codigo],LISTADO_PRODUCTOS[#All],4)</f>
        <v>Tubo portaplano</v>
      </c>
      <c r="E272" s="6" t="str">
        <f>VLOOKUP(TABLA_STOCK[Codigo],LISTADO_PRODUCTOS[#All],5)</f>
        <v>N/A</v>
      </c>
      <c r="F272" s="4">
        <v>2</v>
      </c>
      <c r="G272" s="4">
        <v>32</v>
      </c>
    </row>
    <row r="273" spans="1:7" x14ac:dyDescent="0.3">
      <c r="A273" s="4">
        <v>1585</v>
      </c>
      <c r="B273" s="4">
        <f>VLOOKUP(TABLA_STOCK[Codigo],LISTADO_PRODUCTOS[#All],2)</f>
        <v>54444</v>
      </c>
      <c r="C273" s="6" t="str">
        <f>VLOOKUP(TABLA_STOCK[Codigo],LISTADO_PRODUCTOS[#All],3)</f>
        <v>LIBRERÍA</v>
      </c>
      <c r="D273" s="6" t="str">
        <f>VLOOKUP(TABLA_STOCK[Codigo],LISTADO_PRODUCTOS[#All],4)</f>
        <v>Boligrafo Paper mate lex Grip Ultra 1mm Retractil</v>
      </c>
      <c r="E273" s="6" t="str">
        <f>VLOOKUP(TABLA_STOCK[Codigo],LISTADO_PRODUCTOS[#All],5)</f>
        <v>N/A</v>
      </c>
      <c r="F273" s="4">
        <v>10</v>
      </c>
      <c r="G273" s="4">
        <v>56</v>
      </c>
    </row>
    <row r="274" spans="1:7" x14ac:dyDescent="0.3">
      <c r="A274" s="4">
        <v>1587</v>
      </c>
      <c r="B274" s="4">
        <f>VLOOKUP(TABLA_STOCK[Codigo],LISTADO_PRODUCTOS[#All],2)</f>
        <v>54445</v>
      </c>
      <c r="C274" s="6" t="str">
        <f>VLOOKUP(TABLA_STOCK[Codigo],LISTADO_PRODUCTOS[#All],3)</f>
        <v>LIBRERÍA</v>
      </c>
      <c r="D274" s="6" t="str">
        <f>VLOOKUP(TABLA_STOCK[Codigo],LISTADO_PRODUCTOS[#All],4)</f>
        <v>Cuaderno Laprida Tapa dura escolar 98h 90gr</v>
      </c>
      <c r="E274" s="6" t="str">
        <f>VLOOKUP(TABLA_STOCK[Codigo],LISTADO_PRODUCTOS[#All],5)</f>
        <v>N/A</v>
      </c>
      <c r="F274" s="4">
        <v>20</v>
      </c>
      <c r="G274" s="4">
        <v>107</v>
      </c>
    </row>
    <row r="275" spans="1:7" x14ac:dyDescent="0.3">
      <c r="A275" s="4">
        <v>1588</v>
      </c>
      <c r="B275" s="4">
        <f>VLOOKUP(TABLA_STOCK[Codigo],LISTADO_PRODUCTOS[#All],2)</f>
        <v>54446</v>
      </c>
      <c r="C275" s="6" t="str">
        <f>VLOOKUP(TABLA_STOCK[Codigo],LISTADO_PRODUCTOS[#All],3)</f>
        <v>LIBRERÍA</v>
      </c>
      <c r="D275" s="6" t="str">
        <f>VLOOKUP(TABLA_STOCK[Codigo],LISTADO_PRODUCTOS[#All],4)</f>
        <v>Repuesto Rescolar Rivadavia N°3 Clasico Con Rótulo Hojas Super Gruesas</v>
      </c>
      <c r="E275" s="6" t="str">
        <f>VLOOKUP(TABLA_STOCK[Codigo],LISTADO_PRODUCTOS[#All],5)</f>
        <v>N/A</v>
      </c>
      <c r="F275" s="4">
        <v>5</v>
      </c>
      <c r="G275" s="4">
        <v>25</v>
      </c>
    </row>
    <row r="276" spans="1:7" x14ac:dyDescent="0.3">
      <c r="A276" s="4">
        <v>1589</v>
      </c>
      <c r="B276" s="4">
        <f>VLOOKUP(TABLA_STOCK[Codigo],LISTADO_PRODUCTOS[#All],2)</f>
        <v>54447</v>
      </c>
      <c r="C276" s="6" t="str">
        <f>VLOOKUP(TABLA_STOCK[Codigo],LISTADO_PRODUCTOS[#All],3)</f>
        <v>LIBRERÍA</v>
      </c>
      <c r="D276" s="6" t="str">
        <f>VLOOKUP(TABLA_STOCK[Codigo],LISTADO_PRODUCTOS[#All],4)</f>
        <v>Tablero de Dibujo Tecnico 40x50 C/atril 6 POS (7753) Pizzini - 7793198775302</v>
      </c>
      <c r="E276" s="6" t="str">
        <f>VLOOKUP(TABLA_STOCK[Codigo],LISTADO_PRODUCTOS[#All],5)</f>
        <v>N/A</v>
      </c>
      <c r="F276" s="4">
        <v>1</v>
      </c>
      <c r="G276" s="4">
        <v>32</v>
      </c>
    </row>
    <row r="277" spans="1:7" x14ac:dyDescent="0.3">
      <c r="A277" s="4">
        <v>1591</v>
      </c>
      <c r="B277" s="4">
        <f>VLOOKUP(TABLA_STOCK[Codigo],LISTADO_PRODUCTOS[#All],2)</f>
        <v>54448</v>
      </c>
      <c r="C277" s="6" t="str">
        <f>VLOOKUP(TABLA_STOCK[Codigo],LISTADO_PRODUCTOS[#All],3)</f>
        <v>LIBRERÍA</v>
      </c>
      <c r="D277" s="6" t="str">
        <f>VLOOKUP(TABLA_STOCK[Codigo],LISTADO_PRODUCTOS[#All],4)</f>
        <v>Lapiz Negro de Graduacion Trabi</v>
      </c>
      <c r="E277" s="6" t="str">
        <f>VLOOKUP(TABLA_STOCK[Codigo],LISTADO_PRODUCTOS[#All],5)</f>
        <v>N/A</v>
      </c>
      <c r="F277" s="4">
        <v>5</v>
      </c>
      <c r="G277" s="4">
        <v>150</v>
      </c>
    </row>
    <row r="278" spans="1:7" x14ac:dyDescent="0.3">
      <c r="A278" s="4">
        <v>1597</v>
      </c>
      <c r="B278" s="4">
        <f>VLOOKUP(TABLA_STOCK[Codigo],LISTADO_PRODUCTOS[#All],2)</f>
        <v>54449</v>
      </c>
      <c r="C278" s="6" t="str">
        <f>VLOOKUP(TABLA_STOCK[Codigo],LISTADO_PRODUCTOS[#All],3)</f>
        <v>LIBRERÍA</v>
      </c>
      <c r="D278" s="6" t="str">
        <f>VLOOKUP(TABLA_STOCK[Codigo],LISTADO_PRODUCTOS[#All],4)</f>
        <v>Boligrafo Borrable Filgo Borrax</v>
      </c>
      <c r="E278" s="6" t="str">
        <f>VLOOKUP(TABLA_STOCK[Codigo],LISTADO_PRODUCTOS[#All],5)</f>
        <v>N/A</v>
      </c>
      <c r="F278" s="4">
        <v>2</v>
      </c>
      <c r="G278" s="4">
        <v>20</v>
      </c>
    </row>
    <row r="279" spans="1:7" x14ac:dyDescent="0.3">
      <c r="A279" s="4">
        <v>1600</v>
      </c>
      <c r="B279" s="4">
        <f>VLOOKUP(TABLA_STOCK[Codigo],LISTADO_PRODUCTOS[#All],2)</f>
        <v>54450</v>
      </c>
      <c r="C279" s="6" t="str">
        <f>VLOOKUP(TABLA_STOCK[Codigo],LISTADO_PRODUCTOS[#All],3)</f>
        <v>LIBRERÍA</v>
      </c>
      <c r="D279" s="6" t="str">
        <f>VLOOKUP(TABLA_STOCK[Codigo],LISTADO_PRODUCTOS[#All],4)</f>
        <v>Carpeta Nº6 para dibujo el nene c/repuestos</v>
      </c>
      <c r="E279" s="6" t="str">
        <f>VLOOKUP(TABLA_STOCK[Codigo],LISTADO_PRODUCTOS[#All],5)</f>
        <v>N/A</v>
      </c>
      <c r="F279" s="4">
        <v>2</v>
      </c>
      <c r="G279" s="4">
        <v>19</v>
      </c>
    </row>
    <row r="280" spans="1:7" x14ac:dyDescent="0.3">
      <c r="A280" s="4">
        <v>1601</v>
      </c>
      <c r="B280" s="4">
        <f>VLOOKUP(TABLA_STOCK[Codigo],LISTADO_PRODUCTOS[#All],2)</f>
        <v>54451</v>
      </c>
      <c r="C280" s="6" t="str">
        <f>VLOOKUP(TABLA_STOCK[Codigo],LISTADO_PRODUCTOS[#All],3)</f>
        <v>LIBRERÍA</v>
      </c>
      <c r="D280" s="6" t="str">
        <f>VLOOKUP(TABLA_STOCK[Codigo],LISTADO_PRODUCTOS[#All],4)</f>
        <v>Carpeta Nº6 para dibujo asamblea s/rep</v>
      </c>
      <c r="E280" s="6" t="str">
        <f>VLOOKUP(TABLA_STOCK[Codigo],LISTADO_PRODUCTOS[#All],5)</f>
        <v>N/A</v>
      </c>
      <c r="F280" s="4">
        <v>10</v>
      </c>
      <c r="G280" s="4">
        <v>6</v>
      </c>
    </row>
    <row r="281" spans="1:7" x14ac:dyDescent="0.3">
      <c r="A281" s="4">
        <v>1602</v>
      </c>
      <c r="B281" s="4">
        <f>VLOOKUP(TABLA_STOCK[Codigo],LISTADO_PRODUCTOS[#All],2)</f>
        <v>54452</v>
      </c>
      <c r="C281" s="6" t="str">
        <f>VLOOKUP(TABLA_STOCK[Codigo],LISTADO_PRODUCTOS[#All],3)</f>
        <v>LIBRERÍA</v>
      </c>
      <c r="D281" s="6" t="str">
        <f>VLOOKUP(TABLA_STOCK[Codigo],LISTADO_PRODUCTOS[#All],4)</f>
        <v>Sacapuntas Keyroad Rubber 2 tamaños</v>
      </c>
      <c r="E281" s="6" t="str">
        <f>VLOOKUP(TABLA_STOCK[Codigo],LISTADO_PRODUCTOS[#All],5)</f>
        <v>N/A</v>
      </c>
      <c r="F281" s="4">
        <v>20</v>
      </c>
      <c r="G281" s="4">
        <v>5</v>
      </c>
    </row>
    <row r="282" spans="1:7" x14ac:dyDescent="0.3">
      <c r="A282" s="4">
        <v>1604</v>
      </c>
      <c r="B282" s="4">
        <f>VLOOKUP(TABLA_STOCK[Codigo],LISTADO_PRODUCTOS[#All],2)</f>
        <v>54453</v>
      </c>
      <c r="C282" s="6" t="str">
        <f>VLOOKUP(TABLA_STOCK[Codigo],LISTADO_PRODUCTOS[#All],3)</f>
        <v>LIBRERÍA</v>
      </c>
      <c r="D282" s="6" t="str">
        <f>VLOOKUP(TABLA_STOCK[Codigo],LISTADO_PRODUCTOS[#All],4)</f>
        <v>Colores largos Simball FLUO x 6</v>
      </c>
      <c r="E282" s="6" t="str">
        <f>VLOOKUP(TABLA_STOCK[Codigo],LISTADO_PRODUCTOS[#All],5)</f>
        <v>N/A</v>
      </c>
      <c r="F282" s="4">
        <v>5</v>
      </c>
      <c r="G282" s="4">
        <v>52</v>
      </c>
    </row>
    <row r="283" spans="1:7" x14ac:dyDescent="0.3">
      <c r="A283" s="4">
        <v>1607</v>
      </c>
      <c r="B283" s="4">
        <f>VLOOKUP(TABLA_STOCK[Codigo],LISTADO_PRODUCTOS[#All],2)</f>
        <v>54454</v>
      </c>
      <c r="C283" s="6" t="str">
        <f>VLOOKUP(TABLA_STOCK[Codigo],LISTADO_PRODUCTOS[#All],3)</f>
        <v>LIBRERÍA</v>
      </c>
      <c r="D283" s="6" t="str">
        <f>VLOOKUP(TABLA_STOCK[Codigo],LISTADO_PRODUCTOS[#All],4)</f>
        <v>Repuesto azul borrable Borrax Filgo</v>
      </c>
      <c r="E283" s="6" t="str">
        <f>VLOOKUP(TABLA_STOCK[Codigo],LISTADO_PRODUCTOS[#All],5)</f>
        <v>N/A</v>
      </c>
      <c r="F283" s="4">
        <v>1</v>
      </c>
      <c r="G283" s="4">
        <v>32</v>
      </c>
    </row>
    <row r="284" spans="1:7" x14ac:dyDescent="0.3">
      <c r="A284" s="4">
        <v>1608</v>
      </c>
      <c r="B284" s="4">
        <f>VLOOKUP(TABLA_STOCK[Codigo],LISTADO_PRODUCTOS[#All],2)</f>
        <v>54455</v>
      </c>
      <c r="C284" s="6" t="str">
        <f>VLOOKUP(TABLA_STOCK[Codigo],LISTADO_PRODUCTOS[#All],3)</f>
        <v>LIBRERÍA</v>
      </c>
      <c r="D284" s="6" t="str">
        <f>VLOOKUP(TABLA_STOCK[Codigo],LISTADO_PRODUCTOS[#All],4)</f>
        <v>Crayon Playcolor Jumbo FLUO x 6</v>
      </c>
      <c r="E284" s="6" t="str">
        <f>VLOOKUP(TABLA_STOCK[Codigo],LISTADO_PRODUCTOS[#All],5)</f>
        <v>N/A</v>
      </c>
      <c r="F284" s="4">
        <v>5</v>
      </c>
      <c r="G284" s="4">
        <v>56</v>
      </c>
    </row>
    <row r="285" spans="1:7" x14ac:dyDescent="0.3">
      <c r="A285" s="4">
        <v>1609</v>
      </c>
      <c r="B285" s="4">
        <f>VLOOKUP(TABLA_STOCK[Codigo],LISTADO_PRODUCTOS[#All],2)</f>
        <v>54456</v>
      </c>
      <c r="C285" s="6" t="str">
        <f>VLOOKUP(TABLA_STOCK[Codigo],LISTADO_PRODUCTOS[#All],3)</f>
        <v>LIBRERÍA</v>
      </c>
      <c r="D285" s="6" t="str">
        <f>VLOOKUP(TABLA_STOCK[Codigo],LISTADO_PRODUCTOS[#All],4)</f>
        <v>Marcadores Mooving punta pincel pastel x 6u</v>
      </c>
      <c r="E285" s="6" t="str">
        <f>VLOOKUP(TABLA_STOCK[Codigo],LISTADO_PRODUCTOS[#All],5)</f>
        <v>N/A</v>
      </c>
      <c r="F285" s="4">
        <v>2</v>
      </c>
      <c r="G285" s="4">
        <v>107</v>
      </c>
    </row>
    <row r="286" spans="1:7" x14ac:dyDescent="0.3">
      <c r="A286" s="4">
        <v>1610</v>
      </c>
      <c r="B286" s="4">
        <f>VLOOKUP(TABLA_STOCK[Codigo],LISTADO_PRODUCTOS[#All],2)</f>
        <v>54457</v>
      </c>
      <c r="C286" s="6" t="str">
        <f>VLOOKUP(TABLA_STOCK[Codigo],LISTADO_PRODUCTOS[#All],3)</f>
        <v>LIBRERÍA</v>
      </c>
      <c r="D286" s="6" t="str">
        <f>VLOOKUP(TABLA_STOCK[Codigo],LISTADO_PRODUCTOS[#All],4)</f>
        <v>Pizarra DELI A4 Magnetica con imanes</v>
      </c>
      <c r="E286" s="6" t="str">
        <f>VLOOKUP(TABLA_STOCK[Codigo],LISTADO_PRODUCTOS[#All],5)</f>
        <v>N/A</v>
      </c>
      <c r="F286" s="4">
        <v>2</v>
      </c>
      <c r="G286" s="4">
        <v>25</v>
      </c>
    </row>
    <row r="287" spans="1:7" x14ac:dyDescent="0.3">
      <c r="A287" s="4">
        <v>1611</v>
      </c>
      <c r="B287" s="4">
        <f>VLOOKUP(TABLA_STOCK[Codigo],LISTADO_PRODUCTOS[#All],2)</f>
        <v>54458</v>
      </c>
      <c r="C287" s="6" t="str">
        <f>VLOOKUP(TABLA_STOCK[Codigo],LISTADO_PRODUCTOS[#All],3)</f>
        <v>LIBRERÍA</v>
      </c>
      <c r="D287" s="6" t="str">
        <f>VLOOKUP(TABLA_STOCK[Codigo],LISTADO_PRODUCTOS[#All],4)</f>
        <v>Folio Luma N°3 reforzado $25 C/u</v>
      </c>
      <c r="E287" s="6" t="str">
        <f>VLOOKUP(TABLA_STOCK[Codigo],LISTADO_PRODUCTOS[#All],5)</f>
        <v>N/A</v>
      </c>
      <c r="F287" s="4">
        <v>10</v>
      </c>
      <c r="G287" s="4">
        <v>32</v>
      </c>
    </row>
    <row r="288" spans="1:7" x14ac:dyDescent="0.3">
      <c r="A288" s="4">
        <v>1612</v>
      </c>
      <c r="B288" s="4">
        <f>VLOOKUP(TABLA_STOCK[Codigo],LISTADO_PRODUCTOS[#All],2)</f>
        <v>54459</v>
      </c>
      <c r="C288" s="6" t="str">
        <f>VLOOKUP(TABLA_STOCK[Codigo],LISTADO_PRODUCTOS[#All],3)</f>
        <v>LIBRERÍA</v>
      </c>
      <c r="D288" s="6" t="str">
        <f>VLOOKUP(TABLA_STOCK[Codigo],LISTADO_PRODUCTOS[#All],4)</f>
        <v>Cuaderno Mooving Magnifique 80h T/C</v>
      </c>
      <c r="E288" s="6" t="str">
        <f>VLOOKUP(TABLA_STOCK[Codigo],LISTADO_PRODUCTOS[#All],5)</f>
        <v>N/A</v>
      </c>
      <c r="F288" s="4">
        <v>20</v>
      </c>
      <c r="G288" s="4">
        <v>150</v>
      </c>
    </row>
    <row r="289" spans="1:7" x14ac:dyDescent="0.3">
      <c r="A289" s="4">
        <v>1613</v>
      </c>
      <c r="B289" s="4">
        <f>VLOOKUP(TABLA_STOCK[Codigo],LISTADO_PRODUCTOS[#All],2)</f>
        <v>54460</v>
      </c>
      <c r="C289" s="6" t="str">
        <f>VLOOKUP(TABLA_STOCK[Codigo],LISTADO_PRODUCTOS[#All],3)</f>
        <v>LIBRERÍA</v>
      </c>
      <c r="D289" s="6" t="str">
        <f>VLOOKUP(TABLA_STOCK[Codigo],LISTADO_PRODUCTOS[#All],4)</f>
        <v>Cuaderno Mooving Magnifique 120 Hojas Tapa Dura hojas con borde color</v>
      </c>
      <c r="E289" s="6" t="str">
        <f>VLOOKUP(TABLA_STOCK[Codigo],LISTADO_PRODUCTOS[#All],5)</f>
        <v>N/A</v>
      </c>
      <c r="F289" s="4">
        <v>5</v>
      </c>
      <c r="G289" s="4">
        <v>20</v>
      </c>
    </row>
    <row r="290" spans="1:7" x14ac:dyDescent="0.3">
      <c r="A290" s="4">
        <v>1614</v>
      </c>
      <c r="B290" s="4">
        <f>VLOOKUP(TABLA_STOCK[Codigo],LISTADO_PRODUCTOS[#All],2)</f>
        <v>54461</v>
      </c>
      <c r="C290" s="6" t="str">
        <f>VLOOKUP(TABLA_STOCK[Codigo],LISTADO_PRODUCTOS[#All],3)</f>
        <v>LIBRERÍA</v>
      </c>
      <c r="D290" s="6" t="str">
        <f>VLOOKUP(TABLA_STOCK[Codigo],LISTADO_PRODUCTOS[#All],4)</f>
        <v>Cuaderno Mooving Minnie Mouse Tapa Carton Semi Rigida 80h</v>
      </c>
      <c r="E290" s="6" t="str">
        <f>VLOOKUP(TABLA_STOCK[Codigo],LISTADO_PRODUCTOS[#All],5)</f>
        <v>N/A</v>
      </c>
      <c r="F290" s="4">
        <v>1</v>
      </c>
      <c r="G290" s="4">
        <v>19</v>
      </c>
    </row>
    <row r="291" spans="1:7" x14ac:dyDescent="0.3">
      <c r="A291" s="4">
        <v>1615</v>
      </c>
      <c r="B291" s="4">
        <f>VLOOKUP(TABLA_STOCK[Codigo],LISTADO_PRODUCTOS[#All],2)</f>
        <v>54462</v>
      </c>
      <c r="C291" s="6" t="str">
        <f>VLOOKUP(TABLA_STOCK[Codigo],LISTADO_PRODUCTOS[#All],3)</f>
        <v>LIBRERÍA</v>
      </c>
      <c r="D291" s="6" t="str">
        <f>VLOOKUP(TABLA_STOCK[Codigo],LISTADO_PRODUCTOS[#All],4)</f>
        <v xml:space="preserve">Boligrafo BIC Cristal UP 1.2mm x8col surtidos </v>
      </c>
      <c r="E291" s="6" t="str">
        <f>VLOOKUP(TABLA_STOCK[Codigo],LISTADO_PRODUCTOS[#All],5)</f>
        <v>N/A</v>
      </c>
      <c r="F291" s="4">
        <v>5</v>
      </c>
      <c r="G291" s="4">
        <v>6</v>
      </c>
    </row>
    <row r="292" spans="1:7" x14ac:dyDescent="0.3">
      <c r="A292" s="4">
        <v>1616</v>
      </c>
      <c r="B292" s="4">
        <f>VLOOKUP(TABLA_STOCK[Codigo],LISTADO_PRODUCTOS[#All],2)</f>
        <v>54463</v>
      </c>
      <c r="C292" s="6" t="str">
        <f>VLOOKUP(TABLA_STOCK[Codigo],LISTADO_PRODUCTOS[#All],3)</f>
        <v>LIBRERÍA</v>
      </c>
      <c r="D292" s="6" t="str">
        <f>VLOOKUP(TABLA_STOCK[Codigo],LISTADO_PRODUCTOS[#All],4)</f>
        <v>Blister Resaltador Filgo Text Marker FLUO</v>
      </c>
      <c r="E292" s="6" t="str">
        <f>VLOOKUP(TABLA_STOCK[Codigo],LISTADO_PRODUCTOS[#All],5)</f>
        <v>N/A</v>
      </c>
      <c r="F292" s="4">
        <v>2</v>
      </c>
      <c r="G292" s="4">
        <v>5</v>
      </c>
    </row>
    <row r="293" spans="1:7" x14ac:dyDescent="0.3">
      <c r="A293" s="4">
        <v>1617</v>
      </c>
      <c r="B293" s="4">
        <f>VLOOKUP(TABLA_STOCK[Codigo],LISTADO_PRODUCTOS[#All],2)</f>
        <v>54464</v>
      </c>
      <c r="C293" s="6" t="str">
        <f>VLOOKUP(TABLA_STOCK[Codigo],LISTADO_PRODUCTOS[#All],3)</f>
        <v>LIBRERÍA</v>
      </c>
      <c r="D293" s="6" t="str">
        <f>VLOOKUP(TABLA_STOCK[Codigo],LISTADO_PRODUCTOS[#All],4)</f>
        <v>Lapicera Punta Aguja Super Point Filgo</v>
      </c>
      <c r="E293" s="6" t="str">
        <f>VLOOKUP(TABLA_STOCK[Codigo],LISTADO_PRODUCTOS[#All],5)</f>
        <v>N/A</v>
      </c>
      <c r="F293" s="4">
        <v>2</v>
      </c>
      <c r="G293" s="4">
        <v>52</v>
      </c>
    </row>
    <row r="294" spans="1:7" x14ac:dyDescent="0.3">
      <c r="A294" s="4">
        <v>1618</v>
      </c>
      <c r="B294" s="4">
        <f>VLOOKUP(TABLA_STOCK[Codigo],LISTADO_PRODUCTOS[#All],2)</f>
        <v>54465</v>
      </c>
      <c r="C294" s="6" t="str">
        <f>VLOOKUP(TABLA_STOCK[Codigo],LISTADO_PRODUCTOS[#All],3)</f>
        <v>LIBRERÍA</v>
      </c>
      <c r="D294" s="6" t="str">
        <f>VLOOKUP(TABLA_STOCK[Codigo],LISTADO_PRODUCTOS[#All],4)</f>
        <v>Rgla de Aluminio Keyroad C/Porta Lapiz 20cm KR9</v>
      </c>
      <c r="E294" s="6" t="str">
        <f>VLOOKUP(TABLA_STOCK[Codigo],LISTADO_PRODUCTOS[#All],5)</f>
        <v>N/A</v>
      </c>
      <c r="F294" s="4">
        <v>10</v>
      </c>
      <c r="G294" s="4">
        <v>32</v>
      </c>
    </row>
    <row r="295" spans="1:7" x14ac:dyDescent="0.3">
      <c r="A295" s="4">
        <v>1619</v>
      </c>
      <c r="B295" s="4">
        <f>VLOOKUP(TABLA_STOCK[Codigo],LISTADO_PRODUCTOS[#All],2)</f>
        <v>54466</v>
      </c>
      <c r="C295" s="6" t="str">
        <f>VLOOKUP(TABLA_STOCK[Codigo],LISTADO_PRODUCTOS[#All],3)</f>
        <v>LIBRERÍA</v>
      </c>
      <c r="D295" s="6" t="str">
        <f>VLOOKUP(TABLA_STOCK[Codigo],LISTADO_PRODUCTOS[#All],4)</f>
        <v>Rgla de Aluminio Keyroad C/Porta Lapiz 30cm KR9</v>
      </c>
      <c r="E295" s="6" t="str">
        <f>VLOOKUP(TABLA_STOCK[Codigo],LISTADO_PRODUCTOS[#All],5)</f>
        <v>N/A</v>
      </c>
      <c r="F295" s="4">
        <v>20</v>
      </c>
      <c r="G295" s="4">
        <v>56</v>
      </c>
    </row>
    <row r="296" spans="1:7" x14ac:dyDescent="0.3">
      <c r="A296" s="4">
        <v>1620</v>
      </c>
      <c r="B296" s="4">
        <f>VLOOKUP(TABLA_STOCK[Codigo],LISTADO_PRODUCTOS[#All],2)</f>
        <v>54467</v>
      </c>
      <c r="C296" s="6" t="str">
        <f>VLOOKUP(TABLA_STOCK[Codigo],LISTADO_PRODUCTOS[#All],3)</f>
        <v>LIBRERÍA</v>
      </c>
      <c r="D296" s="6" t="str">
        <f>VLOOKUP(TABLA_STOCK[Codigo],LISTADO_PRODUCTOS[#All],4)</f>
        <v>Marcador permanente Edding 404 punta fina</v>
      </c>
      <c r="E296" s="6" t="str">
        <f>VLOOKUP(TABLA_STOCK[Codigo],LISTADO_PRODUCTOS[#All],5)</f>
        <v>N/A</v>
      </c>
      <c r="F296" s="4">
        <v>5</v>
      </c>
      <c r="G296" s="4">
        <v>107</v>
      </c>
    </row>
    <row r="297" spans="1:7" x14ac:dyDescent="0.3">
      <c r="A297" s="4">
        <v>1621</v>
      </c>
      <c r="B297" s="4">
        <f>VLOOKUP(TABLA_STOCK[Codigo],LISTADO_PRODUCTOS[#All],2)</f>
        <v>54468</v>
      </c>
      <c r="C297" s="6" t="str">
        <f>VLOOKUP(TABLA_STOCK[Codigo],LISTADO_PRODUCTOS[#All],3)</f>
        <v>LIBRERÍA</v>
      </c>
      <c r="D297" s="6" t="str">
        <f>VLOOKUP(TABLA_STOCK[Codigo],LISTADO_PRODUCTOS[#All],4)</f>
        <v>Roller Super Ball Filgo</v>
      </c>
      <c r="E297" s="6" t="str">
        <f>VLOOKUP(TABLA_STOCK[Codigo],LISTADO_PRODUCTOS[#All],5)</f>
        <v>N/A</v>
      </c>
      <c r="F297" s="4">
        <v>1</v>
      </c>
      <c r="G297" s="4">
        <v>25</v>
      </c>
    </row>
    <row r="298" spans="1:7" x14ac:dyDescent="0.3">
      <c r="A298" s="4">
        <v>1624</v>
      </c>
      <c r="B298" s="4">
        <f>VLOOKUP(TABLA_STOCK[Codigo],LISTADO_PRODUCTOS[#All],2)</f>
        <v>54469</v>
      </c>
      <c r="C298" s="6" t="str">
        <f>VLOOKUP(TABLA_STOCK[Codigo],LISTADO_PRODUCTOS[#All],3)</f>
        <v>LIBRERÍA</v>
      </c>
      <c r="D298" s="6" t="str">
        <f>VLOOKUP(TABLA_STOCK[Codigo],LISTADO_PRODUCTOS[#All],4)</f>
        <v>Adhesivo Glitter NEON/Pastel/Glue 21gr colores surtidos C/U</v>
      </c>
      <c r="E298" s="6" t="str">
        <f>VLOOKUP(TABLA_STOCK[Codigo],LISTADO_PRODUCTOS[#All],5)</f>
        <v>N/A</v>
      </c>
      <c r="F298" s="4">
        <v>5</v>
      </c>
      <c r="G298" s="4">
        <v>32</v>
      </c>
    </row>
    <row r="299" spans="1:7" x14ac:dyDescent="0.3">
      <c r="A299" s="4">
        <v>1627</v>
      </c>
      <c r="B299" s="4">
        <f>VLOOKUP(TABLA_STOCK[Codigo],LISTADO_PRODUCTOS[#All],2)</f>
        <v>54470</v>
      </c>
      <c r="C299" s="6" t="str">
        <f>VLOOKUP(TABLA_STOCK[Codigo],LISTADO_PRODUCTOS[#All],3)</f>
        <v>LIBRERÍA</v>
      </c>
      <c r="D299" s="6" t="str">
        <f>VLOOKUP(TABLA_STOCK[Codigo],LISTADO_PRODUCTOS[#All],4)</f>
        <v>Fibron Faber Castell al agua 56 P.Red.</v>
      </c>
      <c r="E299" s="6" t="str">
        <f>VLOOKUP(TABLA_STOCK[Codigo],LISTADO_PRODUCTOS[#All],5)</f>
        <v>N/A</v>
      </c>
      <c r="F299" s="4">
        <v>2</v>
      </c>
      <c r="G299" s="4">
        <v>124</v>
      </c>
    </row>
    <row r="300" spans="1:7" x14ac:dyDescent="0.3">
      <c r="A300" s="4">
        <v>1628</v>
      </c>
      <c r="B300" s="4">
        <f>VLOOKUP(TABLA_STOCK[Codigo],LISTADO_PRODUCTOS[#All],2)</f>
        <v>54471</v>
      </c>
      <c r="C300" s="6" t="str">
        <f>VLOOKUP(TABLA_STOCK[Codigo],LISTADO_PRODUCTOS[#All],3)</f>
        <v>LIBRERÍA</v>
      </c>
      <c r="D300" s="6" t="str">
        <f>VLOOKUP(TABLA_STOCK[Codigo],LISTADO_PRODUCTOS[#All],4)</f>
        <v>Block Cartulina entretenida Antiestress anti stress Muresco</v>
      </c>
      <c r="E300" s="6" t="str">
        <f>VLOOKUP(TABLA_STOCK[Codigo],LISTADO_PRODUCTOS[#All],5)</f>
        <v>N/A</v>
      </c>
      <c r="F300" s="4">
        <v>10</v>
      </c>
      <c r="G300" s="4">
        <v>28</v>
      </c>
    </row>
    <row r="301" spans="1:7" x14ac:dyDescent="0.3">
      <c r="A301" s="4">
        <v>1629</v>
      </c>
      <c r="B301" s="4">
        <f>VLOOKUP(TABLA_STOCK[Codigo],LISTADO_PRODUCTOS[#All],2)</f>
        <v>54472</v>
      </c>
      <c r="C301" s="6" t="str">
        <f>VLOOKUP(TABLA_STOCK[Codigo],LISTADO_PRODUCTOS[#All],3)</f>
        <v>LIBRERÍA</v>
      </c>
      <c r="D301" s="6" t="str">
        <f>VLOOKUP(TABLA_STOCK[Codigo],LISTADO_PRODUCTOS[#All],4)</f>
        <v>Block Cartulina entretenida Muresco Negra/celeste/amarillo/rosa surtida</v>
      </c>
      <c r="E301" s="6" t="str">
        <f>VLOOKUP(TABLA_STOCK[Codigo],LISTADO_PRODUCTOS[#All],5)</f>
        <v>N/A</v>
      </c>
      <c r="F301" s="4">
        <v>20</v>
      </c>
      <c r="G301" s="4">
        <v>15</v>
      </c>
    </row>
    <row r="302" spans="1:7" x14ac:dyDescent="0.3">
      <c r="A302" s="4">
        <v>1634</v>
      </c>
      <c r="B302" s="4">
        <f>VLOOKUP(TABLA_STOCK[Codigo],LISTADO_PRODUCTOS[#All],2)</f>
        <v>54473</v>
      </c>
      <c r="C302" s="6" t="str">
        <f>VLOOKUP(TABLA_STOCK[Codigo],LISTADO_PRODUCTOS[#All],3)</f>
        <v>LIBRERÍA</v>
      </c>
      <c r="D302" s="6" t="str">
        <f>VLOOKUP(TABLA_STOCK[Codigo],LISTADO_PRODUCTOS[#All],4)</f>
        <v>Fibron Pelikan Permanente Punta Redonda 441</v>
      </c>
      <c r="E302" s="6" t="str">
        <f>VLOOKUP(TABLA_STOCK[Codigo],LISTADO_PRODUCTOS[#All],5)</f>
        <v>N/A</v>
      </c>
      <c r="F302" s="4">
        <v>5</v>
      </c>
      <c r="G302" s="4">
        <v>15</v>
      </c>
    </row>
    <row r="303" spans="1:7" x14ac:dyDescent="0.3">
      <c r="A303" s="4">
        <v>1638</v>
      </c>
      <c r="B303" s="4">
        <f>VLOOKUP(TABLA_STOCK[Codigo],LISTADO_PRODUCTOS[#All],2)</f>
        <v>54474</v>
      </c>
      <c r="C303" s="6" t="str">
        <f>VLOOKUP(TABLA_STOCK[Codigo],LISTADO_PRODUCTOS[#All],3)</f>
        <v>LIBRERÍA</v>
      </c>
      <c r="D303" s="6" t="str">
        <f>VLOOKUP(TABLA_STOCK[Codigo],LISTADO_PRODUCTOS[#All],4)</f>
        <v>Block N°6 Capitolio Blanco</v>
      </c>
      <c r="E303" s="6" t="str">
        <f>VLOOKUP(TABLA_STOCK[Codigo],LISTADO_PRODUCTOS[#All],5)</f>
        <v>N/A</v>
      </c>
      <c r="F303" s="4">
        <v>1</v>
      </c>
      <c r="G303" s="4">
        <v>3</v>
      </c>
    </row>
    <row r="304" spans="1:7" x14ac:dyDescent="0.3">
      <c r="A304" s="4">
        <v>1640</v>
      </c>
      <c r="B304" s="4">
        <f>VLOOKUP(TABLA_STOCK[Codigo],LISTADO_PRODUCTOS[#All],2)</f>
        <v>54475</v>
      </c>
      <c r="C304" s="6" t="str">
        <f>VLOOKUP(TABLA_STOCK[Codigo],LISTADO_PRODUCTOS[#All],3)</f>
        <v>LIBRERÍA</v>
      </c>
      <c r="D304" s="6" t="str">
        <f>VLOOKUP(TABLA_STOCK[Codigo],LISTADO_PRODUCTOS[#All],4)</f>
        <v>Block N°5 Muresco 22 x 29.5 Afiche color x 50h colores</v>
      </c>
      <c r="E304" s="6" t="str">
        <f>VLOOKUP(TABLA_STOCK[Codigo],LISTADO_PRODUCTOS[#All],5)</f>
        <v>N/A</v>
      </c>
      <c r="F304" s="4">
        <v>5</v>
      </c>
      <c r="G304" s="4">
        <v>51</v>
      </c>
    </row>
    <row r="305" spans="1:7" x14ac:dyDescent="0.3">
      <c r="A305" s="4">
        <v>1641</v>
      </c>
      <c r="B305" s="4">
        <f>VLOOKUP(TABLA_STOCK[Codigo],LISTADO_PRODUCTOS[#All],2)</f>
        <v>54476</v>
      </c>
      <c r="C305" s="6" t="str">
        <f>VLOOKUP(TABLA_STOCK[Codigo],LISTADO_PRODUCTOS[#All],3)</f>
        <v>LIBRERÍA</v>
      </c>
      <c r="D305" s="6" t="str">
        <f>VLOOKUP(TABLA_STOCK[Codigo],LISTADO_PRODUCTOS[#All],4)</f>
        <v>Lapiz Borratinta Staedtler escobilla</v>
      </c>
      <c r="E305" s="6" t="str">
        <f>VLOOKUP(TABLA_STOCK[Codigo],LISTADO_PRODUCTOS[#All],5)</f>
        <v>N/A</v>
      </c>
      <c r="F305" s="4">
        <v>2</v>
      </c>
      <c r="G305" s="4">
        <v>27</v>
      </c>
    </row>
    <row r="306" spans="1:7" x14ac:dyDescent="0.3">
      <c r="A306" s="4">
        <v>1643</v>
      </c>
      <c r="B306" s="4">
        <f>VLOOKUP(TABLA_STOCK[Codigo],LISTADO_PRODUCTOS[#All],2)</f>
        <v>54477</v>
      </c>
      <c r="C306" s="6" t="str">
        <f>VLOOKUP(TABLA_STOCK[Codigo],LISTADO_PRODUCTOS[#All],3)</f>
        <v>LIBRERÍA</v>
      </c>
      <c r="D306" s="6" t="str">
        <f>VLOOKUP(TABLA_STOCK[Codigo],LISTADO_PRODUCTOS[#All],4)</f>
        <v>Block Capitolio Collage 20h</v>
      </c>
      <c r="E306" s="6" t="str">
        <f>VLOOKUP(TABLA_STOCK[Codigo],LISTADO_PRODUCTOS[#All],5)</f>
        <v>N/A</v>
      </c>
      <c r="F306" s="4">
        <v>2</v>
      </c>
      <c r="G306" s="4">
        <v>56</v>
      </c>
    </row>
    <row r="307" spans="1:7" x14ac:dyDescent="0.3">
      <c r="A307" s="4">
        <v>1644</v>
      </c>
      <c r="B307" s="4">
        <f>VLOOKUP(TABLA_STOCK[Codigo],LISTADO_PRODUCTOS[#All],2)</f>
        <v>54478</v>
      </c>
      <c r="C307" s="6" t="str">
        <f>VLOOKUP(TABLA_STOCK[Codigo],LISTADO_PRODUCTOS[#All],3)</f>
        <v>LIBRERÍA</v>
      </c>
      <c r="D307" s="6" t="str">
        <f>VLOOKUP(TABLA_STOCK[Codigo],LISTADO_PRODUCTOS[#All],4)</f>
        <v>Adhesivo en barra Giotto 36g</v>
      </c>
      <c r="E307" s="6" t="str">
        <f>VLOOKUP(TABLA_STOCK[Codigo],LISTADO_PRODUCTOS[#All],5)</f>
        <v>N/A</v>
      </c>
      <c r="F307" s="4">
        <v>10</v>
      </c>
      <c r="G307" s="4">
        <v>107</v>
      </c>
    </row>
    <row r="308" spans="1:7" x14ac:dyDescent="0.3">
      <c r="A308" s="4">
        <v>1645</v>
      </c>
      <c r="B308" s="4">
        <f>VLOOKUP(TABLA_STOCK[Codigo],LISTADO_PRODUCTOS[#All],2)</f>
        <v>54479</v>
      </c>
      <c r="C308" s="6" t="str">
        <f>VLOOKUP(TABLA_STOCK[Codigo],LISTADO_PRODUCTOS[#All],3)</f>
        <v>LIBRERÍA</v>
      </c>
      <c r="D308" s="6" t="str">
        <f>VLOOKUP(TABLA_STOCK[Codigo],LISTADO_PRODUCTOS[#All],4)</f>
        <v>Goma DELI Scribe Eraser H00110</v>
      </c>
      <c r="E308" s="6" t="str">
        <f>VLOOKUP(TABLA_STOCK[Codigo],LISTADO_PRODUCTOS[#All],5)</f>
        <v>N/A</v>
      </c>
      <c r="F308" s="4">
        <v>20</v>
      </c>
      <c r="G308" s="4">
        <v>25</v>
      </c>
    </row>
    <row r="309" spans="1:7" x14ac:dyDescent="0.3">
      <c r="A309" s="4">
        <v>1648</v>
      </c>
      <c r="B309" s="4">
        <f>VLOOKUP(TABLA_STOCK[Codigo],LISTADO_PRODUCTOS[#All],2)</f>
        <v>54480</v>
      </c>
      <c r="C309" s="6" t="str">
        <f>VLOOKUP(TABLA_STOCK[Codigo],LISTADO_PRODUCTOS[#All],3)</f>
        <v>LIBRERÍA</v>
      </c>
      <c r="D309" s="6" t="str">
        <f>VLOOKUP(TABLA_STOCK[Codigo],LISTADO_PRODUCTOS[#All],4)</f>
        <v>Carpeta Util-of</v>
      </c>
      <c r="E309" s="6" t="str">
        <f>VLOOKUP(TABLA_STOCK[Codigo],LISTADO_PRODUCTOS[#All],5)</f>
        <v>N/A</v>
      </c>
      <c r="F309" s="4">
        <v>5</v>
      </c>
      <c r="G309" s="4">
        <v>32</v>
      </c>
    </row>
    <row r="310" spans="1:7" x14ac:dyDescent="0.3">
      <c r="A310" s="4">
        <v>1651</v>
      </c>
      <c r="B310" s="4">
        <f>VLOOKUP(TABLA_STOCK[Codigo],LISTADO_PRODUCTOS[#All],2)</f>
        <v>54481</v>
      </c>
      <c r="C310" s="6" t="str">
        <f>VLOOKUP(TABLA_STOCK[Codigo],LISTADO_PRODUCTOS[#All],3)</f>
        <v>LIBRERÍA</v>
      </c>
      <c r="D310" s="6" t="str">
        <f>VLOOKUP(TABLA_STOCK[Codigo],LISTADO_PRODUCTOS[#All],4)</f>
        <v>Set Microfibras Filgo Liner 038 x 10</v>
      </c>
      <c r="E310" s="6" t="str">
        <f>VLOOKUP(TABLA_STOCK[Codigo],LISTADO_PRODUCTOS[#All],5)</f>
        <v>N/A</v>
      </c>
      <c r="F310" s="4">
        <v>1</v>
      </c>
      <c r="G310" s="4">
        <v>150</v>
      </c>
    </row>
    <row r="311" spans="1:7" x14ac:dyDescent="0.3">
      <c r="A311" s="4">
        <v>1652</v>
      </c>
      <c r="B311" s="4">
        <f>VLOOKUP(TABLA_STOCK[Codigo],LISTADO_PRODUCTOS[#All],2)</f>
        <v>54482</v>
      </c>
      <c r="C311" s="6" t="str">
        <f>VLOOKUP(TABLA_STOCK[Codigo],LISTADO_PRODUCTOS[#All],3)</f>
        <v>LIBRERÍA</v>
      </c>
      <c r="D311" s="6" t="str">
        <f>VLOOKUP(TABLA_STOCK[Codigo],LISTADO_PRODUCTOS[#All],4)</f>
        <v>Boligrafo Borrable Trabí Fantastic Tinta azul</v>
      </c>
      <c r="E311" s="6" t="str">
        <f>VLOOKUP(TABLA_STOCK[Codigo],LISTADO_PRODUCTOS[#All],5)</f>
        <v>N/A</v>
      </c>
      <c r="F311" s="4">
        <v>5</v>
      </c>
      <c r="G311" s="4">
        <v>20</v>
      </c>
    </row>
    <row r="312" spans="1:7" x14ac:dyDescent="0.3">
      <c r="A312" s="4">
        <v>1661</v>
      </c>
      <c r="B312" s="4">
        <f>VLOOKUP(TABLA_STOCK[Codigo],LISTADO_PRODUCTOS[#All],2)</f>
        <v>54483</v>
      </c>
      <c r="C312" s="6" t="str">
        <f>VLOOKUP(TABLA_STOCK[Codigo],LISTADO_PRODUCTOS[#All],3)</f>
        <v>LIBRERÍA</v>
      </c>
      <c r="D312" s="6" t="str">
        <f>VLOOKUP(TABLA_STOCK[Codigo],LISTADO_PRODUCTOS[#All],4)</f>
        <v xml:space="preserve">Repuesto Roller borrable Trabí </v>
      </c>
      <c r="E312" s="6" t="str">
        <f>VLOOKUP(TABLA_STOCK[Codigo],LISTADO_PRODUCTOS[#All],5)</f>
        <v>N/A</v>
      </c>
      <c r="F312" s="4">
        <v>2</v>
      </c>
      <c r="G312" s="4">
        <v>19</v>
      </c>
    </row>
    <row r="313" spans="1:7" x14ac:dyDescent="0.3">
      <c r="A313" s="4">
        <v>1662</v>
      </c>
      <c r="B313" s="4">
        <f>VLOOKUP(TABLA_STOCK[Codigo],LISTADO_PRODUCTOS[#All],2)</f>
        <v>54484</v>
      </c>
      <c r="C313" s="6" t="str">
        <f>VLOOKUP(TABLA_STOCK[Codigo],LISTADO_PRODUCTOS[#All],3)</f>
        <v>LIBRERÍA</v>
      </c>
      <c r="D313" s="6" t="str">
        <f>VLOOKUP(TABLA_STOCK[Codigo],LISTADO_PRODUCTOS[#All],4)</f>
        <v>Microfibra Filgo yo amo mis colores FLUO x 5 liner 038 - 7795513075296</v>
      </c>
      <c r="E313" s="6" t="str">
        <f>VLOOKUP(TABLA_STOCK[Codigo],LISTADO_PRODUCTOS[#All],5)</f>
        <v>N/A</v>
      </c>
      <c r="F313" s="4">
        <v>2</v>
      </c>
      <c r="G313" s="4">
        <v>6</v>
      </c>
    </row>
    <row r="314" spans="1:7" x14ac:dyDescent="0.3">
      <c r="A314" s="4">
        <v>1666</v>
      </c>
      <c r="B314" s="4">
        <f>VLOOKUP(TABLA_STOCK[Codigo],LISTADO_PRODUCTOS[#All],2)</f>
        <v>54485</v>
      </c>
      <c r="C314" s="6" t="str">
        <f>VLOOKUP(TABLA_STOCK[Codigo],LISTADO_PRODUCTOS[#All],3)</f>
        <v>LIBRERÍA</v>
      </c>
      <c r="D314" s="6" t="str">
        <f>VLOOKUP(TABLA_STOCK[Codigo],LISTADO_PRODUCTOS[#All],4)</f>
        <v xml:space="preserve">Portaminas BIC AI con grip 0.5 en presentacion </v>
      </c>
      <c r="E314" s="6" t="str">
        <f>VLOOKUP(TABLA_STOCK[Codigo],LISTADO_PRODUCTOS[#All],5)</f>
        <v>N/A</v>
      </c>
      <c r="F314" s="4">
        <v>10</v>
      </c>
      <c r="G314" s="4">
        <v>5</v>
      </c>
    </row>
    <row r="315" spans="1:7" x14ac:dyDescent="0.3">
      <c r="A315" s="4">
        <v>1670</v>
      </c>
      <c r="B315" s="4">
        <f>VLOOKUP(TABLA_STOCK[Codigo],LISTADO_PRODUCTOS[#All],2)</f>
        <v>54486</v>
      </c>
      <c r="C315" s="6" t="str">
        <f>VLOOKUP(TABLA_STOCK[Codigo],LISTADO_PRODUCTOS[#All],3)</f>
        <v>LIBRERÍA</v>
      </c>
      <c r="D315" s="6" t="str">
        <f>VLOOKUP(TABLA_STOCK[Codigo],LISTADO_PRODUCTOS[#All],4)</f>
        <v xml:space="preserve">Cuaderno LAPRIDA AB7 tradicional 21x27 100h Ray </v>
      </c>
      <c r="E315" s="6" t="str">
        <f>VLOOKUP(TABLA_STOCK[Codigo],LISTADO_PRODUCTOS[#All],5)</f>
        <v>N/A</v>
      </c>
      <c r="F315" s="4">
        <v>20</v>
      </c>
      <c r="G315" s="4">
        <v>52</v>
      </c>
    </row>
    <row r="316" spans="1:7" x14ac:dyDescent="0.3">
      <c r="A316" s="4">
        <v>1671</v>
      </c>
      <c r="B316" s="4">
        <f>VLOOKUP(TABLA_STOCK[Codigo],LISTADO_PRODUCTOS[#All],2)</f>
        <v>54487</v>
      </c>
      <c r="C316" s="6" t="str">
        <f>VLOOKUP(TABLA_STOCK[Codigo],LISTADO_PRODUCTOS[#All],3)</f>
        <v>LIBRERÍA</v>
      </c>
      <c r="D316" s="6" t="str">
        <f>VLOOKUP(TABLA_STOCK[Codigo],LISTADO_PRODUCTOS[#All],4)</f>
        <v>Block Muresco Kraft x 30h Muresco</v>
      </c>
      <c r="E316" s="6" t="str">
        <f>VLOOKUP(TABLA_STOCK[Codigo],LISTADO_PRODUCTOS[#All],5)</f>
        <v>N/A</v>
      </c>
      <c r="F316" s="4">
        <v>5</v>
      </c>
      <c r="G316" s="4">
        <v>32</v>
      </c>
    </row>
    <row r="317" spans="1:7" x14ac:dyDescent="0.3">
      <c r="A317" s="4">
        <v>1672</v>
      </c>
      <c r="B317" s="4">
        <f>VLOOKUP(TABLA_STOCK[Codigo],LISTADO_PRODUCTOS[#All],2)</f>
        <v>54488</v>
      </c>
      <c r="C317" s="6" t="str">
        <f>VLOOKUP(TABLA_STOCK[Codigo],LISTADO_PRODUCTOS[#All],3)</f>
        <v>LIBRERÍA</v>
      </c>
      <c r="D317" s="6" t="str">
        <f>VLOOKUP(TABLA_STOCK[Codigo],LISTADO_PRODUCTOS[#All],4)</f>
        <v>Marcadores Mooving Resaltador PWR Chic cuerpo triangular</v>
      </c>
      <c r="E317" s="6" t="str">
        <f>VLOOKUP(TABLA_STOCK[Codigo],LISTADO_PRODUCTOS[#All],5)</f>
        <v>N/A</v>
      </c>
      <c r="F317" s="4">
        <v>1</v>
      </c>
      <c r="G317" s="4">
        <v>56</v>
      </c>
    </row>
    <row r="318" spans="1:7" x14ac:dyDescent="0.3">
      <c r="A318" s="4">
        <v>1674</v>
      </c>
      <c r="B318" s="4">
        <f>VLOOKUP(TABLA_STOCK[Codigo],LISTADO_PRODUCTOS[#All],2)</f>
        <v>54489</v>
      </c>
      <c r="C318" s="6" t="str">
        <f>VLOOKUP(TABLA_STOCK[Codigo],LISTADO_PRODUCTOS[#All],3)</f>
        <v>LIBRERÍA</v>
      </c>
      <c r="D318" s="6" t="str">
        <f>VLOOKUP(TABLA_STOCK[Codigo],LISTADO_PRODUCTOS[#All],4)</f>
        <v>Microfibra Mooving punta metalica 0.4mm estuche x 10u</v>
      </c>
      <c r="E318" s="6" t="str">
        <f>VLOOKUP(TABLA_STOCK[Codigo],LISTADO_PRODUCTOS[#All],5)</f>
        <v>N/A</v>
      </c>
      <c r="F318" s="4">
        <v>5</v>
      </c>
      <c r="G318" s="4">
        <v>107</v>
      </c>
    </row>
    <row r="319" spans="1:7" x14ac:dyDescent="0.3">
      <c r="A319" s="4">
        <v>1675</v>
      </c>
      <c r="B319" s="4">
        <f>VLOOKUP(TABLA_STOCK[Codigo],LISTADO_PRODUCTOS[#All],2)</f>
        <v>54490</v>
      </c>
      <c r="C319" s="6" t="str">
        <f>VLOOKUP(TABLA_STOCK[Codigo],LISTADO_PRODUCTOS[#All],3)</f>
        <v>LIBRERÍA</v>
      </c>
      <c r="D319" s="6" t="str">
        <f>VLOOKUP(TABLA_STOCK[Codigo],LISTADO_PRODUCTOS[#All],4)</f>
        <v>Marcador Pizzini para vidrio x 9 colores</v>
      </c>
      <c r="E319" s="6" t="str">
        <f>VLOOKUP(TABLA_STOCK[Codigo],LISTADO_PRODUCTOS[#All],5)</f>
        <v>N/A</v>
      </c>
      <c r="F319" s="4">
        <v>2</v>
      </c>
      <c r="G319" s="4">
        <v>25</v>
      </c>
    </row>
    <row r="320" spans="1:7" x14ac:dyDescent="0.3">
      <c r="A320" s="4">
        <v>1676</v>
      </c>
      <c r="B320" s="4">
        <f>VLOOKUP(TABLA_STOCK[Codigo],LISTADO_PRODUCTOS[#All],2)</f>
        <v>54491</v>
      </c>
      <c r="C320" s="6" t="str">
        <f>VLOOKUP(TABLA_STOCK[Codigo],LISTADO_PRODUCTOS[#All],3)</f>
        <v>LIBRERÍA</v>
      </c>
      <c r="D320" s="6" t="str">
        <f>VLOOKUP(TABLA_STOCK[Codigo],LISTADO_PRODUCTOS[#All],4)</f>
        <v xml:space="preserve">Marcador Maped Window Color Peps para vidrio </v>
      </c>
      <c r="E320" s="6" t="str">
        <f>VLOOKUP(TABLA_STOCK[Codigo],LISTADO_PRODUCTOS[#All],5)</f>
        <v>N/A</v>
      </c>
      <c r="F320" s="4">
        <v>2</v>
      </c>
      <c r="G320" s="4">
        <v>32</v>
      </c>
    </row>
    <row r="321" spans="1:7" x14ac:dyDescent="0.3">
      <c r="A321" s="4">
        <v>1678</v>
      </c>
      <c r="B321" s="4">
        <f>VLOOKUP(TABLA_STOCK[Codigo],LISTADO_PRODUCTOS[#All],2)</f>
        <v>54492</v>
      </c>
      <c r="C321" s="6" t="str">
        <f>VLOOKUP(TABLA_STOCK[Codigo],LISTADO_PRODUCTOS[#All],3)</f>
        <v>LIBRERÍA</v>
      </c>
      <c r="D321" s="6" t="str">
        <f>VLOOKUP(TABLA_STOCK[Codigo],LISTADO_PRODUCTOS[#All],4)</f>
        <v>Goma de Borrar Dos Banderas 3036/ Minigoma Giotto Pastel</v>
      </c>
      <c r="E321" s="6" t="str">
        <f>VLOOKUP(TABLA_STOCK[Codigo],LISTADO_PRODUCTOS[#All],5)</f>
        <v>N/A</v>
      </c>
      <c r="F321" s="4">
        <v>10</v>
      </c>
      <c r="G321" s="4">
        <v>150</v>
      </c>
    </row>
    <row r="322" spans="1:7" x14ac:dyDescent="0.3">
      <c r="A322" s="4">
        <v>1681</v>
      </c>
      <c r="B322" s="4">
        <f>VLOOKUP(TABLA_STOCK[Codigo],LISTADO_PRODUCTOS[#All],2)</f>
        <v>54493</v>
      </c>
      <c r="C322" s="6" t="str">
        <f>VLOOKUP(TABLA_STOCK[Codigo],LISTADO_PRODUCTOS[#All],3)</f>
        <v>LIBRERÍA</v>
      </c>
      <c r="D322" s="6" t="str">
        <f>VLOOKUP(TABLA_STOCK[Codigo],LISTADO_PRODUCTOS[#All],4)</f>
        <v>Boligrafo Paper mate kilometrico economico</v>
      </c>
      <c r="E322" s="6" t="str">
        <f>VLOOKUP(TABLA_STOCK[Codigo],LISTADO_PRODUCTOS[#All],5)</f>
        <v>N/A</v>
      </c>
      <c r="F322" s="4">
        <v>20</v>
      </c>
      <c r="G322" s="4">
        <v>20</v>
      </c>
    </row>
    <row r="323" spans="1:7" x14ac:dyDescent="0.3">
      <c r="A323" s="4">
        <v>1684</v>
      </c>
      <c r="B323" s="4">
        <f>VLOOKUP(TABLA_STOCK[Codigo],LISTADO_PRODUCTOS[#All],2)</f>
        <v>54494</v>
      </c>
      <c r="C323" s="6" t="str">
        <f>VLOOKUP(TABLA_STOCK[Codigo],LISTADO_PRODUCTOS[#All],3)</f>
        <v>LIBRERÍA</v>
      </c>
      <c r="D323" s="6" t="str">
        <f>VLOOKUP(TABLA_STOCK[Codigo],LISTADO_PRODUCTOS[#All],4)</f>
        <v>Regla Flexible DELI 20cm</v>
      </c>
      <c r="E323" s="6" t="str">
        <f>VLOOKUP(TABLA_STOCK[Codigo],LISTADO_PRODUCTOS[#All],5)</f>
        <v>N/A</v>
      </c>
      <c r="F323" s="4">
        <v>5</v>
      </c>
      <c r="G323" s="4">
        <v>19</v>
      </c>
    </row>
    <row r="324" spans="1:7" x14ac:dyDescent="0.3">
      <c r="A324" s="4">
        <v>1685</v>
      </c>
      <c r="B324" s="4">
        <f>VLOOKUP(TABLA_STOCK[Codigo],LISTADO_PRODUCTOS[#All],2)</f>
        <v>54495</v>
      </c>
      <c r="C324" s="6" t="str">
        <f>VLOOKUP(TABLA_STOCK[Codigo],LISTADO_PRODUCTOS[#All],3)</f>
        <v>LIBRERÍA</v>
      </c>
      <c r="D324" s="6" t="str">
        <f>VLOOKUP(TABLA_STOCK[Codigo],LISTADO_PRODUCTOS[#All],4)</f>
        <v>Boligrafo Maped Visio Pen p/zurdos</v>
      </c>
      <c r="E324" s="6" t="str">
        <f>VLOOKUP(TABLA_STOCK[Codigo],LISTADO_PRODUCTOS[#All],5)</f>
        <v>N/A</v>
      </c>
      <c r="F324" s="4">
        <v>1</v>
      </c>
      <c r="G324" s="4">
        <v>6</v>
      </c>
    </row>
    <row r="325" spans="1:7" x14ac:dyDescent="0.3">
      <c r="A325" s="4">
        <v>1686</v>
      </c>
      <c r="B325" s="4">
        <f>VLOOKUP(TABLA_STOCK[Codigo],LISTADO_PRODUCTOS[#All],2)</f>
        <v>54496</v>
      </c>
      <c r="C325" s="6" t="str">
        <f>VLOOKUP(TABLA_STOCK[Codigo],LISTADO_PRODUCTOS[#All],3)</f>
        <v>LIBRERÍA</v>
      </c>
      <c r="D325" s="6" t="str">
        <f>VLOOKUP(TABLA_STOCK[Codigo],LISTADO_PRODUCTOS[#All],4)</f>
        <v>Lapices de colores Mooving Inseparables x 12 Doble punta (24 colore)</v>
      </c>
      <c r="E325" s="6" t="str">
        <f>VLOOKUP(TABLA_STOCK[Codigo],LISTADO_PRODUCTOS[#All],5)</f>
        <v>N/A</v>
      </c>
      <c r="F325" s="4">
        <v>5</v>
      </c>
      <c r="G325" s="4">
        <v>5</v>
      </c>
    </row>
    <row r="326" spans="1:7" x14ac:dyDescent="0.3">
      <c r="A326" s="4">
        <v>1687</v>
      </c>
      <c r="B326" s="4">
        <f>VLOOKUP(TABLA_STOCK[Codigo],LISTADO_PRODUCTOS[#All],2)</f>
        <v>54497</v>
      </c>
      <c r="C326" s="6" t="str">
        <f>VLOOKUP(TABLA_STOCK[Codigo],LISTADO_PRODUCTOS[#All],3)</f>
        <v>LIBRERÍA</v>
      </c>
      <c r="D326" s="6" t="str">
        <f>VLOOKUP(TABLA_STOCK[Codigo],LISTADO_PRODUCTOS[#All],4)</f>
        <v xml:space="preserve">Goma Maped Technic Duo  </v>
      </c>
      <c r="E326" s="6" t="str">
        <f>VLOOKUP(TABLA_STOCK[Codigo],LISTADO_PRODUCTOS[#All],5)</f>
        <v>N/A</v>
      </c>
      <c r="F326" s="4">
        <v>2</v>
      </c>
      <c r="G326" s="4">
        <v>52</v>
      </c>
    </row>
    <row r="327" spans="1:7" x14ac:dyDescent="0.3">
      <c r="A327" s="4">
        <v>1688</v>
      </c>
      <c r="B327" s="4">
        <f>VLOOKUP(TABLA_STOCK[Codigo],LISTADO_PRODUCTOS[#All],2)</f>
        <v>54498</v>
      </c>
      <c r="C327" s="6" t="str">
        <f>VLOOKUP(TABLA_STOCK[Codigo],LISTADO_PRODUCTOS[#All],3)</f>
        <v>LIBRERÍA</v>
      </c>
      <c r="D327" s="6" t="str">
        <f>VLOOKUP(TABLA_STOCK[Codigo],LISTADO_PRODUCTOS[#All],4)</f>
        <v>Cuaderno rivadavia  60h Tapa semi rigida metalizada ABC 21x27</v>
      </c>
      <c r="E327" s="6" t="str">
        <f>VLOOKUP(TABLA_STOCK[Codigo],LISTADO_PRODUCTOS[#All],5)</f>
        <v>N/A</v>
      </c>
      <c r="F327" s="4">
        <v>10</v>
      </c>
      <c r="G327" s="4">
        <v>32</v>
      </c>
    </row>
    <row r="328" spans="1:7" x14ac:dyDescent="0.3">
      <c r="A328" s="4">
        <v>1689</v>
      </c>
      <c r="B328" s="4">
        <f>VLOOKUP(TABLA_STOCK[Codigo],LISTADO_PRODUCTOS[#All],2)</f>
        <v>54499</v>
      </c>
      <c r="C328" s="6" t="str">
        <f>VLOOKUP(TABLA_STOCK[Codigo],LISTADO_PRODUCTOS[#All],3)</f>
        <v>LIBRERÍA</v>
      </c>
      <c r="D328" s="6" t="str">
        <f>VLOOKUP(TABLA_STOCK[Codigo],LISTADO_PRODUCTOS[#All],4)</f>
        <v>Set de Microfibras Maped Graph peps x 4u</v>
      </c>
      <c r="E328" s="6" t="str">
        <f>VLOOKUP(TABLA_STOCK[Codigo],LISTADO_PRODUCTOS[#All],5)</f>
        <v>N/A</v>
      </c>
      <c r="F328" s="4">
        <v>20</v>
      </c>
      <c r="G328" s="4">
        <v>56</v>
      </c>
    </row>
    <row r="329" spans="1:7" x14ac:dyDescent="0.3">
      <c r="A329" s="4">
        <v>1691</v>
      </c>
      <c r="B329" s="4">
        <f>VLOOKUP(TABLA_STOCK[Codigo],LISTADO_PRODUCTOS[#All],2)</f>
        <v>54500</v>
      </c>
      <c r="C329" s="6" t="str">
        <f>VLOOKUP(TABLA_STOCK[Codigo],LISTADO_PRODUCTOS[#All],3)</f>
        <v>LIBRERÍA</v>
      </c>
      <c r="D329" s="6" t="str">
        <f>VLOOKUP(TABLA_STOCK[Codigo],LISTADO_PRODUCTOS[#All],4)</f>
        <v>Boligrafo Paper Mate Kilometrico 100 3 x $300</v>
      </c>
      <c r="E329" s="6" t="str">
        <f>VLOOKUP(TABLA_STOCK[Codigo],LISTADO_PRODUCTOS[#All],5)</f>
        <v>N/A</v>
      </c>
      <c r="F329" s="4">
        <v>5</v>
      </c>
      <c r="G329" s="4">
        <v>107</v>
      </c>
    </row>
    <row r="330" spans="1:7" x14ac:dyDescent="0.3">
      <c r="A330" s="4">
        <v>1692</v>
      </c>
      <c r="B330" s="4">
        <f>VLOOKUP(TABLA_STOCK[Codigo],LISTADO_PRODUCTOS[#All],2)</f>
        <v>54501</v>
      </c>
      <c r="C330" s="6" t="str">
        <f>VLOOKUP(TABLA_STOCK[Codigo],LISTADO_PRODUCTOS[#All],3)</f>
        <v>LIBRERÍA</v>
      </c>
      <c r="D330" s="6" t="str">
        <f>VLOOKUP(TABLA_STOCK[Codigo],LISTADO_PRODUCTOS[#All],4)</f>
        <v>Microfibra Maped Graph Peps fine 0.4</v>
      </c>
      <c r="E330" s="6" t="str">
        <f>VLOOKUP(TABLA_STOCK[Codigo],LISTADO_PRODUCTOS[#All],5)</f>
        <v>N/A</v>
      </c>
      <c r="F330" s="4">
        <v>1</v>
      </c>
      <c r="G330" s="4">
        <v>25</v>
      </c>
    </row>
    <row r="331" spans="1:7" x14ac:dyDescent="0.3">
      <c r="A331" s="4">
        <v>1693</v>
      </c>
      <c r="B331" s="4">
        <f>VLOOKUP(TABLA_STOCK[Codigo],LISTADO_PRODUCTOS[#All],2)</f>
        <v>54502</v>
      </c>
      <c r="C331" s="6" t="str">
        <f>VLOOKUP(TABLA_STOCK[Codigo],LISTADO_PRODUCTOS[#All],3)</f>
        <v>LIBRERÍA</v>
      </c>
      <c r="D331" s="6" t="str">
        <f>VLOOKUP(TABLA_STOCK[Codigo],LISTADO_PRODUCTOS[#All],4)</f>
        <v>Block N°6 Luma Blanco</v>
      </c>
      <c r="E331" s="6" t="str">
        <f>VLOOKUP(TABLA_STOCK[Codigo],LISTADO_PRODUCTOS[#All],5)</f>
        <v>N/A</v>
      </c>
      <c r="F331" s="4">
        <v>5</v>
      </c>
      <c r="G331" s="4">
        <v>32</v>
      </c>
    </row>
    <row r="332" spans="1:7" x14ac:dyDescent="0.3">
      <c r="A332" s="4">
        <v>1694</v>
      </c>
      <c r="B332" s="4">
        <f>VLOOKUP(TABLA_STOCK[Codigo],LISTADO_PRODUCTOS[#All],2)</f>
        <v>54503</v>
      </c>
      <c r="C332" s="6" t="str">
        <f>VLOOKUP(TABLA_STOCK[Codigo],LISTADO_PRODUCTOS[#All],3)</f>
        <v>LIBRERÍA</v>
      </c>
      <c r="D332" s="6" t="str">
        <f>VLOOKUP(TABLA_STOCK[Codigo],LISTADO_PRODUCTOS[#All],4)</f>
        <v>Microfibra Maped Graph Peps Colores vivos x 4</v>
      </c>
      <c r="E332" s="6" t="str">
        <f>VLOOKUP(TABLA_STOCK[Codigo],LISTADO_PRODUCTOS[#All],5)</f>
        <v>N/A</v>
      </c>
      <c r="F332" s="4">
        <v>2</v>
      </c>
      <c r="G332" s="4">
        <v>150</v>
      </c>
    </row>
    <row r="333" spans="1:7" x14ac:dyDescent="0.3">
      <c r="A333" s="4">
        <v>1698</v>
      </c>
      <c r="B333" s="4">
        <f>VLOOKUP(TABLA_STOCK[Codigo],LISTADO_PRODUCTOS[#All],2)</f>
        <v>54504</v>
      </c>
      <c r="C333" s="6" t="str">
        <f>VLOOKUP(TABLA_STOCK[Codigo],LISTADO_PRODUCTOS[#All],3)</f>
        <v>LIBRERÍA</v>
      </c>
      <c r="D333" s="6" t="str">
        <f>VLOOKUP(TABLA_STOCK[Codigo],LISTADO_PRODUCTOS[#All],4)</f>
        <v>Lupa Maped ergo logic 75mm</v>
      </c>
      <c r="E333" s="6" t="str">
        <f>VLOOKUP(TABLA_STOCK[Codigo],LISTADO_PRODUCTOS[#All],5)</f>
        <v>N/A</v>
      </c>
      <c r="F333" s="4">
        <v>2</v>
      </c>
      <c r="G333" s="4">
        <v>20</v>
      </c>
    </row>
    <row r="334" spans="1:7" x14ac:dyDescent="0.3">
      <c r="A334" s="4">
        <v>1701</v>
      </c>
      <c r="B334" s="4">
        <f>VLOOKUP(TABLA_STOCK[Codigo],LISTADO_PRODUCTOS[#All],2)</f>
        <v>54505</v>
      </c>
      <c r="C334" s="6" t="str">
        <f>VLOOKUP(TABLA_STOCK[Codigo],LISTADO_PRODUCTOS[#All],3)</f>
        <v>LIBRERÍA</v>
      </c>
      <c r="D334" s="6" t="str">
        <f>VLOOKUP(TABLA_STOCK[Codigo],LISTADO_PRODUCTOS[#All],4)</f>
        <v>Canopla Mooving estilo Trend Pastel 1522210</v>
      </c>
      <c r="E334" s="6" t="str">
        <f>VLOOKUP(TABLA_STOCK[Codigo],LISTADO_PRODUCTOS[#All],5)</f>
        <v>N/A</v>
      </c>
      <c r="F334" s="4">
        <v>10</v>
      </c>
      <c r="G334" s="4">
        <v>19</v>
      </c>
    </row>
    <row r="335" spans="1:7" x14ac:dyDescent="0.3">
      <c r="A335" s="4">
        <v>1709</v>
      </c>
      <c r="B335" s="4">
        <f>VLOOKUP(TABLA_STOCK[Codigo],LISTADO_PRODUCTOS[#All],2)</f>
        <v>54506</v>
      </c>
      <c r="C335" s="6" t="str">
        <f>VLOOKUP(TABLA_STOCK[Codigo],LISTADO_PRODUCTOS[#All],3)</f>
        <v>LIBRERÍA</v>
      </c>
      <c r="D335" s="6" t="str">
        <f>VLOOKUP(TABLA_STOCK[Codigo],LISTADO_PRODUCTOS[#All],4)</f>
        <v>Folio Reforzado Borde color Luma N°3</v>
      </c>
      <c r="E335" s="6" t="str">
        <f>VLOOKUP(TABLA_STOCK[Codigo],LISTADO_PRODUCTOS[#All],5)</f>
        <v>N/A</v>
      </c>
      <c r="F335" s="4">
        <v>20</v>
      </c>
      <c r="G335" s="4">
        <v>6</v>
      </c>
    </row>
    <row r="336" spans="1:7" x14ac:dyDescent="0.3">
      <c r="A336" s="4">
        <v>1713</v>
      </c>
      <c r="B336" s="4">
        <f>VLOOKUP(TABLA_STOCK[Codigo],LISTADO_PRODUCTOS[#All],2)</f>
        <v>54507</v>
      </c>
      <c r="C336" s="6" t="str">
        <f>VLOOKUP(TABLA_STOCK[Codigo],LISTADO_PRODUCTOS[#All],3)</f>
        <v>LIBRERÍA</v>
      </c>
      <c r="D336" s="6" t="str">
        <f>VLOOKUP(TABLA_STOCK[Codigo],LISTADO_PRODUCTOS[#All],4)</f>
        <v>Carpeta para aros Ota Lama A4 Carpeta N°4</v>
      </c>
      <c r="E336" s="6" t="str">
        <f>VLOOKUP(TABLA_STOCK[Codigo],LISTADO_PRODUCTOS[#All],5)</f>
        <v>N/A</v>
      </c>
      <c r="F336" s="4">
        <v>5</v>
      </c>
      <c r="G336" s="4">
        <v>5</v>
      </c>
    </row>
    <row r="337" spans="1:7" x14ac:dyDescent="0.3">
      <c r="A337" s="4">
        <v>1717</v>
      </c>
      <c r="B337" s="4">
        <f>VLOOKUP(TABLA_STOCK[Codigo],LISTADO_PRODUCTOS[#All],2)</f>
        <v>54508</v>
      </c>
      <c r="C337" s="6" t="str">
        <f>VLOOKUP(TABLA_STOCK[Codigo],LISTADO_PRODUCTOS[#All],3)</f>
        <v>LIBRERÍA</v>
      </c>
      <c r="D337" s="6" t="str">
        <f>VLOOKUP(TABLA_STOCK[Codigo],LISTADO_PRODUCTOS[#All],4)</f>
        <v>Marcador doble punta Filgo Permanente 042</v>
      </c>
      <c r="E337" s="6" t="str">
        <f>VLOOKUP(TABLA_STOCK[Codigo],LISTADO_PRODUCTOS[#All],5)</f>
        <v>N/A</v>
      </c>
      <c r="F337" s="4">
        <v>1</v>
      </c>
      <c r="G337" s="4">
        <v>52</v>
      </c>
    </row>
    <row r="338" spans="1:7" x14ac:dyDescent="0.3">
      <c r="A338" s="4">
        <v>1718</v>
      </c>
      <c r="B338" s="4">
        <f>VLOOKUP(TABLA_STOCK[Codigo],LISTADO_PRODUCTOS[#All],2)</f>
        <v>54509</v>
      </c>
      <c r="C338" s="6" t="str">
        <f>VLOOKUP(TABLA_STOCK[Codigo],LISTADO_PRODUCTOS[#All],3)</f>
        <v>LIBRERÍA</v>
      </c>
      <c r="D338" s="6" t="str">
        <f>VLOOKUP(TABLA_STOCK[Codigo],LISTADO_PRODUCTOS[#All],4)</f>
        <v>Cuaderno Tapa dura A4 AB7 Laprida 21x27 60h</v>
      </c>
      <c r="E338" s="6" t="str">
        <f>VLOOKUP(TABLA_STOCK[Codigo],LISTADO_PRODUCTOS[#All],5)</f>
        <v>N/A</v>
      </c>
      <c r="F338" s="4">
        <v>5</v>
      </c>
      <c r="G338" s="4">
        <v>32</v>
      </c>
    </row>
    <row r="339" spans="1:7" x14ac:dyDescent="0.3">
      <c r="A339" s="4">
        <v>1719</v>
      </c>
      <c r="B339" s="4">
        <f>VLOOKUP(TABLA_STOCK[Codigo],LISTADO_PRODUCTOS[#All],2)</f>
        <v>54510</v>
      </c>
      <c r="C339" s="6" t="str">
        <f>VLOOKUP(TABLA_STOCK[Codigo],LISTADO_PRODUCTOS[#All],3)</f>
        <v>LIBRERÍA</v>
      </c>
      <c r="D339" s="6" t="str">
        <f>VLOOKUP(TABLA_STOCK[Codigo],LISTADO_PRODUCTOS[#All],4)</f>
        <v>Roller Mooving tinta Gel Silky Glitter x5</v>
      </c>
      <c r="E339" s="6" t="str">
        <f>VLOOKUP(TABLA_STOCK[Codigo],LISTADO_PRODUCTOS[#All],5)</f>
        <v>N/A</v>
      </c>
      <c r="F339" s="4">
        <v>2</v>
      </c>
      <c r="G339" s="4">
        <v>56</v>
      </c>
    </row>
    <row r="340" spans="1:7" x14ac:dyDescent="0.3">
      <c r="A340" s="4">
        <v>1720</v>
      </c>
      <c r="B340" s="4">
        <f>VLOOKUP(TABLA_STOCK[Codigo],LISTADO_PRODUCTOS[#All],2)</f>
        <v>54511</v>
      </c>
      <c r="C340" s="6" t="str">
        <f>VLOOKUP(TABLA_STOCK[Codigo],LISTADO_PRODUCTOS[#All],3)</f>
        <v>LIBRERÍA</v>
      </c>
      <c r="D340" s="6" t="str">
        <f>VLOOKUP(TABLA_STOCK[Codigo],LISTADO_PRODUCTOS[#All],4)</f>
        <v>Boligrafo Gel Glitter Simball x 5u</v>
      </c>
      <c r="E340" s="6" t="str">
        <f>VLOOKUP(TABLA_STOCK[Codigo],LISTADO_PRODUCTOS[#All],5)</f>
        <v>N/A</v>
      </c>
      <c r="F340" s="4">
        <v>2</v>
      </c>
      <c r="G340" s="4">
        <v>107</v>
      </c>
    </row>
    <row r="341" spans="1:7" x14ac:dyDescent="0.3">
      <c r="A341" s="4">
        <v>1721</v>
      </c>
      <c r="B341" s="4">
        <f>VLOOKUP(TABLA_STOCK[Codigo],LISTADO_PRODUCTOS[#All],2)</f>
        <v>54512</v>
      </c>
      <c r="C341" s="6" t="str">
        <f>VLOOKUP(TABLA_STOCK[Codigo],LISTADO_PRODUCTOS[#All],3)</f>
        <v>LIBRERÍA</v>
      </c>
      <c r="D341" s="6" t="str">
        <f>VLOOKUP(TABLA_STOCK[Codigo],LISTADO_PRODUCTOS[#All],4)</f>
        <v>Señaladore Deli Index Tab 100x4</v>
      </c>
      <c r="E341" s="6" t="str">
        <f>VLOOKUP(TABLA_STOCK[Codigo],LISTADO_PRODUCTOS[#All],5)</f>
        <v>N/A</v>
      </c>
      <c r="F341" s="4">
        <v>10</v>
      </c>
      <c r="G341" s="4">
        <v>25</v>
      </c>
    </row>
    <row r="342" spans="1:7" x14ac:dyDescent="0.3">
      <c r="A342" s="4">
        <v>1722</v>
      </c>
      <c r="B342" s="4">
        <f>VLOOKUP(TABLA_STOCK[Codigo],LISTADO_PRODUCTOS[#All],2)</f>
        <v>54513</v>
      </c>
      <c r="C342" s="6" t="str">
        <f>VLOOKUP(TABLA_STOCK[Codigo],LISTADO_PRODUCTOS[#All],3)</f>
        <v>LIBRERÍA</v>
      </c>
      <c r="D342" s="6" t="str">
        <f>VLOOKUP(TABLA_STOCK[Codigo],LISTADO_PRODUCTOS[#All],4)</f>
        <v>Blister boligrafo Paper mate Ink Joy x8u</v>
      </c>
      <c r="E342" s="6" t="str">
        <f>VLOOKUP(TABLA_STOCK[Codigo],LISTADO_PRODUCTOS[#All],5)</f>
        <v>N/A</v>
      </c>
      <c r="F342" s="4">
        <v>20</v>
      </c>
      <c r="G342" s="4">
        <v>32</v>
      </c>
    </row>
    <row r="343" spans="1:7" x14ac:dyDescent="0.3">
      <c r="A343" s="4">
        <v>1723</v>
      </c>
      <c r="B343" s="4">
        <f>VLOOKUP(TABLA_STOCK[Codigo],LISTADO_PRODUCTOS[#All],2)</f>
        <v>54514</v>
      </c>
      <c r="C343" s="6" t="str">
        <f>VLOOKUP(TABLA_STOCK[Codigo],LISTADO_PRODUCTOS[#All],3)</f>
        <v>LIBRERÍA</v>
      </c>
      <c r="D343" s="6" t="str">
        <f>VLOOKUP(TABLA_STOCK[Codigo],LISTADO_PRODUCTOS[#All],4)</f>
        <v>Pizarra blanca 30x40 Marco metal</v>
      </c>
      <c r="E343" s="6" t="str">
        <f>VLOOKUP(TABLA_STOCK[Codigo],LISTADO_PRODUCTOS[#All],5)</f>
        <v>N/A</v>
      </c>
      <c r="F343" s="4">
        <v>5</v>
      </c>
      <c r="G343" s="4">
        <v>150</v>
      </c>
    </row>
    <row r="344" spans="1:7" x14ac:dyDescent="0.3">
      <c r="A344" s="4">
        <v>2000</v>
      </c>
      <c r="B344" s="4">
        <f>VLOOKUP(TABLA_STOCK[Codigo],LISTADO_PRODUCTOS[#All],2)</f>
        <v>54515</v>
      </c>
      <c r="C344" s="6" t="str">
        <f>VLOOKUP(TABLA_STOCK[Codigo],LISTADO_PRODUCTOS[#All],3)</f>
        <v>PAPELERIA Y ARTISTICA</v>
      </c>
      <c r="D344" s="6" t="str">
        <f>VLOOKUP(TABLA_STOCK[Codigo],LISTADO_PRODUCTOS[#All],4)</f>
        <v xml:space="preserve">Resma A4 Autor 75g </v>
      </c>
      <c r="E344" s="6" t="str">
        <f>VLOOKUP(TABLA_STOCK[Codigo],LISTADO_PRODUCTOS[#All],5)</f>
        <v>N/A</v>
      </c>
      <c r="F344" s="4">
        <v>1</v>
      </c>
      <c r="G344" s="4">
        <v>20</v>
      </c>
    </row>
    <row r="345" spans="1:7" x14ac:dyDescent="0.3">
      <c r="A345" s="4">
        <v>2001</v>
      </c>
      <c r="B345" s="4">
        <f>VLOOKUP(TABLA_STOCK[Codigo],LISTADO_PRODUCTOS[#All],2)</f>
        <v>54516</v>
      </c>
      <c r="C345" s="6" t="str">
        <f>VLOOKUP(TABLA_STOCK[Codigo],LISTADO_PRODUCTOS[#All],3)</f>
        <v>PAPELERIA Y ARTISTICA</v>
      </c>
      <c r="D345" s="6" t="str">
        <f>VLOOKUP(TABLA_STOCK[Codigo],LISTADO_PRODUCTOS[#All],4)</f>
        <v>Resma A4 Autor 80g</v>
      </c>
      <c r="E345" s="6" t="str">
        <f>VLOOKUP(TABLA_STOCK[Codigo],LISTADO_PRODUCTOS[#All],5)</f>
        <v>N/A</v>
      </c>
      <c r="F345" s="4">
        <v>5</v>
      </c>
      <c r="G345" s="4">
        <v>19</v>
      </c>
    </row>
    <row r="346" spans="1:7" x14ac:dyDescent="0.3">
      <c r="A346" s="4">
        <v>2002</v>
      </c>
      <c r="B346" s="4">
        <f>VLOOKUP(TABLA_STOCK[Codigo],LISTADO_PRODUCTOS[#All],2)</f>
        <v>54517</v>
      </c>
      <c r="C346" s="6" t="str">
        <f>VLOOKUP(TABLA_STOCK[Codigo],LISTADO_PRODUCTOS[#All],3)</f>
        <v>PAPELERIA Y ARTISTICA</v>
      </c>
      <c r="D346" s="6" t="str">
        <f>VLOOKUP(TABLA_STOCK[Codigo],LISTADO_PRODUCTOS[#All],4)</f>
        <v>Resma A4 Autor 90g</v>
      </c>
      <c r="E346" s="6" t="str">
        <f>VLOOKUP(TABLA_STOCK[Codigo],LISTADO_PRODUCTOS[#All],5)</f>
        <v>N/A</v>
      </c>
      <c r="F346" s="4">
        <v>2</v>
      </c>
      <c r="G346" s="4">
        <v>6</v>
      </c>
    </row>
    <row r="347" spans="1:7" x14ac:dyDescent="0.3">
      <c r="A347" s="4">
        <v>2003</v>
      </c>
      <c r="B347" s="4">
        <f>VLOOKUP(TABLA_STOCK[Codigo],LISTADO_PRODUCTOS[#All],2)</f>
        <v>54518</v>
      </c>
      <c r="C347" s="6" t="str">
        <f>VLOOKUP(TABLA_STOCK[Codigo],LISTADO_PRODUCTOS[#All],3)</f>
        <v>PAPELERIA Y ARTISTICA</v>
      </c>
      <c r="D347" s="6" t="str">
        <f>VLOOKUP(TABLA_STOCK[Codigo],LISTADO_PRODUCTOS[#All],4)</f>
        <v>Resma Oficio Autor 75g</v>
      </c>
      <c r="E347" s="6" t="str">
        <f>VLOOKUP(TABLA_STOCK[Codigo],LISTADO_PRODUCTOS[#All],5)</f>
        <v>N/A</v>
      </c>
      <c r="F347" s="4">
        <v>2</v>
      </c>
      <c r="G347" s="4">
        <v>5</v>
      </c>
    </row>
    <row r="348" spans="1:7" x14ac:dyDescent="0.3">
      <c r="A348" s="4">
        <v>2004</v>
      </c>
      <c r="B348" s="4">
        <f>VLOOKUP(TABLA_STOCK[Codigo],LISTADO_PRODUCTOS[#All],2)</f>
        <v>54519</v>
      </c>
      <c r="C348" s="6" t="str">
        <f>VLOOKUP(TABLA_STOCK[Codigo],LISTADO_PRODUCTOS[#All],3)</f>
        <v>PAPELERIA Y ARTISTICA</v>
      </c>
      <c r="D348" s="6" t="str">
        <f>VLOOKUP(TABLA_STOCK[Codigo],LISTADO_PRODUCTOS[#All],4)</f>
        <v>Resma Oficio Autor 80g</v>
      </c>
      <c r="E348" s="6" t="str">
        <f>VLOOKUP(TABLA_STOCK[Codigo],LISTADO_PRODUCTOS[#All],5)</f>
        <v>N/A</v>
      </c>
      <c r="F348" s="4">
        <v>10</v>
      </c>
      <c r="G348" s="4">
        <v>52</v>
      </c>
    </row>
    <row r="349" spans="1:7" x14ac:dyDescent="0.3">
      <c r="A349" s="4">
        <v>2005</v>
      </c>
      <c r="B349" s="4">
        <f>VLOOKUP(TABLA_STOCK[Codigo],LISTADO_PRODUCTOS[#All],2)</f>
        <v>54520</v>
      </c>
      <c r="C349" s="6" t="str">
        <f>VLOOKUP(TABLA_STOCK[Codigo],LISTADO_PRODUCTOS[#All],3)</f>
        <v>PAPELERIA Y ARTISTICA</v>
      </c>
      <c r="D349" s="6" t="str">
        <f>VLOOKUP(TABLA_STOCK[Codigo],LISTADO_PRODUCTOS[#All],4)</f>
        <v>Resma A4 Chamex 75gr</v>
      </c>
      <c r="E349" s="6" t="str">
        <f>VLOOKUP(TABLA_STOCK[Codigo],LISTADO_PRODUCTOS[#All],5)</f>
        <v>N/A</v>
      </c>
      <c r="F349" s="4">
        <v>20</v>
      </c>
      <c r="G349" s="4">
        <v>32</v>
      </c>
    </row>
    <row r="350" spans="1:7" x14ac:dyDescent="0.3">
      <c r="A350" s="4">
        <v>2006</v>
      </c>
      <c r="B350" s="4">
        <f>VLOOKUP(TABLA_STOCK[Codigo],LISTADO_PRODUCTOS[#All],2)</f>
        <v>54521</v>
      </c>
      <c r="C350" s="6" t="str">
        <f>VLOOKUP(TABLA_STOCK[Codigo],LISTADO_PRODUCTOS[#All],3)</f>
        <v>PAPELERIA Y ARTISTICA</v>
      </c>
      <c r="D350" s="6" t="str">
        <f>VLOOKUP(TABLA_STOCK[Codigo],LISTADO_PRODUCTOS[#All],4)</f>
        <v>Resma Ledesma NAT A4</v>
      </c>
      <c r="E350" s="6" t="str">
        <f>VLOOKUP(TABLA_STOCK[Codigo],LISTADO_PRODUCTOS[#All],5)</f>
        <v>N/A</v>
      </c>
      <c r="F350" s="4">
        <v>5</v>
      </c>
      <c r="G350" s="4">
        <v>56</v>
      </c>
    </row>
    <row r="351" spans="1:7" x14ac:dyDescent="0.3">
      <c r="A351" s="4">
        <v>2007</v>
      </c>
      <c r="B351" s="4">
        <f>VLOOKUP(TABLA_STOCK[Codigo],LISTADO_PRODUCTOS[#All],2)</f>
        <v>54522</v>
      </c>
      <c r="C351" s="6" t="str">
        <f>VLOOKUP(TABLA_STOCK[Codigo],LISTADO_PRODUCTOS[#All],3)</f>
        <v>PAPELERIA Y ARTISTICA</v>
      </c>
      <c r="D351" s="6" t="str">
        <f>VLOOKUP(TABLA_STOCK[Codigo],LISTADO_PRODUCTOS[#All],4)</f>
        <v>Resma A4 color autor  x 250h</v>
      </c>
      <c r="E351" s="6" t="str">
        <f>VLOOKUP(TABLA_STOCK[Codigo],LISTADO_PRODUCTOS[#All],5)</f>
        <v>N/A</v>
      </c>
      <c r="F351" s="4">
        <v>1</v>
      </c>
      <c r="G351" s="4">
        <v>107</v>
      </c>
    </row>
    <row r="352" spans="1:7" x14ac:dyDescent="0.3">
      <c r="A352" s="4">
        <v>2008</v>
      </c>
      <c r="B352" s="4">
        <f>VLOOKUP(TABLA_STOCK[Codigo],LISTADO_PRODUCTOS[#All],2)</f>
        <v>54523</v>
      </c>
      <c r="C352" s="6" t="str">
        <f>VLOOKUP(TABLA_STOCK[Codigo],LISTADO_PRODUCTOS[#All],3)</f>
        <v>PAPELERIA Y ARTISTICA</v>
      </c>
      <c r="D352" s="6" t="str">
        <f>VLOOKUP(TABLA_STOCK[Codigo],LISTADO_PRODUCTOS[#All],4)</f>
        <v>Resma Oficio Autor Color</v>
      </c>
      <c r="E352" s="6" t="str">
        <f>VLOOKUP(TABLA_STOCK[Codigo],LISTADO_PRODUCTOS[#All],5)</f>
        <v>N/A</v>
      </c>
      <c r="F352" s="4">
        <v>5</v>
      </c>
      <c r="G352" s="4">
        <v>25</v>
      </c>
    </row>
    <row r="353" spans="1:7" x14ac:dyDescent="0.3">
      <c r="A353" s="4">
        <v>2010</v>
      </c>
      <c r="B353" s="4">
        <f>VLOOKUP(TABLA_STOCK[Codigo],LISTADO_PRODUCTOS[#All],2)</f>
        <v>54524</v>
      </c>
      <c r="C353" s="6" t="str">
        <f>VLOOKUP(TABLA_STOCK[Codigo],LISTADO_PRODUCTOS[#All],3)</f>
        <v>PAPELERIA Y ARTISTICA</v>
      </c>
      <c r="D353" s="6" t="str">
        <f>VLOOKUP(TABLA_STOCK[Codigo],LISTADO_PRODUCTOS[#All],4)</f>
        <v>Resma A4 Husares Fluo colores surtido x 20h</v>
      </c>
      <c r="E353" s="6" t="str">
        <f>VLOOKUP(TABLA_STOCK[Codigo],LISTADO_PRODUCTOS[#All],5)</f>
        <v>N/A</v>
      </c>
      <c r="F353" s="4">
        <v>2</v>
      </c>
      <c r="G353" s="4">
        <v>32</v>
      </c>
    </row>
    <row r="354" spans="1:7" x14ac:dyDescent="0.3">
      <c r="A354" s="4">
        <v>2011</v>
      </c>
      <c r="B354" s="4">
        <f>VLOOKUP(TABLA_STOCK[Codigo],LISTADO_PRODUCTOS[#All],2)</f>
        <v>54525</v>
      </c>
      <c r="C354" s="6" t="str">
        <f>VLOOKUP(TABLA_STOCK[Codigo],LISTADO_PRODUCTOS[#All],3)</f>
        <v>PAPELERIA Y ARTISTICA</v>
      </c>
      <c r="D354" s="6" t="str">
        <f>VLOOKUP(TABLA_STOCK[Codigo],LISTADO_PRODUCTOS[#All],4)</f>
        <v>Palitos Brochet cortos 15cm</v>
      </c>
      <c r="E354" s="6" t="str">
        <f>VLOOKUP(TABLA_STOCK[Codigo],LISTADO_PRODUCTOS[#All],5)</f>
        <v>N/A</v>
      </c>
      <c r="F354" s="4">
        <v>10</v>
      </c>
      <c r="G354" s="4">
        <v>150</v>
      </c>
    </row>
    <row r="355" spans="1:7" x14ac:dyDescent="0.3">
      <c r="A355" s="4">
        <v>2012</v>
      </c>
      <c r="B355" s="4">
        <f>VLOOKUP(TABLA_STOCK[Codigo],LISTADO_PRODUCTOS[#All],2)</f>
        <v>54526</v>
      </c>
      <c r="C355" s="6" t="str">
        <f>VLOOKUP(TABLA_STOCK[Codigo],LISTADO_PRODUCTOS[#All],3)</f>
        <v>PAPELERIA Y ARTISTICA</v>
      </c>
      <c r="D355" s="6" t="str">
        <f>VLOOKUP(TABLA_STOCK[Codigo],LISTADO_PRODUCTOS[#All],4)</f>
        <v>Palito de brochet largo 25cm</v>
      </c>
      <c r="E355" s="6" t="str">
        <f>VLOOKUP(TABLA_STOCK[Codigo],LISTADO_PRODUCTOS[#All],5)</f>
        <v>N/A</v>
      </c>
      <c r="F355" s="4">
        <v>20</v>
      </c>
      <c r="G355" s="4">
        <v>20</v>
      </c>
    </row>
    <row r="356" spans="1:7" x14ac:dyDescent="0.3">
      <c r="A356" s="4">
        <v>2013</v>
      </c>
      <c r="B356" s="4">
        <f>VLOOKUP(TABLA_STOCK[Codigo],LISTADO_PRODUCTOS[#All],2)</f>
        <v>54527</v>
      </c>
      <c r="C356" s="6" t="str">
        <f>VLOOKUP(TABLA_STOCK[Codigo],LISTADO_PRODUCTOS[#All],3)</f>
        <v>PAPELERIA Y ARTISTICA</v>
      </c>
      <c r="D356" s="6" t="str">
        <f>VLOOKUP(TABLA_STOCK[Codigo],LISTADO_PRODUCTOS[#All],4)</f>
        <v>Plastificado en Frio BinderPlus 200gr</v>
      </c>
      <c r="E356" s="6" t="str">
        <f>VLOOKUP(TABLA_STOCK[Codigo],LISTADO_PRODUCTOS[#All],5)</f>
        <v>N/A</v>
      </c>
      <c r="F356" s="4">
        <v>5</v>
      </c>
      <c r="G356" s="4">
        <v>19</v>
      </c>
    </row>
    <row r="357" spans="1:7" x14ac:dyDescent="0.3">
      <c r="A357" s="4">
        <v>2014</v>
      </c>
      <c r="B357" s="4">
        <f>VLOOKUP(TABLA_STOCK[Codigo],LISTADO_PRODUCTOS[#All],2)</f>
        <v>54528</v>
      </c>
      <c r="C357" s="6" t="str">
        <f>VLOOKUP(TABLA_STOCK[Codigo],LISTADO_PRODUCTOS[#All],3)</f>
        <v>PAPELERIA Y ARTISTICA</v>
      </c>
      <c r="D357" s="6" t="str">
        <f>VLOOKUP(TABLA_STOCK[Codigo],LISTADO_PRODUCTOS[#All],4)</f>
        <v xml:space="preserve">Plastificado en Frio LAMA </v>
      </c>
      <c r="E357" s="6" t="str">
        <f>VLOOKUP(TABLA_STOCK[Codigo],LISTADO_PRODUCTOS[#All],5)</f>
        <v>N/A</v>
      </c>
      <c r="F357" s="4">
        <v>1</v>
      </c>
      <c r="G357" s="4">
        <v>6</v>
      </c>
    </row>
    <row r="358" spans="1:7" x14ac:dyDescent="0.3">
      <c r="A358" s="4">
        <v>2018</v>
      </c>
      <c r="B358" s="4">
        <f>VLOOKUP(TABLA_STOCK[Codigo],LISTADO_PRODUCTOS[#All],2)</f>
        <v>54529</v>
      </c>
      <c r="C358" s="6" t="str">
        <f>VLOOKUP(TABLA_STOCK[Codigo],LISTADO_PRODUCTOS[#All],3)</f>
        <v>PAPELERIA Y ARTISTICA</v>
      </c>
      <c r="D358" s="6" t="str">
        <f>VLOOKUP(TABLA_STOCK[Codigo],LISTADO_PRODUCTOS[#All],4)</f>
        <v>Resma Chamex A4 x 500h color</v>
      </c>
      <c r="E358" s="6" t="str">
        <f>VLOOKUP(TABLA_STOCK[Codigo],LISTADO_PRODUCTOS[#All],5)</f>
        <v>N/A</v>
      </c>
      <c r="F358" s="4">
        <v>5</v>
      </c>
      <c r="G358" s="4">
        <v>5</v>
      </c>
    </row>
    <row r="359" spans="1:7" x14ac:dyDescent="0.3">
      <c r="A359" s="4">
        <v>2019</v>
      </c>
      <c r="B359" s="4">
        <f>VLOOKUP(TABLA_STOCK[Codigo],LISTADO_PRODUCTOS[#All],2)</f>
        <v>54530</v>
      </c>
      <c r="C359" s="6" t="str">
        <f>VLOOKUP(TABLA_STOCK[Codigo],LISTADO_PRODUCTOS[#All],3)</f>
        <v>PAPELERIA Y ARTISTICA</v>
      </c>
      <c r="D359" s="6" t="str">
        <f>VLOOKUP(TABLA_STOCK[Codigo],LISTADO_PRODUCTOS[#All],4)</f>
        <v>Papel celofan</v>
      </c>
      <c r="E359" s="6" t="str">
        <f>VLOOKUP(TABLA_STOCK[Codigo],LISTADO_PRODUCTOS[#All],5)</f>
        <v>N/A</v>
      </c>
      <c r="F359" s="4">
        <v>2</v>
      </c>
      <c r="G359" s="4">
        <v>52</v>
      </c>
    </row>
    <row r="360" spans="1:7" x14ac:dyDescent="0.3">
      <c r="A360" s="4">
        <v>2020</v>
      </c>
      <c r="B360" s="4">
        <f>VLOOKUP(TABLA_STOCK[Codigo],LISTADO_PRODUCTOS[#All],2)</f>
        <v>54531</v>
      </c>
      <c r="C360" s="6" t="str">
        <f>VLOOKUP(TABLA_STOCK[Codigo],LISTADO_PRODUCTOS[#All],3)</f>
        <v>PAPELERIA Y ARTISTICA</v>
      </c>
      <c r="D360" s="6" t="str">
        <f>VLOOKUP(TABLA_STOCK[Codigo],LISTADO_PRODUCTOS[#All],4)</f>
        <v>Resma A3 150gr x240h Husares $60 c/u o 4 x $200</v>
      </c>
      <c r="E360" s="6" t="str">
        <f>VLOOKUP(TABLA_STOCK[Codigo],LISTADO_PRODUCTOS[#All],5)</f>
        <v>N/A</v>
      </c>
      <c r="F360" s="4">
        <v>2</v>
      </c>
      <c r="G360" s="4">
        <v>32</v>
      </c>
    </row>
    <row r="361" spans="1:7" x14ac:dyDescent="0.3">
      <c r="A361" s="4">
        <v>2024</v>
      </c>
      <c r="B361" s="4">
        <f>VLOOKUP(TABLA_STOCK[Codigo],LISTADO_PRODUCTOS[#All],2)</f>
        <v>54532</v>
      </c>
      <c r="C361" s="6" t="str">
        <f>VLOOKUP(TABLA_STOCK[Codigo],LISTADO_PRODUCTOS[#All],3)</f>
        <v>PAPELERIA Y ARTISTICA</v>
      </c>
      <c r="D361" s="6" t="str">
        <f>VLOOKUP(TABLA_STOCK[Codigo],LISTADO_PRODUCTOS[#All],4)</f>
        <v xml:space="preserve">Brillantina x5u Fluo </v>
      </c>
      <c r="E361" s="6" t="str">
        <f>VLOOKUP(TABLA_STOCK[Codigo],LISTADO_PRODUCTOS[#All],5)</f>
        <v>N/A</v>
      </c>
      <c r="F361" s="4">
        <v>10</v>
      </c>
      <c r="G361" s="4">
        <v>56</v>
      </c>
    </row>
    <row r="362" spans="1:7" x14ac:dyDescent="0.3">
      <c r="A362" s="4">
        <v>2025</v>
      </c>
      <c r="B362" s="4">
        <f>VLOOKUP(TABLA_STOCK[Codigo],LISTADO_PRODUCTOS[#All],2)</f>
        <v>54533</v>
      </c>
      <c r="C362" s="6" t="str">
        <f>VLOOKUP(TABLA_STOCK[Codigo],LISTADO_PRODUCTOS[#All],3)</f>
        <v>PAPELERIA Y ARTISTICA</v>
      </c>
      <c r="D362" s="6" t="str">
        <f>VLOOKUP(TABLA_STOCK[Codigo],LISTADO_PRODUCTOS[#All],4)</f>
        <v>Brillantina x 5u</v>
      </c>
      <c r="E362" s="6" t="str">
        <f>VLOOKUP(TABLA_STOCK[Codigo],LISTADO_PRODUCTOS[#All],5)</f>
        <v>N/A</v>
      </c>
      <c r="F362" s="4">
        <v>20</v>
      </c>
      <c r="G362" s="4">
        <v>107</v>
      </c>
    </row>
    <row r="363" spans="1:7" x14ac:dyDescent="0.3">
      <c r="A363" s="4">
        <v>2026</v>
      </c>
      <c r="B363" s="4">
        <f>VLOOKUP(TABLA_STOCK[Codigo],LISTADO_PRODUCTOS[#All],2)</f>
        <v>54534</v>
      </c>
      <c r="C363" s="6" t="str">
        <f>VLOOKUP(TABLA_STOCK[Codigo],LISTADO_PRODUCTOS[#All],3)</f>
        <v>PAPELERIA Y ARTISTICA</v>
      </c>
      <c r="D363" s="6" t="str">
        <f>VLOOKUP(TABLA_STOCK[Codigo],LISTADO_PRODUCTOS[#All],4)</f>
        <v xml:space="preserve">Papel madera </v>
      </c>
      <c r="E363" s="6" t="str">
        <f>VLOOKUP(TABLA_STOCK[Codigo],LISTADO_PRODUCTOS[#All],5)</f>
        <v>N/A</v>
      </c>
      <c r="F363" s="4">
        <v>5</v>
      </c>
      <c r="G363" s="4">
        <v>25</v>
      </c>
    </row>
    <row r="364" spans="1:7" x14ac:dyDescent="0.3">
      <c r="A364" s="4">
        <v>2027</v>
      </c>
      <c r="B364" s="4">
        <f>VLOOKUP(TABLA_STOCK[Codigo],LISTADO_PRODUCTOS[#All],2)</f>
        <v>54535</v>
      </c>
      <c r="C364" s="6" t="str">
        <f>VLOOKUP(TABLA_STOCK[Codigo],LISTADO_PRODUCTOS[#All],3)</f>
        <v>PAPELERIA Y ARTISTICA</v>
      </c>
      <c r="D364" s="6" t="str">
        <f>VLOOKUP(TABLA_STOCK[Codigo],LISTADO_PRODUCTOS[#All],4)</f>
        <v xml:space="preserve">Cartulina Comun </v>
      </c>
      <c r="E364" s="6" t="str">
        <f>VLOOKUP(TABLA_STOCK[Codigo],LISTADO_PRODUCTOS[#All],5)</f>
        <v>N/A</v>
      </c>
      <c r="F364" s="4">
        <v>1</v>
      </c>
      <c r="G364" s="4">
        <v>32</v>
      </c>
    </row>
    <row r="365" spans="1:7" x14ac:dyDescent="0.3">
      <c r="A365" s="4">
        <v>2028</v>
      </c>
      <c r="B365" s="4">
        <f>VLOOKUP(TABLA_STOCK[Codigo],LISTADO_PRODUCTOS[#All],2)</f>
        <v>54536</v>
      </c>
      <c r="C365" s="6" t="str">
        <f>VLOOKUP(TABLA_STOCK[Codigo],LISTADO_PRODUCTOS[#All],3)</f>
        <v>PAPELERIA Y ARTISTICA</v>
      </c>
      <c r="D365" s="6" t="str">
        <f>VLOOKUP(TABLA_STOCK[Codigo],LISTADO_PRODUCTOS[#All],4)</f>
        <v xml:space="preserve">Cartulina Fluo </v>
      </c>
      <c r="E365" s="6" t="str">
        <f>VLOOKUP(TABLA_STOCK[Codigo],LISTADO_PRODUCTOS[#All],5)</f>
        <v>N/A</v>
      </c>
      <c r="F365" s="4">
        <v>5</v>
      </c>
      <c r="G365" s="4">
        <v>150</v>
      </c>
    </row>
    <row r="366" spans="1:7" x14ac:dyDescent="0.3">
      <c r="A366" s="4">
        <v>2029</v>
      </c>
      <c r="B366" s="4">
        <f>VLOOKUP(TABLA_STOCK[Codigo],LISTADO_PRODUCTOS[#All],2)</f>
        <v>54537</v>
      </c>
      <c r="C366" s="6" t="str">
        <f>VLOOKUP(TABLA_STOCK[Codigo],LISTADO_PRODUCTOS[#All],3)</f>
        <v>PAPELERIA Y ARTISTICA</v>
      </c>
      <c r="D366" s="6" t="str">
        <f>VLOOKUP(TABLA_STOCK[Codigo],LISTADO_PRODUCTOS[#All],4)</f>
        <v>Cartulina Metalizada</v>
      </c>
      <c r="E366" s="6" t="str">
        <f>VLOOKUP(TABLA_STOCK[Codigo],LISTADO_PRODUCTOS[#All],5)</f>
        <v>N/A</v>
      </c>
      <c r="F366" s="4">
        <v>2</v>
      </c>
      <c r="G366" s="4">
        <v>20</v>
      </c>
    </row>
    <row r="367" spans="1:7" x14ac:dyDescent="0.3">
      <c r="A367" s="4">
        <v>2030</v>
      </c>
      <c r="B367" s="4">
        <f>VLOOKUP(TABLA_STOCK[Codigo],LISTADO_PRODUCTOS[#All],2)</f>
        <v>54538</v>
      </c>
      <c r="C367" s="6" t="str">
        <f>VLOOKUP(TABLA_STOCK[Codigo],LISTADO_PRODUCTOS[#All],3)</f>
        <v>PAPELERIA Y ARTISTICA</v>
      </c>
      <c r="D367" s="6" t="str">
        <f>VLOOKUP(TABLA_STOCK[Codigo],LISTADO_PRODUCTOS[#All],4)</f>
        <v xml:space="preserve">Cartulina con Motivos </v>
      </c>
      <c r="E367" s="6" t="str">
        <f>VLOOKUP(TABLA_STOCK[Codigo],LISTADO_PRODUCTOS[#All],5)</f>
        <v>N/A</v>
      </c>
      <c r="F367" s="4">
        <v>2</v>
      </c>
      <c r="G367" s="4">
        <v>19</v>
      </c>
    </row>
    <row r="368" spans="1:7" x14ac:dyDescent="0.3">
      <c r="A368" s="4">
        <v>2031</v>
      </c>
      <c r="B368" s="4">
        <f>VLOOKUP(TABLA_STOCK[Codigo],LISTADO_PRODUCTOS[#All],2)</f>
        <v>54539</v>
      </c>
      <c r="C368" s="6" t="str">
        <f>VLOOKUP(TABLA_STOCK[Codigo],LISTADO_PRODUCTOS[#All],3)</f>
        <v>PAPELERIA Y ARTISTICA</v>
      </c>
      <c r="D368" s="6" t="str">
        <f>VLOOKUP(TABLA_STOCK[Codigo],LISTADO_PRODUCTOS[#All],4)</f>
        <v>Cartulina Entretenida</v>
      </c>
      <c r="E368" s="6" t="str">
        <f>VLOOKUP(TABLA_STOCK[Codigo],LISTADO_PRODUCTOS[#All],5)</f>
        <v>N/A</v>
      </c>
      <c r="F368" s="4">
        <v>10</v>
      </c>
      <c r="G368" s="4">
        <v>6</v>
      </c>
    </row>
    <row r="369" spans="1:7" x14ac:dyDescent="0.3">
      <c r="A369" s="4">
        <v>2032</v>
      </c>
      <c r="B369" s="4">
        <f>VLOOKUP(TABLA_STOCK[Codigo],LISTADO_PRODUCTOS[#All],2)</f>
        <v>54540</v>
      </c>
      <c r="C369" s="6" t="str">
        <f>VLOOKUP(TABLA_STOCK[Codigo],LISTADO_PRODUCTOS[#All],3)</f>
        <v>PAPELERIA Y ARTISTICA</v>
      </c>
      <c r="D369" s="6" t="str">
        <f>VLOOKUP(TABLA_STOCK[Codigo],LISTADO_PRODUCTOS[#All],4)</f>
        <v>Afiche</v>
      </c>
      <c r="E369" s="6" t="str">
        <f>VLOOKUP(TABLA_STOCK[Codigo],LISTADO_PRODUCTOS[#All],5)</f>
        <v>N/A</v>
      </c>
      <c r="F369" s="4">
        <v>20</v>
      </c>
      <c r="G369" s="4">
        <v>5</v>
      </c>
    </row>
    <row r="370" spans="1:7" x14ac:dyDescent="0.3">
      <c r="A370" s="4">
        <v>2033</v>
      </c>
      <c r="B370" s="4">
        <f>VLOOKUP(TABLA_STOCK[Codigo],LISTADO_PRODUCTOS[#All],2)</f>
        <v>54541</v>
      </c>
      <c r="C370" s="6" t="str">
        <f>VLOOKUP(TABLA_STOCK[Codigo],LISTADO_PRODUCTOS[#All],3)</f>
        <v>PAPELERIA Y ARTISTICA</v>
      </c>
      <c r="D370" s="6" t="str">
        <f>VLOOKUP(TABLA_STOCK[Codigo],LISTADO_PRODUCTOS[#All],4)</f>
        <v>Papel Crepe Comun</v>
      </c>
      <c r="E370" s="6" t="str">
        <f>VLOOKUP(TABLA_STOCK[Codigo],LISTADO_PRODUCTOS[#All],5)</f>
        <v>N/A</v>
      </c>
      <c r="F370" s="4">
        <v>5</v>
      </c>
      <c r="G370" s="4">
        <v>52</v>
      </c>
    </row>
    <row r="371" spans="1:7" x14ac:dyDescent="0.3">
      <c r="A371" s="4">
        <v>2034</v>
      </c>
      <c r="B371" s="4">
        <f>VLOOKUP(TABLA_STOCK[Codigo],LISTADO_PRODUCTOS[#All],2)</f>
        <v>54542</v>
      </c>
      <c r="C371" s="6" t="str">
        <f>VLOOKUP(TABLA_STOCK[Codigo],LISTADO_PRODUCTOS[#All],3)</f>
        <v>PAPELERIA Y ARTISTICA</v>
      </c>
      <c r="D371" s="6" t="str">
        <f>VLOOKUP(TABLA_STOCK[Codigo],LISTADO_PRODUCTOS[#All],4)</f>
        <v>Papel Crepe Perlado</v>
      </c>
      <c r="E371" s="6" t="str">
        <f>VLOOKUP(TABLA_STOCK[Codigo],LISTADO_PRODUCTOS[#All],5)</f>
        <v>N/A</v>
      </c>
      <c r="F371" s="4">
        <v>1</v>
      </c>
      <c r="G371" s="4">
        <v>32</v>
      </c>
    </row>
    <row r="372" spans="1:7" x14ac:dyDescent="0.3">
      <c r="A372" s="4">
        <v>2035</v>
      </c>
      <c r="B372" s="4">
        <f>VLOOKUP(TABLA_STOCK[Codigo],LISTADO_PRODUCTOS[#All],2)</f>
        <v>54543</v>
      </c>
      <c r="C372" s="6" t="str">
        <f>VLOOKUP(TABLA_STOCK[Codigo],LISTADO_PRODUCTOS[#All],3)</f>
        <v>PAPELERIA Y ARTISTICA</v>
      </c>
      <c r="D372" s="6" t="str">
        <f>VLOOKUP(TABLA_STOCK[Codigo],LISTADO_PRODUCTOS[#All],4)</f>
        <v>Papel Crepe Fluo</v>
      </c>
      <c r="E372" s="6" t="str">
        <f>VLOOKUP(TABLA_STOCK[Codigo],LISTADO_PRODUCTOS[#All],5)</f>
        <v>N/A</v>
      </c>
      <c r="F372" s="4">
        <v>5</v>
      </c>
      <c r="G372" s="4">
        <v>56</v>
      </c>
    </row>
    <row r="373" spans="1:7" x14ac:dyDescent="0.3">
      <c r="A373" s="4">
        <v>2036</v>
      </c>
      <c r="B373" s="4">
        <f>VLOOKUP(TABLA_STOCK[Codigo],LISTADO_PRODUCTOS[#All],2)</f>
        <v>54544</v>
      </c>
      <c r="C373" s="6" t="str">
        <f>VLOOKUP(TABLA_STOCK[Codigo],LISTADO_PRODUCTOS[#All],3)</f>
        <v>PAPELERIA Y ARTISTICA</v>
      </c>
      <c r="D373" s="6" t="str">
        <f>VLOOKUP(TABLA_STOCK[Codigo],LISTADO_PRODUCTOS[#All],4)</f>
        <v>Papel Crepe c/Motivos</v>
      </c>
      <c r="E373" s="6" t="str">
        <f>VLOOKUP(TABLA_STOCK[Codigo],LISTADO_PRODUCTOS[#All],5)</f>
        <v>N/A</v>
      </c>
      <c r="F373" s="4">
        <v>2</v>
      </c>
      <c r="G373" s="4">
        <v>107</v>
      </c>
    </row>
    <row r="374" spans="1:7" x14ac:dyDescent="0.3">
      <c r="A374" s="4">
        <v>2037</v>
      </c>
      <c r="B374" s="4">
        <f>VLOOKUP(TABLA_STOCK[Codigo],LISTADO_PRODUCTOS[#All],2)</f>
        <v>54545</v>
      </c>
      <c r="C374" s="6" t="str">
        <f>VLOOKUP(TABLA_STOCK[Codigo],LISTADO_PRODUCTOS[#All],3)</f>
        <v>PAPELERIA Y ARTISTICA</v>
      </c>
      <c r="D374" s="6" t="str">
        <f>VLOOKUP(TABLA_STOCK[Codigo],LISTADO_PRODUCTOS[#All],4)</f>
        <v>Papel Crepe Bandera Argentina</v>
      </c>
      <c r="E374" s="6" t="str">
        <f>VLOOKUP(TABLA_STOCK[Codigo],LISTADO_PRODUCTOS[#All],5)</f>
        <v>N/A</v>
      </c>
      <c r="F374" s="4">
        <v>2</v>
      </c>
      <c r="G374" s="4">
        <v>25</v>
      </c>
    </row>
    <row r="375" spans="1:7" x14ac:dyDescent="0.3">
      <c r="A375" s="4">
        <v>2038</v>
      </c>
      <c r="B375" s="4">
        <f>VLOOKUP(TABLA_STOCK[Codigo],LISTADO_PRODUCTOS[#All],2)</f>
        <v>54546</v>
      </c>
      <c r="C375" s="6" t="str">
        <f>VLOOKUP(TABLA_STOCK[Codigo],LISTADO_PRODUCTOS[#All],3)</f>
        <v>PAPELERIA Y ARTISTICA</v>
      </c>
      <c r="D375" s="6" t="str">
        <f>VLOOKUP(TABLA_STOCK[Codigo],LISTADO_PRODUCTOS[#All],4)</f>
        <v>Papel de Forrar Muresco</v>
      </c>
      <c r="E375" s="6" t="str">
        <f>VLOOKUP(TABLA_STOCK[Codigo],LISTADO_PRODUCTOS[#All],5)</f>
        <v>N/A</v>
      </c>
      <c r="F375" s="4">
        <v>10</v>
      </c>
      <c r="G375" s="4">
        <v>32</v>
      </c>
    </row>
    <row r="376" spans="1:7" x14ac:dyDescent="0.3">
      <c r="A376" s="4">
        <v>2039</v>
      </c>
      <c r="B376" s="4">
        <f>VLOOKUP(TABLA_STOCK[Codigo],LISTADO_PRODUCTOS[#All],2)</f>
        <v>54547</v>
      </c>
      <c r="C376" s="6" t="str">
        <f>VLOOKUP(TABLA_STOCK[Codigo],LISTADO_PRODUCTOS[#All],3)</f>
        <v>PAPELERIA Y ARTISTICA</v>
      </c>
      <c r="D376" s="6" t="str">
        <f>VLOOKUP(TABLA_STOCK[Codigo],LISTADO_PRODUCTOS[#All],4)</f>
        <v>Papel de Forrar Comun</v>
      </c>
      <c r="E376" s="6" t="str">
        <f>VLOOKUP(TABLA_STOCK[Codigo],LISTADO_PRODUCTOS[#All],5)</f>
        <v>N/A</v>
      </c>
      <c r="F376" s="4">
        <v>20</v>
      </c>
      <c r="G376" s="4">
        <v>150</v>
      </c>
    </row>
    <row r="377" spans="1:7" x14ac:dyDescent="0.3">
      <c r="A377" s="4">
        <v>2040</v>
      </c>
      <c r="B377" s="4">
        <f>VLOOKUP(TABLA_STOCK[Codigo],LISTADO_PRODUCTOS[#All],2)</f>
        <v>54548</v>
      </c>
      <c r="C377" s="6" t="str">
        <f>VLOOKUP(TABLA_STOCK[Codigo],LISTADO_PRODUCTOS[#All],3)</f>
        <v>PAPELERIA Y ARTISTICA</v>
      </c>
      <c r="D377" s="6" t="str">
        <f>VLOOKUP(TABLA_STOCK[Codigo],LISTADO_PRODUCTOS[#All],4)</f>
        <v>Marcador UNI ORO P. MEDIANA</v>
      </c>
      <c r="E377" s="6" t="str">
        <f>VLOOKUP(TABLA_STOCK[Codigo],LISTADO_PRODUCTOS[#All],5)</f>
        <v>N/A</v>
      </c>
      <c r="F377" s="4">
        <v>5</v>
      </c>
      <c r="G377" s="4">
        <v>20</v>
      </c>
    </row>
    <row r="378" spans="1:7" x14ac:dyDescent="0.3">
      <c r="A378" s="4">
        <v>2041</v>
      </c>
      <c r="B378" s="4">
        <f>VLOOKUP(TABLA_STOCK[Codigo],LISTADO_PRODUCTOS[#All],2)</f>
        <v>54549</v>
      </c>
      <c r="C378" s="6" t="str">
        <f>VLOOKUP(TABLA_STOCK[Codigo],LISTADO_PRODUCTOS[#All],3)</f>
        <v>PAPELERIA Y ARTISTICA</v>
      </c>
      <c r="D378" s="6" t="str">
        <f>VLOOKUP(TABLA_STOCK[Codigo],LISTADO_PRODUCTOS[#All],4)</f>
        <v>Pinceleta Nª1</v>
      </c>
      <c r="E378" s="6" t="str">
        <f>VLOOKUP(TABLA_STOCK[Codigo],LISTADO_PRODUCTOS[#All],5)</f>
        <v>N/A</v>
      </c>
      <c r="F378" s="4">
        <v>1</v>
      </c>
      <c r="G378" s="4">
        <v>19</v>
      </c>
    </row>
    <row r="379" spans="1:7" x14ac:dyDescent="0.3">
      <c r="A379" s="4">
        <v>2042</v>
      </c>
      <c r="B379" s="4">
        <f>VLOOKUP(TABLA_STOCK[Codigo],LISTADO_PRODUCTOS[#All],2)</f>
        <v>54550</v>
      </c>
      <c r="C379" s="6" t="str">
        <f>VLOOKUP(TABLA_STOCK[Codigo],LISTADO_PRODUCTOS[#All],3)</f>
        <v>PAPELERIA Y ARTISTICA</v>
      </c>
      <c r="D379" s="6" t="str">
        <f>VLOOKUP(TABLA_STOCK[Codigo],LISTADO_PRODUCTOS[#All],4)</f>
        <v>Pinceleta Nª2</v>
      </c>
      <c r="E379" s="6" t="str">
        <f>VLOOKUP(TABLA_STOCK[Codigo],LISTADO_PRODUCTOS[#All],5)</f>
        <v>N/A</v>
      </c>
      <c r="F379" s="4">
        <v>5</v>
      </c>
      <c r="G379" s="4">
        <v>6</v>
      </c>
    </row>
    <row r="380" spans="1:7" x14ac:dyDescent="0.3">
      <c r="A380" s="4">
        <v>2043</v>
      </c>
      <c r="B380" s="4">
        <f>VLOOKUP(TABLA_STOCK[Codigo],LISTADO_PRODUCTOS[#All],2)</f>
        <v>54551</v>
      </c>
      <c r="C380" s="6" t="str">
        <f>VLOOKUP(TABLA_STOCK[Codigo],LISTADO_PRODUCTOS[#All],3)</f>
        <v>PAPELERIA Y ARTISTICA</v>
      </c>
      <c r="D380" s="6" t="str">
        <f>VLOOKUP(TABLA_STOCK[Codigo],LISTADO_PRODUCTOS[#All],4)</f>
        <v>Pinceleta Nª3</v>
      </c>
      <c r="E380" s="6" t="str">
        <f>VLOOKUP(TABLA_STOCK[Codigo],LISTADO_PRODUCTOS[#All],5)</f>
        <v>N/A</v>
      </c>
      <c r="F380" s="4">
        <v>2</v>
      </c>
      <c r="G380" s="4">
        <v>5</v>
      </c>
    </row>
    <row r="381" spans="1:7" x14ac:dyDescent="0.3">
      <c r="A381" s="4">
        <v>2044</v>
      </c>
      <c r="B381" s="4">
        <f>VLOOKUP(TABLA_STOCK[Codigo],LISTADO_PRODUCTOS[#All],2)</f>
        <v>54552</v>
      </c>
      <c r="C381" s="6" t="str">
        <f>VLOOKUP(TABLA_STOCK[Codigo],LISTADO_PRODUCTOS[#All],3)</f>
        <v>PAPELERIA Y ARTISTICA</v>
      </c>
      <c r="D381" s="6" t="str">
        <f>VLOOKUP(TABLA_STOCK[Codigo],LISTADO_PRODUCTOS[#All],4)</f>
        <v>Pinceleta Nª4</v>
      </c>
      <c r="E381" s="6" t="str">
        <f>VLOOKUP(TABLA_STOCK[Codigo],LISTADO_PRODUCTOS[#All],5)</f>
        <v>N/A</v>
      </c>
      <c r="F381" s="4">
        <v>10</v>
      </c>
      <c r="G381" s="4">
        <v>52</v>
      </c>
    </row>
    <row r="382" spans="1:7" x14ac:dyDescent="0.3">
      <c r="A382" s="4">
        <v>2045</v>
      </c>
      <c r="B382" s="4">
        <f>VLOOKUP(TABLA_STOCK[Codigo],LISTADO_PRODUCTOS[#All],2)</f>
        <v>54553</v>
      </c>
      <c r="C382" s="6" t="str">
        <f>VLOOKUP(TABLA_STOCK[Codigo],LISTADO_PRODUCTOS[#All],3)</f>
        <v>PAPELERIA Y ARTISTICA</v>
      </c>
      <c r="D382" s="6" t="str">
        <f>VLOOKUP(TABLA_STOCK[Codigo],LISTADO_PRODUCTOS[#All],4)</f>
        <v>Pinceleta Nº5</v>
      </c>
      <c r="E382" s="6" t="str">
        <f>VLOOKUP(TABLA_STOCK[Codigo],LISTADO_PRODUCTOS[#All],5)</f>
        <v>N/A</v>
      </c>
      <c r="F382" s="4">
        <v>20</v>
      </c>
      <c r="G382" s="4">
        <v>32</v>
      </c>
    </row>
    <row r="383" spans="1:7" x14ac:dyDescent="0.3">
      <c r="A383" s="4">
        <v>2046</v>
      </c>
      <c r="B383" s="4">
        <f>VLOOKUP(TABLA_STOCK[Codigo],LISTADO_PRODUCTOS[#All],2)</f>
        <v>54554</v>
      </c>
      <c r="C383" s="6" t="str">
        <f>VLOOKUP(TABLA_STOCK[Codigo],LISTADO_PRODUCTOS[#All],3)</f>
        <v>PAPELERIA Y ARTISTICA</v>
      </c>
      <c r="D383" s="6" t="str">
        <f>VLOOKUP(TABLA_STOCK[Codigo],LISTADO_PRODUCTOS[#All],4)</f>
        <v>Pinceleta Nº6</v>
      </c>
      <c r="E383" s="6" t="str">
        <f>VLOOKUP(TABLA_STOCK[Codigo],LISTADO_PRODUCTOS[#All],5)</f>
        <v>N/A</v>
      </c>
      <c r="F383" s="4">
        <v>5</v>
      </c>
      <c r="G383" s="4">
        <v>56</v>
      </c>
    </row>
    <row r="384" spans="1:7" x14ac:dyDescent="0.3">
      <c r="A384" s="4">
        <v>2047</v>
      </c>
      <c r="B384" s="4">
        <f>VLOOKUP(TABLA_STOCK[Codigo],LISTADO_PRODUCTOS[#All],2)</f>
        <v>54555</v>
      </c>
      <c r="C384" s="6" t="str">
        <f>VLOOKUP(TABLA_STOCK[Codigo],LISTADO_PRODUCTOS[#All],3)</f>
        <v>PAPELERIA Y ARTISTICA</v>
      </c>
      <c r="D384" s="6" t="str">
        <f>VLOOKUP(TABLA_STOCK[Codigo],LISTADO_PRODUCTOS[#All],4)</f>
        <v>Pinceleta Nº7</v>
      </c>
      <c r="E384" s="6" t="str">
        <f>VLOOKUP(TABLA_STOCK[Codigo],LISTADO_PRODUCTOS[#All],5)</f>
        <v>N/A</v>
      </c>
      <c r="F384" s="4">
        <v>1</v>
      </c>
      <c r="G384" s="4">
        <v>107</v>
      </c>
    </row>
    <row r="385" spans="1:7" x14ac:dyDescent="0.3">
      <c r="A385" s="4">
        <v>2048</v>
      </c>
      <c r="B385" s="4">
        <f>VLOOKUP(TABLA_STOCK[Codigo],LISTADO_PRODUCTOS[#All],2)</f>
        <v>54556</v>
      </c>
      <c r="C385" s="6" t="str">
        <f>VLOOKUP(TABLA_STOCK[Codigo],LISTADO_PRODUCTOS[#All],3)</f>
        <v>PAPELERIA Y ARTISTICA</v>
      </c>
      <c r="D385" s="6" t="str">
        <f>VLOOKUP(TABLA_STOCK[Codigo],LISTADO_PRODUCTOS[#All],4)</f>
        <v>Broches CBX madera natural 45mm x 35u</v>
      </c>
      <c r="E385" s="6" t="str">
        <f>VLOOKUP(TABLA_STOCK[Codigo],LISTADO_PRODUCTOS[#All],5)</f>
        <v>N/A</v>
      </c>
      <c r="F385" s="4">
        <v>5</v>
      </c>
      <c r="G385" s="4">
        <v>25</v>
      </c>
    </row>
    <row r="386" spans="1:7" x14ac:dyDescent="0.3">
      <c r="A386" s="4">
        <v>2049</v>
      </c>
      <c r="B386" s="4">
        <f>VLOOKUP(TABLA_STOCK[Codigo],LISTADO_PRODUCTOS[#All],2)</f>
        <v>54557</v>
      </c>
      <c r="C386" s="6" t="str">
        <f>VLOOKUP(TABLA_STOCK[Codigo],LISTADO_PRODUCTOS[#All],3)</f>
        <v>PAPELERIA Y ARTISTICA</v>
      </c>
      <c r="D386" s="6" t="str">
        <f>VLOOKUP(TABLA_STOCK[Codigo],LISTADO_PRODUCTOS[#All],4)</f>
        <v>Goma eva color comun</v>
      </c>
      <c r="E386" s="6" t="str">
        <f>VLOOKUP(TABLA_STOCK[Codigo],LISTADO_PRODUCTOS[#All],5)</f>
        <v>N/A</v>
      </c>
      <c r="F386" s="4">
        <v>2</v>
      </c>
      <c r="G386" s="4">
        <v>32</v>
      </c>
    </row>
    <row r="387" spans="1:7" x14ac:dyDescent="0.3">
      <c r="A387" s="4">
        <v>2050</v>
      </c>
      <c r="B387" s="4">
        <f>VLOOKUP(TABLA_STOCK[Codigo],LISTADO_PRODUCTOS[#All],2)</f>
        <v>54558</v>
      </c>
      <c r="C387" s="6" t="str">
        <f>VLOOKUP(TABLA_STOCK[Codigo],LISTADO_PRODUCTOS[#All],3)</f>
        <v>PAPELERIA Y ARTISTICA</v>
      </c>
      <c r="D387" s="6" t="str">
        <f>VLOOKUP(TABLA_STOCK[Codigo],LISTADO_PRODUCTOS[#All],4)</f>
        <v>Goma eva corrugada</v>
      </c>
      <c r="E387" s="6" t="str">
        <f>VLOOKUP(TABLA_STOCK[Codigo],LISTADO_PRODUCTOS[#All],5)</f>
        <v>N/A</v>
      </c>
      <c r="F387" s="4">
        <v>2</v>
      </c>
      <c r="G387" s="4">
        <v>150</v>
      </c>
    </row>
    <row r="388" spans="1:7" x14ac:dyDescent="0.3">
      <c r="A388" s="4">
        <v>2051</v>
      </c>
      <c r="B388" s="4">
        <f>VLOOKUP(TABLA_STOCK[Codigo],LISTADO_PRODUCTOS[#All],2)</f>
        <v>54559</v>
      </c>
      <c r="C388" s="6" t="str">
        <f>VLOOKUP(TABLA_STOCK[Codigo],LISTADO_PRODUCTOS[#All],3)</f>
        <v>PAPELERIA Y ARTISTICA</v>
      </c>
      <c r="D388" s="6" t="str">
        <f>VLOOKUP(TABLA_STOCK[Codigo],LISTADO_PRODUCTOS[#All],4)</f>
        <v>Goma Eva Super Glitter</v>
      </c>
      <c r="E388" s="6" t="str">
        <f>VLOOKUP(TABLA_STOCK[Codigo],LISTADO_PRODUCTOS[#All],5)</f>
        <v>N/A</v>
      </c>
      <c r="F388" s="4">
        <v>10</v>
      </c>
      <c r="G388" s="4">
        <v>20</v>
      </c>
    </row>
    <row r="389" spans="1:7" x14ac:dyDescent="0.3">
      <c r="A389" s="4">
        <v>2052</v>
      </c>
      <c r="B389" s="4">
        <f>VLOOKUP(TABLA_STOCK[Codigo],LISTADO_PRODUCTOS[#All],2)</f>
        <v>54560</v>
      </c>
      <c r="C389" s="6" t="str">
        <f>VLOOKUP(TABLA_STOCK[Codigo],LISTADO_PRODUCTOS[#All],3)</f>
        <v>PAPELERIA Y ARTISTICA</v>
      </c>
      <c r="D389" s="6" t="str">
        <f>VLOOKUP(TABLA_STOCK[Codigo],LISTADO_PRODUCTOS[#All],4)</f>
        <v>Resma A3 Autor 80gr</v>
      </c>
      <c r="E389" s="6" t="str">
        <f>VLOOKUP(TABLA_STOCK[Codigo],LISTADO_PRODUCTOS[#All],5)</f>
        <v>N/A</v>
      </c>
      <c r="F389" s="4">
        <v>20</v>
      </c>
      <c r="G389" s="4">
        <v>9</v>
      </c>
    </row>
    <row r="390" spans="1:7" x14ac:dyDescent="0.3">
      <c r="A390" s="4">
        <v>2054</v>
      </c>
      <c r="B390" s="4">
        <f>VLOOKUP(TABLA_STOCK[Codigo],LISTADO_PRODUCTOS[#All],2)</f>
        <v>54561</v>
      </c>
      <c r="C390" s="6" t="str">
        <f>VLOOKUP(TABLA_STOCK[Codigo],LISTADO_PRODUCTOS[#All],3)</f>
        <v>PAPELERIA Y ARTISTICA</v>
      </c>
      <c r="D390" s="6" t="str">
        <f>VLOOKUP(TABLA_STOCK[Codigo],LISTADO_PRODUCTOS[#All],4)</f>
        <v xml:space="preserve">Carton Corrugado Colores </v>
      </c>
      <c r="E390" s="6" t="str">
        <f>VLOOKUP(TABLA_STOCK[Codigo],LISTADO_PRODUCTOS[#All],5)</f>
        <v>N/A</v>
      </c>
      <c r="F390" s="4">
        <v>5</v>
      </c>
      <c r="G390" s="4">
        <v>6</v>
      </c>
    </row>
    <row r="391" spans="1:7" x14ac:dyDescent="0.3">
      <c r="A391" s="4">
        <v>2055</v>
      </c>
      <c r="B391" s="4">
        <f>VLOOKUP(TABLA_STOCK[Codigo],LISTADO_PRODUCTOS[#All],2)</f>
        <v>54562</v>
      </c>
      <c r="C391" s="6" t="str">
        <f>VLOOKUP(TABLA_STOCK[Codigo],LISTADO_PRODUCTOS[#All],3)</f>
        <v>PAPELERIA Y ARTISTICA</v>
      </c>
      <c r="D391" s="6" t="str">
        <f>VLOOKUP(TABLA_STOCK[Codigo],LISTADO_PRODUCTOS[#All],4)</f>
        <v>Carton Corrugado Kraft</v>
      </c>
      <c r="E391" s="6" t="str">
        <f>VLOOKUP(TABLA_STOCK[Codigo],LISTADO_PRODUCTOS[#All],5)</f>
        <v>N/A</v>
      </c>
      <c r="F391" s="4">
        <v>1</v>
      </c>
      <c r="G391" s="4">
        <v>5</v>
      </c>
    </row>
    <row r="392" spans="1:7" x14ac:dyDescent="0.3">
      <c r="A392" s="4">
        <v>2058</v>
      </c>
      <c r="B392" s="4">
        <f>VLOOKUP(TABLA_STOCK[Codigo],LISTADO_PRODUCTOS[#All],2)</f>
        <v>54563</v>
      </c>
      <c r="C392" s="6" t="str">
        <f>VLOOKUP(TABLA_STOCK[Codigo],LISTADO_PRODUCTOS[#All],3)</f>
        <v>PAPELERIA Y ARTISTICA</v>
      </c>
      <c r="D392" s="6" t="str">
        <f>VLOOKUP(TABLA_STOCK[Codigo],LISTADO_PRODUCTOS[#All],4)</f>
        <v>Cartulina Hologlitter x plancha</v>
      </c>
      <c r="E392" s="6" t="str">
        <f>VLOOKUP(TABLA_STOCK[Codigo],LISTADO_PRODUCTOS[#All],5)</f>
        <v>N/A</v>
      </c>
      <c r="F392" s="4">
        <v>5</v>
      </c>
      <c r="G392" s="4">
        <v>52</v>
      </c>
    </row>
    <row r="393" spans="1:7" x14ac:dyDescent="0.3">
      <c r="A393" s="4">
        <v>2059</v>
      </c>
      <c r="B393" s="4">
        <f>VLOOKUP(TABLA_STOCK[Codigo],LISTADO_PRODUCTOS[#All],2)</f>
        <v>54564</v>
      </c>
      <c r="C393" s="6" t="str">
        <f>VLOOKUP(TABLA_STOCK[Codigo],LISTADO_PRODUCTOS[#All],3)</f>
        <v>PAPELERIA Y ARTISTICA</v>
      </c>
      <c r="D393" s="6" t="str">
        <f>VLOOKUP(TABLA_STOCK[Codigo],LISTADO_PRODUCTOS[#All],4)</f>
        <v>Papel Barrilete</v>
      </c>
      <c r="E393" s="6" t="str">
        <f>VLOOKUP(TABLA_STOCK[Codigo],LISTADO_PRODUCTOS[#All],5)</f>
        <v>N/A</v>
      </c>
      <c r="F393" s="4">
        <v>2</v>
      </c>
      <c r="G393" s="4">
        <v>32</v>
      </c>
    </row>
    <row r="394" spans="1:7" x14ac:dyDescent="0.3">
      <c r="A394" s="4">
        <v>2060</v>
      </c>
      <c r="B394" s="4">
        <f>VLOOKUP(TABLA_STOCK[Codigo],LISTADO_PRODUCTOS[#All],2)</f>
        <v>54565</v>
      </c>
      <c r="C394" s="6" t="str">
        <f>VLOOKUP(TABLA_STOCK[Codigo],LISTADO_PRODUCTOS[#All],3)</f>
        <v>PAPELERIA Y ARTISTICA</v>
      </c>
      <c r="D394" s="6" t="str">
        <f>VLOOKUP(TABLA_STOCK[Codigo],LISTADO_PRODUCTOS[#All],4)</f>
        <v>Papel Barrilete</v>
      </c>
      <c r="E394" s="6" t="str">
        <f>VLOOKUP(TABLA_STOCK[Codigo],LISTADO_PRODUCTOS[#All],5)</f>
        <v>N/A</v>
      </c>
      <c r="F394" s="4">
        <v>2</v>
      </c>
      <c r="G394" s="4">
        <v>56</v>
      </c>
    </row>
    <row r="395" spans="1:7" x14ac:dyDescent="0.3">
      <c r="A395" s="4">
        <v>2062</v>
      </c>
      <c r="B395" s="4">
        <f>VLOOKUP(TABLA_STOCK[Codigo],LISTADO_PRODUCTOS[#All],2)</f>
        <v>54566</v>
      </c>
      <c r="C395" s="6" t="str">
        <f>VLOOKUP(TABLA_STOCK[Codigo],LISTADO_PRODUCTOS[#All],3)</f>
        <v>PAPELERIA Y ARTISTICA</v>
      </c>
      <c r="D395" s="6" t="str">
        <f>VLOOKUP(TABLA_STOCK[Codigo],LISTADO_PRODUCTOS[#All],4)</f>
        <v>Papel de regalo Muresco</v>
      </c>
      <c r="E395" s="6" t="str">
        <f>VLOOKUP(TABLA_STOCK[Codigo],LISTADO_PRODUCTOS[#All],5)</f>
        <v>N/A</v>
      </c>
      <c r="F395" s="4">
        <v>10</v>
      </c>
      <c r="G395" s="4">
        <v>107</v>
      </c>
    </row>
    <row r="396" spans="1:7" x14ac:dyDescent="0.3">
      <c r="A396" s="4">
        <v>2064</v>
      </c>
      <c r="B396" s="4">
        <f>VLOOKUP(TABLA_STOCK[Codigo],LISTADO_PRODUCTOS[#All],2)</f>
        <v>54567</v>
      </c>
      <c r="C396" s="6" t="str">
        <f>VLOOKUP(TABLA_STOCK[Codigo],LISTADO_PRODUCTOS[#All],3)</f>
        <v>PAPELERIA Y ARTISTICA</v>
      </c>
      <c r="D396" s="6" t="str">
        <f>VLOOKUP(TABLA_STOCK[Codigo],LISTADO_PRODUCTOS[#All],4)</f>
        <v>Cinta Scotch 12 mm x 30mt Cablefix</v>
      </c>
      <c r="E396" s="6" t="str">
        <f>VLOOKUP(TABLA_STOCK[Codigo],LISTADO_PRODUCTOS[#All],5)</f>
        <v>N/A</v>
      </c>
      <c r="F396" s="4">
        <v>20</v>
      </c>
      <c r="G396" s="4">
        <v>25</v>
      </c>
    </row>
    <row r="397" spans="1:7" x14ac:dyDescent="0.3">
      <c r="A397" s="4">
        <v>2065</v>
      </c>
      <c r="B397" s="4">
        <f>VLOOKUP(TABLA_STOCK[Codigo],LISTADO_PRODUCTOS[#All],2)</f>
        <v>54568</v>
      </c>
      <c r="C397" s="6" t="str">
        <f>VLOOKUP(TABLA_STOCK[Codigo],LISTADO_PRODUCTOS[#All],3)</f>
        <v>PAPELERIA Y ARTISTICA</v>
      </c>
      <c r="D397" s="6" t="str">
        <f>VLOOKUP(TABLA_STOCK[Codigo],LISTADO_PRODUCTOS[#All],4)</f>
        <v>Banditas elasticas  caja x 250gr</v>
      </c>
      <c r="E397" s="6" t="str">
        <f>VLOOKUP(TABLA_STOCK[Codigo],LISTADO_PRODUCTOS[#All],5)</f>
        <v>N/A</v>
      </c>
      <c r="F397" s="4">
        <v>5</v>
      </c>
      <c r="G397" s="4">
        <v>32</v>
      </c>
    </row>
    <row r="398" spans="1:7" x14ac:dyDescent="0.3">
      <c r="A398" s="4">
        <v>2066</v>
      </c>
      <c r="B398" s="4">
        <f>VLOOKUP(TABLA_STOCK[Codigo],LISTADO_PRODUCTOS[#All],2)</f>
        <v>54569</v>
      </c>
      <c r="C398" s="6" t="str">
        <f>VLOOKUP(TABLA_STOCK[Codigo],LISTADO_PRODUCTOS[#All],3)</f>
        <v>PAPELERIA Y ARTISTICA</v>
      </c>
      <c r="D398" s="6" t="str">
        <f>VLOOKUP(TABLA_STOCK[Codigo],LISTADO_PRODUCTOS[#All],4)</f>
        <v>Banditas elasticas caja x 50gr</v>
      </c>
      <c r="E398" s="6" t="str">
        <f>VLOOKUP(TABLA_STOCK[Codigo],LISTADO_PRODUCTOS[#All],5)</f>
        <v>N/A</v>
      </c>
      <c r="F398" s="4">
        <v>1</v>
      </c>
      <c r="G398" s="4">
        <v>150</v>
      </c>
    </row>
    <row r="399" spans="1:7" x14ac:dyDescent="0.3">
      <c r="A399" s="4">
        <v>2067</v>
      </c>
      <c r="B399" s="4">
        <f>VLOOKUP(TABLA_STOCK[Codigo],LISTADO_PRODUCTOS[#All],2)</f>
        <v>54570</v>
      </c>
      <c r="C399" s="6" t="str">
        <f>VLOOKUP(TABLA_STOCK[Codigo],LISTADO_PRODUCTOS[#All],3)</f>
        <v>PAPELERIA Y ARTISTICA</v>
      </c>
      <c r="D399" s="6" t="str">
        <f>VLOOKUP(TABLA_STOCK[Codigo],LISTADO_PRODUCTOS[#All],4)</f>
        <v>Broche metalizado madera CBX m35mm x 25u</v>
      </c>
      <c r="E399" s="6" t="str">
        <f>VLOOKUP(TABLA_STOCK[Codigo],LISTADO_PRODUCTOS[#All],5)</f>
        <v>N/A</v>
      </c>
      <c r="F399" s="4">
        <v>5</v>
      </c>
      <c r="G399" s="4">
        <v>20</v>
      </c>
    </row>
    <row r="400" spans="1:7" x14ac:dyDescent="0.3">
      <c r="A400" s="4">
        <v>2072</v>
      </c>
      <c r="B400" s="4">
        <f>VLOOKUP(TABLA_STOCK[Codigo],LISTADO_PRODUCTOS[#All],2)</f>
        <v>54571</v>
      </c>
      <c r="C400" s="6" t="str">
        <f>VLOOKUP(TABLA_STOCK[Codigo],LISTADO_PRODUCTOS[#All],3)</f>
        <v>PAPELERIA Y ARTISTICA</v>
      </c>
      <c r="D400" s="6" t="str">
        <f>VLOOKUP(TABLA_STOCK[Codigo],LISTADO_PRODUCTOS[#All],4)</f>
        <v>Plastilina Tintoretto x 10u</v>
      </c>
      <c r="E400" s="6" t="str">
        <f>VLOOKUP(TABLA_STOCK[Codigo],LISTADO_PRODUCTOS[#All],5)</f>
        <v>N/A</v>
      </c>
      <c r="F400" s="4">
        <v>2</v>
      </c>
      <c r="G400" s="4">
        <v>19</v>
      </c>
    </row>
    <row r="401" spans="1:7" x14ac:dyDescent="0.3">
      <c r="A401" s="4">
        <v>2075</v>
      </c>
      <c r="B401" s="4">
        <f>VLOOKUP(TABLA_STOCK[Codigo],LISTADO_PRODUCTOS[#All],2)</f>
        <v>54572</v>
      </c>
      <c r="C401" s="6" t="str">
        <f>VLOOKUP(TABLA_STOCK[Codigo],LISTADO_PRODUCTOS[#All],3)</f>
        <v>PAPELERIA Y ARTISTICA</v>
      </c>
      <c r="D401" s="6" t="str">
        <f>VLOOKUP(TABLA_STOCK[Codigo],LISTADO_PRODUCTOS[#All],4)</f>
        <v>Plastilina Maped x 6u</v>
      </c>
      <c r="E401" s="6" t="str">
        <f>VLOOKUP(TABLA_STOCK[Codigo],LISTADO_PRODUCTOS[#All],5)</f>
        <v>N/A</v>
      </c>
      <c r="F401" s="4">
        <v>2</v>
      </c>
      <c r="G401" s="4">
        <v>6</v>
      </c>
    </row>
    <row r="402" spans="1:7" x14ac:dyDescent="0.3">
      <c r="A402" s="4">
        <v>2076</v>
      </c>
      <c r="B402" s="4">
        <f>VLOOKUP(TABLA_STOCK[Codigo],LISTADO_PRODUCTOS[#All],2)</f>
        <v>54573</v>
      </c>
      <c r="C402" s="6" t="str">
        <f>VLOOKUP(TABLA_STOCK[Codigo],LISTADO_PRODUCTOS[#All],3)</f>
        <v>PAPELERIA Y ARTISTICA</v>
      </c>
      <c r="D402" s="6" t="str">
        <f>VLOOKUP(TABLA_STOCK[Codigo],LISTADO_PRODUCTOS[#All],4)</f>
        <v>Tempera Alba magic/Playcolor x10u</v>
      </c>
      <c r="E402" s="6" t="str">
        <f>VLOOKUP(TABLA_STOCK[Codigo],LISTADO_PRODUCTOS[#All],5)</f>
        <v>N/A</v>
      </c>
      <c r="F402" s="4">
        <v>10</v>
      </c>
      <c r="G402" s="4">
        <v>5</v>
      </c>
    </row>
    <row r="403" spans="1:7" x14ac:dyDescent="0.3">
      <c r="A403" s="4">
        <v>2079</v>
      </c>
      <c r="B403" s="4">
        <f>VLOOKUP(TABLA_STOCK[Codigo],LISTADO_PRODUCTOS[#All],2)</f>
        <v>54574</v>
      </c>
      <c r="C403" s="6" t="str">
        <f>VLOOKUP(TABLA_STOCK[Codigo],LISTADO_PRODUCTOS[#All],3)</f>
        <v>PAPELERIA Y ARTISTICA</v>
      </c>
      <c r="D403" s="6" t="str">
        <f>VLOOKUP(TABLA_STOCK[Codigo],LISTADO_PRODUCTOS[#All],4)</f>
        <v>Tempera Alba x170gr</v>
      </c>
      <c r="E403" s="6" t="str">
        <f>VLOOKUP(TABLA_STOCK[Codigo],LISTADO_PRODUCTOS[#All],5)</f>
        <v>N/A</v>
      </c>
      <c r="F403" s="4">
        <v>20</v>
      </c>
      <c r="G403" s="4">
        <v>52</v>
      </c>
    </row>
    <row r="404" spans="1:7" x14ac:dyDescent="0.3">
      <c r="A404" s="4">
        <v>2089</v>
      </c>
      <c r="B404" s="4">
        <f>VLOOKUP(TABLA_STOCK[Codigo],LISTADO_PRODUCTOS[#All],2)</f>
        <v>54575</v>
      </c>
      <c r="C404" s="6" t="str">
        <f>VLOOKUP(TABLA_STOCK[Codigo],LISTADO_PRODUCTOS[#All],3)</f>
        <v>PAPELERIA Y ARTISTICA</v>
      </c>
      <c r="D404" s="6" t="str">
        <f>VLOOKUP(TABLA_STOCK[Codigo],LISTADO_PRODUCTOS[#All],4)</f>
        <v>Pistolita de silicona Liggo garnde barra gruesa 40w</v>
      </c>
      <c r="E404" s="6" t="str">
        <f>VLOOKUP(TABLA_STOCK[Codigo],LISTADO_PRODUCTOS[#All],5)</f>
        <v>N/A</v>
      </c>
      <c r="F404" s="4">
        <v>5</v>
      </c>
      <c r="G404" s="4">
        <v>32</v>
      </c>
    </row>
    <row r="405" spans="1:7" x14ac:dyDescent="0.3">
      <c r="A405" s="4">
        <v>2091</v>
      </c>
      <c r="B405" s="4">
        <f>VLOOKUP(TABLA_STOCK[Codigo],LISTADO_PRODUCTOS[#All],2)</f>
        <v>54576</v>
      </c>
      <c r="C405" s="6" t="str">
        <f>VLOOKUP(TABLA_STOCK[Codigo],LISTADO_PRODUCTOS[#All],3)</f>
        <v>PAPELERIA Y ARTISTICA</v>
      </c>
      <c r="D405" s="6" t="str">
        <f>VLOOKUP(TABLA_STOCK[Codigo],LISTADO_PRODUCTOS[#All],4)</f>
        <v>Pistolita encoladora chica 7mm LIGGO 10W</v>
      </c>
      <c r="E405" s="6" t="str">
        <f>VLOOKUP(TABLA_STOCK[Codigo],LISTADO_PRODUCTOS[#All],5)</f>
        <v>N/A</v>
      </c>
      <c r="F405" s="4">
        <v>1</v>
      </c>
      <c r="G405" s="4">
        <v>56</v>
      </c>
    </row>
    <row r="406" spans="1:7" x14ac:dyDescent="0.3">
      <c r="A406" s="4">
        <v>2093</v>
      </c>
      <c r="B406" s="4">
        <f>VLOOKUP(TABLA_STOCK[Codigo],LISTADO_PRODUCTOS[#All],2)</f>
        <v>54577</v>
      </c>
      <c r="C406" s="6" t="str">
        <f>VLOOKUP(TABLA_STOCK[Codigo],LISTADO_PRODUCTOS[#All],3)</f>
        <v>PAPELERIA Y ARTISTICA</v>
      </c>
      <c r="D406" s="6" t="str">
        <f>VLOOKUP(TABLA_STOCK[Codigo],LISTADO_PRODUCTOS[#All],4)</f>
        <v>Pintura p/Tela</v>
      </c>
      <c r="E406" s="6" t="str">
        <f>VLOOKUP(TABLA_STOCK[Codigo],LISTADO_PRODUCTOS[#All],5)</f>
        <v>N/A</v>
      </c>
      <c r="F406" s="4">
        <v>5</v>
      </c>
      <c r="G406" s="4">
        <v>107</v>
      </c>
    </row>
    <row r="407" spans="1:7" x14ac:dyDescent="0.3">
      <c r="A407" s="4">
        <v>2094</v>
      </c>
      <c r="B407" s="4">
        <f>VLOOKUP(TABLA_STOCK[Codigo],LISTADO_PRODUCTOS[#All],2)</f>
        <v>54578</v>
      </c>
      <c r="C407" s="6" t="str">
        <f>VLOOKUP(TABLA_STOCK[Codigo],LISTADO_PRODUCTOS[#All],3)</f>
        <v>PAPELERIA Y ARTISTICA</v>
      </c>
      <c r="D407" s="6" t="str">
        <f>VLOOKUP(TABLA_STOCK[Codigo],LISTADO_PRODUCTOS[#All],4)</f>
        <v>Acrilico EQ Arte 50cc</v>
      </c>
      <c r="E407" s="6" t="str">
        <f>VLOOKUP(TABLA_STOCK[Codigo],LISTADO_PRODUCTOS[#All],5)</f>
        <v>N/A</v>
      </c>
      <c r="F407" s="4">
        <v>2</v>
      </c>
      <c r="G407" s="4">
        <v>25</v>
      </c>
    </row>
    <row r="408" spans="1:7" x14ac:dyDescent="0.3">
      <c r="A408" s="4">
        <v>2096</v>
      </c>
      <c r="B408" s="4">
        <f>VLOOKUP(TABLA_STOCK[Codigo],LISTADO_PRODUCTOS[#All],2)</f>
        <v>54579</v>
      </c>
      <c r="C408" s="6" t="str">
        <f>VLOOKUP(TABLA_STOCK[Codigo],LISTADO_PRODUCTOS[#All],3)</f>
        <v>PAPELERIA Y ARTISTICA</v>
      </c>
      <c r="D408" s="6" t="str">
        <f>VLOOKUP(TABLA_STOCK[Codigo],LISTADO_PRODUCTOS[#All],4)</f>
        <v>Brillo en tarro Sifap 25gr</v>
      </c>
      <c r="E408" s="6" t="str">
        <f>VLOOKUP(TABLA_STOCK[Codigo],LISTADO_PRODUCTOS[#All],5)</f>
        <v>N/A</v>
      </c>
      <c r="F408" s="4">
        <v>10</v>
      </c>
      <c r="G408" s="4">
        <v>32</v>
      </c>
    </row>
    <row r="409" spans="1:7" x14ac:dyDescent="0.3">
      <c r="A409" s="4">
        <v>2097</v>
      </c>
      <c r="B409" s="4">
        <f>VLOOKUP(TABLA_STOCK[Codigo],LISTADO_PRODUCTOS[#All],2)</f>
        <v>54580</v>
      </c>
      <c r="C409" s="6" t="str">
        <f>VLOOKUP(TABLA_STOCK[Codigo],LISTADO_PRODUCTOS[#All],3)</f>
        <v>PAPELERIA Y ARTISTICA</v>
      </c>
      <c r="D409" s="6" t="str">
        <f>VLOOKUP(TABLA_STOCK[Codigo],LISTADO_PRODUCTOS[#All],4)</f>
        <v>Arcilla natural (color gris) Sifap x 300gr</v>
      </c>
      <c r="E409" s="6" t="str">
        <f>VLOOKUP(TABLA_STOCK[Codigo],LISTADO_PRODUCTOS[#All],5)</f>
        <v>N/A</v>
      </c>
      <c r="F409" s="4">
        <v>20</v>
      </c>
      <c r="G409" s="4">
        <v>150</v>
      </c>
    </row>
    <row r="410" spans="1:7" x14ac:dyDescent="0.3">
      <c r="A410" s="4">
        <v>2262</v>
      </c>
      <c r="B410" s="4">
        <f>VLOOKUP(TABLA_STOCK[Codigo],LISTADO_PRODUCTOS[#All],2)</f>
        <v>54612</v>
      </c>
      <c r="C410" s="6" t="str">
        <f>VLOOKUP(TABLA_STOCK[Codigo],LISTADO_PRODUCTOS[#All],3)</f>
        <v>PAPELERIA Y ARTISTICA</v>
      </c>
      <c r="D410" s="6" t="str">
        <f>VLOOKUP(TABLA_STOCK[Codigo],LISTADO_PRODUCTOS[#All],4)</f>
        <v>Acuarela Filgo x 12u</v>
      </c>
      <c r="E410" s="6" t="str">
        <f>VLOOKUP(TABLA_STOCK[Codigo],LISTADO_PRODUCTOS[#All],5)</f>
        <v>N/A</v>
      </c>
      <c r="F410" s="4">
        <v>5</v>
      </c>
      <c r="G410" s="4">
        <v>20</v>
      </c>
    </row>
    <row r="411" spans="1:7" x14ac:dyDescent="0.3">
      <c r="A411" s="4">
        <v>2102</v>
      </c>
      <c r="B411" s="4">
        <f>VLOOKUP(TABLA_STOCK[Codigo],LISTADO_PRODUCTOS[#All],2)</f>
        <v>54580</v>
      </c>
      <c r="C411" s="6" t="str">
        <f>VLOOKUP(TABLA_STOCK[Codigo],LISTADO_PRODUCTOS[#All],3)</f>
        <v>PAPELERIA Y ARTISTICA</v>
      </c>
      <c r="D411" s="6" t="str">
        <f>VLOOKUP(TABLA_STOCK[Codigo],LISTADO_PRODUCTOS[#All],4)</f>
        <v>Arcilla natural (color gris) Sifap x 300gr</v>
      </c>
      <c r="E411" s="6" t="str">
        <f>VLOOKUP(TABLA_STOCK[Codigo],LISTADO_PRODUCTOS[#All],5)</f>
        <v>N/A</v>
      </c>
      <c r="F411" s="4">
        <v>1</v>
      </c>
      <c r="G411" s="4">
        <v>19</v>
      </c>
    </row>
    <row r="412" spans="1:7" x14ac:dyDescent="0.3">
      <c r="A412" s="4">
        <v>2103</v>
      </c>
      <c r="B412" s="4">
        <f>VLOOKUP(TABLA_STOCK[Codigo],LISTADO_PRODUCTOS[#All],2)</f>
        <v>54583</v>
      </c>
      <c r="C412" s="6" t="str">
        <f>VLOOKUP(TABLA_STOCK[Codigo],LISTADO_PRODUCTOS[#All],3)</f>
        <v>PAPELERIA Y ARTISTICA</v>
      </c>
      <c r="D412" s="6" t="str">
        <f>VLOOKUP(TABLA_STOCK[Codigo],LISTADO_PRODUCTOS[#All],4)</f>
        <v>Pistola para silicona fina Suprabond Hx-100 diseños especiales</v>
      </c>
      <c r="E412" s="6" t="str">
        <f>VLOOKUP(TABLA_STOCK[Codigo],LISTADO_PRODUCTOS[#All],5)</f>
        <v>N/A</v>
      </c>
      <c r="F412" s="4">
        <v>5</v>
      </c>
      <c r="G412" s="4">
        <v>6</v>
      </c>
    </row>
    <row r="413" spans="1:7" x14ac:dyDescent="0.3">
      <c r="A413" s="4">
        <v>2104</v>
      </c>
      <c r="B413" s="4">
        <f>VLOOKUP(TABLA_STOCK[Codigo],LISTADO_PRODUCTOS[#All],2)</f>
        <v>54584</v>
      </c>
      <c r="C413" s="6" t="str">
        <f>VLOOKUP(TABLA_STOCK[Codigo],LISTADO_PRODUCTOS[#All],3)</f>
        <v>PAPELERIA Y ARTISTICA</v>
      </c>
      <c r="D413" s="6" t="str">
        <f>VLOOKUP(TABLA_STOCK[Codigo],LISTADO_PRODUCTOS[#All],4)</f>
        <v>Pistola para silicona gruesa Suprabond</v>
      </c>
      <c r="E413" s="6" t="str">
        <f>VLOOKUP(TABLA_STOCK[Codigo],LISTADO_PRODUCTOS[#All],5)</f>
        <v>N/A</v>
      </c>
      <c r="F413" s="4">
        <v>2</v>
      </c>
      <c r="G413" s="4">
        <v>5</v>
      </c>
    </row>
    <row r="414" spans="1:7" x14ac:dyDescent="0.3">
      <c r="A414" s="4">
        <v>2105</v>
      </c>
      <c r="B414" s="4">
        <f>VLOOKUP(TABLA_STOCK[Codigo],LISTADO_PRODUCTOS[#All],2)</f>
        <v>54585</v>
      </c>
      <c r="C414" s="6" t="str">
        <f>VLOOKUP(TABLA_STOCK[Codigo],LISTADO_PRODUCTOS[#All],3)</f>
        <v>PAPELERIA Y ARTISTICA</v>
      </c>
      <c r="D414" s="6" t="str">
        <f>VLOOKUP(TABLA_STOCK[Codigo],LISTADO_PRODUCTOS[#All],4)</f>
        <v>Yeso Paris</v>
      </c>
      <c r="E414" s="6" t="str">
        <f>VLOOKUP(TABLA_STOCK[Codigo],LISTADO_PRODUCTOS[#All],5)</f>
        <v>N/A</v>
      </c>
      <c r="F414" s="4">
        <v>2</v>
      </c>
      <c r="G414" s="4">
        <v>52</v>
      </c>
    </row>
    <row r="415" spans="1:7" x14ac:dyDescent="0.3">
      <c r="A415" s="4">
        <v>2106</v>
      </c>
      <c r="B415" s="4">
        <f>VLOOKUP(TABLA_STOCK[Codigo],LISTADO_PRODUCTOS[#All],2)</f>
        <v>54586</v>
      </c>
      <c r="C415" s="6" t="str">
        <f>VLOOKUP(TABLA_STOCK[Codigo],LISTADO_PRODUCTOS[#All],3)</f>
        <v>PAPELERIA Y ARTISTICA</v>
      </c>
      <c r="D415" s="6" t="str">
        <f>VLOOKUP(TABLA_STOCK[Codigo],LISTADO_PRODUCTOS[#All],4)</f>
        <v>Silicona Liquida Unipox ge 24ml</v>
      </c>
      <c r="E415" s="6" t="str">
        <f>VLOOKUP(TABLA_STOCK[Codigo],LISTADO_PRODUCTOS[#All],5)</f>
        <v>N/A</v>
      </c>
      <c r="F415" s="4">
        <v>10</v>
      </c>
      <c r="G415" s="4">
        <v>32</v>
      </c>
    </row>
    <row r="416" spans="1:7" x14ac:dyDescent="0.3">
      <c r="A416" s="4">
        <v>2108</v>
      </c>
      <c r="B416" s="4">
        <f>VLOOKUP(TABLA_STOCK[Codigo],LISTADO_PRODUCTOS[#All],2)</f>
        <v>54587</v>
      </c>
      <c r="C416" s="6" t="str">
        <f>VLOOKUP(TABLA_STOCK[Codigo],LISTADO_PRODUCTOS[#All],3)</f>
        <v>PAPELERIA Y ARTISTICA</v>
      </c>
      <c r="D416" s="6" t="str">
        <f>VLOOKUP(TABLA_STOCK[Codigo],LISTADO_PRODUCTOS[#All],4)</f>
        <v>Brillantina Gibre Sifap blister x 5u</v>
      </c>
      <c r="E416" s="6" t="str">
        <f>VLOOKUP(TABLA_STOCK[Codigo],LISTADO_PRODUCTOS[#All],5)</f>
        <v>N/A</v>
      </c>
      <c r="F416" s="4">
        <v>20</v>
      </c>
      <c r="G416" s="4">
        <v>56</v>
      </c>
    </row>
    <row r="417" spans="1:7" x14ac:dyDescent="0.3">
      <c r="A417" s="4">
        <v>2109</v>
      </c>
      <c r="B417" s="4">
        <f>VLOOKUP(TABLA_STOCK[Codigo],LISTADO_PRODUCTOS[#All],2)</f>
        <v>54588</v>
      </c>
      <c r="C417" s="6" t="str">
        <f>VLOOKUP(TABLA_STOCK[Codigo],LISTADO_PRODUCTOS[#All],3)</f>
        <v>PAPELERIA Y ARTISTICA</v>
      </c>
      <c r="D417" s="6" t="str">
        <f>VLOOKUP(TABLA_STOCK[Codigo],LISTADO_PRODUCTOS[#All],4)</f>
        <v>Chinche Forrada Sifap x 80u</v>
      </c>
      <c r="E417" s="6" t="str">
        <f>VLOOKUP(TABLA_STOCK[Codigo],LISTADO_PRODUCTOS[#All],5)</f>
        <v>N/A</v>
      </c>
      <c r="F417" s="4">
        <v>5</v>
      </c>
      <c r="G417" s="4">
        <v>107</v>
      </c>
    </row>
    <row r="418" spans="1:7" x14ac:dyDescent="0.3">
      <c r="A418" s="4">
        <v>2111</v>
      </c>
      <c r="B418" s="4">
        <f>VLOOKUP(TABLA_STOCK[Codigo],LISTADO_PRODUCTOS[#All],2)</f>
        <v>54589</v>
      </c>
      <c r="C418" s="6" t="str">
        <f>VLOOKUP(TABLA_STOCK[Codigo],LISTADO_PRODUCTOS[#All],3)</f>
        <v>PAPELERIA Y ARTISTICA</v>
      </c>
      <c r="D418" s="6" t="str">
        <f>VLOOKUP(TABLA_STOCK[Codigo],LISTADO_PRODUCTOS[#All],4)</f>
        <v>Sobre carta chico blanco</v>
      </c>
      <c r="E418" s="6" t="str">
        <f>VLOOKUP(TABLA_STOCK[Codigo],LISTADO_PRODUCTOS[#All],5)</f>
        <v>N/A</v>
      </c>
      <c r="F418" s="4">
        <v>1</v>
      </c>
      <c r="G418" s="4">
        <v>25</v>
      </c>
    </row>
    <row r="419" spans="1:7" x14ac:dyDescent="0.3">
      <c r="A419" s="4">
        <v>2113</v>
      </c>
      <c r="B419" s="4">
        <f>VLOOKUP(TABLA_STOCK[Codigo],LISTADO_PRODUCTOS[#All],2)</f>
        <v>54590</v>
      </c>
      <c r="C419" s="6" t="str">
        <f>VLOOKUP(TABLA_STOCK[Codigo],LISTADO_PRODUCTOS[#All],3)</f>
        <v>PAPELERIA Y ARTISTICA</v>
      </c>
      <c r="D419" s="6" t="str">
        <f>VLOOKUP(TABLA_STOCK[Codigo],LISTADO_PRODUCTOS[#All],4)</f>
        <v>Sobre Oficio ingles Blanco</v>
      </c>
      <c r="E419" s="6" t="str">
        <f>VLOOKUP(TABLA_STOCK[Codigo],LISTADO_PRODUCTOS[#All],5)</f>
        <v>N/A</v>
      </c>
      <c r="F419" s="4">
        <v>5</v>
      </c>
      <c r="G419" s="4">
        <v>32</v>
      </c>
    </row>
    <row r="420" spans="1:7" x14ac:dyDescent="0.3">
      <c r="A420" s="4">
        <v>2114</v>
      </c>
      <c r="B420" s="4">
        <f>VLOOKUP(TABLA_STOCK[Codigo],LISTADO_PRODUCTOS[#All],2)</f>
        <v>54591</v>
      </c>
      <c r="C420" s="6" t="str">
        <f>VLOOKUP(TABLA_STOCK[Codigo],LISTADO_PRODUCTOS[#All],3)</f>
        <v>PAPELERIA Y ARTISTICA</v>
      </c>
      <c r="D420" s="6" t="str">
        <f>VLOOKUP(TABLA_STOCK[Codigo],LISTADO_PRODUCTOS[#All],4)</f>
        <v>Cinta de embalar 48mm x 100mts</v>
      </c>
      <c r="E420" s="6" t="str">
        <f>VLOOKUP(TABLA_STOCK[Codigo],LISTADO_PRODUCTOS[#All],5)</f>
        <v>N/A</v>
      </c>
      <c r="F420" s="4">
        <v>2</v>
      </c>
      <c r="G420" s="4">
        <v>150</v>
      </c>
    </row>
    <row r="421" spans="1:7" x14ac:dyDescent="0.3">
      <c r="A421" s="4">
        <v>2115</v>
      </c>
      <c r="B421" s="4">
        <f>VLOOKUP(TABLA_STOCK[Codigo],LISTADO_PRODUCTOS[#All],2)</f>
        <v>54592</v>
      </c>
      <c r="C421" s="6" t="str">
        <f>VLOOKUP(TABLA_STOCK[Codigo],LISTADO_PRODUCTOS[#All],3)</f>
        <v>PAPELERIA Y ARTISTICA</v>
      </c>
      <c r="D421" s="6" t="str">
        <f>VLOOKUP(TABLA_STOCK[Codigo],LISTADO_PRODUCTOS[#All],4)</f>
        <v>Imanes Flexibles autoadhesivos A4 Sifap x plancha</v>
      </c>
      <c r="E421" s="6" t="str">
        <f>VLOOKUP(TABLA_STOCK[Codigo],LISTADO_PRODUCTOS[#All],5)</f>
        <v>N/A</v>
      </c>
      <c r="F421" s="4">
        <v>2</v>
      </c>
      <c r="G421" s="4">
        <v>20</v>
      </c>
    </row>
    <row r="422" spans="1:7" x14ac:dyDescent="0.3">
      <c r="A422" s="4">
        <v>2119</v>
      </c>
      <c r="B422" s="4">
        <f>VLOOKUP(TABLA_STOCK[Codigo],LISTADO_PRODUCTOS[#All],2)</f>
        <v>54593</v>
      </c>
      <c r="C422" s="6" t="str">
        <f>VLOOKUP(TABLA_STOCK[Codigo],LISTADO_PRODUCTOS[#All],3)</f>
        <v>PAPELERIA Y ARTISTICA</v>
      </c>
      <c r="D422" s="6" t="str">
        <f>VLOOKUP(TABLA_STOCK[Codigo],LISTADO_PRODUCTOS[#All],4)</f>
        <v>Adhesivo en barra Ezco 21grs</v>
      </c>
      <c r="E422" s="6" t="str">
        <f>VLOOKUP(TABLA_STOCK[Codigo],LISTADO_PRODUCTOS[#All],5)</f>
        <v>N/A</v>
      </c>
      <c r="F422" s="4">
        <v>10</v>
      </c>
      <c r="G422" s="4">
        <v>19</v>
      </c>
    </row>
    <row r="423" spans="1:7" x14ac:dyDescent="0.3">
      <c r="A423" s="4">
        <v>2120</v>
      </c>
      <c r="B423" s="4">
        <f>VLOOKUP(TABLA_STOCK[Codigo],LISTADO_PRODUCTOS[#All],2)</f>
        <v>54594</v>
      </c>
      <c r="C423" s="6" t="str">
        <f>VLOOKUP(TABLA_STOCK[Codigo],LISTADO_PRODUCTOS[#All],3)</f>
        <v>PAPELERIA Y ARTISTICA</v>
      </c>
      <c r="D423" s="6" t="str">
        <f>VLOOKUP(TABLA_STOCK[Codigo],LISTADO_PRODUCTOS[#All],4)</f>
        <v>Adhesivo en barra Giotto 36g</v>
      </c>
      <c r="E423" s="6" t="str">
        <f>VLOOKUP(TABLA_STOCK[Codigo],LISTADO_PRODUCTOS[#All],5)</f>
        <v>N/A</v>
      </c>
      <c r="F423" s="4">
        <v>20</v>
      </c>
      <c r="G423" s="4">
        <v>6</v>
      </c>
    </row>
    <row r="424" spans="1:7" x14ac:dyDescent="0.3">
      <c r="A424" s="4">
        <v>2200</v>
      </c>
      <c r="B424" s="4">
        <f>VLOOKUP(TABLA_STOCK[Codigo],LISTADO_PRODUCTOS[#All],2)</f>
        <v>54595</v>
      </c>
      <c r="C424" s="6" t="str">
        <f>VLOOKUP(TABLA_STOCK[Codigo],LISTADO_PRODUCTOS[#All],3)</f>
        <v>PAPELERIA Y ARTISTICA</v>
      </c>
      <c r="D424" s="6" t="str">
        <f>VLOOKUP(TABLA_STOCK[Codigo],LISTADO_PRODUCTOS[#All],4)</f>
        <v>Cinta scotch transparente 18mm x 25mt</v>
      </c>
      <c r="E424" s="6" t="str">
        <f>VLOOKUP(TABLA_STOCK[Codigo],LISTADO_PRODUCTOS[#All],5)</f>
        <v>N/A</v>
      </c>
      <c r="F424" s="4">
        <v>5</v>
      </c>
      <c r="G424" s="4">
        <v>5</v>
      </c>
    </row>
    <row r="425" spans="1:7" x14ac:dyDescent="0.3">
      <c r="A425" s="4">
        <v>2220</v>
      </c>
      <c r="B425" s="4">
        <f>VLOOKUP(TABLA_STOCK[Codigo],LISTADO_PRODUCTOS[#All],2)</f>
        <v>54596</v>
      </c>
      <c r="C425" s="6" t="str">
        <f>VLOOKUP(TABLA_STOCK[Codigo],LISTADO_PRODUCTOS[#All],3)</f>
        <v>PAPELERIA Y ARTISTICA</v>
      </c>
      <c r="D425" s="6" t="str">
        <f>VLOOKUP(TABLA_STOCK[Codigo],LISTADO_PRODUCTOS[#All],4)</f>
        <v>Cinta Scotch 18mm x 30m</v>
      </c>
      <c r="E425" s="6" t="str">
        <f>VLOOKUP(TABLA_STOCK[Codigo],LISTADO_PRODUCTOS[#All],5)</f>
        <v>N/A</v>
      </c>
      <c r="F425" s="4">
        <v>1</v>
      </c>
      <c r="G425" s="4">
        <v>52</v>
      </c>
    </row>
    <row r="426" spans="1:7" x14ac:dyDescent="0.3">
      <c r="A426" s="4">
        <v>2221</v>
      </c>
      <c r="B426" s="4">
        <f>VLOOKUP(TABLA_STOCK[Codigo],LISTADO_PRODUCTOS[#All],2)</f>
        <v>54597</v>
      </c>
      <c r="C426" s="6" t="str">
        <f>VLOOKUP(TABLA_STOCK[Codigo],LISTADO_PRODUCTOS[#All],3)</f>
        <v>PAPELERIA Y ARTISTICA</v>
      </c>
      <c r="D426" s="6" t="str">
        <f>VLOOKUP(TABLA_STOCK[Codigo],LISTADO_PRODUCTOS[#All],4)</f>
        <v>Cinta confitera</v>
      </c>
      <c r="E426" s="6" t="str">
        <f>VLOOKUP(TABLA_STOCK[Codigo],LISTADO_PRODUCTOS[#All],5)</f>
        <v>N/A</v>
      </c>
      <c r="F426" s="4">
        <v>5</v>
      </c>
      <c r="G426" s="4">
        <v>32</v>
      </c>
    </row>
    <row r="427" spans="1:7" x14ac:dyDescent="0.3">
      <c r="A427" s="4">
        <v>2222</v>
      </c>
      <c r="B427" s="4">
        <f>VLOOKUP(TABLA_STOCK[Codigo],LISTADO_PRODUCTOS[#All],2)</f>
        <v>54598</v>
      </c>
      <c r="C427" s="6" t="str">
        <f>VLOOKUP(TABLA_STOCK[Codigo],LISTADO_PRODUCTOS[#All],3)</f>
        <v>PAPELERIA Y ARTISTICA</v>
      </c>
      <c r="D427" s="6" t="str">
        <f>VLOOKUP(TABLA_STOCK[Codigo],LISTADO_PRODUCTOS[#All],4)</f>
        <v>Cinta embalar 48mm x 50m Stiko</v>
      </c>
      <c r="E427" s="6" t="str">
        <f>VLOOKUP(TABLA_STOCK[Codigo],LISTADO_PRODUCTOS[#All],5)</f>
        <v>N/A</v>
      </c>
      <c r="F427" s="4">
        <v>2</v>
      </c>
      <c r="G427" s="4">
        <v>56</v>
      </c>
    </row>
    <row r="428" spans="1:7" x14ac:dyDescent="0.3">
      <c r="A428" s="4">
        <v>2113</v>
      </c>
      <c r="B428" s="4">
        <f>VLOOKUP(TABLA_STOCK[Codigo],LISTADO_PRODUCTOS[#All],2)</f>
        <v>54590</v>
      </c>
      <c r="C428" s="6" t="str">
        <f>VLOOKUP(TABLA_STOCK[Codigo],LISTADO_PRODUCTOS[#All],3)</f>
        <v>PAPELERIA Y ARTISTICA</v>
      </c>
      <c r="D428" s="6" t="str">
        <f>VLOOKUP(TABLA_STOCK[Codigo],LISTADO_PRODUCTOS[#All],4)</f>
        <v>Sobre Oficio ingles Blanco</v>
      </c>
      <c r="E428" s="6" t="str">
        <f>VLOOKUP(TABLA_STOCK[Codigo],LISTADO_PRODUCTOS[#All],5)</f>
        <v>N/A</v>
      </c>
      <c r="F428" s="4">
        <v>2</v>
      </c>
      <c r="G428" s="4">
        <v>107</v>
      </c>
    </row>
    <row r="429" spans="1:7" x14ac:dyDescent="0.3">
      <c r="A429" s="4">
        <v>2119</v>
      </c>
      <c r="B429" s="4">
        <f>VLOOKUP(TABLA_STOCK[Codigo],LISTADO_PRODUCTOS[#All],2)</f>
        <v>54593</v>
      </c>
      <c r="C429" s="6" t="str">
        <f>VLOOKUP(TABLA_STOCK[Codigo],LISTADO_PRODUCTOS[#All],3)</f>
        <v>PAPELERIA Y ARTISTICA</v>
      </c>
      <c r="D429" s="6" t="str">
        <f>VLOOKUP(TABLA_STOCK[Codigo],LISTADO_PRODUCTOS[#All],4)</f>
        <v>Adhesivo en barra Ezco 21grs</v>
      </c>
      <c r="E429" s="6" t="str">
        <f>VLOOKUP(TABLA_STOCK[Codigo],LISTADO_PRODUCTOS[#All],5)</f>
        <v>N/A</v>
      </c>
      <c r="F429" s="4">
        <v>10</v>
      </c>
      <c r="G429" s="4">
        <v>25</v>
      </c>
    </row>
    <row r="430" spans="1:7" x14ac:dyDescent="0.3">
      <c r="A430" s="4">
        <v>2120</v>
      </c>
      <c r="B430" s="4">
        <f>VLOOKUP(TABLA_STOCK[Codigo],LISTADO_PRODUCTOS[#All],2)</f>
        <v>54594</v>
      </c>
      <c r="C430" s="6" t="str">
        <f>VLOOKUP(TABLA_STOCK[Codigo],LISTADO_PRODUCTOS[#All],3)</f>
        <v>PAPELERIA Y ARTISTICA</v>
      </c>
      <c r="D430" s="6" t="str">
        <f>VLOOKUP(TABLA_STOCK[Codigo],LISTADO_PRODUCTOS[#All],4)</f>
        <v>Adhesivo en barra Giotto 36g</v>
      </c>
      <c r="E430" s="6" t="str">
        <f>VLOOKUP(TABLA_STOCK[Codigo],LISTADO_PRODUCTOS[#All],5)</f>
        <v>N/A</v>
      </c>
      <c r="F430" s="4">
        <v>20</v>
      </c>
      <c r="G430" s="4">
        <v>32</v>
      </c>
    </row>
    <row r="431" spans="1:7" x14ac:dyDescent="0.3">
      <c r="A431" s="4">
        <v>2127</v>
      </c>
      <c r="B431" s="4">
        <f>VLOOKUP(TABLA_STOCK[Codigo],LISTADO_PRODUCTOS[#All],2)</f>
        <v>54594</v>
      </c>
      <c r="C431" s="6" t="str">
        <f>VLOOKUP(TABLA_STOCK[Codigo],LISTADO_PRODUCTOS[#All],3)</f>
        <v>PAPELERIA Y ARTISTICA</v>
      </c>
      <c r="D431" s="6" t="str">
        <f>VLOOKUP(TABLA_STOCK[Codigo],LISTADO_PRODUCTOS[#All],4)</f>
        <v>Adhesivo en barra Giotto 36g</v>
      </c>
      <c r="E431" s="6" t="str">
        <f>VLOOKUP(TABLA_STOCK[Codigo],LISTADO_PRODUCTOS[#All],5)</f>
        <v>N/A</v>
      </c>
      <c r="F431" s="4">
        <v>5</v>
      </c>
      <c r="G431" s="4">
        <v>150</v>
      </c>
    </row>
    <row r="432" spans="1:7" x14ac:dyDescent="0.3">
      <c r="A432" s="4">
        <v>2125</v>
      </c>
      <c r="B432" s="4">
        <f>VLOOKUP(TABLA_STOCK[Codigo],LISTADO_PRODUCTOS[#All],2)</f>
        <v>54594</v>
      </c>
      <c r="C432" s="6" t="str">
        <f>VLOOKUP(TABLA_STOCK[Codigo],LISTADO_PRODUCTOS[#All],3)</f>
        <v>PAPELERIA Y ARTISTICA</v>
      </c>
      <c r="D432" s="6" t="str">
        <f>VLOOKUP(TABLA_STOCK[Codigo],LISTADO_PRODUCTOS[#All],4)</f>
        <v>Adhesivo en barra Giotto 36g</v>
      </c>
      <c r="E432" s="6" t="str">
        <f>VLOOKUP(TABLA_STOCK[Codigo],LISTADO_PRODUCTOS[#All],5)</f>
        <v>N/A</v>
      </c>
      <c r="F432" s="4">
        <v>1</v>
      </c>
      <c r="G432" s="4">
        <v>20</v>
      </c>
    </row>
    <row r="433" spans="1:7" x14ac:dyDescent="0.3">
      <c r="A433" s="4">
        <v>2226</v>
      </c>
      <c r="B433" s="4">
        <f>VLOOKUP(TABLA_STOCK[Codigo],LISTADO_PRODUCTOS[#All],2)</f>
        <v>54604</v>
      </c>
      <c r="C433" s="6" t="str">
        <f>VLOOKUP(TABLA_STOCK[Codigo],LISTADO_PRODUCTOS[#All],3)</f>
        <v>PAPELERIA Y ARTISTICA</v>
      </c>
      <c r="D433" s="6" t="str">
        <f>VLOOKUP(TABLA_STOCK[Codigo],LISTADO_PRODUCTOS[#All],4)</f>
        <v>Tiza Giotto Color x 10</v>
      </c>
      <c r="E433" s="6" t="str">
        <f>VLOOKUP(TABLA_STOCK[Codigo],LISTADO_PRODUCTOS[#All],5)</f>
        <v>N/A</v>
      </c>
      <c r="F433" s="4">
        <v>5</v>
      </c>
      <c r="G433" s="4">
        <v>19</v>
      </c>
    </row>
    <row r="434" spans="1:7" x14ac:dyDescent="0.3">
      <c r="A434" s="4">
        <v>2227</v>
      </c>
      <c r="B434" s="4">
        <f>VLOOKUP(TABLA_STOCK[Codigo],LISTADO_PRODUCTOS[#All],2)</f>
        <v>54605</v>
      </c>
      <c r="C434" s="6" t="str">
        <f>VLOOKUP(TABLA_STOCK[Codigo],LISTADO_PRODUCTOS[#All],3)</f>
        <v>PAPELERIA Y ARTISTICA</v>
      </c>
      <c r="D434" s="6" t="str">
        <f>VLOOKUP(TABLA_STOCK[Codigo],LISTADO_PRODUCTOS[#All],4)</f>
        <v>Tiza Playcolor/Giotto Blanca x 12</v>
      </c>
      <c r="E434" s="6" t="str">
        <f>VLOOKUP(TABLA_STOCK[Codigo],LISTADO_PRODUCTOS[#All],5)</f>
        <v>N/A</v>
      </c>
      <c r="F434" s="4">
        <v>2</v>
      </c>
      <c r="G434" s="4">
        <v>6</v>
      </c>
    </row>
    <row r="435" spans="1:7" x14ac:dyDescent="0.3">
      <c r="A435" s="4">
        <v>2228</v>
      </c>
      <c r="B435" s="4">
        <f>VLOOKUP(TABLA_STOCK[Codigo],LISTADO_PRODUCTOS[#All],2)</f>
        <v>54606</v>
      </c>
      <c r="C435" s="6" t="str">
        <f>VLOOKUP(TABLA_STOCK[Codigo],LISTADO_PRODUCTOS[#All],3)</f>
        <v>PAPELERIA Y ARTISTICA</v>
      </c>
      <c r="D435" s="6" t="str">
        <f>VLOOKUP(TABLA_STOCK[Codigo],LISTADO_PRODUCTOS[#All],4)</f>
        <v>Palitos de helado natural x 50</v>
      </c>
      <c r="E435" s="6" t="str">
        <f>VLOOKUP(TABLA_STOCK[Codigo],LISTADO_PRODUCTOS[#All],5)</f>
        <v>N/A</v>
      </c>
      <c r="F435" s="4">
        <v>10</v>
      </c>
      <c r="G435" s="4">
        <v>5</v>
      </c>
    </row>
    <row r="436" spans="1:7" x14ac:dyDescent="0.3">
      <c r="A436" s="4">
        <v>2233</v>
      </c>
      <c r="B436" s="4">
        <f>VLOOKUP(TABLA_STOCK[Codigo],LISTADO_PRODUCTOS[#All],2)</f>
        <v>54607</v>
      </c>
      <c r="C436" s="6" t="str">
        <f>VLOOKUP(TABLA_STOCK[Codigo],LISTADO_PRODUCTOS[#All],3)</f>
        <v>PAPELERIA Y ARTISTICA</v>
      </c>
      <c r="D436" s="6" t="str">
        <f>VLOOKUP(TABLA_STOCK[Codigo],LISTADO_PRODUCTOS[#All],4)</f>
        <v>Tiza Blanca Giotto x 100</v>
      </c>
      <c r="E436" s="6" t="str">
        <f>VLOOKUP(TABLA_STOCK[Codigo],LISTADO_PRODUCTOS[#All],5)</f>
        <v>N/A</v>
      </c>
      <c r="F436" s="4">
        <v>20</v>
      </c>
      <c r="G436" s="4">
        <v>52</v>
      </c>
    </row>
    <row r="437" spans="1:7" x14ac:dyDescent="0.3">
      <c r="A437" s="4">
        <v>2237</v>
      </c>
      <c r="B437" s="4">
        <f>VLOOKUP(TABLA_STOCK[Codigo],LISTADO_PRODUCTOS[#All],2)</f>
        <v>54608</v>
      </c>
      <c r="C437" s="6" t="str">
        <f>VLOOKUP(TABLA_STOCK[Codigo],LISTADO_PRODUCTOS[#All],3)</f>
        <v>PAPELERIA Y ARTISTICA</v>
      </c>
      <c r="D437" s="6" t="str">
        <f>VLOOKUP(TABLA_STOCK[Codigo],LISTADO_PRODUCTOS[#All],4)</f>
        <v>Diamantina Maped</v>
      </c>
      <c r="E437" s="6" t="str">
        <f>VLOOKUP(TABLA_STOCK[Codigo],LISTADO_PRODUCTOS[#All],5)</f>
        <v>N/A</v>
      </c>
      <c r="F437" s="4">
        <v>5</v>
      </c>
      <c r="G437" s="4">
        <v>32</v>
      </c>
    </row>
    <row r="438" spans="1:7" x14ac:dyDescent="0.3">
      <c r="A438" s="4">
        <v>2238</v>
      </c>
      <c r="B438" s="4">
        <f>VLOOKUP(TABLA_STOCK[Codigo],LISTADO_PRODUCTOS[#All],2)</f>
        <v>54609</v>
      </c>
      <c r="C438" s="6" t="str">
        <f>VLOOKUP(TABLA_STOCK[Codigo],LISTADO_PRODUCTOS[#All],3)</f>
        <v>PAPELERIA Y ARTISTICA</v>
      </c>
      <c r="D438" s="6" t="str">
        <f>VLOOKUP(TABLA_STOCK[Codigo],LISTADO_PRODUCTOS[#All],4)</f>
        <v>Tempera Señorita Comun x 250ml</v>
      </c>
      <c r="E438" s="6" t="str">
        <f>VLOOKUP(TABLA_STOCK[Codigo],LISTADO_PRODUCTOS[#All],5)</f>
        <v>N/A</v>
      </c>
      <c r="F438" s="4">
        <v>1</v>
      </c>
      <c r="G438" s="4">
        <v>56</v>
      </c>
    </row>
    <row r="439" spans="1:7" x14ac:dyDescent="0.3">
      <c r="A439" s="4">
        <v>2239</v>
      </c>
      <c r="B439" s="4">
        <f>VLOOKUP(TABLA_STOCK[Codigo],LISTADO_PRODUCTOS[#All],2)</f>
        <v>54610</v>
      </c>
      <c r="C439" s="6" t="str">
        <f>VLOOKUP(TABLA_STOCK[Codigo],LISTADO_PRODUCTOS[#All],3)</f>
        <v>PAPELERIA Y ARTISTICA</v>
      </c>
      <c r="D439" s="6" t="str">
        <f>VLOOKUP(TABLA_STOCK[Codigo],LISTADO_PRODUCTOS[#All],4)</f>
        <v>Tempera Señorita FLUO x 250ml</v>
      </c>
      <c r="E439" s="6" t="str">
        <f>VLOOKUP(TABLA_STOCK[Codigo],LISTADO_PRODUCTOS[#All],5)</f>
        <v>N/A</v>
      </c>
      <c r="F439" s="4">
        <v>5</v>
      </c>
      <c r="G439" s="4">
        <v>107</v>
      </c>
    </row>
    <row r="440" spans="1:7" x14ac:dyDescent="0.3">
      <c r="A440" s="4">
        <v>2240</v>
      </c>
      <c r="B440" s="4">
        <f>VLOOKUP(TABLA_STOCK[Codigo],LISTADO_PRODUCTOS[#All],2)</f>
        <v>54611</v>
      </c>
      <c r="C440" s="6" t="str">
        <f>VLOOKUP(TABLA_STOCK[Codigo],LISTADO_PRODUCTOS[#All],3)</f>
        <v>PAPELERIA Y ARTISTICA</v>
      </c>
      <c r="D440" s="6" t="str">
        <f>VLOOKUP(TABLA_STOCK[Codigo],LISTADO_PRODUCTOS[#All],4)</f>
        <v>Tempera Señorita Metalizado x 250ml</v>
      </c>
      <c r="E440" s="6" t="str">
        <f>VLOOKUP(TABLA_STOCK[Codigo],LISTADO_PRODUCTOS[#All],5)</f>
        <v>N/A</v>
      </c>
      <c r="F440" s="4">
        <v>2</v>
      </c>
      <c r="G440" s="4">
        <v>25</v>
      </c>
    </row>
    <row r="441" spans="1:7" x14ac:dyDescent="0.3">
      <c r="A441" s="4">
        <v>2255</v>
      </c>
      <c r="B441" s="4">
        <f>VLOOKUP(TABLA_STOCK[Codigo],LISTADO_PRODUCTOS[#All],2)</f>
        <v>54612</v>
      </c>
      <c r="C441" s="6" t="str">
        <f>VLOOKUP(TABLA_STOCK[Codigo],LISTADO_PRODUCTOS[#All],3)</f>
        <v>PAPELERIA Y ARTISTICA</v>
      </c>
      <c r="D441" s="6" t="str">
        <f>VLOOKUP(TABLA_STOCK[Codigo],LISTADO_PRODUCTOS[#All],4)</f>
        <v>Acuarela Filgo x 12u</v>
      </c>
      <c r="E441" s="6" t="str">
        <f>VLOOKUP(TABLA_STOCK[Codigo],LISTADO_PRODUCTOS[#All],5)</f>
        <v>N/A</v>
      </c>
      <c r="F441" s="4">
        <v>2</v>
      </c>
      <c r="G441" s="4">
        <v>32</v>
      </c>
    </row>
    <row r="442" spans="1:7" x14ac:dyDescent="0.3">
      <c r="A442" s="4">
        <v>2311</v>
      </c>
      <c r="B442" s="4">
        <f>VLOOKUP(TABLA_STOCK[Codigo],LISTADO_PRODUCTOS[#All],2)</f>
        <v>54613</v>
      </c>
      <c r="C442" s="6" t="str">
        <f>VLOOKUP(TABLA_STOCK[Codigo],LISTADO_PRODUCTOS[#All],3)</f>
        <v>PAPELERIA Y ARTISTICA</v>
      </c>
      <c r="D442" s="6" t="str">
        <f>VLOOKUP(TABLA_STOCK[Codigo],LISTADO_PRODUCTOS[#All],4)</f>
        <v>Lentejuelas sifap x9 surt</v>
      </c>
      <c r="E442" s="6" t="str">
        <f>VLOOKUP(TABLA_STOCK[Codigo],LISTADO_PRODUCTOS[#All],5)</f>
        <v>N/A</v>
      </c>
      <c r="F442" s="4">
        <v>10</v>
      </c>
      <c r="G442" s="4">
        <v>150</v>
      </c>
    </row>
    <row r="443" spans="1:7" x14ac:dyDescent="0.3">
      <c r="A443" s="4">
        <v>2315</v>
      </c>
      <c r="B443" s="4">
        <f>VLOOKUP(TABLA_STOCK[Codigo],LISTADO_PRODUCTOS[#All],2)</f>
        <v>54614</v>
      </c>
      <c r="C443" s="6" t="str">
        <f>VLOOKUP(TABLA_STOCK[Codigo],LISTADO_PRODUCTOS[#All],3)</f>
        <v>PAPELERIA Y ARTISTICA</v>
      </c>
      <c r="D443" s="6" t="str">
        <f>VLOOKUP(TABLA_STOCK[Codigo],LISTADO_PRODUCTOS[#All],4)</f>
        <v xml:space="preserve">Pintura dimensional eterna colores </v>
      </c>
      <c r="E443" s="6" t="str">
        <f>VLOOKUP(TABLA_STOCK[Codigo],LISTADO_PRODUCTOS[#All],5)</f>
        <v>N/A</v>
      </c>
      <c r="F443" s="4">
        <v>20</v>
      </c>
      <c r="G443" s="4">
        <v>20</v>
      </c>
    </row>
    <row r="444" spans="1:7" x14ac:dyDescent="0.3">
      <c r="A444" s="4">
        <v>2317</v>
      </c>
      <c r="B444" s="4">
        <f>VLOOKUP(TABLA_STOCK[Codigo],LISTADO_PRODUCTOS[#All],2)</f>
        <v>54615</v>
      </c>
      <c r="C444" s="6" t="str">
        <f>VLOOKUP(TABLA_STOCK[Codigo],LISTADO_PRODUCTOS[#All],3)</f>
        <v>PAPELERIA Y ARTISTICA</v>
      </c>
      <c r="D444" s="6" t="str">
        <f>VLOOKUP(TABLA_STOCK[Codigo],LISTADO_PRODUCTOS[#All],4)</f>
        <v>Anilina Yacolor</v>
      </c>
      <c r="E444" s="6" t="str">
        <f>VLOOKUP(TABLA_STOCK[Codigo],LISTADO_PRODUCTOS[#All],5)</f>
        <v>N/A</v>
      </c>
      <c r="F444" s="4">
        <v>5</v>
      </c>
      <c r="G444" s="4">
        <v>19</v>
      </c>
    </row>
    <row r="445" spans="1:7" x14ac:dyDescent="0.3">
      <c r="A445" s="4">
        <v>2318</v>
      </c>
      <c r="B445" s="4">
        <f>VLOOKUP(TABLA_STOCK[Codigo],LISTADO_PRODUCTOS[#All],2)</f>
        <v>54616</v>
      </c>
      <c r="C445" s="6" t="str">
        <f>VLOOKUP(TABLA_STOCK[Codigo],LISTADO_PRODUCTOS[#All],3)</f>
        <v>PAPELERIA Y ARTISTICA</v>
      </c>
      <c r="D445" s="6" t="str">
        <f>VLOOKUP(TABLA_STOCK[Codigo],LISTADO_PRODUCTOS[#All],4)</f>
        <v>Block Nº6 Capitolio Fluo x 16h</v>
      </c>
      <c r="E445" s="6" t="str">
        <f>VLOOKUP(TABLA_STOCK[Codigo],LISTADO_PRODUCTOS[#All],5)</f>
        <v>N/A</v>
      </c>
      <c r="F445" s="4">
        <v>1</v>
      </c>
      <c r="G445" s="4">
        <v>6</v>
      </c>
    </row>
    <row r="446" spans="1:7" x14ac:dyDescent="0.3">
      <c r="A446" s="4">
        <v>2320</v>
      </c>
      <c r="B446" s="4">
        <f>VLOOKUP(TABLA_STOCK[Codigo],LISTADO_PRODUCTOS[#All],2)</f>
        <v>54617</v>
      </c>
      <c r="C446" s="6" t="str">
        <f>VLOOKUP(TABLA_STOCK[Codigo],LISTADO_PRODUCTOS[#All],3)</f>
        <v>PAPELERIA Y ARTISTICA</v>
      </c>
      <c r="D446" s="6" t="str">
        <f>VLOOKUP(TABLA_STOCK[Codigo],LISTADO_PRODUCTOS[#All],4)</f>
        <v>Cutter Olami 18mm Mango de goma</v>
      </c>
      <c r="E446" s="6" t="str">
        <f>VLOOKUP(TABLA_STOCK[Codigo],LISTADO_PRODUCTOS[#All],5)</f>
        <v>N/A</v>
      </c>
      <c r="F446" s="4">
        <v>5</v>
      </c>
      <c r="G446" s="4">
        <v>5</v>
      </c>
    </row>
    <row r="447" spans="1:7" x14ac:dyDescent="0.3">
      <c r="A447" s="4">
        <v>2321</v>
      </c>
      <c r="B447" s="4">
        <f>VLOOKUP(TABLA_STOCK[Codigo],LISTADO_PRODUCTOS[#All],2)</f>
        <v>54618</v>
      </c>
      <c r="C447" s="6" t="str">
        <f>VLOOKUP(TABLA_STOCK[Codigo],LISTADO_PRODUCTOS[#All],3)</f>
        <v>PAPELERIA Y ARTISTICA</v>
      </c>
      <c r="D447" s="6" t="str">
        <f>VLOOKUP(TABLA_STOCK[Codigo],LISTADO_PRODUCTOS[#All],4)</f>
        <v>Cutter Olami 9mm Guia metal Mango de Goma</v>
      </c>
      <c r="E447" s="6" t="str">
        <f>VLOOKUP(TABLA_STOCK[Codigo],LISTADO_PRODUCTOS[#All],5)</f>
        <v>N/A</v>
      </c>
      <c r="F447" s="4">
        <v>2</v>
      </c>
      <c r="G447" s="4">
        <v>52</v>
      </c>
    </row>
    <row r="448" spans="1:7" x14ac:dyDescent="0.3">
      <c r="A448" s="4">
        <v>2326</v>
      </c>
      <c r="B448" s="4">
        <f>VLOOKUP(TABLA_STOCK[Codigo],LISTADO_PRODUCTOS[#All],2)</f>
        <v>54619</v>
      </c>
      <c r="C448" s="6" t="str">
        <f>VLOOKUP(TABLA_STOCK[Codigo],LISTADO_PRODUCTOS[#All],3)</f>
        <v>PAPELERIA Y ARTISTICA</v>
      </c>
      <c r="D448" s="6" t="str">
        <f>VLOOKUP(TABLA_STOCK[Codigo],LISTADO_PRODUCTOS[#All],4)</f>
        <v xml:space="preserve">Barrita de silicona fina Suprabond </v>
      </c>
      <c r="E448" s="6" t="str">
        <f>VLOOKUP(TABLA_STOCK[Codigo],LISTADO_PRODUCTOS[#All],5)</f>
        <v>N/A</v>
      </c>
      <c r="F448" s="4">
        <v>2</v>
      </c>
      <c r="G448" s="4">
        <v>32</v>
      </c>
    </row>
    <row r="449" spans="1:7" x14ac:dyDescent="0.3">
      <c r="A449" s="4">
        <v>2327</v>
      </c>
      <c r="B449" s="4">
        <f>VLOOKUP(TABLA_STOCK[Codigo],LISTADO_PRODUCTOS[#All],2)</f>
        <v>54620</v>
      </c>
      <c r="C449" s="6" t="str">
        <f>VLOOKUP(TABLA_STOCK[Codigo],LISTADO_PRODUCTOS[#All],3)</f>
        <v>PAPELERIA Y ARTISTICA</v>
      </c>
      <c r="D449" s="6" t="str">
        <f>VLOOKUP(TABLA_STOCK[Codigo],LISTADO_PRODUCTOS[#All],4)</f>
        <v xml:space="preserve">Barrita de silicona Gruesa Suprabond </v>
      </c>
      <c r="E449" s="6" t="str">
        <f>VLOOKUP(TABLA_STOCK[Codigo],LISTADO_PRODUCTOS[#All],5)</f>
        <v>N/A</v>
      </c>
      <c r="F449" s="4">
        <v>10</v>
      </c>
      <c r="G449" s="4">
        <v>56</v>
      </c>
    </row>
    <row r="450" spans="1:7" x14ac:dyDescent="0.3">
      <c r="A450" s="4">
        <v>2330</v>
      </c>
      <c r="B450" s="4">
        <f>VLOOKUP(TABLA_STOCK[Codigo],LISTADO_PRODUCTOS[#All],2)</f>
        <v>54621</v>
      </c>
      <c r="C450" s="6" t="str">
        <f>VLOOKUP(TABLA_STOCK[Codigo],LISTADO_PRODUCTOS[#All],3)</f>
        <v>PAPELERIA Y ARTISTICA</v>
      </c>
      <c r="D450" s="6" t="str">
        <f>VLOOKUP(TABLA_STOCK[Codigo],LISTADO_PRODUCTOS[#All],4)</f>
        <v>Palitos de helado colores surtidos x 50u</v>
      </c>
      <c r="E450" s="6" t="str">
        <f>VLOOKUP(TABLA_STOCK[Codigo],LISTADO_PRODUCTOS[#All],5)</f>
        <v>N/A</v>
      </c>
      <c r="F450" s="4">
        <v>20</v>
      </c>
      <c r="G450" s="4">
        <v>107</v>
      </c>
    </row>
    <row r="451" spans="1:7" x14ac:dyDescent="0.3">
      <c r="A451" s="4">
        <v>2332</v>
      </c>
      <c r="B451" s="4">
        <f>VLOOKUP(TABLA_STOCK[Codigo],LISTADO_PRODUCTOS[#All],2)</f>
        <v>54622</v>
      </c>
      <c r="C451" s="6" t="str">
        <f>VLOOKUP(TABLA_STOCK[Codigo],LISTADO_PRODUCTOS[#All],3)</f>
        <v>PAPELERIA Y ARTISTICA</v>
      </c>
      <c r="D451" s="6" t="str">
        <f>VLOOKUP(TABLA_STOCK[Codigo],LISTADO_PRODUCTOS[#All],4)</f>
        <v>Block Origami El Nene x 24h bicolor</v>
      </c>
      <c r="E451" s="6" t="str">
        <f>VLOOKUP(TABLA_STOCK[Codigo],LISTADO_PRODUCTOS[#All],5)</f>
        <v>N/A</v>
      </c>
      <c r="F451" s="4">
        <v>5</v>
      </c>
      <c r="G451" s="4">
        <v>25</v>
      </c>
    </row>
    <row r="452" spans="1:7" x14ac:dyDescent="0.3">
      <c r="A452" s="4">
        <v>2336</v>
      </c>
      <c r="B452" s="4">
        <f>VLOOKUP(TABLA_STOCK[Codigo],LISTADO_PRODUCTOS[#All],2)</f>
        <v>54623</v>
      </c>
      <c r="C452" s="6" t="str">
        <f>VLOOKUP(TABLA_STOCK[Codigo],LISTADO_PRODUCTOS[#All],3)</f>
        <v>PAPELERIA Y ARTISTICA</v>
      </c>
      <c r="D452" s="6" t="str">
        <f>VLOOKUP(TABLA_STOCK[Codigo],LISTADO_PRODUCTOS[#All],4)</f>
        <v>Palito de helado paleta/jumbo colores x 50u</v>
      </c>
      <c r="E452" s="6" t="str">
        <f>VLOOKUP(TABLA_STOCK[Codigo],LISTADO_PRODUCTOS[#All],5)</f>
        <v>N/A</v>
      </c>
      <c r="F452" s="4">
        <v>1</v>
      </c>
      <c r="G452" s="4">
        <v>32</v>
      </c>
    </row>
    <row r="453" spans="1:7" x14ac:dyDescent="0.3">
      <c r="A453" s="4">
        <v>2338</v>
      </c>
      <c r="B453" s="4">
        <f>VLOOKUP(TABLA_STOCK[Codigo],LISTADO_PRODUCTOS[#All],2)</f>
        <v>54624</v>
      </c>
      <c r="C453" s="6" t="str">
        <f>VLOOKUP(TABLA_STOCK[Codigo],LISTADO_PRODUCTOS[#All],3)</f>
        <v>PAPELERIA Y ARTISTICA</v>
      </c>
      <c r="D453" s="6" t="str">
        <f>VLOOKUP(TABLA_STOCK[Codigo],LISTADO_PRODUCTOS[#All],4)</f>
        <v>Marcador Edding 4200 P/Porcelana x6u</v>
      </c>
      <c r="E453" s="6" t="str">
        <f>VLOOKUP(TABLA_STOCK[Codigo],LISTADO_PRODUCTOS[#All],5)</f>
        <v>N/A</v>
      </c>
      <c r="F453" s="4">
        <v>5</v>
      </c>
      <c r="G453" s="4">
        <v>150</v>
      </c>
    </row>
    <row r="454" spans="1:7" x14ac:dyDescent="0.3">
      <c r="A454" s="4">
        <v>2348</v>
      </c>
      <c r="B454" s="4">
        <f>VLOOKUP(TABLA_STOCK[Codigo],LISTADO_PRODUCTOS[#All],2)</f>
        <v>54625</v>
      </c>
      <c r="C454" s="6" t="str">
        <f>VLOOKUP(TABLA_STOCK[Codigo],LISTADO_PRODUCTOS[#All],3)</f>
        <v>PAPELERIA Y ARTISTICA</v>
      </c>
      <c r="D454" s="6" t="str">
        <f>VLOOKUP(TABLA_STOCK[Codigo],LISTADO_PRODUCTOS[#All],4)</f>
        <v>Cutter Maped 9mm</v>
      </c>
      <c r="E454" s="6" t="str">
        <f>VLOOKUP(TABLA_STOCK[Codigo],LISTADO_PRODUCTOS[#All],5)</f>
        <v>N/A</v>
      </c>
      <c r="F454" s="4">
        <v>2</v>
      </c>
      <c r="G454" s="4">
        <v>20</v>
      </c>
    </row>
    <row r="455" spans="1:7" x14ac:dyDescent="0.3">
      <c r="A455" s="4">
        <v>2356</v>
      </c>
      <c r="B455" s="4">
        <f>VLOOKUP(TABLA_STOCK[Codigo],LISTADO_PRODUCTOS[#All],2)</f>
        <v>54626</v>
      </c>
      <c r="C455" s="6" t="str">
        <f>VLOOKUP(TABLA_STOCK[Codigo],LISTADO_PRODUCTOS[#All],3)</f>
        <v>PAPELERIA Y ARTISTICA</v>
      </c>
      <c r="D455" s="6" t="str">
        <f>VLOOKUP(TABLA_STOCK[Codigo],LISTADO_PRODUCTOS[#All],4)</f>
        <v>Cutter Olami plastico en bolsa Hoja ancha</v>
      </c>
      <c r="E455" s="6" t="str">
        <f>VLOOKUP(TABLA_STOCK[Codigo],LISTADO_PRODUCTOS[#All],5)</f>
        <v>N/A</v>
      </c>
      <c r="F455" s="4">
        <v>2</v>
      </c>
      <c r="G455" s="4">
        <v>19</v>
      </c>
    </row>
    <row r="456" spans="1:7" x14ac:dyDescent="0.3">
      <c r="A456" s="4">
        <v>2357</v>
      </c>
      <c r="B456" s="4">
        <f>VLOOKUP(TABLA_STOCK[Codigo],LISTADO_PRODUCTOS[#All],2)</f>
        <v>54627</v>
      </c>
      <c r="C456" s="6" t="str">
        <f>VLOOKUP(TABLA_STOCK[Codigo],LISTADO_PRODUCTOS[#All],3)</f>
        <v>PAPELERIA Y ARTISTICA</v>
      </c>
      <c r="D456" s="6" t="str">
        <f>VLOOKUP(TABLA_STOCK[Codigo],LISTADO_PRODUCTOS[#All],4)</f>
        <v>Cutter Olami c/freno plastico en bolsa hoja fina</v>
      </c>
      <c r="E456" s="6" t="str">
        <f>VLOOKUP(TABLA_STOCK[Codigo],LISTADO_PRODUCTOS[#All],5)</f>
        <v>N/A</v>
      </c>
      <c r="F456" s="4">
        <v>10</v>
      </c>
      <c r="G456" s="4">
        <v>6</v>
      </c>
    </row>
    <row r="457" spans="1:7" x14ac:dyDescent="0.3">
      <c r="A457" s="4">
        <v>2364</v>
      </c>
      <c r="B457" s="4">
        <f>VLOOKUP(TABLA_STOCK[Codigo],LISTADO_PRODUCTOS[#All],2)</f>
        <v>54628</v>
      </c>
      <c r="C457" s="6" t="str">
        <f>VLOOKUP(TABLA_STOCK[Codigo],LISTADO_PRODUCTOS[#All],3)</f>
        <v>PAPELERIA Y ARTISTICA</v>
      </c>
      <c r="D457" s="6" t="str">
        <f>VLOOKUP(TABLA_STOCK[Codigo],LISTADO_PRODUCTOS[#All],4)</f>
        <v>Brillantina Stick/con formitas Sifap</v>
      </c>
      <c r="E457" s="6" t="str">
        <f>VLOOKUP(TABLA_STOCK[Codigo],LISTADO_PRODUCTOS[#All],5)</f>
        <v>N/A</v>
      </c>
      <c r="F457" s="4">
        <v>20</v>
      </c>
      <c r="G457" s="4">
        <v>5</v>
      </c>
    </row>
    <row r="458" spans="1:7" x14ac:dyDescent="0.3">
      <c r="A458" s="4">
        <v>2374</v>
      </c>
      <c r="B458" s="4">
        <f>VLOOKUP(TABLA_STOCK[Codigo],LISTADO_PRODUCTOS[#All],2)</f>
        <v>54629</v>
      </c>
      <c r="C458" s="6" t="str">
        <f>VLOOKUP(TABLA_STOCK[Codigo],LISTADO_PRODUCTOS[#All],3)</f>
        <v>PAPELERIA Y ARTISTICA</v>
      </c>
      <c r="D458" s="6" t="str">
        <f>VLOOKUP(TABLA_STOCK[Codigo],LISTADO_PRODUCTOS[#All],4)</f>
        <v>Cinta Ribbonete lisa 11mm x 50m Azul/rosa/lila/verde/naranja</v>
      </c>
      <c r="E458" s="6" t="str">
        <f>VLOOKUP(TABLA_STOCK[Codigo],LISTADO_PRODUCTOS[#All],5)</f>
        <v>N/A</v>
      </c>
      <c r="F458" s="4">
        <v>5</v>
      </c>
      <c r="G458" s="4">
        <v>52</v>
      </c>
    </row>
    <row r="459" spans="1:7" x14ac:dyDescent="0.3">
      <c r="A459" s="4">
        <v>2380</v>
      </c>
      <c r="B459" s="4">
        <f>VLOOKUP(TABLA_STOCK[Codigo],LISTADO_PRODUCTOS[#All],2)</f>
        <v>54630</v>
      </c>
      <c r="C459" s="6" t="str">
        <f>VLOOKUP(TABLA_STOCK[Codigo],LISTADO_PRODUCTOS[#All],3)</f>
        <v>PAPELERIA Y ARTISTICA</v>
      </c>
      <c r="D459" s="6" t="str">
        <f>VLOOKUP(TABLA_STOCK[Codigo],LISTADO_PRODUCTOS[#All],4)</f>
        <v>PVC contact Glitter x mt</v>
      </c>
      <c r="E459" s="6" t="str">
        <f>VLOOKUP(TABLA_STOCK[Codigo],LISTADO_PRODUCTOS[#All],5)</f>
        <v>N/A</v>
      </c>
      <c r="F459" s="4">
        <v>1</v>
      </c>
      <c r="G459" s="4">
        <v>32</v>
      </c>
    </row>
    <row r="460" spans="1:7" x14ac:dyDescent="0.3">
      <c r="A460" s="4">
        <v>2381</v>
      </c>
      <c r="B460" s="4">
        <f>VLOOKUP(TABLA_STOCK[Codigo],LISTADO_PRODUCTOS[#All],2)</f>
        <v>54631</v>
      </c>
      <c r="C460" s="6" t="str">
        <f>VLOOKUP(TABLA_STOCK[Codigo],LISTADO_PRODUCTOS[#All],3)</f>
        <v>PAPELERIA Y ARTISTICA</v>
      </c>
      <c r="D460" s="6" t="str">
        <f>VLOOKUP(TABLA_STOCK[Codigo],LISTADO_PRODUCTOS[#All],4)</f>
        <v>PVC contact transparente x mt</v>
      </c>
      <c r="E460" s="6" t="str">
        <f>VLOOKUP(TABLA_STOCK[Codigo],LISTADO_PRODUCTOS[#All],5)</f>
        <v>N/A</v>
      </c>
      <c r="F460" s="4">
        <v>5</v>
      </c>
      <c r="G460" s="4">
        <v>56</v>
      </c>
    </row>
    <row r="461" spans="1:7" x14ac:dyDescent="0.3">
      <c r="A461" s="4">
        <v>2382</v>
      </c>
      <c r="B461" s="4">
        <f>VLOOKUP(TABLA_STOCK[Codigo],LISTADO_PRODUCTOS[#All],2)</f>
        <v>54632</v>
      </c>
      <c r="C461" s="6" t="str">
        <f>VLOOKUP(TABLA_STOCK[Codigo],LISTADO_PRODUCTOS[#All],3)</f>
        <v>PAPELERIA Y ARTISTICA</v>
      </c>
      <c r="D461" s="6" t="str">
        <f>VLOOKUP(TABLA_STOCK[Codigo],LISTADO_PRODUCTOS[#All],4)</f>
        <v>PVC contact madera x mt</v>
      </c>
      <c r="E461" s="6" t="str">
        <f>VLOOKUP(TABLA_STOCK[Codigo],LISTADO_PRODUCTOS[#All],5)</f>
        <v>N/A</v>
      </c>
      <c r="F461" s="4">
        <v>2</v>
      </c>
      <c r="G461" s="4">
        <v>107</v>
      </c>
    </row>
    <row r="462" spans="1:7" x14ac:dyDescent="0.3">
      <c r="A462" s="4">
        <v>2383</v>
      </c>
      <c r="B462" s="4">
        <f>VLOOKUP(TABLA_STOCK[Codigo],LISTADO_PRODUCTOS[#All],2)</f>
        <v>54633</v>
      </c>
      <c r="C462" s="6" t="str">
        <f>VLOOKUP(TABLA_STOCK[Codigo],LISTADO_PRODUCTOS[#All],3)</f>
        <v>PAPELERIA Y ARTISTICA</v>
      </c>
      <c r="D462" s="6" t="str">
        <f>VLOOKUP(TABLA_STOCK[Codigo],LISTADO_PRODUCTOS[#All],4)</f>
        <v>PVC contact color x mt</v>
      </c>
      <c r="E462" s="6" t="str">
        <f>VLOOKUP(TABLA_STOCK[Codigo],LISTADO_PRODUCTOS[#All],5)</f>
        <v>N/A</v>
      </c>
      <c r="F462" s="4">
        <v>10</v>
      </c>
      <c r="G462" s="4">
        <v>25</v>
      </c>
    </row>
    <row r="463" spans="1:7" x14ac:dyDescent="0.3">
      <c r="A463" s="4">
        <v>2384</v>
      </c>
      <c r="B463" s="4">
        <f>VLOOKUP(TABLA_STOCK[Codigo],LISTADO_PRODUCTOS[#All],2)</f>
        <v>54634</v>
      </c>
      <c r="C463" s="6" t="str">
        <f>VLOOKUP(TABLA_STOCK[Codigo],LISTADO_PRODUCTOS[#All],3)</f>
        <v>PAPELERIA Y ARTISTICA</v>
      </c>
      <c r="D463" s="6" t="str">
        <f>VLOOKUP(TABLA_STOCK[Codigo],LISTADO_PRODUCTOS[#All],4)</f>
        <v>PVC holografiado x mt</v>
      </c>
      <c r="E463" s="6" t="str">
        <f>VLOOKUP(TABLA_STOCK[Codigo],LISTADO_PRODUCTOS[#All],5)</f>
        <v>N/A</v>
      </c>
      <c r="F463" s="4">
        <v>20</v>
      </c>
      <c r="G463" s="4">
        <v>32</v>
      </c>
    </row>
    <row r="464" spans="1:7" x14ac:dyDescent="0.3">
      <c r="A464" s="4">
        <v>2385</v>
      </c>
      <c r="B464" s="4">
        <f>VLOOKUP(TABLA_STOCK[Codigo],LISTADO_PRODUCTOS[#All],2)</f>
        <v>54635</v>
      </c>
      <c r="C464" s="6" t="str">
        <f>VLOOKUP(TABLA_STOCK[Codigo],LISTADO_PRODUCTOS[#All],3)</f>
        <v>PAPELERIA Y ARTISTICA</v>
      </c>
      <c r="D464" s="6" t="str">
        <f>VLOOKUP(TABLA_STOCK[Codigo],LISTADO_PRODUCTOS[#All],4)</f>
        <v>PVC traslucido x mt</v>
      </c>
      <c r="E464" s="6" t="str">
        <f>VLOOKUP(TABLA_STOCK[Codigo],LISTADO_PRODUCTOS[#All],5)</f>
        <v>N/A</v>
      </c>
      <c r="F464" s="4">
        <v>5</v>
      </c>
      <c r="G464" s="4">
        <v>150</v>
      </c>
    </row>
    <row r="465" spans="1:7" x14ac:dyDescent="0.3">
      <c r="A465" s="4">
        <v>2386</v>
      </c>
      <c r="B465" s="4">
        <f>VLOOKUP(TABLA_STOCK[Codigo],LISTADO_PRODUCTOS[#All],2)</f>
        <v>54636</v>
      </c>
      <c r="C465" s="6" t="str">
        <f>VLOOKUP(TABLA_STOCK[Codigo],LISTADO_PRODUCTOS[#All],3)</f>
        <v>PAPELERIA Y ARTISTICA</v>
      </c>
      <c r="D465" s="6" t="str">
        <f>VLOOKUP(TABLA_STOCK[Codigo],LISTADO_PRODUCTOS[#All],4)</f>
        <v>PVC contact ORO/PLATA x mt</v>
      </c>
      <c r="E465" s="6" t="str">
        <f>VLOOKUP(TABLA_STOCK[Codigo],LISTADO_PRODUCTOS[#All],5)</f>
        <v>N/A</v>
      </c>
      <c r="F465" s="4">
        <v>1</v>
      </c>
      <c r="G465" s="4">
        <v>20</v>
      </c>
    </row>
    <row r="466" spans="1:7" x14ac:dyDescent="0.3">
      <c r="A466" s="4">
        <v>2387</v>
      </c>
      <c r="B466" s="4">
        <f>VLOOKUP(TABLA_STOCK[Codigo],LISTADO_PRODUCTOS[#All],2)</f>
        <v>54637</v>
      </c>
      <c r="C466" s="6" t="str">
        <f>VLOOKUP(TABLA_STOCK[Codigo],LISTADO_PRODUCTOS[#All],3)</f>
        <v>PAPELERIA Y ARTISTICA</v>
      </c>
      <c r="D466" s="6" t="str">
        <f>VLOOKUP(TABLA_STOCK[Codigo],LISTADO_PRODUCTOS[#All],4)</f>
        <v>PVC contact dibujos x mt</v>
      </c>
      <c r="E466" s="6" t="str">
        <f>VLOOKUP(TABLA_STOCK[Codigo],LISTADO_PRODUCTOS[#All],5)</f>
        <v>N/A</v>
      </c>
      <c r="F466" s="4">
        <v>5</v>
      </c>
      <c r="G466" s="4">
        <v>19</v>
      </c>
    </row>
    <row r="467" spans="1:7" x14ac:dyDescent="0.3">
      <c r="A467" s="4">
        <v>2388</v>
      </c>
      <c r="B467" s="4">
        <f>VLOOKUP(TABLA_STOCK[Codigo],LISTADO_PRODUCTOS[#All],2)</f>
        <v>54638</v>
      </c>
      <c r="C467" s="6" t="str">
        <f>VLOOKUP(TABLA_STOCK[Codigo],LISTADO_PRODUCTOS[#All],3)</f>
        <v>PAPELERIA Y ARTISTICA</v>
      </c>
      <c r="D467" s="6" t="str">
        <f>VLOOKUP(TABLA_STOCK[Codigo],LISTADO_PRODUCTOS[#All],4)</f>
        <v>Cinta papel New-Tape 48mm x 40mts</v>
      </c>
      <c r="E467" s="6" t="str">
        <f>VLOOKUP(TABLA_STOCK[Codigo],LISTADO_PRODUCTOS[#All],5)</f>
        <v>N/A</v>
      </c>
      <c r="F467" s="4">
        <v>2</v>
      </c>
      <c r="G467" s="4">
        <v>6</v>
      </c>
    </row>
    <row r="468" spans="1:7" x14ac:dyDescent="0.3">
      <c r="A468" s="4">
        <v>2389</v>
      </c>
      <c r="B468" s="4">
        <f>VLOOKUP(TABLA_STOCK[Codigo],LISTADO_PRODUCTOS[#All],2)</f>
        <v>54639</v>
      </c>
      <c r="C468" s="6" t="str">
        <f>VLOOKUP(TABLA_STOCK[Codigo],LISTADO_PRODUCTOS[#All],3)</f>
        <v>PAPELERIA Y ARTISTICA</v>
      </c>
      <c r="D468" s="6" t="str">
        <f>VLOOKUP(TABLA_STOCK[Codigo],LISTADO_PRODUCTOS[#All],4)</f>
        <v>Cinta Papel New-Tape/Stioko 36mm x 40mts</v>
      </c>
      <c r="E468" s="6" t="str">
        <f>VLOOKUP(TABLA_STOCK[Codigo],LISTADO_PRODUCTOS[#All],5)</f>
        <v>N/A</v>
      </c>
      <c r="F468" s="4">
        <v>2</v>
      </c>
      <c r="G468" s="4">
        <v>5</v>
      </c>
    </row>
    <row r="469" spans="1:7" x14ac:dyDescent="0.3">
      <c r="A469" s="4">
        <v>2390</v>
      </c>
      <c r="B469" s="4">
        <f>VLOOKUP(TABLA_STOCK[Codigo],LISTADO_PRODUCTOS[#All],2)</f>
        <v>54640</v>
      </c>
      <c r="C469" s="6" t="str">
        <f>VLOOKUP(TABLA_STOCK[Codigo],LISTADO_PRODUCTOS[#All],3)</f>
        <v>PAPELERIA Y ARTISTICA</v>
      </c>
      <c r="D469" s="6" t="str">
        <f>VLOOKUP(TABLA_STOCK[Codigo],LISTADO_PRODUCTOS[#All],4)</f>
        <v>Cinta Papel New-Tape/Fijapel 24mm x 40mts</v>
      </c>
      <c r="E469" s="6" t="str">
        <f>VLOOKUP(TABLA_STOCK[Codigo],LISTADO_PRODUCTOS[#All],5)</f>
        <v>N/A</v>
      </c>
      <c r="F469" s="4">
        <v>10</v>
      </c>
      <c r="G469" s="4">
        <v>52</v>
      </c>
    </row>
    <row r="470" spans="1:7" x14ac:dyDescent="0.3">
      <c r="A470" s="4">
        <v>2391</v>
      </c>
      <c r="B470" s="4">
        <f>VLOOKUP(TABLA_STOCK[Codigo],LISTADO_PRODUCTOS[#All],2)</f>
        <v>54641</v>
      </c>
      <c r="C470" s="6" t="str">
        <f>VLOOKUP(TABLA_STOCK[Codigo],LISTADO_PRODUCTOS[#All],3)</f>
        <v>PAPELERIA Y ARTISTICA</v>
      </c>
      <c r="D470" s="6" t="str">
        <f>VLOOKUP(TABLA_STOCK[Codigo],LISTADO_PRODUCTOS[#All],4)</f>
        <v>Sticker perritos goma eva</v>
      </c>
      <c r="E470" s="6" t="str">
        <f>VLOOKUP(TABLA_STOCK[Codigo],LISTADO_PRODUCTOS[#All],5)</f>
        <v>N/A</v>
      </c>
      <c r="F470" s="4">
        <v>20</v>
      </c>
      <c r="G470" s="4">
        <v>32</v>
      </c>
    </row>
    <row r="471" spans="1:7" x14ac:dyDescent="0.3">
      <c r="A471" s="4">
        <v>2394</v>
      </c>
      <c r="B471" s="4">
        <f>VLOOKUP(TABLA_STOCK[Codigo],LISTADO_PRODUCTOS[#All],2)</f>
        <v>54642</v>
      </c>
      <c r="C471" s="6" t="str">
        <f>VLOOKUP(TABLA_STOCK[Codigo],LISTADO_PRODUCTOS[#All],3)</f>
        <v>PAPELERIA Y ARTISTICA</v>
      </c>
      <c r="D471" s="6" t="str">
        <f>VLOOKUP(TABLA_STOCK[Codigo],LISTADO_PRODUCTOS[#All],4)</f>
        <v>Repuesto cuchilla Cutter comun 18mm cuchilla ancha x10u $50 x u</v>
      </c>
      <c r="E471" s="6" t="str">
        <f>VLOOKUP(TABLA_STOCK[Codigo],LISTADO_PRODUCTOS[#All],5)</f>
        <v>N/A</v>
      </c>
      <c r="F471" s="4">
        <v>5</v>
      </c>
      <c r="G471" s="4">
        <v>56</v>
      </c>
    </row>
    <row r="472" spans="1:7" x14ac:dyDescent="0.3">
      <c r="A472" s="4">
        <v>2395</v>
      </c>
      <c r="B472" s="4">
        <f>VLOOKUP(TABLA_STOCK[Codigo],LISTADO_PRODUCTOS[#All],2)</f>
        <v>54643</v>
      </c>
      <c r="C472" s="6" t="str">
        <f>VLOOKUP(TABLA_STOCK[Codigo],LISTADO_PRODUCTOS[#All],3)</f>
        <v>PAPELERIA Y ARTISTICA</v>
      </c>
      <c r="D472" s="6" t="str">
        <f>VLOOKUP(TABLA_STOCK[Codigo],LISTADO_PRODUCTOS[#All],4)</f>
        <v>Repuesto Cutter cuchilla SDI 18mm ancha x10u (la grande) $150 x u</v>
      </c>
      <c r="E472" s="6" t="str">
        <f>VLOOKUP(TABLA_STOCK[Codigo],LISTADO_PRODUCTOS[#All],5)</f>
        <v>N/A</v>
      </c>
      <c r="F472" s="4">
        <v>1</v>
      </c>
      <c r="G472" s="4">
        <v>107</v>
      </c>
    </row>
    <row r="473" spans="1:7" x14ac:dyDescent="0.3">
      <c r="A473" s="4">
        <v>2396</v>
      </c>
      <c r="B473" s="4">
        <f>VLOOKUP(TABLA_STOCK[Codigo],LISTADO_PRODUCTOS[#All],2)</f>
        <v>54644</v>
      </c>
      <c r="C473" s="6" t="str">
        <f>VLOOKUP(TABLA_STOCK[Codigo],LISTADO_PRODUCTOS[#All],3)</f>
        <v>PAPELERIA Y ARTISTICA</v>
      </c>
      <c r="D473" s="6" t="str">
        <f>VLOOKUP(TABLA_STOCK[Codigo],LISTADO_PRODUCTOS[#All],4)</f>
        <v>Repuesto cuchilla Cutter x hoha 9mm (la chica) $50 x u</v>
      </c>
      <c r="E473" s="6" t="str">
        <f>VLOOKUP(TABLA_STOCK[Codigo],LISTADO_PRODUCTOS[#All],5)</f>
        <v>N/A</v>
      </c>
      <c r="F473" s="4">
        <v>5</v>
      </c>
      <c r="G473" s="4">
        <v>25</v>
      </c>
    </row>
    <row r="474" spans="1:7" x14ac:dyDescent="0.3">
      <c r="A474" s="4">
        <v>2398</v>
      </c>
      <c r="B474" s="4">
        <f>VLOOKUP(TABLA_STOCK[Codigo],LISTADO_PRODUCTOS[#All],2)</f>
        <v>54645</v>
      </c>
      <c r="C474" s="6" t="str">
        <f>VLOOKUP(TABLA_STOCK[Codigo],LISTADO_PRODUCTOS[#All],3)</f>
        <v>PAPELERIA Y ARTISTICA</v>
      </c>
      <c r="D474" s="6" t="str">
        <f>VLOOKUP(TABLA_STOCK[Codigo],LISTADO_PRODUCTOS[#All],4)</f>
        <v>Pvc Contac Transparente x 2mt</v>
      </c>
      <c r="E474" s="6" t="str">
        <f>VLOOKUP(TABLA_STOCK[Codigo],LISTADO_PRODUCTOS[#All],5)</f>
        <v>N/A</v>
      </c>
      <c r="F474" s="4">
        <v>2</v>
      </c>
      <c r="G474" s="4">
        <v>32</v>
      </c>
    </row>
    <row r="475" spans="1:7" x14ac:dyDescent="0.3">
      <c r="A475" s="4">
        <v>2399</v>
      </c>
      <c r="B475" s="4">
        <f>VLOOKUP(TABLA_STOCK[Codigo],LISTADO_PRODUCTOS[#All],2)</f>
        <v>54646</v>
      </c>
      <c r="C475" s="6" t="str">
        <f>VLOOKUP(TABLA_STOCK[Codigo],LISTADO_PRODUCTOS[#All],3)</f>
        <v>PAPELERIA Y ARTISTICA</v>
      </c>
      <c r="D475" s="6" t="str">
        <f>VLOOKUP(TABLA_STOCK[Codigo],LISTADO_PRODUCTOS[#All],4)</f>
        <v>Barrita de silicona Fina Liggo (85 x bolsa)</v>
      </c>
      <c r="E475" s="6" t="str">
        <f>VLOOKUP(TABLA_STOCK[Codigo],LISTADO_PRODUCTOS[#All],5)</f>
        <v>N/A</v>
      </c>
      <c r="F475" s="4">
        <v>2</v>
      </c>
      <c r="G475" s="4">
        <v>150</v>
      </c>
    </row>
    <row r="476" spans="1:7" x14ac:dyDescent="0.3">
      <c r="A476" s="4">
        <v>2400</v>
      </c>
      <c r="B476" s="4">
        <f>VLOOKUP(TABLA_STOCK[Codigo],LISTADO_PRODUCTOS[#All],2)</f>
        <v>54647</v>
      </c>
      <c r="C476" s="6" t="str">
        <f>VLOOKUP(TABLA_STOCK[Codigo],LISTADO_PRODUCTOS[#All],3)</f>
        <v>PAPELERIA Y ARTISTICA</v>
      </c>
      <c r="D476" s="6" t="str">
        <f>VLOOKUP(TABLA_STOCK[Codigo],LISTADO_PRODUCTOS[#All],4)</f>
        <v xml:space="preserve">Barrita de silicona Gruesa Liggo </v>
      </c>
      <c r="E476" s="6" t="str">
        <f>VLOOKUP(TABLA_STOCK[Codigo],LISTADO_PRODUCTOS[#All],5)</f>
        <v>N/A</v>
      </c>
      <c r="F476" s="4">
        <v>10</v>
      </c>
      <c r="G476" s="4">
        <v>20</v>
      </c>
    </row>
    <row r="477" spans="1:7" x14ac:dyDescent="0.3">
      <c r="A477" s="4">
        <v>2401</v>
      </c>
      <c r="B477" s="4">
        <f>VLOOKUP(TABLA_STOCK[Codigo],LISTADO_PRODUCTOS[#All],2)</f>
        <v>54648</v>
      </c>
      <c r="C477" s="6" t="str">
        <f>VLOOKUP(TABLA_STOCK[Codigo],LISTADO_PRODUCTOS[#All],3)</f>
        <v>PAPELERIA Y ARTISTICA</v>
      </c>
      <c r="D477" s="6" t="str">
        <f>VLOOKUP(TABLA_STOCK[Codigo],LISTADO_PRODUCTOS[#All],4)</f>
        <v>Tijera Maped Crea Cut 5 cortes</v>
      </c>
      <c r="E477" s="6" t="str">
        <f>VLOOKUP(TABLA_STOCK[Codigo],LISTADO_PRODUCTOS[#All],5)</f>
        <v>N/A</v>
      </c>
      <c r="F477" s="4">
        <v>20</v>
      </c>
      <c r="G477" s="4">
        <v>19</v>
      </c>
    </row>
    <row r="478" spans="1:7" x14ac:dyDescent="0.3">
      <c r="A478" s="4">
        <v>2402</v>
      </c>
      <c r="B478" s="4">
        <f>VLOOKUP(TABLA_STOCK[Codigo],LISTADO_PRODUCTOS[#All],2)</f>
        <v>54649</v>
      </c>
      <c r="C478" s="6" t="str">
        <f>VLOOKUP(TABLA_STOCK[Codigo],LISTADO_PRODUCTOS[#All],3)</f>
        <v>PAPELERIA Y ARTISTICA</v>
      </c>
      <c r="D478" s="6" t="str">
        <f>VLOOKUP(TABLA_STOCK[Codigo],LISTADO_PRODUCTOS[#All],4)</f>
        <v>Tubo lanza papel</v>
      </c>
      <c r="E478" s="6" t="str">
        <f>VLOOKUP(TABLA_STOCK[Codigo],LISTADO_PRODUCTOS[#All],5)</f>
        <v>N/A</v>
      </c>
      <c r="F478" s="4">
        <v>5</v>
      </c>
      <c r="G478" s="4">
        <v>6</v>
      </c>
    </row>
    <row r="479" spans="1:7" x14ac:dyDescent="0.3">
      <c r="A479" s="4">
        <v>2405</v>
      </c>
      <c r="B479" s="4">
        <f>VLOOKUP(TABLA_STOCK[Codigo],LISTADO_PRODUCTOS[#All],2)</f>
        <v>54650</v>
      </c>
      <c r="C479" s="6" t="str">
        <f>VLOOKUP(TABLA_STOCK[Codigo],LISTADO_PRODUCTOS[#All],3)</f>
        <v>PAPELERIA Y ARTISTICA</v>
      </c>
      <c r="D479" s="6" t="str">
        <f>VLOOKUP(TABLA_STOCK[Codigo],LISTADO_PRODUCTOS[#All],4)</f>
        <v>Tijera Ibi Craft corte con Formas</v>
      </c>
      <c r="E479" s="6" t="str">
        <f>VLOOKUP(TABLA_STOCK[Codigo],LISTADO_PRODUCTOS[#All],5)</f>
        <v>N/A</v>
      </c>
      <c r="F479" s="4">
        <v>1</v>
      </c>
      <c r="G479" s="4">
        <v>5</v>
      </c>
    </row>
    <row r="480" spans="1:7" x14ac:dyDescent="0.3">
      <c r="A480" s="4">
        <v>2421</v>
      </c>
      <c r="B480" s="4">
        <f>VLOOKUP(TABLA_STOCK[Codigo],LISTADO_PRODUCTOS[#All],2)</f>
        <v>54651</v>
      </c>
      <c r="C480" s="6" t="str">
        <f>VLOOKUP(TABLA_STOCK[Codigo],LISTADO_PRODUCTOS[#All],3)</f>
        <v>PAPELERIA Y ARTISTICA</v>
      </c>
      <c r="D480" s="6" t="str">
        <f>VLOOKUP(TABLA_STOCK[Codigo],LISTADO_PRODUCTOS[#All],4)</f>
        <v>Cinta papel Enmascarar Stiko escolar Rollo chico 18mm x 20m</v>
      </c>
      <c r="E480" s="6" t="str">
        <f>VLOOKUP(TABLA_STOCK[Codigo],LISTADO_PRODUCTOS[#All],5)</f>
        <v>N/A</v>
      </c>
      <c r="F480" s="4">
        <v>5</v>
      </c>
      <c r="G480" s="4">
        <v>52</v>
      </c>
    </row>
    <row r="481" spans="1:7" x14ac:dyDescent="0.3">
      <c r="A481" s="4">
        <v>2422</v>
      </c>
      <c r="B481" s="4">
        <f>VLOOKUP(TABLA_STOCK[Codigo],LISTADO_PRODUCTOS[#All],2)</f>
        <v>54652</v>
      </c>
      <c r="C481" s="6" t="str">
        <f>VLOOKUP(TABLA_STOCK[Codigo],LISTADO_PRODUCTOS[#All],3)</f>
        <v>PAPELERIA Y ARTISTICA</v>
      </c>
      <c r="D481" s="6" t="str">
        <f>VLOOKUP(TABLA_STOCK[Codigo],LISTADO_PRODUCTOS[#All],4)</f>
        <v>Stiker bien grande</v>
      </c>
      <c r="E481" s="6" t="str">
        <f>VLOOKUP(TABLA_STOCK[Codigo],LISTADO_PRODUCTOS[#All],5)</f>
        <v>N/A</v>
      </c>
      <c r="F481" s="4">
        <v>2</v>
      </c>
      <c r="G481" s="4">
        <v>32</v>
      </c>
    </row>
    <row r="482" spans="1:7" x14ac:dyDescent="0.3">
      <c r="A482" s="4">
        <v>2424</v>
      </c>
      <c r="B482" s="4">
        <f>VLOOKUP(TABLA_STOCK[Codigo],LISTADO_PRODUCTOS[#All],2)</f>
        <v>54653</v>
      </c>
      <c r="C482" s="6" t="str">
        <f>VLOOKUP(TABLA_STOCK[Codigo],LISTADO_PRODUCTOS[#All],3)</f>
        <v>PAPELERIA Y ARTISTICA</v>
      </c>
      <c r="D482" s="6" t="str">
        <f>VLOOKUP(TABLA_STOCK[Codigo],LISTADO_PRODUCTOS[#All],4)</f>
        <v>Repuesto America x96h M/Ref. Rayado</v>
      </c>
      <c r="E482" s="6" t="str">
        <f>VLOOKUP(TABLA_STOCK[Codigo],LISTADO_PRODUCTOS[#All],5)</f>
        <v>N/A</v>
      </c>
      <c r="F482" s="4">
        <v>2</v>
      </c>
      <c r="G482" s="4">
        <v>56</v>
      </c>
    </row>
    <row r="483" spans="1:7" x14ac:dyDescent="0.3">
      <c r="A483" s="4">
        <v>2427</v>
      </c>
      <c r="B483" s="4">
        <f>VLOOKUP(TABLA_STOCK[Codigo],LISTADO_PRODUCTOS[#All],2)</f>
        <v>54654</v>
      </c>
      <c r="C483" s="6" t="str">
        <f>VLOOKUP(TABLA_STOCK[Codigo],LISTADO_PRODUCTOS[#All],3)</f>
        <v>PAPELERIA Y ARTISTICA</v>
      </c>
      <c r="D483" s="6" t="str">
        <f>VLOOKUP(TABLA_STOCK[Codigo],LISTADO_PRODUCTOS[#All],4)</f>
        <v>Cinta New-tape enmascarar papel 18mm x 40mts</v>
      </c>
      <c r="E483" s="6" t="str">
        <f>VLOOKUP(TABLA_STOCK[Codigo],LISTADO_PRODUCTOS[#All],5)</f>
        <v>N/A</v>
      </c>
      <c r="F483" s="4">
        <v>10</v>
      </c>
      <c r="G483" s="4">
        <v>107</v>
      </c>
    </row>
    <row r="484" spans="1:7" x14ac:dyDescent="0.3">
      <c r="A484" s="4">
        <v>2428</v>
      </c>
      <c r="B484" s="4">
        <f>VLOOKUP(TABLA_STOCK[Codigo],LISTADO_PRODUCTOS[#All],2)</f>
        <v>54655</v>
      </c>
      <c r="C484" s="6" t="str">
        <f>VLOOKUP(TABLA_STOCK[Codigo],LISTADO_PRODUCTOS[#All],3)</f>
        <v>PAPELERIA Y ARTISTICA</v>
      </c>
      <c r="D484" s="6" t="str">
        <f>VLOOKUP(TABLA_STOCK[Codigo],LISTADO_PRODUCTOS[#All],4)</f>
        <v>Cinta New-tape enmascarar papel 12mm x 40mts</v>
      </c>
      <c r="E484" s="6" t="str">
        <f>VLOOKUP(TABLA_STOCK[Codigo],LISTADO_PRODUCTOS[#All],5)</f>
        <v>N/A</v>
      </c>
      <c r="F484" s="4">
        <v>20</v>
      </c>
      <c r="G484" s="4">
        <v>25</v>
      </c>
    </row>
    <row r="485" spans="1:7" x14ac:dyDescent="0.3">
      <c r="A485" s="4">
        <v>2429</v>
      </c>
      <c r="B485" s="4">
        <f>VLOOKUP(TABLA_STOCK[Codigo],LISTADO_PRODUCTOS[#All],2)</f>
        <v>54656</v>
      </c>
      <c r="C485" s="6" t="str">
        <f>VLOOKUP(TABLA_STOCK[Codigo],LISTADO_PRODUCTOS[#All],3)</f>
        <v>PAPELERIA Y ARTISTICA</v>
      </c>
      <c r="D485" s="6" t="str">
        <f>VLOOKUP(TABLA_STOCK[Codigo],LISTADO_PRODUCTOS[#All],4)</f>
        <v>Block/resma  A4 color Luma 100h 4 colores</v>
      </c>
      <c r="E485" s="6" t="str">
        <f>VLOOKUP(TABLA_STOCK[Codigo],LISTADO_PRODUCTOS[#All],5)</f>
        <v>N/A</v>
      </c>
      <c r="F485" s="4">
        <v>5</v>
      </c>
      <c r="G485" s="4">
        <v>32</v>
      </c>
    </row>
    <row r="486" spans="1:7" x14ac:dyDescent="0.3">
      <c r="A486" s="4">
        <v>2443</v>
      </c>
      <c r="B486" s="4">
        <f>VLOOKUP(TABLA_STOCK[Codigo],LISTADO_PRODUCTOS[#All],2)</f>
        <v>54657</v>
      </c>
      <c r="C486" s="6" t="str">
        <f>VLOOKUP(TABLA_STOCK[Codigo],LISTADO_PRODUCTOS[#All],3)</f>
        <v>PAPELERIA Y ARTISTICA</v>
      </c>
      <c r="D486" s="6" t="str">
        <f>VLOOKUP(TABLA_STOCK[Codigo],LISTADO_PRODUCTOS[#All],4)</f>
        <v>Pinceleta N°4</v>
      </c>
      <c r="E486" s="6" t="str">
        <f>VLOOKUP(TABLA_STOCK[Codigo],LISTADO_PRODUCTOS[#All],5)</f>
        <v>N/A</v>
      </c>
      <c r="F486" s="4">
        <v>1</v>
      </c>
      <c r="G486" s="4">
        <v>150</v>
      </c>
    </row>
    <row r="487" spans="1:7" x14ac:dyDescent="0.3">
      <c r="A487" s="4">
        <v>2444</v>
      </c>
      <c r="B487" s="4">
        <f>VLOOKUP(TABLA_STOCK[Codigo],LISTADO_PRODUCTOS[#All],2)</f>
        <v>54658</v>
      </c>
      <c r="C487" s="6" t="str">
        <f>VLOOKUP(TABLA_STOCK[Codigo],LISTADO_PRODUCTOS[#All],3)</f>
        <v>PAPELERIA Y ARTISTICA</v>
      </c>
      <c r="D487" s="6" t="str">
        <f>VLOOKUP(TABLA_STOCK[Codigo],LISTADO_PRODUCTOS[#All],4)</f>
        <v>Acuarela Trazos en caja plastica x12 + pincel</v>
      </c>
      <c r="E487" s="6" t="str">
        <f>VLOOKUP(TABLA_STOCK[Codigo],LISTADO_PRODUCTOS[#All],5)</f>
        <v>N/A</v>
      </c>
      <c r="F487" s="4">
        <v>5</v>
      </c>
      <c r="G487" s="4">
        <v>20</v>
      </c>
    </row>
    <row r="488" spans="1:7" x14ac:dyDescent="0.3">
      <c r="A488" s="4">
        <v>2451</v>
      </c>
      <c r="B488" s="4">
        <f>VLOOKUP(TABLA_STOCK[Codigo],LISTADO_PRODUCTOS[#All],2)</f>
        <v>54659</v>
      </c>
      <c r="C488" s="6" t="str">
        <f>VLOOKUP(TABLA_STOCK[Codigo],LISTADO_PRODUCTOS[#All],3)</f>
        <v>PAPELERIA Y ARTISTICA</v>
      </c>
      <c r="D488" s="6" t="str">
        <f>VLOOKUP(TABLA_STOCK[Codigo],LISTADO_PRODUCTOS[#All],4)</f>
        <v xml:space="preserve">Porcelana Fria Nicronx 500gr </v>
      </c>
      <c r="E488" s="6" t="str">
        <f>VLOOKUP(TABLA_STOCK[Codigo],LISTADO_PRODUCTOS[#All],5)</f>
        <v>N/A</v>
      </c>
      <c r="F488" s="4">
        <v>2</v>
      </c>
      <c r="G488" s="4">
        <v>19</v>
      </c>
    </row>
    <row r="489" spans="1:7" x14ac:dyDescent="0.3">
      <c r="A489" s="4">
        <v>2458</v>
      </c>
      <c r="B489" s="4">
        <f>VLOOKUP(TABLA_STOCK[Codigo],LISTADO_PRODUCTOS[#All],2)</f>
        <v>54660</v>
      </c>
      <c r="C489" s="6" t="str">
        <f>VLOOKUP(TABLA_STOCK[Codigo],LISTADO_PRODUCTOS[#All],3)</f>
        <v>PAPELERIA Y ARTISTICA</v>
      </c>
      <c r="D489" s="6" t="str">
        <f>VLOOKUP(TABLA_STOCK[Codigo],LISTADO_PRODUCTOS[#All],4)</f>
        <v>Tubo Pulceras luminicentes</v>
      </c>
      <c r="E489" s="6" t="str">
        <f>VLOOKUP(TABLA_STOCK[Codigo],LISTADO_PRODUCTOS[#All],5)</f>
        <v>N/A</v>
      </c>
      <c r="F489" s="4">
        <v>10</v>
      </c>
      <c r="G489" s="4">
        <v>6</v>
      </c>
    </row>
    <row r="490" spans="1:7" x14ac:dyDescent="0.3">
      <c r="A490" s="4">
        <v>2466</v>
      </c>
      <c r="B490" s="4">
        <f>VLOOKUP(TABLA_STOCK[Codigo],LISTADO_PRODUCTOS[#All],2)</f>
        <v>54661</v>
      </c>
      <c r="C490" s="6" t="str">
        <f>VLOOKUP(TABLA_STOCK[Codigo],LISTADO_PRODUCTOS[#All],3)</f>
        <v>PAPELERIA Y ARTISTICA</v>
      </c>
      <c r="D490" s="6" t="str">
        <f>VLOOKUP(TABLA_STOCK[Codigo],LISTADO_PRODUCTOS[#All],4)</f>
        <v>Sobre polietileno grueso porta credencial</v>
      </c>
      <c r="E490" s="6" t="str">
        <f>VLOOKUP(TABLA_STOCK[Codigo],LISTADO_PRODUCTOS[#All],5)</f>
        <v>N/A</v>
      </c>
      <c r="F490" s="4">
        <v>20</v>
      </c>
      <c r="G490" s="4">
        <v>5</v>
      </c>
    </row>
    <row r="491" spans="1:7" x14ac:dyDescent="0.3">
      <c r="A491" s="4">
        <v>2468</v>
      </c>
      <c r="B491" s="4">
        <f>VLOOKUP(TABLA_STOCK[Codigo],LISTADO_PRODUCTOS[#All],2)</f>
        <v>54662</v>
      </c>
      <c r="C491" s="6" t="str">
        <f>VLOOKUP(TABLA_STOCK[Codigo],LISTADO_PRODUCTOS[#All],3)</f>
        <v>PAPELERIA Y ARTISTICA</v>
      </c>
      <c r="D491" s="6" t="str">
        <f>VLOOKUP(TABLA_STOCK[Codigo],LISTADO_PRODUCTOS[#All],4)</f>
        <v>Papel metalizado Luma 5 mt X40cm / SE VENDE X METRO</v>
      </c>
      <c r="E491" s="6" t="str">
        <f>VLOOKUP(TABLA_STOCK[Codigo],LISTADO_PRODUCTOS[#All],5)</f>
        <v>N/A</v>
      </c>
      <c r="F491" s="4">
        <v>5</v>
      </c>
      <c r="G491" s="4">
        <v>52</v>
      </c>
    </row>
    <row r="492" spans="1:7" x14ac:dyDescent="0.3">
      <c r="A492" s="4">
        <v>2471</v>
      </c>
      <c r="B492" s="4">
        <f>VLOOKUP(TABLA_STOCK[Codigo],LISTADO_PRODUCTOS[#All],2)</f>
        <v>54663</v>
      </c>
      <c r="C492" s="6" t="str">
        <f>VLOOKUP(TABLA_STOCK[Codigo],LISTADO_PRODUCTOS[#All],3)</f>
        <v>PAPELERIA Y ARTISTICA</v>
      </c>
      <c r="D492" s="6" t="str">
        <f>VLOOKUP(TABLA_STOCK[Codigo],LISTADO_PRODUCTOS[#All],4)</f>
        <v>Tempera Maped color peps x 12u</v>
      </c>
      <c r="E492" s="6" t="str">
        <f>VLOOKUP(TABLA_STOCK[Codigo],LISTADO_PRODUCTOS[#All],5)</f>
        <v>N/A</v>
      </c>
      <c r="F492" s="4">
        <v>1</v>
      </c>
      <c r="G492" s="4">
        <v>32</v>
      </c>
    </row>
    <row r="493" spans="1:7" x14ac:dyDescent="0.3">
      <c r="A493" s="4">
        <v>2472</v>
      </c>
      <c r="B493" s="4">
        <f>VLOOKUP(TABLA_STOCK[Codigo],LISTADO_PRODUCTOS[#All],2)</f>
        <v>54664</v>
      </c>
      <c r="C493" s="6" t="str">
        <f>VLOOKUP(TABLA_STOCK[Codigo],LISTADO_PRODUCTOS[#All],3)</f>
        <v>PAPELERIA Y ARTISTICA</v>
      </c>
      <c r="D493" s="6" t="str">
        <f>VLOOKUP(TABLA_STOCK[Codigo],LISTADO_PRODUCTOS[#All],4)</f>
        <v>Hilo YUTE Natural ovillo x 20mts 2807</v>
      </c>
      <c r="E493" s="6" t="str">
        <f>VLOOKUP(TABLA_STOCK[Codigo],LISTADO_PRODUCTOS[#All],5)</f>
        <v>N/A</v>
      </c>
      <c r="F493" s="4">
        <v>5</v>
      </c>
      <c r="G493" s="4">
        <v>56</v>
      </c>
    </row>
    <row r="494" spans="1:7" x14ac:dyDescent="0.3">
      <c r="A494" s="4">
        <v>2477</v>
      </c>
      <c r="B494" s="4">
        <f>VLOOKUP(TABLA_STOCK[Codigo],LISTADO_PRODUCTOS[#All],2)</f>
        <v>54665</v>
      </c>
      <c r="C494" s="6" t="str">
        <f>VLOOKUP(TABLA_STOCK[Codigo],LISTADO_PRODUCTOS[#All],3)</f>
        <v>PAPELERIA Y ARTISTICA</v>
      </c>
      <c r="D494" s="6" t="str">
        <f>VLOOKUP(TABLA_STOCK[Codigo],LISTADO_PRODUCTOS[#All],4)</f>
        <v>Pintura a la tiza 200cc EQ ARTE</v>
      </c>
      <c r="E494" s="6" t="str">
        <f>VLOOKUP(TABLA_STOCK[Codigo],LISTADO_PRODUCTOS[#All],5)</f>
        <v>N/A</v>
      </c>
      <c r="F494" s="4">
        <v>2</v>
      </c>
      <c r="G494" s="4">
        <v>107</v>
      </c>
    </row>
    <row r="495" spans="1:7" x14ac:dyDescent="0.3">
      <c r="A495" s="4">
        <v>2484</v>
      </c>
      <c r="B495" s="4">
        <f>VLOOKUP(TABLA_STOCK[Codigo],LISTADO_PRODUCTOS[#All],2)</f>
        <v>54666</v>
      </c>
      <c r="C495" s="6" t="str">
        <f>VLOOKUP(TABLA_STOCK[Codigo],LISTADO_PRODUCTOS[#All],3)</f>
        <v>PAPELERIA Y ARTISTICA</v>
      </c>
      <c r="D495" s="6" t="str">
        <f>VLOOKUP(TABLA_STOCK[Codigo],LISTADO_PRODUCTOS[#All],4)</f>
        <v xml:space="preserve">Cinta regalo rollo (tipo ribbonete) 2cm x 50mt </v>
      </c>
      <c r="E495" s="6" t="str">
        <f>VLOOKUP(TABLA_STOCK[Codigo],LISTADO_PRODUCTOS[#All],5)</f>
        <v>N/A</v>
      </c>
      <c r="F495" s="4">
        <v>2</v>
      </c>
      <c r="G495" s="4">
        <v>25</v>
      </c>
    </row>
    <row r="496" spans="1:7" x14ac:dyDescent="0.3">
      <c r="A496" s="4">
        <v>2487</v>
      </c>
      <c r="B496" s="4">
        <f>VLOOKUP(TABLA_STOCK[Codigo],LISTADO_PRODUCTOS[#All],2)</f>
        <v>54667</v>
      </c>
      <c r="C496" s="6" t="str">
        <f>VLOOKUP(TABLA_STOCK[Codigo],LISTADO_PRODUCTOS[#All],3)</f>
        <v>PAPELERIA Y ARTISTICA</v>
      </c>
      <c r="D496" s="6" t="str">
        <f>VLOOKUP(TABLA_STOCK[Codigo],LISTADO_PRODUCTOS[#All],4)</f>
        <v>Cinta Doble faz Motex 12mm x 10m</v>
      </c>
      <c r="E496" s="6" t="str">
        <f>VLOOKUP(TABLA_STOCK[Codigo],LISTADO_PRODUCTOS[#All],5)</f>
        <v>N/A</v>
      </c>
      <c r="F496" s="4">
        <v>10</v>
      </c>
      <c r="G496" s="4">
        <v>32</v>
      </c>
    </row>
    <row r="497" spans="1:7" x14ac:dyDescent="0.3">
      <c r="A497" s="4">
        <v>2488</v>
      </c>
      <c r="B497" s="4">
        <f>VLOOKUP(TABLA_STOCK[Codigo],LISTADO_PRODUCTOS[#All],2)</f>
        <v>54668</v>
      </c>
      <c r="C497" s="6" t="str">
        <f>VLOOKUP(TABLA_STOCK[Codigo],LISTADO_PRODUCTOS[#All],3)</f>
        <v>PAPELERIA Y ARTISTICA</v>
      </c>
      <c r="D497" s="6" t="str">
        <f>VLOOKUP(TABLA_STOCK[Codigo],LISTADO_PRODUCTOS[#All],4)</f>
        <v>Broche Aprieta papel Sifap niquelado N°50 x unidad</v>
      </c>
      <c r="E497" s="6" t="str">
        <f>VLOOKUP(TABLA_STOCK[Codigo],LISTADO_PRODUCTOS[#All],5)</f>
        <v>N/A</v>
      </c>
      <c r="F497" s="4">
        <v>20</v>
      </c>
      <c r="G497" s="4">
        <v>150</v>
      </c>
    </row>
    <row r="498" spans="1:7" x14ac:dyDescent="0.3">
      <c r="A498" s="4">
        <v>2489</v>
      </c>
      <c r="B498" s="4">
        <f>VLOOKUP(TABLA_STOCK[Codigo],LISTADO_PRODUCTOS[#All],2)</f>
        <v>54669</v>
      </c>
      <c r="C498" s="6" t="str">
        <f>VLOOKUP(TABLA_STOCK[Codigo],LISTADO_PRODUCTOS[#All],3)</f>
        <v>PAPELERIA Y ARTISTICA</v>
      </c>
      <c r="D498" s="6" t="str">
        <f>VLOOKUP(TABLA_STOCK[Codigo],LISTADO_PRODUCTOS[#All],4)</f>
        <v>Broche Aprieta papel N°75 niquelado Sifap x unidad</v>
      </c>
      <c r="E498" s="6" t="str">
        <f>VLOOKUP(TABLA_STOCK[Codigo],LISTADO_PRODUCTOS[#All],5)</f>
        <v>N/A</v>
      </c>
      <c r="F498" s="4">
        <v>5</v>
      </c>
      <c r="G498" s="4">
        <v>20</v>
      </c>
    </row>
    <row r="499" spans="1:7" x14ac:dyDescent="0.3">
      <c r="A499" s="4">
        <v>2495</v>
      </c>
      <c r="B499" s="4">
        <f>VLOOKUP(TABLA_STOCK[Codigo],LISTADO_PRODUCTOS[#All],2)</f>
        <v>54670</v>
      </c>
      <c r="C499" s="6" t="str">
        <f>VLOOKUP(TABLA_STOCK[Codigo],LISTADO_PRODUCTOS[#All],3)</f>
        <v>PAPELERIA Y ARTISTICA</v>
      </c>
      <c r="D499" s="6" t="str">
        <f>VLOOKUP(TABLA_STOCK[Codigo],LISTADO_PRODUCTOS[#All],4)</f>
        <v>Plastilina Playcolor pastel x 6u</v>
      </c>
      <c r="E499" s="6" t="str">
        <f>VLOOKUP(TABLA_STOCK[Codigo],LISTADO_PRODUCTOS[#All],5)</f>
        <v>N/A</v>
      </c>
      <c r="F499" s="4">
        <v>1</v>
      </c>
      <c r="G499" s="4">
        <v>19</v>
      </c>
    </row>
    <row r="500" spans="1:7" x14ac:dyDescent="0.3">
      <c r="A500" s="4">
        <v>2498</v>
      </c>
      <c r="B500" s="4">
        <f>VLOOKUP(TABLA_STOCK[Codigo],LISTADO_PRODUCTOS[#All],2)</f>
        <v>54671</v>
      </c>
      <c r="C500" s="6" t="str">
        <f>VLOOKUP(TABLA_STOCK[Codigo],LISTADO_PRODUCTOS[#All],3)</f>
        <v>PAPELERIA Y ARTISTICA</v>
      </c>
      <c r="D500" s="6" t="str">
        <f>VLOOKUP(TABLA_STOCK[Codigo],LISTADO_PRODUCTOS[#All],4)</f>
        <v>Tempera Playcolor Fluo x 6u</v>
      </c>
      <c r="E500" s="6" t="str">
        <f>VLOOKUP(TABLA_STOCK[Codigo],LISTADO_PRODUCTOS[#All],5)</f>
        <v>N/A</v>
      </c>
      <c r="F500" s="4">
        <v>5</v>
      </c>
      <c r="G500" s="4">
        <v>6</v>
      </c>
    </row>
    <row r="501" spans="1:7" x14ac:dyDescent="0.3">
      <c r="A501" s="4">
        <v>2499</v>
      </c>
      <c r="B501" s="4">
        <f>VLOOKUP(TABLA_STOCK[Codigo],LISTADO_PRODUCTOS[#All],2)</f>
        <v>54672</v>
      </c>
      <c r="C501" s="6" t="str">
        <f>VLOOKUP(TABLA_STOCK[Codigo],LISTADO_PRODUCTOS[#All],3)</f>
        <v>PAPELERIA Y ARTISTICA</v>
      </c>
      <c r="D501" s="6" t="str">
        <f>VLOOKUP(TABLA_STOCK[Codigo],LISTADO_PRODUCTOS[#All],4)</f>
        <v>Cintas IBI CRAFT Glitter</v>
      </c>
      <c r="E501" s="6" t="str">
        <f>VLOOKUP(TABLA_STOCK[Codigo],LISTADO_PRODUCTOS[#All],5)</f>
        <v>N/A</v>
      </c>
      <c r="F501" s="4">
        <v>2</v>
      </c>
      <c r="G501" s="4">
        <v>5</v>
      </c>
    </row>
    <row r="502" spans="1:7" x14ac:dyDescent="0.3">
      <c r="A502" s="4">
        <v>2500</v>
      </c>
      <c r="B502" s="4">
        <f>VLOOKUP(TABLA_STOCK[Codigo],LISTADO_PRODUCTOS[#All],2)</f>
        <v>54673</v>
      </c>
      <c r="C502" s="6" t="str">
        <f>VLOOKUP(TABLA_STOCK[Codigo],LISTADO_PRODUCTOS[#All],3)</f>
        <v>PAPELERIA Y ARTISTICA</v>
      </c>
      <c r="D502" s="6" t="str">
        <f>VLOOKUP(TABLA_STOCK[Codigo],LISTADO_PRODUCTOS[#All],4)</f>
        <v>Barrita de silicona fina c/brillo</v>
      </c>
      <c r="E502" s="6" t="str">
        <f>VLOOKUP(TABLA_STOCK[Codigo],LISTADO_PRODUCTOS[#All],5)</f>
        <v>N/A</v>
      </c>
      <c r="F502" s="4">
        <v>2</v>
      </c>
      <c r="G502" s="4">
        <v>52</v>
      </c>
    </row>
    <row r="503" spans="1:7" x14ac:dyDescent="0.3">
      <c r="A503" s="4">
        <v>2502</v>
      </c>
      <c r="B503" s="4">
        <f>VLOOKUP(TABLA_STOCK[Codigo],LISTADO_PRODUCTOS[#All],2)</f>
        <v>54674</v>
      </c>
      <c r="C503" s="6" t="str">
        <f>VLOOKUP(TABLA_STOCK[Codigo],LISTADO_PRODUCTOS[#All],3)</f>
        <v>PAPELERIA Y ARTISTICA</v>
      </c>
      <c r="D503" s="6" t="str">
        <f>VLOOKUP(TABLA_STOCK[Codigo],LISTADO_PRODUCTOS[#All],4)</f>
        <v>Blister Pinceles Olami colores x 4</v>
      </c>
      <c r="E503" s="6" t="str">
        <f>VLOOKUP(TABLA_STOCK[Codigo],LISTADO_PRODUCTOS[#All],5)</f>
        <v>N/A</v>
      </c>
      <c r="F503" s="4">
        <v>10</v>
      </c>
      <c r="G503" s="4">
        <v>32</v>
      </c>
    </row>
    <row r="504" spans="1:7" x14ac:dyDescent="0.3">
      <c r="A504" s="4">
        <v>2503</v>
      </c>
      <c r="B504" s="4">
        <f>VLOOKUP(TABLA_STOCK[Codigo],LISTADO_PRODUCTOS[#All],2)</f>
        <v>54675</v>
      </c>
      <c r="C504" s="6" t="str">
        <f>VLOOKUP(TABLA_STOCK[Codigo],LISTADO_PRODUCTOS[#All],3)</f>
        <v>PAPELERIA Y ARTISTICA</v>
      </c>
      <c r="D504" s="6" t="str">
        <f>VLOOKUP(TABLA_STOCK[Codigo],LISTADO_PRODUCTOS[#All],4)</f>
        <v>Papel Kraft x hoja</v>
      </c>
      <c r="E504" s="6" t="str">
        <f>VLOOKUP(TABLA_STOCK[Codigo],LISTADO_PRODUCTOS[#All],5)</f>
        <v>N/A</v>
      </c>
      <c r="F504" s="4">
        <v>20</v>
      </c>
      <c r="G504" s="4">
        <v>56</v>
      </c>
    </row>
    <row r="505" spans="1:7" x14ac:dyDescent="0.3">
      <c r="A505" s="4">
        <v>2504</v>
      </c>
      <c r="B505" s="4">
        <f>VLOOKUP(TABLA_STOCK[Codigo],LISTADO_PRODUCTOS[#All],2)</f>
        <v>54676</v>
      </c>
      <c r="C505" s="6" t="str">
        <f>VLOOKUP(TABLA_STOCK[Codigo],LISTADO_PRODUCTOS[#All],3)</f>
        <v>PAPELERIA Y ARTISTICA</v>
      </c>
      <c r="D505" s="6" t="str">
        <f>VLOOKUP(TABLA_STOCK[Codigo],LISTADO_PRODUCTOS[#All],4)</f>
        <v>Alambre de aluminio CBX colores 1mm x 5mt</v>
      </c>
      <c r="E505" s="6" t="str">
        <f>VLOOKUP(TABLA_STOCK[Codigo],LISTADO_PRODUCTOS[#All],5)</f>
        <v>N/A</v>
      </c>
      <c r="F505" s="4">
        <v>5</v>
      </c>
      <c r="G505" s="4">
        <v>107</v>
      </c>
    </row>
    <row r="506" spans="1:7" x14ac:dyDescent="0.3">
      <c r="A506" s="4">
        <v>3000</v>
      </c>
      <c r="B506" s="4">
        <f>VLOOKUP(TABLA_STOCK[Codigo],LISTADO_PRODUCTOS[#All],2)</f>
        <v>54677</v>
      </c>
      <c r="C506" s="6" t="str">
        <f>VLOOKUP(TABLA_STOCK[Codigo],LISTADO_PRODUCTOS[#All],3)</f>
        <v>MARROQUINERIA</v>
      </c>
      <c r="D506" s="6" t="str">
        <f>VLOOKUP(TABLA_STOCK[Codigo],LISTADO_PRODUCTOS[#All],4)</f>
        <v>Canopla cartuchera Mooving Como quieres que te quiera 1510136</v>
      </c>
      <c r="E506" s="6" t="str">
        <f>VLOOKUP(TABLA_STOCK[Codigo],LISTADO_PRODUCTOS[#All],5)</f>
        <v>N/A</v>
      </c>
      <c r="F506" s="4">
        <v>1</v>
      </c>
      <c r="G506" s="4">
        <v>25</v>
      </c>
    </row>
    <row r="507" spans="1:7" x14ac:dyDescent="0.3">
      <c r="A507" s="4">
        <v>3001</v>
      </c>
      <c r="B507" s="4">
        <f>VLOOKUP(TABLA_STOCK[Codigo],LISTADO_PRODUCTOS[#All],2)</f>
        <v>54678</v>
      </c>
      <c r="C507" s="6" t="str">
        <f>VLOOKUP(TABLA_STOCK[Codigo],LISTADO_PRODUCTOS[#All],3)</f>
        <v>MARROQUINERIA</v>
      </c>
      <c r="D507" s="6" t="str">
        <f>VLOOKUP(TABLA_STOCK[Codigo],LISTADO_PRODUCTOS[#All],4)</f>
        <v>CANOPLA ALGAMA DOBLE CIERRE BRILLO/cuerina</v>
      </c>
      <c r="E507" s="6" t="str">
        <f>VLOOKUP(TABLA_STOCK[Codigo],LISTADO_PRODUCTOS[#All],5)</f>
        <v>N/A</v>
      </c>
      <c r="F507" s="4">
        <v>5</v>
      </c>
      <c r="G507" s="4">
        <v>32</v>
      </c>
    </row>
    <row r="508" spans="1:7" x14ac:dyDescent="0.3">
      <c r="A508" s="4">
        <v>3005</v>
      </c>
      <c r="B508" s="4">
        <f>VLOOKUP(TABLA_STOCK[Codigo],LISTADO_PRODUCTOS[#All],2)</f>
        <v>54679</v>
      </c>
      <c r="C508" s="6" t="str">
        <f>VLOOKUP(TABLA_STOCK[Codigo],LISTADO_PRODUCTOS[#All],3)</f>
        <v>MARROQUINERIA</v>
      </c>
      <c r="D508" s="6" t="str">
        <f>VLOOKUP(TABLA_STOCK[Codigo],LISTADO_PRODUCTOS[#All],4)</f>
        <v>Mochila Fast Racing Art. No. 59060</v>
      </c>
      <c r="E508" s="6" t="str">
        <f>VLOOKUP(TABLA_STOCK[Codigo],LISTADO_PRODUCTOS[#All],5)</f>
        <v>N/A</v>
      </c>
      <c r="F508" s="4">
        <v>2</v>
      </c>
      <c r="G508" s="4">
        <v>150</v>
      </c>
    </row>
    <row r="509" spans="1:7" x14ac:dyDescent="0.3">
      <c r="A509" s="4">
        <v>3026</v>
      </c>
      <c r="B509" s="4">
        <f>VLOOKUP(TABLA_STOCK[Codigo],LISTADO_PRODUCTOS[#All],2)</f>
        <v>54680</v>
      </c>
      <c r="C509" s="6" t="str">
        <f>VLOOKUP(TABLA_STOCK[Codigo],LISTADO_PRODUCTOS[#All],3)</f>
        <v>MARROQUINERIA</v>
      </c>
      <c r="D509" s="6" t="str">
        <f>VLOOKUP(TABLA_STOCK[Codigo],LISTADO_PRODUCTOS[#All],4)</f>
        <v>Canopla cartuchera FW con peluche organizador Fun Velvet</v>
      </c>
      <c r="E509" s="6" t="str">
        <f>VLOOKUP(TABLA_STOCK[Codigo],LISTADO_PRODUCTOS[#All],5)</f>
        <v>N/A</v>
      </c>
      <c r="F509" s="4">
        <v>2</v>
      </c>
      <c r="G509" s="4">
        <v>20</v>
      </c>
    </row>
    <row r="510" spans="1:7" x14ac:dyDescent="0.3">
      <c r="A510" s="4">
        <v>3038</v>
      </c>
      <c r="B510" s="4">
        <f>VLOOKUP(TABLA_STOCK[Codigo],LISTADO_PRODUCTOS[#All],2)</f>
        <v>54681</v>
      </c>
      <c r="C510" s="6" t="str">
        <f>VLOOKUP(TABLA_STOCK[Codigo],LISTADO_PRODUCTOS[#All],3)</f>
        <v>MARROQUINERIA</v>
      </c>
      <c r="D510" s="6" t="str">
        <f>VLOOKUP(TABLA_STOCK[Codigo],LISTADO_PRODUCTOS[#All],4)</f>
        <v>Canopla Tubo LSyD dos cierres 97.3007.3</v>
      </c>
      <c r="E510" s="6" t="str">
        <f>VLOOKUP(TABLA_STOCK[Codigo],LISTADO_PRODUCTOS[#All],5)</f>
        <v>N/A</v>
      </c>
      <c r="F510" s="4">
        <v>10</v>
      </c>
      <c r="G510" s="4">
        <v>19</v>
      </c>
    </row>
    <row r="511" spans="1:7" x14ac:dyDescent="0.3">
      <c r="A511" s="4">
        <v>3077</v>
      </c>
      <c r="B511" s="4">
        <f>VLOOKUP(TABLA_STOCK[Codigo],LISTADO_PRODUCTOS[#All],2)</f>
        <v>54682</v>
      </c>
      <c r="C511" s="6" t="str">
        <f>VLOOKUP(TABLA_STOCK[Codigo],LISTADO_PRODUCTOS[#All],3)</f>
        <v>MARROQUINERIA</v>
      </c>
      <c r="D511" s="6" t="str">
        <f>VLOOKUP(TABLA_STOCK[Codigo],LISTADO_PRODUCTOS[#All],4)</f>
        <v>Mochila LSyD Water War Art. No. 91.17800</v>
      </c>
      <c r="E511" s="6" t="str">
        <f>VLOOKUP(TABLA_STOCK[Codigo],LISTADO_PRODUCTOS[#All],5)</f>
        <v>N/A</v>
      </c>
      <c r="F511" s="4">
        <v>20</v>
      </c>
      <c r="G511" s="4">
        <v>6</v>
      </c>
    </row>
    <row r="512" spans="1:7" x14ac:dyDescent="0.3">
      <c r="A512" s="4">
        <v>3078</v>
      </c>
      <c r="B512" s="4">
        <f>VLOOKUP(TABLA_STOCK[Codigo],LISTADO_PRODUCTOS[#All],2)</f>
        <v>54683</v>
      </c>
      <c r="C512" s="6" t="str">
        <f>VLOOKUP(TABLA_STOCK[Codigo],LISTADO_PRODUCTOS[#All],3)</f>
        <v>MARROQUINERIA</v>
      </c>
      <c r="D512" s="6" t="str">
        <f>VLOOKUP(TABLA_STOCK[Codigo],LISTADO_PRODUCTOS[#All],4)</f>
        <v>Mochila Disney Junior de Cresko</v>
      </c>
      <c r="E512" s="6" t="str">
        <f>VLOOKUP(TABLA_STOCK[Codigo],LISTADO_PRODUCTOS[#All],5)</f>
        <v>N/A</v>
      </c>
      <c r="F512" s="4">
        <v>5</v>
      </c>
      <c r="G512" s="4">
        <v>5</v>
      </c>
    </row>
    <row r="513" spans="1:7" x14ac:dyDescent="0.3">
      <c r="A513" s="4">
        <v>3211</v>
      </c>
      <c r="B513" s="4">
        <f>VLOOKUP(TABLA_STOCK[Codigo],LISTADO_PRODUCTOS[#All],2)</f>
        <v>54684</v>
      </c>
      <c r="C513" s="6" t="str">
        <f>VLOOKUP(TABLA_STOCK[Codigo],LISTADO_PRODUCTOS[#All],3)</f>
        <v>MARROQUINERIA</v>
      </c>
      <c r="D513" s="6" t="str">
        <f>VLOOKUP(TABLA_STOCK[Codigo],LISTADO_PRODUCTOS[#All],4)</f>
        <v>Mochila IN Influencer Lesedife 68.3003</v>
      </c>
      <c r="E513" s="6" t="str">
        <f>VLOOKUP(TABLA_STOCK[Codigo],LISTADO_PRODUCTOS[#All],5)</f>
        <v>N/A</v>
      </c>
      <c r="F513" s="4">
        <v>1</v>
      </c>
      <c r="G513" s="4">
        <v>52</v>
      </c>
    </row>
    <row r="514" spans="1:7" x14ac:dyDescent="0.3">
      <c r="A514" s="4">
        <v>3212</v>
      </c>
      <c r="B514" s="4">
        <f>VLOOKUP(TABLA_STOCK[Codigo],LISTADO_PRODUCTOS[#All],2)</f>
        <v>54685</v>
      </c>
      <c r="C514" s="6" t="str">
        <f>VLOOKUP(TABLA_STOCK[Codigo],LISTADO_PRODUCTOS[#All],3)</f>
        <v>MARROQUINERIA</v>
      </c>
      <c r="D514" s="6" t="str">
        <f>VLOOKUP(TABLA_STOCK[Codigo],LISTADO_PRODUCTOS[#All],4)</f>
        <v>Mochila LSyD BOMB Art. No. 91.1404</v>
      </c>
      <c r="E514" s="6" t="str">
        <f>VLOOKUP(TABLA_STOCK[Codigo],LISTADO_PRODUCTOS[#All],5)</f>
        <v>N/A</v>
      </c>
      <c r="F514" s="4">
        <v>5</v>
      </c>
      <c r="G514" s="4">
        <v>32</v>
      </c>
    </row>
    <row r="515" spans="1:7" x14ac:dyDescent="0.3">
      <c r="A515" s="4">
        <v>3214</v>
      </c>
      <c r="B515" s="4">
        <f>VLOOKUP(TABLA_STOCK[Codigo],LISTADO_PRODUCTOS[#All],2)</f>
        <v>54686</v>
      </c>
      <c r="C515" s="6" t="str">
        <f>VLOOKUP(TABLA_STOCK[Codigo],LISTADO_PRODUCTOS[#All],3)</f>
        <v>MARROQUINERIA</v>
      </c>
      <c r="D515" s="6" t="str">
        <f>VLOOKUP(TABLA_STOCK[Codigo],LISTADO_PRODUCTOS[#All],4)</f>
        <v>Mochila LSyD Street Wear Art. No. 91.2805</v>
      </c>
      <c r="E515" s="6" t="str">
        <f>VLOOKUP(TABLA_STOCK[Codigo],LISTADO_PRODUCTOS[#All],5)</f>
        <v>N/A</v>
      </c>
      <c r="F515" s="4">
        <v>2</v>
      </c>
      <c r="G515" s="4">
        <v>56</v>
      </c>
    </row>
    <row r="516" spans="1:7" x14ac:dyDescent="0.3">
      <c r="A516" s="4">
        <v>4000</v>
      </c>
      <c r="B516" s="4">
        <f>VLOOKUP(TABLA_STOCK[Codigo],LISTADO_PRODUCTOS[#All],2)</f>
        <v>54687</v>
      </c>
      <c r="C516" s="6" t="str">
        <f>VLOOKUP(TABLA_STOCK[Codigo],LISTADO_PRODUCTOS[#All],3)</f>
        <v xml:space="preserve">OFICINA </v>
      </c>
      <c r="D516" s="6" t="str">
        <f>VLOOKUP(TABLA_STOCK[Codigo],LISTADO_PRODUCTOS[#All],4)</f>
        <v>Borrador Sifap Goma eva</v>
      </c>
      <c r="E516" s="6" t="str">
        <f>VLOOKUP(TABLA_STOCK[Codigo],LISTADO_PRODUCTOS[#All],5)</f>
        <v>N/A</v>
      </c>
      <c r="F516" s="4">
        <v>10</v>
      </c>
      <c r="G516" s="4">
        <v>107</v>
      </c>
    </row>
    <row r="517" spans="1:7" x14ac:dyDescent="0.3">
      <c r="A517" s="4">
        <v>4001</v>
      </c>
      <c r="B517" s="4">
        <f>VLOOKUP(TABLA_STOCK[Codigo],LISTADO_PRODUCTOS[#All],2)</f>
        <v>54688</v>
      </c>
      <c r="C517" s="6" t="str">
        <f>VLOOKUP(TABLA_STOCK[Codigo],LISTADO_PRODUCTOS[#All],3)</f>
        <v xml:space="preserve">OFICINA </v>
      </c>
      <c r="D517" s="6" t="str">
        <f>VLOOKUP(TABLA_STOCK[Codigo],LISTADO_PRODUCTOS[#All],4)</f>
        <v>Blister marcador de pizarra Filgo x 6u</v>
      </c>
      <c r="E517" s="6" t="str">
        <f>VLOOKUP(TABLA_STOCK[Codigo],LISTADO_PRODUCTOS[#All],5)</f>
        <v>N/A</v>
      </c>
      <c r="F517" s="4">
        <v>20</v>
      </c>
      <c r="G517" s="4">
        <v>25</v>
      </c>
    </row>
    <row r="518" spans="1:7" x14ac:dyDescent="0.3">
      <c r="A518" s="4">
        <v>4006</v>
      </c>
      <c r="B518" s="4">
        <f>VLOOKUP(TABLA_STOCK[Codigo],LISTADO_PRODUCTOS[#All],2)</f>
        <v>54689</v>
      </c>
      <c r="C518" s="6" t="str">
        <f>VLOOKUP(TABLA_STOCK[Codigo],LISTADO_PRODUCTOS[#All],3)</f>
        <v xml:space="preserve">OFICINA </v>
      </c>
      <c r="D518" s="6" t="str">
        <f>VLOOKUP(TABLA_STOCK[Codigo],LISTADO_PRODUCTOS[#All],4)</f>
        <v>Repuesto Parker</v>
      </c>
      <c r="E518" s="6" t="str">
        <f>VLOOKUP(TABLA_STOCK[Codigo],LISTADO_PRODUCTOS[#All],5)</f>
        <v>N/A</v>
      </c>
      <c r="F518" s="4">
        <v>5</v>
      </c>
      <c r="G518" s="4">
        <v>32</v>
      </c>
    </row>
    <row r="519" spans="1:7" x14ac:dyDescent="0.3">
      <c r="A519" s="4">
        <v>4007</v>
      </c>
      <c r="B519" s="4">
        <f>VLOOKUP(TABLA_STOCK[Codigo],LISTADO_PRODUCTOS[#All],2)</f>
        <v>54690</v>
      </c>
      <c r="C519" s="6" t="str">
        <f>VLOOKUP(TABLA_STOCK[Codigo],LISTADO_PRODUCTOS[#All],3)</f>
        <v xml:space="preserve">OFICINA </v>
      </c>
      <c r="D519" s="6" t="str">
        <f>VLOOKUP(TABLA_STOCK[Codigo],LISTADO_PRODUCTOS[#All],4)</f>
        <v>Abrochadora Maped Vivo Nº10</v>
      </c>
      <c r="E519" s="6" t="str">
        <f>VLOOKUP(TABLA_STOCK[Codigo],LISTADO_PRODUCTOS[#All],5)</f>
        <v>N/A</v>
      </c>
      <c r="F519" s="4">
        <v>1</v>
      </c>
      <c r="G519" s="4">
        <v>150</v>
      </c>
    </row>
    <row r="520" spans="1:7" x14ac:dyDescent="0.3">
      <c r="A520" s="4">
        <v>4008</v>
      </c>
      <c r="B520" s="4">
        <f>VLOOKUP(TABLA_STOCK[Codigo],LISTADO_PRODUCTOS[#All],2)</f>
        <v>54691</v>
      </c>
      <c r="C520" s="6" t="str">
        <f>VLOOKUP(TABLA_STOCK[Codigo],LISTADO_PRODUCTOS[#All],3)</f>
        <v xml:space="preserve">OFICINA </v>
      </c>
      <c r="D520" s="6" t="str">
        <f>VLOOKUP(TABLA_STOCK[Codigo],LISTADO_PRODUCTOS[#All],4)</f>
        <v>Abrochadora General Office de bolsillo N°10 str-2102</v>
      </c>
      <c r="E520" s="6" t="str">
        <f>VLOOKUP(TABLA_STOCK[Codigo],LISTADO_PRODUCTOS[#All],5)</f>
        <v>N/A</v>
      </c>
      <c r="F520" s="4">
        <v>5</v>
      </c>
      <c r="G520" s="4">
        <v>20</v>
      </c>
    </row>
    <row r="521" spans="1:7" x14ac:dyDescent="0.3">
      <c r="A521" s="4">
        <v>4010</v>
      </c>
      <c r="B521" s="4">
        <f>VLOOKUP(TABLA_STOCK[Codigo],LISTADO_PRODUCTOS[#All],2)</f>
        <v>54692</v>
      </c>
      <c r="C521" s="6" t="str">
        <f>VLOOKUP(TABLA_STOCK[Codigo],LISTADO_PRODUCTOS[#All],3)</f>
        <v xml:space="preserve">OFICINA </v>
      </c>
      <c r="D521" s="6" t="str">
        <f>VLOOKUP(TABLA_STOCK[Codigo],LISTADO_PRODUCTOS[#All],4)</f>
        <v>Abrochadora Maped Mini Office Nº10 metal</v>
      </c>
      <c r="E521" s="6" t="str">
        <f>VLOOKUP(TABLA_STOCK[Codigo],LISTADO_PRODUCTOS[#All],5)</f>
        <v>N/A</v>
      </c>
      <c r="F521" s="4">
        <v>2</v>
      </c>
      <c r="G521" s="4">
        <v>19</v>
      </c>
    </row>
    <row r="522" spans="1:7" x14ac:dyDescent="0.3">
      <c r="A522" s="4">
        <v>4014</v>
      </c>
      <c r="B522" s="4">
        <f>VLOOKUP(TABLA_STOCK[Codigo],LISTADO_PRODUCTOS[#All],2)</f>
        <v>54693</v>
      </c>
      <c r="C522" s="6" t="str">
        <f>VLOOKUP(TABLA_STOCK[Codigo],LISTADO_PRODUCTOS[#All],3)</f>
        <v xml:space="preserve">OFICINA </v>
      </c>
      <c r="D522" s="6" t="str">
        <f>VLOOKUP(TABLA_STOCK[Codigo],LISTADO_PRODUCTOS[#All],4)</f>
        <v>Perforadora Kangaroo one hole</v>
      </c>
      <c r="E522" s="6" t="str">
        <f>VLOOKUP(TABLA_STOCK[Codigo],LISTADO_PRODUCTOS[#All],5)</f>
        <v>N/A</v>
      </c>
      <c r="F522" s="4">
        <v>2</v>
      </c>
      <c r="G522" s="4">
        <v>6</v>
      </c>
    </row>
    <row r="523" spans="1:7" x14ac:dyDescent="0.3">
      <c r="A523" s="4">
        <v>4017</v>
      </c>
      <c r="B523" s="4">
        <f>VLOOKUP(TABLA_STOCK[Codigo],LISTADO_PRODUCTOS[#All],2)</f>
        <v>54694</v>
      </c>
      <c r="C523" s="6" t="str">
        <f>VLOOKUP(TABLA_STOCK[Codigo],LISTADO_PRODUCTOS[#All],3)</f>
        <v xml:space="preserve">OFICINA </v>
      </c>
      <c r="D523" s="6" t="str">
        <f>VLOOKUP(TABLA_STOCK[Codigo],LISTADO_PRODUCTOS[#All],4)</f>
        <v>Portarrollo Dispensador de cinta 30/60mm Olami MT903</v>
      </c>
      <c r="E523" s="6" t="str">
        <f>VLOOKUP(TABLA_STOCK[Codigo],LISTADO_PRODUCTOS[#All],5)</f>
        <v>N/A</v>
      </c>
      <c r="F523" s="4">
        <v>10</v>
      </c>
      <c r="G523" s="4">
        <v>5</v>
      </c>
    </row>
    <row r="524" spans="1:7" x14ac:dyDescent="0.3">
      <c r="A524" s="4">
        <v>4018</v>
      </c>
      <c r="B524" s="4">
        <f>VLOOKUP(TABLA_STOCK[Codigo],LISTADO_PRODUCTOS[#All],2)</f>
        <v>54695</v>
      </c>
      <c r="C524" s="6" t="str">
        <f>VLOOKUP(TABLA_STOCK[Codigo],LISTADO_PRODUCTOS[#All],3)</f>
        <v xml:space="preserve">OFICINA </v>
      </c>
      <c r="D524" s="6" t="str">
        <f>VLOOKUP(TABLA_STOCK[Codigo],LISTADO_PRODUCTOS[#All],4)</f>
        <v>Tinta para sellos Negro Eureka</v>
      </c>
      <c r="E524" s="6" t="str">
        <f>VLOOKUP(TABLA_STOCK[Codigo],LISTADO_PRODUCTOS[#All],5)</f>
        <v>N/A</v>
      </c>
      <c r="F524" s="4">
        <v>20</v>
      </c>
      <c r="G524" s="4">
        <v>52</v>
      </c>
    </row>
    <row r="525" spans="1:7" x14ac:dyDescent="0.3">
      <c r="A525" s="4">
        <v>4020</v>
      </c>
      <c r="B525" s="4">
        <f>VLOOKUP(TABLA_STOCK[Codigo],LISTADO_PRODUCTOS[#All],2)</f>
        <v>54696</v>
      </c>
      <c r="C525" s="6" t="str">
        <f>VLOOKUP(TABLA_STOCK[Codigo],LISTADO_PRODUCTOS[#All],3)</f>
        <v xml:space="preserve">OFICINA </v>
      </c>
      <c r="D525" s="6" t="str">
        <f>VLOOKUP(TABLA_STOCK[Codigo],LISTADO_PRODUCTOS[#All],4)</f>
        <v>Libro indice corona 2 manos</v>
      </c>
      <c r="E525" s="6" t="str">
        <f>VLOOKUP(TABLA_STOCK[Codigo],LISTADO_PRODUCTOS[#All],5)</f>
        <v>N/A</v>
      </c>
      <c r="F525" s="4">
        <v>5</v>
      </c>
      <c r="G525" s="4">
        <v>32</v>
      </c>
    </row>
    <row r="526" spans="1:7" x14ac:dyDescent="0.3">
      <c r="A526" s="4">
        <v>4021</v>
      </c>
      <c r="B526" s="4">
        <f>VLOOKUP(TABLA_STOCK[Codigo],LISTADO_PRODUCTOS[#All],2)</f>
        <v>54697</v>
      </c>
      <c r="C526" s="6" t="str">
        <f>VLOOKUP(TABLA_STOCK[Codigo],LISTADO_PRODUCTOS[#All],3)</f>
        <v xml:space="preserve">OFICINA </v>
      </c>
      <c r="D526" s="6" t="str">
        <f>VLOOKUP(TABLA_STOCK[Codigo],LISTADO_PRODUCTOS[#All],4)</f>
        <v>Ficha Congreso- TRIUNFANTE x100 Nº3</v>
      </c>
      <c r="E526" s="6" t="str">
        <f>VLOOKUP(TABLA_STOCK[Codigo],LISTADO_PRODUCTOS[#All],5)</f>
        <v>N/A</v>
      </c>
      <c r="F526" s="4">
        <v>1</v>
      </c>
      <c r="G526" s="4">
        <v>56</v>
      </c>
    </row>
    <row r="527" spans="1:7" x14ac:dyDescent="0.3">
      <c r="A527" s="4">
        <v>4022</v>
      </c>
      <c r="B527" s="4">
        <f>VLOOKUP(TABLA_STOCK[Codigo],LISTADO_PRODUCTOS[#All],2)</f>
        <v>54698</v>
      </c>
      <c r="C527" s="6" t="str">
        <f>VLOOKUP(TABLA_STOCK[Codigo],LISTADO_PRODUCTOS[#All],3)</f>
        <v xml:space="preserve">OFICINA </v>
      </c>
      <c r="D527" s="6" t="str">
        <f>VLOOKUP(TABLA_STOCK[Codigo],LISTADO_PRODUCTOS[#All],4)</f>
        <v>Ficha Triunfante x100 Nº2 - 7796569076114</v>
      </c>
      <c r="E527" s="6" t="str">
        <f>VLOOKUP(TABLA_STOCK[Codigo],LISTADO_PRODUCTOS[#All],5)</f>
        <v>N/A</v>
      </c>
      <c r="F527" s="4">
        <v>5</v>
      </c>
      <c r="G527" s="4">
        <v>107</v>
      </c>
    </row>
    <row r="528" spans="1:7" x14ac:dyDescent="0.3">
      <c r="A528" s="4">
        <v>4024</v>
      </c>
      <c r="B528" s="4">
        <f>VLOOKUP(TABLA_STOCK[Codigo],LISTADO_PRODUCTOS[#All],2)</f>
        <v>54699</v>
      </c>
      <c r="C528" s="6" t="str">
        <f>VLOOKUP(TABLA_STOCK[Codigo],LISTADO_PRODUCTOS[#All],3)</f>
        <v xml:space="preserve">OFICINA </v>
      </c>
      <c r="D528" s="6" t="str">
        <f>VLOOKUP(TABLA_STOCK[Codigo],LISTADO_PRODUCTOS[#All],4)</f>
        <v>Pagare sin protesto Igneo pesos</v>
      </c>
      <c r="E528" s="6" t="str">
        <f>VLOOKUP(TABLA_STOCK[Codigo],LISTADO_PRODUCTOS[#All],5)</f>
        <v>N/A</v>
      </c>
      <c r="F528" s="4">
        <v>2</v>
      </c>
      <c r="G528" s="4">
        <v>25</v>
      </c>
    </row>
    <row r="529" spans="1:7" x14ac:dyDescent="0.3">
      <c r="A529" s="4">
        <v>4025</v>
      </c>
      <c r="B529" s="4">
        <f>VLOOKUP(TABLA_STOCK[Codigo],LISTADO_PRODUCTOS[#All],2)</f>
        <v>54700</v>
      </c>
      <c r="C529" s="6" t="str">
        <f>VLOOKUP(TABLA_STOCK[Codigo],LISTADO_PRODUCTOS[#All],3)</f>
        <v xml:space="preserve">OFICINA </v>
      </c>
      <c r="D529" s="6" t="str">
        <f>VLOOKUP(TABLA_STOCK[Codigo],LISTADO_PRODUCTOS[#All],4)</f>
        <v>Recibo Husares Duplicado quimico</v>
      </c>
      <c r="E529" s="6" t="str">
        <f>VLOOKUP(TABLA_STOCK[Codigo],LISTADO_PRODUCTOS[#All],5)</f>
        <v>N/A</v>
      </c>
      <c r="F529" s="4">
        <v>2</v>
      </c>
      <c r="G529" s="4">
        <v>32</v>
      </c>
    </row>
    <row r="530" spans="1:7" x14ac:dyDescent="0.3">
      <c r="A530" s="4">
        <v>4027</v>
      </c>
      <c r="B530" s="4">
        <f>VLOOKUP(TABLA_STOCK[Codigo],LISTADO_PRODUCTOS[#All],2)</f>
        <v>54701</v>
      </c>
      <c r="C530" s="6" t="str">
        <f>VLOOKUP(TABLA_STOCK[Codigo],LISTADO_PRODUCTOS[#All],3)</f>
        <v xml:space="preserve">OFICINA </v>
      </c>
      <c r="D530" s="6" t="str">
        <f>VLOOKUP(TABLA_STOCK[Codigo],LISTADO_PRODUCTOS[#All],4)</f>
        <v>Perforadora Kangaroo DP-280 - 376224</v>
      </c>
      <c r="E530" s="6" t="str">
        <f>VLOOKUP(TABLA_STOCK[Codigo],LISTADO_PRODUCTOS[#All],5)</f>
        <v>N/A</v>
      </c>
      <c r="F530" s="4">
        <v>10</v>
      </c>
      <c r="G530" s="4">
        <v>150</v>
      </c>
    </row>
    <row r="531" spans="1:7" x14ac:dyDescent="0.3">
      <c r="A531" s="4">
        <v>4028</v>
      </c>
      <c r="B531" s="4">
        <f>VLOOKUP(TABLA_STOCK[Codigo],LISTADO_PRODUCTOS[#All],2)</f>
        <v>54702</v>
      </c>
      <c r="C531" s="6" t="str">
        <f>VLOOKUP(TABLA_STOCK[Codigo],LISTADO_PRODUCTOS[#All],3)</f>
        <v xml:space="preserve">OFICINA </v>
      </c>
      <c r="D531" s="6" t="str">
        <f>VLOOKUP(TABLA_STOCK[Codigo],LISTADO_PRODUCTOS[#All],4)</f>
        <v>Racionador de cinta de empaque metalico Liggo</v>
      </c>
      <c r="E531" s="6" t="str">
        <f>VLOOKUP(TABLA_STOCK[Codigo],LISTADO_PRODUCTOS[#All],5)</f>
        <v>N/A</v>
      </c>
      <c r="F531" s="4">
        <v>20</v>
      </c>
      <c r="G531" s="4">
        <v>20</v>
      </c>
    </row>
    <row r="532" spans="1:7" x14ac:dyDescent="0.3">
      <c r="A532" s="4">
        <v>4030</v>
      </c>
      <c r="B532" s="4">
        <f>VLOOKUP(TABLA_STOCK[Codigo],LISTADO_PRODUCTOS[#All],2)</f>
        <v>54703</v>
      </c>
      <c r="C532" s="6" t="str">
        <f>VLOOKUP(TABLA_STOCK[Codigo],LISTADO_PRODUCTOS[#All],3)</f>
        <v xml:space="preserve">OFICINA </v>
      </c>
      <c r="D532" s="6" t="str">
        <f>VLOOKUP(TABLA_STOCK[Codigo],LISTADO_PRODUCTOS[#All],4)</f>
        <v>Chinche para dibujo  3 puntas Sifap 50u</v>
      </c>
      <c r="E532" s="6" t="str">
        <f>VLOOKUP(TABLA_STOCK[Codigo],LISTADO_PRODUCTOS[#All],5)</f>
        <v>N/A</v>
      </c>
      <c r="F532" s="4">
        <v>5</v>
      </c>
      <c r="G532" s="4">
        <v>19</v>
      </c>
    </row>
    <row r="533" spans="1:7" x14ac:dyDescent="0.3">
      <c r="A533" s="4">
        <v>4032</v>
      </c>
      <c r="B533" s="4">
        <f>VLOOKUP(TABLA_STOCK[Codigo],LISTADO_PRODUCTOS[#All],2)</f>
        <v>54704</v>
      </c>
      <c r="C533" s="6" t="str">
        <f>VLOOKUP(TABLA_STOCK[Codigo],LISTADO_PRODUCTOS[#All],3)</f>
        <v xml:space="preserve">OFICINA </v>
      </c>
      <c r="D533" s="6" t="str">
        <f>VLOOKUP(TABLA_STOCK[Codigo],LISTADO_PRODUCTOS[#All],4)</f>
        <v>Tinta para Sellos Pelikan</v>
      </c>
      <c r="E533" s="6" t="str">
        <f>VLOOKUP(TABLA_STOCK[Codigo],LISTADO_PRODUCTOS[#All],5)</f>
        <v>N/A</v>
      </c>
      <c r="F533" s="4">
        <v>1</v>
      </c>
      <c r="G533" s="4">
        <v>6</v>
      </c>
    </row>
    <row r="534" spans="1:7" x14ac:dyDescent="0.3">
      <c r="A534" s="4">
        <v>4033</v>
      </c>
      <c r="B534" s="4">
        <f>VLOOKUP(TABLA_STOCK[Codigo],LISTADO_PRODUCTOS[#All],2)</f>
        <v>54705</v>
      </c>
      <c r="C534" s="6" t="str">
        <f>VLOOKUP(TABLA_STOCK[Codigo],LISTADO_PRODUCTOS[#All],3)</f>
        <v xml:space="preserve">OFICINA </v>
      </c>
      <c r="D534" s="6" t="str">
        <f>VLOOKUP(TABLA_STOCK[Codigo],LISTADO_PRODUCTOS[#All],4)</f>
        <v>Tinta pàra Sellos Toyo</v>
      </c>
      <c r="E534" s="6" t="str">
        <f>VLOOKUP(TABLA_STOCK[Codigo],LISTADO_PRODUCTOS[#All],5)</f>
        <v>N/A</v>
      </c>
      <c r="F534" s="4">
        <v>5</v>
      </c>
      <c r="G534" s="4">
        <v>5</v>
      </c>
    </row>
    <row r="535" spans="1:7" x14ac:dyDescent="0.3">
      <c r="A535" s="4">
        <v>4036</v>
      </c>
      <c r="B535" s="4">
        <f>VLOOKUP(TABLA_STOCK[Codigo],LISTADO_PRODUCTOS[#All],2)</f>
        <v>54706</v>
      </c>
      <c r="C535" s="6" t="str">
        <f>VLOOKUP(TABLA_STOCK[Codigo],LISTADO_PRODUCTOS[#All],3)</f>
        <v xml:space="preserve">OFICINA </v>
      </c>
      <c r="D535" s="6" t="str">
        <f>VLOOKUP(TABLA_STOCK[Codigo],LISTADO_PRODUCTOS[#All],4)</f>
        <v>Señalador Bolita SIFAP chico x 150u</v>
      </c>
      <c r="E535" s="6" t="str">
        <f>VLOOKUP(TABLA_STOCK[Codigo],LISTADO_PRODUCTOS[#All],5)</f>
        <v>N/A</v>
      </c>
      <c r="F535" s="4">
        <v>2</v>
      </c>
      <c r="G535" s="4">
        <v>52</v>
      </c>
    </row>
    <row r="536" spans="1:7" x14ac:dyDescent="0.3">
      <c r="A536" s="4">
        <v>4044</v>
      </c>
      <c r="B536" s="4">
        <f>VLOOKUP(TABLA_STOCK[Codigo],LISTADO_PRODUCTOS[#All],2)</f>
        <v>54707</v>
      </c>
      <c r="C536" s="6" t="str">
        <f>VLOOKUP(TABLA_STOCK[Codigo],LISTADO_PRODUCTOS[#All],3)</f>
        <v xml:space="preserve">OFICINA </v>
      </c>
      <c r="D536" s="6" t="str">
        <f>VLOOKUP(TABLA_STOCK[Codigo],LISTADO_PRODUCTOS[#All],4)</f>
        <v>Broche Dorado Nº8 x100 Sifap 35mm</v>
      </c>
      <c r="E536" s="6" t="str">
        <f>VLOOKUP(TABLA_STOCK[Codigo],LISTADO_PRODUCTOS[#All],5)</f>
        <v>N/A</v>
      </c>
      <c r="F536" s="4">
        <v>2</v>
      </c>
      <c r="G536" s="4">
        <v>32</v>
      </c>
    </row>
    <row r="537" spans="1:7" x14ac:dyDescent="0.3">
      <c r="A537" s="4">
        <v>4047</v>
      </c>
      <c r="B537" s="4">
        <f>VLOOKUP(TABLA_STOCK[Codigo],LISTADO_PRODUCTOS[#All],2)</f>
        <v>54708</v>
      </c>
      <c r="C537" s="6" t="str">
        <f>VLOOKUP(TABLA_STOCK[Codigo],LISTADO_PRODUCTOS[#All],3)</f>
        <v xml:space="preserve">OFICINA </v>
      </c>
      <c r="D537" s="6" t="str">
        <f>VLOOKUP(TABLA_STOCK[Codigo],LISTADO_PRODUCTOS[#All],4)</f>
        <v>Marcador Permanente Sharpie Negro Punta Fina</v>
      </c>
      <c r="E537" s="6" t="str">
        <f>VLOOKUP(TABLA_STOCK[Codigo],LISTADO_PRODUCTOS[#All],5)</f>
        <v>N/A</v>
      </c>
      <c r="F537" s="4">
        <v>10</v>
      </c>
      <c r="G537" s="4">
        <v>56</v>
      </c>
    </row>
    <row r="538" spans="1:7" x14ac:dyDescent="0.3">
      <c r="A538" s="4">
        <v>4049</v>
      </c>
      <c r="B538" s="4">
        <f>VLOOKUP(TABLA_STOCK[Codigo],LISTADO_PRODUCTOS[#All],2)</f>
        <v>54709</v>
      </c>
      <c r="C538" s="6" t="str">
        <f>VLOOKUP(TABLA_STOCK[Codigo],LISTADO_PRODUCTOS[#All],3)</f>
        <v xml:space="preserve">OFICINA </v>
      </c>
      <c r="D538" s="6" t="str">
        <f>VLOOKUP(TABLA_STOCK[Codigo],LISTADO_PRODUCTOS[#All],4)</f>
        <v>Marcador sharpie Duo Color</v>
      </c>
      <c r="E538" s="6" t="str">
        <f>VLOOKUP(TABLA_STOCK[Codigo],LISTADO_PRODUCTOS[#All],5)</f>
        <v>N/A</v>
      </c>
      <c r="F538" s="4">
        <v>20</v>
      </c>
      <c r="G538" s="4">
        <v>107</v>
      </c>
    </row>
    <row r="539" spans="1:7" x14ac:dyDescent="0.3">
      <c r="A539" s="4">
        <v>4053</v>
      </c>
      <c r="B539" s="4">
        <f>VLOOKUP(TABLA_STOCK[Codigo],LISTADO_PRODUCTOS[#All],2)</f>
        <v>54710</v>
      </c>
      <c r="C539" s="6" t="str">
        <f>VLOOKUP(TABLA_STOCK[Codigo],LISTADO_PRODUCTOS[#All],3)</f>
        <v xml:space="preserve">OFICINA </v>
      </c>
      <c r="D539" s="6" t="str">
        <f>VLOOKUP(TABLA_STOCK[Codigo],LISTADO_PRODUCTOS[#All],4)</f>
        <v>Tinta Trabí Permanente</v>
      </c>
      <c r="E539" s="6" t="str">
        <f>VLOOKUP(TABLA_STOCK[Codigo],LISTADO_PRODUCTOS[#All],5)</f>
        <v>N/A</v>
      </c>
      <c r="F539" s="4">
        <v>5</v>
      </c>
      <c r="G539" s="4">
        <v>25</v>
      </c>
    </row>
    <row r="540" spans="1:7" x14ac:dyDescent="0.3">
      <c r="A540" s="4">
        <v>4055</v>
      </c>
      <c r="B540" s="4">
        <f>VLOOKUP(TABLA_STOCK[Codigo],LISTADO_PRODUCTOS[#All],2)</f>
        <v>54711</v>
      </c>
      <c r="C540" s="6" t="str">
        <f>VLOOKUP(TABLA_STOCK[Codigo],LISTADO_PRODUCTOS[#All],3)</f>
        <v xml:space="preserve">OFICINA </v>
      </c>
      <c r="D540" s="6" t="str">
        <f>VLOOKUP(TABLA_STOCK[Codigo],LISTADO_PRODUCTOS[#All],4)</f>
        <v>Banda elasticas Credencial x 100g</v>
      </c>
      <c r="E540" s="6" t="str">
        <f>VLOOKUP(TABLA_STOCK[Codigo],LISTADO_PRODUCTOS[#All],5)</f>
        <v>N/A</v>
      </c>
      <c r="F540" s="4">
        <v>1</v>
      </c>
      <c r="G540" s="4">
        <v>32</v>
      </c>
    </row>
    <row r="541" spans="1:7" x14ac:dyDescent="0.3">
      <c r="A541" s="4">
        <v>4058</v>
      </c>
      <c r="B541" s="4">
        <f>VLOOKUP(TABLA_STOCK[Codigo],LISTADO_PRODUCTOS[#All],2)</f>
        <v>54712</v>
      </c>
      <c r="C541" s="6" t="str">
        <f>VLOOKUP(TABLA_STOCK[Codigo],LISTADO_PRODUCTOS[#All],3)</f>
        <v xml:space="preserve">OFICINA </v>
      </c>
      <c r="D541" s="6" t="str">
        <f>VLOOKUP(TABLA_STOCK[Codigo],LISTADO_PRODUCTOS[#All],4)</f>
        <v>Broche metalico con arandela tipo Binder 63mm</v>
      </c>
      <c r="E541" s="6" t="str">
        <f>VLOOKUP(TABLA_STOCK[Codigo],LISTADO_PRODUCTOS[#All],5)</f>
        <v>N/A</v>
      </c>
      <c r="F541" s="4">
        <v>5</v>
      </c>
      <c r="G541" s="4">
        <v>150</v>
      </c>
    </row>
    <row r="542" spans="1:7" x14ac:dyDescent="0.3">
      <c r="A542" s="4">
        <v>4059</v>
      </c>
      <c r="B542" s="4">
        <f>VLOOKUP(TABLA_STOCK[Codigo],LISTADO_PRODUCTOS[#All],2)</f>
        <v>54713</v>
      </c>
      <c r="C542" s="6" t="str">
        <f>VLOOKUP(TABLA_STOCK[Codigo],LISTADO_PRODUCTOS[#All],3)</f>
        <v xml:space="preserve">OFICINA </v>
      </c>
      <c r="D542" s="6" t="str">
        <f>VLOOKUP(TABLA_STOCK[Codigo],LISTADO_PRODUCTOS[#All],4)</f>
        <v>Marcador de Billetes Trabi</v>
      </c>
      <c r="E542" s="6" t="str">
        <f>VLOOKUP(TABLA_STOCK[Codigo],LISTADO_PRODUCTOS[#All],5)</f>
        <v>N/A</v>
      </c>
      <c r="F542" s="4">
        <v>2</v>
      </c>
      <c r="G542" s="4">
        <v>20</v>
      </c>
    </row>
    <row r="543" spans="1:7" x14ac:dyDescent="0.3">
      <c r="A543" s="4">
        <v>4061</v>
      </c>
      <c r="B543" s="4">
        <f>VLOOKUP(TABLA_STOCK[Codigo],LISTADO_PRODUCTOS[#All],2)</f>
        <v>54714</v>
      </c>
      <c r="C543" s="6" t="str">
        <f>VLOOKUP(TABLA_STOCK[Codigo],LISTADO_PRODUCTOS[#All],3)</f>
        <v xml:space="preserve">OFICINA </v>
      </c>
      <c r="D543" s="6" t="str">
        <f>VLOOKUP(TABLA_STOCK[Codigo],LISTADO_PRODUCTOS[#All],4)</f>
        <v>Borrador de Madera</v>
      </c>
      <c r="E543" s="6" t="str">
        <f>VLOOKUP(TABLA_STOCK[Codigo],LISTADO_PRODUCTOS[#All],5)</f>
        <v>N/A</v>
      </c>
      <c r="F543" s="4">
        <v>10</v>
      </c>
      <c r="G543" s="4">
        <v>19</v>
      </c>
    </row>
    <row r="544" spans="1:7" x14ac:dyDescent="0.3">
      <c r="A544" s="4">
        <v>4062</v>
      </c>
      <c r="B544" s="4">
        <f>VLOOKUP(TABLA_STOCK[Codigo],LISTADO_PRODUCTOS[#All],2)</f>
        <v>54715</v>
      </c>
      <c r="C544" s="6" t="str">
        <f>VLOOKUP(TABLA_STOCK[Codigo],LISTADO_PRODUCTOS[#All],3)</f>
        <v xml:space="preserve">OFICINA </v>
      </c>
      <c r="D544" s="6" t="str">
        <f>VLOOKUP(TABLA_STOCK[Codigo],LISTADO_PRODUCTOS[#All],4)</f>
        <v>Plumines</v>
      </c>
      <c r="E544" s="6" t="str">
        <f>VLOOKUP(TABLA_STOCK[Codigo],LISTADO_PRODUCTOS[#All],5)</f>
        <v>N/A</v>
      </c>
      <c r="F544" s="4">
        <v>20</v>
      </c>
      <c r="G544" s="4">
        <v>6</v>
      </c>
    </row>
    <row r="545" spans="1:7" x14ac:dyDescent="0.3">
      <c r="A545" s="4">
        <v>4066</v>
      </c>
      <c r="B545" s="4">
        <f>VLOOKUP(TABLA_STOCK[Codigo],LISTADO_PRODUCTOS[#All],2)</f>
        <v>54716</v>
      </c>
      <c r="C545" s="6" t="str">
        <f>VLOOKUP(TABLA_STOCK[Codigo],LISTADO_PRODUCTOS[#All],3)</f>
        <v xml:space="preserve">OFICINA </v>
      </c>
      <c r="D545" s="6" t="str">
        <f>VLOOKUP(TABLA_STOCK[Codigo],LISTADO_PRODUCTOS[#All],4)</f>
        <v>Broche doble clip Isofit 25mm</v>
      </c>
      <c r="E545" s="6" t="str">
        <f>VLOOKUP(TABLA_STOCK[Codigo],LISTADO_PRODUCTOS[#All],5)</f>
        <v>N/A</v>
      </c>
      <c r="F545" s="4">
        <v>5</v>
      </c>
      <c r="G545" s="4">
        <v>5</v>
      </c>
    </row>
    <row r="546" spans="1:7" x14ac:dyDescent="0.3">
      <c r="A546" s="4">
        <v>4067</v>
      </c>
      <c r="B546" s="4">
        <f>VLOOKUP(TABLA_STOCK[Codigo],LISTADO_PRODUCTOS[#All],2)</f>
        <v>54717</v>
      </c>
      <c r="C546" s="6" t="str">
        <f>VLOOKUP(TABLA_STOCK[Codigo],LISTADO_PRODUCTOS[#All],3)</f>
        <v xml:space="preserve">OFICINA </v>
      </c>
      <c r="D546" s="6" t="str">
        <f>VLOOKUP(TABLA_STOCK[Codigo],LISTADO_PRODUCTOS[#All],4)</f>
        <v>Broche Doble Clip 40mm/51mm</v>
      </c>
      <c r="E546" s="6" t="str">
        <f>VLOOKUP(TABLA_STOCK[Codigo],LISTADO_PRODUCTOS[#All],5)</f>
        <v>N/A</v>
      </c>
      <c r="F546" s="4">
        <v>1</v>
      </c>
      <c r="G546" s="4">
        <v>52</v>
      </c>
    </row>
    <row r="547" spans="1:7" x14ac:dyDescent="0.3">
      <c r="A547" s="4">
        <v>4068</v>
      </c>
      <c r="B547" s="4">
        <f>VLOOKUP(TABLA_STOCK[Codigo],LISTADO_PRODUCTOS[#All],2)</f>
        <v>54718</v>
      </c>
      <c r="C547" s="6" t="str">
        <f>VLOOKUP(TABLA_STOCK[Codigo],LISTADO_PRODUCTOS[#All],3)</f>
        <v xml:space="preserve">OFICINA </v>
      </c>
      <c r="D547" s="6" t="str">
        <f>VLOOKUP(TABLA_STOCK[Codigo],LISTADO_PRODUCTOS[#All],4)</f>
        <v>Tinta Trabi para pizarra blanca - 7790578034202</v>
      </c>
      <c r="E547" s="6" t="str">
        <f>VLOOKUP(TABLA_STOCK[Codigo],LISTADO_PRODUCTOS[#All],5)</f>
        <v>N/A</v>
      </c>
      <c r="F547" s="4">
        <v>5</v>
      </c>
      <c r="G547" s="4">
        <v>32</v>
      </c>
    </row>
    <row r="548" spans="1:7" x14ac:dyDescent="0.3">
      <c r="A548" s="4">
        <v>4073</v>
      </c>
      <c r="B548" s="4">
        <f>VLOOKUP(TABLA_STOCK[Codigo],LISTADO_PRODUCTOS[#All],2)</f>
        <v>54719</v>
      </c>
      <c r="C548" s="6" t="str">
        <f>VLOOKUP(TABLA_STOCK[Codigo],LISTADO_PRODUCTOS[#All],3)</f>
        <v xml:space="preserve">OFICINA </v>
      </c>
      <c r="D548" s="6" t="str">
        <f>VLOOKUP(TABLA_STOCK[Codigo],LISTADO_PRODUCTOS[#All],4)</f>
        <v>Broche  Maped Nº 24/6 - 26/6 x1000</v>
      </c>
      <c r="E548" s="6" t="str">
        <f>VLOOKUP(TABLA_STOCK[Codigo],LISTADO_PRODUCTOS[#All],5)</f>
        <v>N/A</v>
      </c>
      <c r="F548" s="4">
        <v>2</v>
      </c>
      <c r="G548" s="4">
        <v>56</v>
      </c>
    </row>
    <row r="549" spans="1:7" x14ac:dyDescent="0.3">
      <c r="A549" s="4">
        <v>4075</v>
      </c>
      <c r="B549" s="4">
        <f>VLOOKUP(TABLA_STOCK[Codigo],LISTADO_PRODUCTOS[#All],2)</f>
        <v>54720</v>
      </c>
      <c r="C549" s="6" t="str">
        <f>VLOOKUP(TABLA_STOCK[Codigo],LISTADO_PRODUCTOS[#All],3)</f>
        <v xml:space="preserve">OFICINA </v>
      </c>
      <c r="D549" s="6" t="str">
        <f>VLOOKUP(TABLA_STOCK[Codigo],LISTADO_PRODUCTOS[#All],4)</f>
        <v>Broche 21/6 x 1000</v>
      </c>
      <c r="E549" s="6" t="str">
        <f>VLOOKUP(TABLA_STOCK[Codigo],LISTADO_PRODUCTOS[#All],5)</f>
        <v>N/A</v>
      </c>
      <c r="F549" s="4">
        <v>2</v>
      </c>
      <c r="G549" s="4">
        <v>107</v>
      </c>
    </row>
    <row r="550" spans="1:7" x14ac:dyDescent="0.3">
      <c r="A550" s="4">
        <v>4077</v>
      </c>
      <c r="B550" s="4">
        <f>VLOOKUP(TABLA_STOCK[Codigo],LISTADO_PRODUCTOS[#All],2)</f>
        <v>54721</v>
      </c>
      <c r="C550" s="6" t="str">
        <f>VLOOKUP(TABLA_STOCK[Codigo],LISTADO_PRODUCTOS[#All],3)</f>
        <v xml:space="preserve">OFICINA </v>
      </c>
      <c r="D550" s="6" t="str">
        <f>VLOOKUP(TABLA_STOCK[Codigo],LISTADO_PRODUCTOS[#All],4)</f>
        <v>Broche MIT N°64 x 1000</v>
      </c>
      <c r="E550" s="6" t="str">
        <f>VLOOKUP(TABLA_STOCK[Codigo],LISTADO_PRODUCTOS[#All],5)</f>
        <v>N/A</v>
      </c>
      <c r="F550" s="4">
        <v>10</v>
      </c>
      <c r="G550" s="4">
        <v>25</v>
      </c>
    </row>
    <row r="551" spans="1:7" x14ac:dyDescent="0.3">
      <c r="A551" s="4">
        <v>4078</v>
      </c>
      <c r="B551" s="4">
        <f>VLOOKUP(TABLA_STOCK[Codigo],LISTADO_PRODUCTOS[#All],2)</f>
        <v>54722</v>
      </c>
      <c r="C551" s="6" t="str">
        <f>VLOOKUP(TABLA_STOCK[Codigo],LISTADO_PRODUCTOS[#All],3)</f>
        <v xml:space="preserve">OFICINA </v>
      </c>
      <c r="D551" s="6" t="str">
        <f>VLOOKUP(TABLA_STOCK[Codigo],LISTADO_PRODUCTOS[#All],4)</f>
        <v>Broche 50 x 1000 MIT</v>
      </c>
      <c r="E551" s="6" t="str">
        <f>VLOOKUP(TABLA_STOCK[Codigo],LISTADO_PRODUCTOS[#All],5)</f>
        <v>N/A</v>
      </c>
      <c r="F551" s="4">
        <v>20</v>
      </c>
      <c r="G551" s="4">
        <v>32</v>
      </c>
    </row>
    <row r="552" spans="1:7" x14ac:dyDescent="0.3">
      <c r="A552" s="4">
        <v>4080</v>
      </c>
      <c r="B552" s="4">
        <f>VLOOKUP(TABLA_STOCK[Codigo],LISTADO_PRODUCTOS[#All],2)</f>
        <v>54723</v>
      </c>
      <c r="C552" s="6" t="str">
        <f>VLOOKUP(TABLA_STOCK[Codigo],LISTADO_PRODUCTOS[#All],3)</f>
        <v xml:space="preserve">OFICINA </v>
      </c>
      <c r="D552" s="6" t="str">
        <f>VLOOKUP(TABLA_STOCK[Codigo],LISTADO_PRODUCTOS[#All],4)</f>
        <v>Broche Mit Nº10 x 1000</v>
      </c>
      <c r="E552" s="6" t="str">
        <f>VLOOKUP(TABLA_STOCK[Codigo],LISTADO_PRODUCTOS[#All],5)</f>
        <v>N/A</v>
      </c>
      <c r="F552" s="4">
        <v>5</v>
      </c>
      <c r="G552" s="4">
        <v>150</v>
      </c>
    </row>
    <row r="553" spans="1:7" x14ac:dyDescent="0.3">
      <c r="A553" s="4">
        <v>4082</v>
      </c>
      <c r="B553" s="4">
        <f>VLOOKUP(TABLA_STOCK[Codigo],LISTADO_PRODUCTOS[#All],2)</f>
        <v>54724</v>
      </c>
      <c r="C553" s="6" t="str">
        <f>VLOOKUP(TABLA_STOCK[Codigo],LISTADO_PRODUCTOS[#All],3)</f>
        <v xml:space="preserve">OFICINA </v>
      </c>
      <c r="D553" s="6" t="str">
        <f>VLOOKUP(TABLA_STOCK[Codigo],LISTADO_PRODUCTOS[#All],4)</f>
        <v xml:space="preserve">Bibliorato color </v>
      </c>
      <c r="E553" s="6" t="str">
        <f>VLOOKUP(TABLA_STOCK[Codigo],LISTADO_PRODUCTOS[#All],5)</f>
        <v>N/A</v>
      </c>
      <c r="F553" s="4">
        <v>1</v>
      </c>
      <c r="G553" s="4">
        <v>20</v>
      </c>
    </row>
    <row r="554" spans="1:7" x14ac:dyDescent="0.3">
      <c r="A554" s="4">
        <v>4083</v>
      </c>
      <c r="B554" s="4">
        <f>VLOOKUP(TABLA_STOCK[Codigo],LISTADO_PRODUCTOS[#All],2)</f>
        <v>54725</v>
      </c>
      <c r="C554" s="6" t="str">
        <f>VLOOKUP(TABLA_STOCK[Codigo],LISTADO_PRODUCTOS[#All],3)</f>
        <v xml:space="preserve">OFICINA </v>
      </c>
      <c r="D554" s="6" t="str">
        <f>VLOOKUP(TABLA_STOCK[Codigo],LISTADO_PRODUCTOS[#All],4)</f>
        <v>Bilbliorato color A4 lomo Ancho</v>
      </c>
      <c r="E554" s="6" t="str">
        <f>VLOOKUP(TABLA_STOCK[Codigo],LISTADO_PRODUCTOS[#All],5)</f>
        <v>N/A</v>
      </c>
      <c r="F554" s="4">
        <v>5</v>
      </c>
      <c r="G554" s="4">
        <v>19</v>
      </c>
    </row>
    <row r="555" spans="1:7" x14ac:dyDescent="0.3">
      <c r="A555" s="4">
        <v>4084</v>
      </c>
      <c r="B555" s="4">
        <f>VLOOKUP(TABLA_STOCK[Codigo],LISTADO_PRODUCTOS[#All],2)</f>
        <v>54726</v>
      </c>
      <c r="C555" s="6" t="str">
        <f>VLOOKUP(TABLA_STOCK[Codigo],LISTADO_PRODUCTOS[#All],3)</f>
        <v xml:space="preserve">OFICINA </v>
      </c>
      <c r="D555" s="6" t="str">
        <f>VLOOKUP(TABLA_STOCK[Codigo],LISTADO_PRODUCTOS[#All],4)</f>
        <v>Bibliorato Color Oficio Lomo Angosto</v>
      </c>
      <c r="E555" s="6" t="str">
        <f>VLOOKUP(TABLA_STOCK[Codigo],LISTADO_PRODUCTOS[#All],5)</f>
        <v>N/A</v>
      </c>
      <c r="F555" s="4">
        <v>2</v>
      </c>
      <c r="G555" s="4">
        <v>6</v>
      </c>
    </row>
    <row r="556" spans="1:7" x14ac:dyDescent="0.3">
      <c r="A556" s="4">
        <v>4085</v>
      </c>
      <c r="B556" s="4">
        <f>VLOOKUP(TABLA_STOCK[Codigo],LISTADO_PRODUCTOS[#All],2)</f>
        <v>54727</v>
      </c>
      <c r="C556" s="6" t="str">
        <f>VLOOKUP(TABLA_STOCK[Codigo],LISTADO_PRODUCTOS[#All],3)</f>
        <v xml:space="preserve">OFICINA </v>
      </c>
      <c r="D556" s="6" t="str">
        <f>VLOOKUP(TABLA_STOCK[Codigo],LISTADO_PRODUCTOS[#All],4)</f>
        <v>Bibliorato Color Oficio Lomo Ancho</v>
      </c>
      <c r="E556" s="6" t="str">
        <f>VLOOKUP(TABLA_STOCK[Codigo],LISTADO_PRODUCTOS[#All],5)</f>
        <v>N/A</v>
      </c>
      <c r="F556" s="4">
        <v>2</v>
      </c>
      <c r="G556" s="4">
        <v>5</v>
      </c>
    </row>
    <row r="557" spans="1:7" x14ac:dyDescent="0.3">
      <c r="A557" s="4">
        <v>4086</v>
      </c>
      <c r="B557" s="4">
        <f>VLOOKUP(TABLA_STOCK[Codigo],LISTADO_PRODUCTOS[#All],2)</f>
        <v>54728</v>
      </c>
      <c r="C557" s="6" t="str">
        <f>VLOOKUP(TABLA_STOCK[Codigo],LISTADO_PRODUCTOS[#All],3)</f>
        <v xml:space="preserve">OFICINA </v>
      </c>
      <c r="D557" s="6" t="str">
        <f>VLOOKUP(TABLA_STOCK[Codigo],LISTADO_PRODUCTOS[#All],4)</f>
        <v>Bibliorato Marmolado A4</v>
      </c>
      <c r="E557" s="6" t="str">
        <f>VLOOKUP(TABLA_STOCK[Codigo],LISTADO_PRODUCTOS[#All],5)</f>
        <v>N/A</v>
      </c>
      <c r="F557" s="4">
        <v>10</v>
      </c>
      <c r="G557" s="4">
        <v>52</v>
      </c>
    </row>
    <row r="558" spans="1:7" x14ac:dyDescent="0.3">
      <c r="A558" s="4">
        <v>4087</v>
      </c>
      <c r="B558" s="4">
        <f>VLOOKUP(TABLA_STOCK[Codigo],LISTADO_PRODUCTOS[#All],2)</f>
        <v>54729</v>
      </c>
      <c r="C558" s="6" t="str">
        <f>VLOOKUP(TABLA_STOCK[Codigo],LISTADO_PRODUCTOS[#All],3)</f>
        <v xml:space="preserve">OFICINA </v>
      </c>
      <c r="D558" s="6" t="str">
        <f>VLOOKUP(TABLA_STOCK[Codigo],LISTADO_PRODUCTOS[#All],4)</f>
        <v>Bibliorato Marmolado Oficio</v>
      </c>
      <c r="E558" s="6" t="str">
        <f>VLOOKUP(TABLA_STOCK[Codigo],LISTADO_PRODUCTOS[#All],5)</f>
        <v>N/A</v>
      </c>
      <c r="F558" s="4">
        <v>20</v>
      </c>
      <c r="G558" s="4">
        <v>32</v>
      </c>
    </row>
    <row r="559" spans="1:7" x14ac:dyDescent="0.3">
      <c r="A559" s="4">
        <v>4088</v>
      </c>
      <c r="B559" s="4">
        <f>VLOOKUP(TABLA_STOCK[Codigo],LISTADO_PRODUCTOS[#All],2)</f>
        <v>54730</v>
      </c>
      <c r="C559" s="6" t="str">
        <f>VLOOKUP(TABLA_STOCK[Codigo],LISTADO_PRODUCTOS[#All],3)</f>
        <v xml:space="preserve">OFICINA </v>
      </c>
      <c r="D559" s="6" t="str">
        <f>VLOOKUP(TABLA_STOCK[Codigo],LISTADO_PRODUCTOS[#All],4)</f>
        <v>Papel Carbonico Pelikan x u</v>
      </c>
      <c r="E559" s="6" t="str">
        <f>VLOOKUP(TABLA_STOCK[Codigo],LISTADO_PRODUCTOS[#All],5)</f>
        <v>N/A</v>
      </c>
      <c r="F559" s="4">
        <v>5</v>
      </c>
      <c r="G559" s="4">
        <v>56</v>
      </c>
    </row>
    <row r="560" spans="1:7" x14ac:dyDescent="0.3">
      <c r="A560" s="4">
        <v>4089</v>
      </c>
      <c r="B560" s="4">
        <f>VLOOKUP(TABLA_STOCK[Codigo],LISTADO_PRODUCTOS[#All],2)</f>
        <v>54731</v>
      </c>
      <c r="C560" s="6" t="str">
        <f>VLOOKUP(TABLA_STOCK[Codigo],LISTADO_PRODUCTOS[#All],3)</f>
        <v xml:space="preserve">OFICINA </v>
      </c>
      <c r="D560" s="6" t="str">
        <f>VLOOKUP(TABLA_STOCK[Codigo],LISTADO_PRODUCTOS[#All],4)</f>
        <v>Papel Carbonico Coxi x u</v>
      </c>
      <c r="E560" s="6" t="str">
        <f>VLOOKUP(TABLA_STOCK[Codigo],LISTADO_PRODUCTOS[#All],5)</f>
        <v>N/A</v>
      </c>
      <c r="F560" s="4">
        <v>1</v>
      </c>
      <c r="G560" s="4">
        <v>107</v>
      </c>
    </row>
    <row r="561" spans="1:7" x14ac:dyDescent="0.3">
      <c r="A561" s="4">
        <v>4090</v>
      </c>
      <c r="B561" s="4">
        <f>VLOOKUP(TABLA_STOCK[Codigo],LISTADO_PRODUCTOS[#All],2)</f>
        <v>54732</v>
      </c>
      <c r="C561" s="6" t="str">
        <f>VLOOKUP(TABLA_STOCK[Codigo],LISTADO_PRODUCTOS[#All],3)</f>
        <v xml:space="preserve">OFICINA </v>
      </c>
      <c r="D561" s="6" t="str">
        <f>VLOOKUP(TABLA_STOCK[Codigo],LISTADO_PRODUCTOS[#All],4)</f>
        <v>Caja Archivo plastica grande c/tapa</v>
      </c>
      <c r="E561" s="6" t="str">
        <f>VLOOKUP(TABLA_STOCK[Codigo],LISTADO_PRODUCTOS[#All],5)</f>
        <v>N/A</v>
      </c>
      <c r="F561" s="4">
        <v>5</v>
      </c>
      <c r="G561" s="4">
        <v>25</v>
      </c>
    </row>
    <row r="562" spans="1:7" x14ac:dyDescent="0.3">
      <c r="A562" s="4">
        <v>4092</v>
      </c>
      <c r="B562" s="4">
        <f>VLOOKUP(TABLA_STOCK[Codigo],LISTADO_PRODUCTOS[#All],2)</f>
        <v>54733</v>
      </c>
      <c r="C562" s="6" t="str">
        <f>VLOOKUP(TABLA_STOCK[Codigo],LISTADO_PRODUCTOS[#All],3)</f>
        <v xml:space="preserve">OFICINA </v>
      </c>
      <c r="D562" s="6" t="str">
        <f>VLOOKUP(TABLA_STOCK[Codigo],LISTADO_PRODUCTOS[#All],4)</f>
        <v>Marcador Bic Marking Pizarra</v>
      </c>
      <c r="E562" s="6" t="str">
        <f>VLOOKUP(TABLA_STOCK[Codigo],LISTADO_PRODUCTOS[#All],5)</f>
        <v>N/A</v>
      </c>
      <c r="F562" s="4">
        <v>2</v>
      </c>
      <c r="G562" s="4">
        <v>32</v>
      </c>
    </row>
    <row r="563" spans="1:7" x14ac:dyDescent="0.3">
      <c r="A563" s="4">
        <v>4094</v>
      </c>
      <c r="B563" s="4">
        <f>VLOOKUP(TABLA_STOCK[Codigo],LISTADO_PRODUCTOS[#All],2)</f>
        <v>54734</v>
      </c>
      <c r="C563" s="6" t="str">
        <f>VLOOKUP(TABLA_STOCK[Codigo],LISTADO_PRODUCTOS[#All],3)</f>
        <v xml:space="preserve">OFICINA </v>
      </c>
      <c r="D563" s="6" t="str">
        <f>VLOOKUP(TABLA_STOCK[Codigo],LISTADO_PRODUCTOS[#All],4)</f>
        <v>Talonario Neutro duplicado Alianza - Grande</v>
      </c>
      <c r="E563" s="6" t="str">
        <f>VLOOKUP(TABLA_STOCK[Codigo],LISTADO_PRODUCTOS[#All],5)</f>
        <v>N/A</v>
      </c>
      <c r="F563" s="4">
        <v>2</v>
      </c>
      <c r="G563" s="4">
        <v>150</v>
      </c>
    </row>
    <row r="564" spans="1:7" x14ac:dyDescent="0.3">
      <c r="A564" s="4">
        <v>4095</v>
      </c>
      <c r="B564" s="4">
        <f>VLOOKUP(TABLA_STOCK[Codigo],LISTADO_PRODUCTOS[#All],2)</f>
        <v>54735</v>
      </c>
      <c r="C564" s="6" t="str">
        <f>VLOOKUP(TABLA_STOCK[Codigo],LISTADO_PRODUCTOS[#All],3)</f>
        <v xml:space="preserve">OFICINA </v>
      </c>
      <c r="D564" s="6" t="str">
        <f>VLOOKUP(TABLA_STOCK[Codigo],LISTADO_PRODUCTOS[#All],4)</f>
        <v>Broche Kangaroo/buffalo Nº10 - 793600660100</v>
      </c>
      <c r="E564" s="6" t="str">
        <f>VLOOKUP(TABLA_STOCK[Codigo],LISTADO_PRODUCTOS[#All],5)</f>
        <v>N/A</v>
      </c>
      <c r="F564" s="4">
        <v>10</v>
      </c>
      <c r="G564" s="4">
        <v>20</v>
      </c>
    </row>
    <row r="565" spans="1:7" x14ac:dyDescent="0.3">
      <c r="A565" s="4">
        <v>4096</v>
      </c>
      <c r="B565" s="4">
        <f>VLOOKUP(TABLA_STOCK[Codigo],LISTADO_PRODUCTOS[#All],2)</f>
        <v>54736</v>
      </c>
      <c r="C565" s="6" t="str">
        <f>VLOOKUP(TABLA_STOCK[Codigo],LISTADO_PRODUCTOS[#All],3)</f>
        <v xml:space="preserve">OFICINA </v>
      </c>
      <c r="D565" s="6" t="str">
        <f>VLOOKUP(TABLA_STOCK[Codigo],LISTADO_PRODUCTOS[#All],4)</f>
        <v>Talonario contado Husares N 1831</v>
      </c>
      <c r="E565" s="6" t="str">
        <f>VLOOKUP(TABLA_STOCK[Codigo],LISTADO_PRODUCTOS[#All],5)</f>
        <v>N/A</v>
      </c>
      <c r="F565" s="4">
        <v>20</v>
      </c>
      <c r="G565" s="4">
        <v>19</v>
      </c>
    </row>
    <row r="566" spans="1:7" x14ac:dyDescent="0.3">
      <c r="A566" s="4">
        <v>4097</v>
      </c>
      <c r="B566" s="4">
        <f>VLOOKUP(TABLA_STOCK[Codigo],LISTADO_PRODUCTOS[#All],2)</f>
        <v>54737</v>
      </c>
      <c r="C566" s="6" t="str">
        <f>VLOOKUP(TABLA_STOCK[Codigo],LISTADO_PRODUCTOS[#All],3)</f>
        <v xml:space="preserve">OFICINA </v>
      </c>
      <c r="D566" s="6" t="str">
        <f>VLOOKUP(TABLA_STOCK[Codigo],LISTADO_PRODUCTOS[#All],4)</f>
        <v>Talonario Husares duplicado multiuso N1929</v>
      </c>
      <c r="E566" s="6" t="str">
        <f>VLOOKUP(TABLA_STOCK[Codigo],LISTADO_PRODUCTOS[#All],5)</f>
        <v>N/A</v>
      </c>
      <c r="F566" s="4">
        <v>5</v>
      </c>
      <c r="G566" s="4">
        <v>6</v>
      </c>
    </row>
    <row r="567" spans="1:7" x14ac:dyDescent="0.3">
      <c r="A567" s="4">
        <v>4098</v>
      </c>
      <c r="B567" s="4">
        <f>VLOOKUP(TABLA_STOCK[Codigo],LISTADO_PRODUCTOS[#All],2)</f>
        <v>54738</v>
      </c>
      <c r="C567" s="6" t="str">
        <f>VLOOKUP(TABLA_STOCK[Codigo],LISTADO_PRODUCTOS[#All],3)</f>
        <v xml:space="preserve">OFICINA </v>
      </c>
      <c r="D567" s="6" t="str">
        <f>VLOOKUP(TABLA_STOCK[Codigo],LISTADO_PRODUCTOS[#All],4)</f>
        <v>Banda elasticas Flexiband x 50gr</v>
      </c>
      <c r="E567" s="6" t="str">
        <f>VLOOKUP(TABLA_STOCK[Codigo],LISTADO_PRODUCTOS[#All],5)</f>
        <v>N/A</v>
      </c>
      <c r="F567" s="4">
        <v>1</v>
      </c>
      <c r="G567" s="4">
        <v>5</v>
      </c>
    </row>
    <row r="568" spans="1:7" x14ac:dyDescent="0.3">
      <c r="A568" s="4">
        <v>4101</v>
      </c>
      <c r="B568" s="4">
        <f>VLOOKUP(TABLA_STOCK[Codigo],LISTADO_PRODUCTOS[#All],2)</f>
        <v>54739</v>
      </c>
      <c r="C568" s="6" t="str">
        <f>VLOOKUP(TABLA_STOCK[Codigo],LISTADO_PRODUCTOS[#All],3)</f>
        <v xml:space="preserve">OFICINA </v>
      </c>
      <c r="D568" s="6" t="str">
        <f>VLOOKUP(TABLA_STOCK[Codigo],LISTADO_PRODUCTOS[#All],4)</f>
        <v>Folio Oficio Micro/LUMA x100 x bolsa completa $2750 - 7796893002148</v>
      </c>
      <c r="E568" s="6" t="str">
        <f>VLOOKUP(TABLA_STOCK[Codigo],LISTADO_PRODUCTOS[#All],5)</f>
        <v>N/A</v>
      </c>
      <c r="F568" s="4">
        <v>5</v>
      </c>
      <c r="G568" s="4">
        <v>52</v>
      </c>
    </row>
    <row r="569" spans="1:7" x14ac:dyDescent="0.3">
      <c r="A569" s="4">
        <v>4102</v>
      </c>
      <c r="B569" s="4">
        <f>VLOOKUP(TABLA_STOCK[Codigo],LISTADO_PRODUCTOS[#All],2)</f>
        <v>54740</v>
      </c>
      <c r="C569" s="6" t="str">
        <f>VLOOKUP(TABLA_STOCK[Codigo],LISTADO_PRODUCTOS[#All],3)</f>
        <v xml:space="preserve">OFICINA </v>
      </c>
      <c r="D569" s="6" t="str">
        <f>VLOOKUP(TABLA_STOCK[Codigo],LISTADO_PRODUCTOS[#All],4)</f>
        <v>Folio A4 Micro/LUMA x100 x bolsa completa $2300- 7796893002124</v>
      </c>
      <c r="E569" s="6" t="str">
        <f>VLOOKUP(TABLA_STOCK[Codigo],LISTADO_PRODUCTOS[#All],5)</f>
        <v>N/A</v>
      </c>
      <c r="F569" s="4">
        <v>2</v>
      </c>
      <c r="G569" s="4">
        <v>32</v>
      </c>
    </row>
    <row r="570" spans="1:7" x14ac:dyDescent="0.3">
      <c r="A570" s="4">
        <v>4105</v>
      </c>
      <c r="B570" s="4">
        <f>VLOOKUP(TABLA_STOCK[Codigo],LISTADO_PRODUCTOS[#All],2)</f>
        <v>54741</v>
      </c>
      <c r="C570" s="6" t="str">
        <f>VLOOKUP(TABLA_STOCK[Codigo],LISTADO_PRODUCTOS[#All],3)</f>
        <v xml:space="preserve">OFICINA </v>
      </c>
      <c r="D570" s="6" t="str">
        <f>VLOOKUP(TABLA_STOCK[Codigo],LISTADO_PRODUCTOS[#All],4)</f>
        <v>Folio Nº3 Luma/Liggo Comun x100 - Pack $1260</v>
      </c>
      <c r="E570" s="6" t="str">
        <f>VLOOKUP(TABLA_STOCK[Codigo],LISTADO_PRODUCTOS[#All],5)</f>
        <v>N/A</v>
      </c>
      <c r="F570" s="4">
        <v>10</v>
      </c>
      <c r="G570" s="4">
        <v>56</v>
      </c>
    </row>
    <row r="571" spans="1:7" x14ac:dyDescent="0.3">
      <c r="A571" s="4">
        <v>4108</v>
      </c>
      <c r="B571" s="4">
        <f>VLOOKUP(TABLA_STOCK[Codigo],LISTADO_PRODUCTOS[#All],2)</f>
        <v>54742</v>
      </c>
      <c r="C571" s="6" t="str">
        <f>VLOOKUP(TABLA_STOCK[Codigo],LISTADO_PRODUCTOS[#All],3)</f>
        <v xml:space="preserve">OFICINA </v>
      </c>
      <c r="D571" s="6" t="str">
        <f>VLOOKUP(TABLA_STOCK[Codigo],LISTADO_PRODUCTOS[#All],4)</f>
        <v>Broche GRAP N°65 x 1000u</v>
      </c>
      <c r="E571" s="6" t="str">
        <f>VLOOKUP(TABLA_STOCK[Codigo],LISTADO_PRODUCTOS[#All],5)</f>
        <v>N/A</v>
      </c>
      <c r="F571" s="4">
        <v>20</v>
      </c>
      <c r="G571" s="4">
        <v>107</v>
      </c>
    </row>
    <row r="572" spans="1:7" x14ac:dyDescent="0.3">
      <c r="A572" s="4">
        <v>4109</v>
      </c>
      <c r="B572" s="4">
        <f>VLOOKUP(TABLA_STOCK[Codigo],LISTADO_PRODUCTOS[#All],2)</f>
        <v>54743</v>
      </c>
      <c r="C572" s="6" t="str">
        <f>VLOOKUP(TABLA_STOCK[Codigo],LISTADO_PRODUCTOS[#All],3)</f>
        <v xml:space="preserve">OFICINA </v>
      </c>
      <c r="D572" s="6" t="str">
        <f>VLOOKUP(TABLA_STOCK[Codigo],LISTADO_PRODUCTOS[#All],4)</f>
        <v>Chinche dorado Sifap</v>
      </c>
      <c r="E572" s="6" t="str">
        <f>VLOOKUP(TABLA_STOCK[Codigo],LISTADO_PRODUCTOS[#All],5)</f>
        <v>N/A</v>
      </c>
      <c r="F572" s="4">
        <v>5</v>
      </c>
      <c r="G572" s="4">
        <v>25</v>
      </c>
    </row>
    <row r="573" spans="1:7" x14ac:dyDescent="0.3">
      <c r="A573" s="4">
        <v>4127</v>
      </c>
      <c r="B573" s="4">
        <f>VLOOKUP(TABLA_STOCK[Codigo],LISTADO_PRODUCTOS[#All],2)</f>
        <v>54749</v>
      </c>
      <c r="C573" s="6" t="str">
        <f>VLOOKUP(TABLA_STOCK[Codigo],LISTADO_PRODUCTOS[#All],3)</f>
        <v xml:space="preserve">OFICINA </v>
      </c>
      <c r="D573" s="6" t="str">
        <f>VLOOKUP(TABLA_STOCK[Codigo],LISTADO_PRODUCTOS[#All],4)</f>
        <v>Alfiler SIFAP CX 50gr</v>
      </c>
      <c r="E573" s="6" t="str">
        <f>VLOOKUP(TABLA_STOCK[Codigo],LISTADO_PRODUCTOS[#All],5)</f>
        <v>N/A</v>
      </c>
      <c r="F573" s="4">
        <v>1</v>
      </c>
      <c r="G573" s="4">
        <v>32</v>
      </c>
    </row>
    <row r="574" spans="1:7" x14ac:dyDescent="0.3">
      <c r="A574" s="4">
        <v>4129</v>
      </c>
      <c r="B574" s="4">
        <f>VLOOKUP(TABLA_STOCK[Codigo],LISTADO_PRODUCTOS[#All],2)</f>
        <v>54749</v>
      </c>
      <c r="C574" s="6" t="str">
        <f>VLOOKUP(TABLA_STOCK[Codigo],LISTADO_PRODUCTOS[#All],3)</f>
        <v xml:space="preserve">OFICINA </v>
      </c>
      <c r="D574" s="6" t="str">
        <f>VLOOKUP(TABLA_STOCK[Codigo],LISTADO_PRODUCTOS[#All],4)</f>
        <v>Alfiler SIFAP CX 50gr</v>
      </c>
      <c r="E574" s="6" t="str">
        <f>VLOOKUP(TABLA_STOCK[Codigo],LISTADO_PRODUCTOS[#All],5)</f>
        <v>N/A</v>
      </c>
      <c r="F574" s="4">
        <v>5</v>
      </c>
      <c r="G574" s="4">
        <v>150</v>
      </c>
    </row>
    <row r="575" spans="1:7" x14ac:dyDescent="0.3">
      <c r="A575" s="4">
        <v>4133</v>
      </c>
      <c r="B575" s="4">
        <f>VLOOKUP(TABLA_STOCK[Codigo],LISTADO_PRODUCTOS[#All],2)</f>
        <v>54749</v>
      </c>
      <c r="C575" s="6" t="str">
        <f>VLOOKUP(TABLA_STOCK[Codigo],LISTADO_PRODUCTOS[#All],3)</f>
        <v xml:space="preserve">OFICINA </v>
      </c>
      <c r="D575" s="6" t="str">
        <f>VLOOKUP(TABLA_STOCK[Codigo],LISTADO_PRODUCTOS[#All],4)</f>
        <v>Alfiler SIFAP CX 50gr</v>
      </c>
      <c r="E575" s="6" t="str">
        <f>VLOOKUP(TABLA_STOCK[Codigo],LISTADO_PRODUCTOS[#All],5)</f>
        <v>N/A</v>
      </c>
      <c r="F575" s="4">
        <v>2</v>
      </c>
      <c r="G575" s="4">
        <v>20</v>
      </c>
    </row>
    <row r="576" spans="1:7" x14ac:dyDescent="0.3">
      <c r="A576" s="4">
        <v>4207</v>
      </c>
      <c r="B576" s="4">
        <f>VLOOKUP(TABLA_STOCK[Codigo],LISTADO_PRODUCTOS[#All],2)</f>
        <v>54763</v>
      </c>
      <c r="C576" s="6" t="str">
        <f>VLOOKUP(TABLA_STOCK[Codigo],LISTADO_PRODUCTOS[#All],3)</f>
        <v xml:space="preserve">OFICINA </v>
      </c>
      <c r="D576" s="6" t="str">
        <f>VLOOKUP(TABLA_STOCK[Codigo],LISTADO_PRODUCTOS[#All],4)</f>
        <v>Libro de Actas Potosi 2 manos Clochet</v>
      </c>
      <c r="E576" s="6" t="str">
        <f>VLOOKUP(TABLA_STOCK[Codigo],LISTADO_PRODUCTOS[#All],5)</f>
        <v>N/A</v>
      </c>
      <c r="F576" s="4">
        <v>2</v>
      </c>
      <c r="G576" s="4">
        <v>19</v>
      </c>
    </row>
    <row r="577" spans="1:7" x14ac:dyDescent="0.3">
      <c r="A577" s="4">
        <v>4117</v>
      </c>
      <c r="B577" s="4">
        <f>VLOOKUP(TABLA_STOCK[Codigo],LISTADO_PRODUCTOS[#All],2)</f>
        <v>54748</v>
      </c>
      <c r="C577" s="6" t="str">
        <f>VLOOKUP(TABLA_STOCK[Codigo],LISTADO_PRODUCTOS[#All],3)</f>
        <v xml:space="preserve">OFICINA </v>
      </c>
      <c r="D577" s="6" t="str">
        <f>VLOOKUP(TABLA_STOCK[Codigo],LISTADO_PRODUCTOS[#All],4)</f>
        <v>Carpeta Foliada x20 f util-off/display - 7794765003668</v>
      </c>
      <c r="E577" s="6" t="str">
        <f>VLOOKUP(TABLA_STOCK[Codigo],LISTADO_PRODUCTOS[#All],5)</f>
        <v>N/A</v>
      </c>
      <c r="F577" s="4">
        <v>10</v>
      </c>
      <c r="G577" s="4">
        <v>6</v>
      </c>
    </row>
    <row r="578" spans="1:7" x14ac:dyDescent="0.3">
      <c r="A578" s="4">
        <v>4120</v>
      </c>
      <c r="B578" s="4">
        <f>VLOOKUP(TABLA_STOCK[Codigo],LISTADO_PRODUCTOS[#All],2)</f>
        <v>54749</v>
      </c>
      <c r="C578" s="6" t="str">
        <f>VLOOKUP(TABLA_STOCK[Codigo],LISTADO_PRODUCTOS[#All],3)</f>
        <v xml:space="preserve">OFICINA </v>
      </c>
      <c r="D578" s="6" t="str">
        <f>VLOOKUP(TABLA_STOCK[Codigo],LISTADO_PRODUCTOS[#All],4)</f>
        <v>Alfiler SIFAP CX 50gr</v>
      </c>
      <c r="E578" s="6" t="str">
        <f>VLOOKUP(TABLA_STOCK[Codigo],LISTADO_PRODUCTOS[#All],5)</f>
        <v>N/A</v>
      </c>
      <c r="F578" s="4">
        <v>20</v>
      </c>
      <c r="G578" s="4">
        <v>5</v>
      </c>
    </row>
    <row r="579" spans="1:7" x14ac:dyDescent="0.3">
      <c r="A579" s="4">
        <v>4143</v>
      </c>
      <c r="B579" s="4">
        <f>VLOOKUP(TABLA_STOCK[Codigo],LISTADO_PRODUCTOS[#All],2)</f>
        <v>54750</v>
      </c>
      <c r="C579" s="6" t="str">
        <f>VLOOKUP(TABLA_STOCK[Codigo],LISTADO_PRODUCTOS[#All],3)</f>
        <v xml:space="preserve">OFICINA </v>
      </c>
      <c r="D579" s="6" t="str">
        <f>VLOOKUP(TABLA_STOCK[Codigo],LISTADO_PRODUCTOS[#All],4)</f>
        <v>Rollo Motex Blanco P/maquina</v>
      </c>
      <c r="E579" s="6" t="str">
        <f>VLOOKUP(TABLA_STOCK[Codigo],LISTADO_PRODUCTOS[#All],5)</f>
        <v>N/A</v>
      </c>
      <c r="F579" s="4">
        <v>5</v>
      </c>
      <c r="G579" s="4">
        <v>52</v>
      </c>
    </row>
    <row r="580" spans="1:7" x14ac:dyDescent="0.3">
      <c r="A580" s="4">
        <v>4146</v>
      </c>
      <c r="B580" s="4">
        <f>VLOOKUP(TABLA_STOCK[Codigo],LISTADO_PRODUCTOS[#All],2)</f>
        <v>54751</v>
      </c>
      <c r="C580" s="6" t="str">
        <f>VLOOKUP(TABLA_STOCK[Codigo],LISTADO_PRODUCTOS[#All],3)</f>
        <v xml:space="preserve">OFICINA </v>
      </c>
      <c r="D580" s="6" t="str">
        <f>VLOOKUP(TABLA_STOCK[Codigo],LISTADO_PRODUCTOS[#All],4)</f>
        <v>Fichero Metallico Nº2 300 fichas</v>
      </c>
      <c r="E580" s="6" t="str">
        <f>VLOOKUP(TABLA_STOCK[Codigo],LISTADO_PRODUCTOS[#All],5)</f>
        <v>N/A</v>
      </c>
      <c r="F580" s="4">
        <v>1</v>
      </c>
      <c r="G580" s="4">
        <v>32</v>
      </c>
    </row>
    <row r="581" spans="1:7" x14ac:dyDescent="0.3">
      <c r="A581" s="4">
        <v>4147</v>
      </c>
      <c r="B581" s="4">
        <f>VLOOKUP(TABLA_STOCK[Codigo],LISTADO_PRODUCTOS[#All],2)</f>
        <v>54752</v>
      </c>
      <c r="C581" s="6" t="str">
        <f>VLOOKUP(TABLA_STOCK[Codigo],LISTADO_PRODUCTOS[#All],3)</f>
        <v xml:space="preserve">OFICINA </v>
      </c>
      <c r="D581" s="6" t="str">
        <f>VLOOKUP(TABLA_STOCK[Codigo],LISTADO_PRODUCTOS[#All],4)</f>
        <v>Fichero Metallico Nº3 300 fichas</v>
      </c>
      <c r="E581" s="6" t="str">
        <f>VLOOKUP(TABLA_STOCK[Codigo],LISTADO_PRODUCTOS[#All],5)</f>
        <v>N/A</v>
      </c>
      <c r="F581" s="4">
        <v>5</v>
      </c>
      <c r="G581" s="4">
        <v>56</v>
      </c>
    </row>
    <row r="582" spans="1:7" x14ac:dyDescent="0.3">
      <c r="A582" s="4">
        <v>4148</v>
      </c>
      <c r="B582" s="4">
        <f>VLOOKUP(TABLA_STOCK[Codigo],LISTADO_PRODUCTOS[#All],2)</f>
        <v>54753</v>
      </c>
      <c r="C582" s="6" t="str">
        <f>VLOOKUP(TABLA_STOCK[Codigo],LISTADO_PRODUCTOS[#All],3)</f>
        <v xml:space="preserve">OFICINA </v>
      </c>
      <c r="D582" s="6" t="str">
        <f>VLOOKUP(TABLA_STOCK[Codigo],LISTADO_PRODUCTOS[#All],4)</f>
        <v>Notas adhesivas Mooving Tropical 45x 50 x 20hj</v>
      </c>
      <c r="E582" s="6" t="str">
        <f>VLOOKUP(TABLA_STOCK[Codigo],LISTADO_PRODUCTOS[#All],5)</f>
        <v>N/A</v>
      </c>
      <c r="F582" s="4">
        <v>2</v>
      </c>
      <c r="G582" s="4">
        <v>107</v>
      </c>
    </row>
    <row r="583" spans="1:7" x14ac:dyDescent="0.3">
      <c r="A583" s="4">
        <v>4150</v>
      </c>
      <c r="B583" s="4">
        <f>VLOOKUP(TABLA_STOCK[Codigo],LISTADO_PRODUCTOS[#All],2)</f>
        <v>54754</v>
      </c>
      <c r="C583" s="6" t="str">
        <f>VLOOKUP(TABLA_STOCK[Codigo],LISTADO_PRODUCTOS[#All],3)</f>
        <v xml:space="preserve">OFICINA </v>
      </c>
      <c r="D583" s="6" t="str">
        <f>VLOOKUP(TABLA_STOCK[Codigo],LISTADO_PRODUCTOS[#All],4)</f>
        <v>Banderitas Ezco FLUO</v>
      </c>
      <c r="E583" s="6" t="str">
        <f>VLOOKUP(TABLA_STOCK[Codigo],LISTADO_PRODUCTOS[#All],5)</f>
        <v>N/A</v>
      </c>
      <c r="F583" s="4">
        <v>2</v>
      </c>
      <c r="G583" s="4">
        <v>25</v>
      </c>
    </row>
    <row r="584" spans="1:7" x14ac:dyDescent="0.3">
      <c r="A584" s="4">
        <v>4154</v>
      </c>
      <c r="B584" s="4">
        <f>VLOOKUP(TABLA_STOCK[Codigo],LISTADO_PRODUCTOS[#All],2)</f>
        <v>54755</v>
      </c>
      <c r="C584" s="6" t="str">
        <f>VLOOKUP(TABLA_STOCK[Codigo],LISTADO_PRODUCTOS[#All],3)</f>
        <v xml:space="preserve">OFICINA </v>
      </c>
      <c r="D584" s="6" t="str">
        <f>VLOOKUP(TABLA_STOCK[Codigo],LISTADO_PRODUCTOS[#All],4)</f>
        <v>Carpeta fondo base opaca Oficio T/T</v>
      </c>
      <c r="E584" s="6" t="str">
        <f>VLOOKUP(TABLA_STOCK[Codigo],LISTADO_PRODUCTOS[#All],5)</f>
        <v>N/A</v>
      </c>
      <c r="F584" s="4">
        <v>10</v>
      </c>
      <c r="G584" s="4">
        <v>32</v>
      </c>
    </row>
    <row r="585" spans="1:7" x14ac:dyDescent="0.3">
      <c r="A585" s="4">
        <v>4155</v>
      </c>
      <c r="B585" s="4">
        <f>VLOOKUP(TABLA_STOCK[Codigo],LISTADO_PRODUCTOS[#All],2)</f>
        <v>54756</v>
      </c>
      <c r="C585" s="6" t="str">
        <f>VLOOKUP(TABLA_STOCK[Codigo],LISTADO_PRODUCTOS[#All],3)</f>
        <v xml:space="preserve">OFICINA </v>
      </c>
      <c r="D585" s="6" t="str">
        <f>VLOOKUP(TABLA_STOCK[Codigo],LISTADO_PRODUCTOS[#All],4)</f>
        <v>Carpeta Fondo base Opaca A4</v>
      </c>
      <c r="E585" s="6" t="str">
        <f>VLOOKUP(TABLA_STOCK[Codigo],LISTADO_PRODUCTOS[#All],5)</f>
        <v>N/A</v>
      </c>
      <c r="F585" s="4">
        <v>20</v>
      </c>
      <c r="G585" s="4">
        <v>150</v>
      </c>
    </row>
    <row r="586" spans="1:7" x14ac:dyDescent="0.3">
      <c r="A586" s="4">
        <v>4157</v>
      </c>
      <c r="B586" s="4">
        <f>VLOOKUP(TABLA_STOCK[Codigo],LISTADO_PRODUCTOS[#All],2)</f>
        <v>54757</v>
      </c>
      <c r="C586" s="6" t="str">
        <f>VLOOKUP(TABLA_STOCK[Codigo],LISTADO_PRODUCTOS[#All],3)</f>
        <v xml:space="preserve">OFICINA </v>
      </c>
      <c r="D586" s="6" t="str">
        <f>VLOOKUP(TABLA_STOCK[Codigo],LISTADO_PRODUCTOS[#All],4)</f>
        <v>Carpeta C/Vaina Oficio</v>
      </c>
      <c r="E586" s="6" t="str">
        <f>VLOOKUP(TABLA_STOCK[Codigo],LISTADO_PRODUCTOS[#All],5)</f>
        <v>N/A</v>
      </c>
      <c r="F586" s="4">
        <v>5</v>
      </c>
      <c r="G586" s="4">
        <v>20</v>
      </c>
    </row>
    <row r="587" spans="1:7" x14ac:dyDescent="0.3">
      <c r="A587" s="4">
        <v>4158</v>
      </c>
      <c r="B587" s="4">
        <f>VLOOKUP(TABLA_STOCK[Codigo],LISTADO_PRODUCTOS[#All],2)</f>
        <v>54758</v>
      </c>
      <c r="C587" s="6" t="str">
        <f>VLOOKUP(TABLA_STOCK[Codigo],LISTADO_PRODUCTOS[#All],3)</f>
        <v xml:space="preserve">OFICINA </v>
      </c>
      <c r="D587" s="6" t="str">
        <f>VLOOKUP(TABLA_STOCK[Codigo],LISTADO_PRODUCTOS[#All],4)</f>
        <v>Carpeta c/Vaina A4</v>
      </c>
      <c r="E587" s="6" t="str">
        <f>VLOOKUP(TABLA_STOCK[Codigo],LISTADO_PRODUCTOS[#All],5)</f>
        <v>N/A</v>
      </c>
      <c r="F587" s="4">
        <v>1</v>
      </c>
      <c r="G587" s="4">
        <v>19</v>
      </c>
    </row>
    <row r="588" spans="1:7" x14ac:dyDescent="0.3">
      <c r="A588" s="4">
        <v>4159</v>
      </c>
      <c r="B588" s="4">
        <f>VLOOKUP(TABLA_STOCK[Codigo],LISTADO_PRODUCTOS[#All],2)</f>
        <v>54759</v>
      </c>
      <c r="C588" s="6" t="str">
        <f>VLOOKUP(TABLA_STOCK[Codigo],LISTADO_PRODUCTOS[#All],3)</f>
        <v xml:space="preserve">OFICINA </v>
      </c>
      <c r="D588" s="6" t="str">
        <f>VLOOKUP(TABLA_STOCK[Codigo],LISTADO_PRODUCTOS[#All],4)</f>
        <v>Carpeta Veloz</v>
      </c>
      <c r="E588" s="6" t="str">
        <f>VLOOKUP(TABLA_STOCK[Codigo],LISTADO_PRODUCTOS[#All],5)</f>
        <v>N/A</v>
      </c>
      <c r="F588" s="4">
        <v>5</v>
      </c>
      <c r="G588" s="4">
        <v>6</v>
      </c>
    </row>
    <row r="589" spans="1:7" x14ac:dyDescent="0.3">
      <c r="A589" s="4">
        <v>4160</v>
      </c>
      <c r="B589" s="4">
        <f>VLOOKUP(TABLA_STOCK[Codigo],LISTADO_PRODUCTOS[#All],2)</f>
        <v>54760</v>
      </c>
      <c r="C589" s="6" t="str">
        <f>VLOOKUP(TABLA_STOCK[Codigo],LISTADO_PRODUCTOS[#All],3)</f>
        <v xml:space="preserve">OFICINA </v>
      </c>
      <c r="D589" s="6" t="str">
        <f>VLOOKUP(TABLA_STOCK[Codigo],LISTADO_PRODUCTOS[#All],4)</f>
        <v>Carpeta c/vaina color</v>
      </c>
      <c r="E589" s="6" t="str">
        <f>VLOOKUP(TABLA_STOCK[Codigo],LISTADO_PRODUCTOS[#All],5)</f>
        <v>N/A</v>
      </c>
      <c r="F589" s="4">
        <v>2</v>
      </c>
      <c r="G589" s="4">
        <v>5</v>
      </c>
    </row>
    <row r="590" spans="1:7" x14ac:dyDescent="0.3">
      <c r="A590" s="4">
        <v>4166</v>
      </c>
      <c r="B590" s="4">
        <f>VLOOKUP(TABLA_STOCK[Codigo],LISTADO_PRODUCTOS[#All],2)</f>
        <v>54761</v>
      </c>
      <c r="C590" s="6" t="str">
        <f>VLOOKUP(TABLA_STOCK[Codigo],LISTADO_PRODUCTOS[#All],3)</f>
        <v xml:space="preserve">OFICINA </v>
      </c>
      <c r="D590" s="6" t="str">
        <f>VLOOKUP(TABLA_STOCK[Codigo],LISTADO_PRODUCTOS[#All],4)</f>
        <v>Carpeta foliada Lama 100f A4</v>
      </c>
      <c r="E590" s="6" t="str">
        <f>VLOOKUP(TABLA_STOCK[Codigo],LISTADO_PRODUCTOS[#All],5)</f>
        <v>N/A</v>
      </c>
      <c r="F590" s="4">
        <v>2</v>
      </c>
      <c r="G590" s="4">
        <v>52</v>
      </c>
    </row>
    <row r="591" spans="1:7" x14ac:dyDescent="0.3">
      <c r="A591" s="4">
        <v>4167</v>
      </c>
      <c r="B591" s="4">
        <f>VLOOKUP(TABLA_STOCK[Codigo],LISTADO_PRODUCTOS[#All],2)</f>
        <v>54762</v>
      </c>
      <c r="C591" s="6" t="str">
        <f>VLOOKUP(TABLA_STOCK[Codigo],LISTADO_PRODUCTOS[#All],3)</f>
        <v xml:space="preserve">OFICINA </v>
      </c>
      <c r="D591" s="6" t="str">
        <f>VLOOKUP(TABLA_STOCK[Codigo],LISTADO_PRODUCTOS[#All],4)</f>
        <v>Cartuchera para cuaderno/agenda FW A5</v>
      </c>
      <c r="E591" s="6" t="str">
        <f>VLOOKUP(TABLA_STOCK[Codigo],LISTADO_PRODUCTOS[#All],5)</f>
        <v>N/A</v>
      </c>
      <c r="F591" s="4">
        <v>10</v>
      </c>
      <c r="G591" s="4">
        <v>32</v>
      </c>
    </row>
    <row r="592" spans="1:7" x14ac:dyDescent="0.3">
      <c r="A592" s="4">
        <v>4207</v>
      </c>
      <c r="B592" s="4">
        <f>VLOOKUP(TABLA_STOCK[Codigo],LISTADO_PRODUCTOS[#All],2)</f>
        <v>54763</v>
      </c>
      <c r="C592" s="6" t="str">
        <f>VLOOKUP(TABLA_STOCK[Codigo],LISTADO_PRODUCTOS[#All],3)</f>
        <v xml:space="preserve">OFICINA </v>
      </c>
      <c r="D592" s="6" t="str">
        <f>VLOOKUP(TABLA_STOCK[Codigo],LISTADO_PRODUCTOS[#All],4)</f>
        <v>Libro de Actas Potosi 2 manos Clochet</v>
      </c>
      <c r="E592" s="6" t="str">
        <f>VLOOKUP(TABLA_STOCK[Codigo],LISTADO_PRODUCTOS[#All],5)</f>
        <v>N/A</v>
      </c>
      <c r="F592" s="4">
        <v>20</v>
      </c>
      <c r="G592" s="4">
        <v>56</v>
      </c>
    </row>
    <row r="593" spans="1:7" x14ac:dyDescent="0.3">
      <c r="A593" s="4">
        <v>4208</v>
      </c>
      <c r="B593" s="4">
        <f>VLOOKUP(TABLA_STOCK[Codigo],LISTADO_PRODUCTOS[#All],2)</f>
        <v>54764</v>
      </c>
      <c r="C593" s="6" t="str">
        <f>VLOOKUP(TABLA_STOCK[Codigo],LISTADO_PRODUCTOS[#All],3)</f>
        <v xml:space="preserve">OFICINA </v>
      </c>
      <c r="D593" s="6" t="str">
        <f>VLOOKUP(TABLA_STOCK[Codigo],LISTADO_PRODUCTOS[#All],4)</f>
        <v>Libro de Actas Oficio Potosi Corona 2 manos</v>
      </c>
      <c r="E593" s="6" t="str">
        <f>VLOOKUP(TABLA_STOCK[Codigo],LISTADO_PRODUCTOS[#All],5)</f>
        <v>N/A</v>
      </c>
      <c r="F593" s="4">
        <v>5</v>
      </c>
      <c r="G593" s="4">
        <v>107</v>
      </c>
    </row>
    <row r="594" spans="1:7" x14ac:dyDescent="0.3">
      <c r="A594" s="4">
        <v>4209</v>
      </c>
      <c r="B594" s="4">
        <f>VLOOKUP(TABLA_STOCK[Codigo],LISTADO_PRODUCTOS[#All],2)</f>
        <v>54765</v>
      </c>
      <c r="C594" s="6" t="str">
        <f>VLOOKUP(TABLA_STOCK[Codigo],LISTADO_PRODUCTOS[#All],3)</f>
        <v xml:space="preserve">OFICINA </v>
      </c>
      <c r="D594" s="6" t="str">
        <f>VLOOKUP(TABLA_STOCK[Codigo],LISTADO_PRODUCTOS[#All],4)</f>
        <v>Tinta BIC para marcador de Pizarra Blanca</v>
      </c>
      <c r="E594" s="6" t="str">
        <f>VLOOKUP(TABLA_STOCK[Codigo],LISTADO_PRODUCTOS[#All],5)</f>
        <v>N/A</v>
      </c>
      <c r="F594" s="4">
        <v>1</v>
      </c>
      <c r="G594" s="4">
        <v>25</v>
      </c>
    </row>
    <row r="595" spans="1:7" x14ac:dyDescent="0.3">
      <c r="A595" s="4">
        <v>4211</v>
      </c>
      <c r="B595" s="4">
        <f>VLOOKUP(TABLA_STOCK[Codigo],LISTADO_PRODUCTOS[#All],2)</f>
        <v>54766</v>
      </c>
      <c r="C595" s="6" t="str">
        <f>VLOOKUP(TABLA_STOCK[Codigo],LISTADO_PRODUCTOS[#All],3)</f>
        <v xml:space="preserve">OFICINA </v>
      </c>
      <c r="D595" s="6" t="str">
        <f>VLOOKUP(TABLA_STOCK[Codigo],LISTADO_PRODUCTOS[#All],4)</f>
        <v>Clasificador A4 LAMA EF202NE</v>
      </c>
      <c r="E595" s="6" t="str">
        <f>VLOOKUP(TABLA_STOCK[Codigo],LISTADO_PRODUCTOS[#All],5)</f>
        <v>N/A</v>
      </c>
      <c r="F595" s="4">
        <v>5</v>
      </c>
      <c r="G595" s="4">
        <v>32</v>
      </c>
    </row>
    <row r="596" spans="1:7" x14ac:dyDescent="0.3">
      <c r="A596" s="4">
        <v>4301</v>
      </c>
      <c r="B596" s="4">
        <f>VLOOKUP(TABLA_STOCK[Codigo],LISTADO_PRODUCTOS[#All],2)</f>
        <v>54767</v>
      </c>
      <c r="C596" s="6" t="str">
        <f>VLOOKUP(TABLA_STOCK[Codigo],LISTADO_PRODUCTOS[#All],3)</f>
        <v xml:space="preserve">OFICINA </v>
      </c>
      <c r="D596" s="6" t="str">
        <f>VLOOKUP(TABLA_STOCK[Codigo],LISTADO_PRODUCTOS[#All],4)</f>
        <v>Broche Clip Sifap Forrado Color Nº6</v>
      </c>
      <c r="E596" s="6" t="str">
        <f>VLOOKUP(TABLA_STOCK[Codigo],LISTADO_PRODUCTOS[#All],5)</f>
        <v>N/A</v>
      </c>
      <c r="F596" s="4">
        <v>2</v>
      </c>
      <c r="G596" s="4">
        <v>107</v>
      </c>
    </row>
    <row r="597" spans="1:7" x14ac:dyDescent="0.3">
      <c r="A597" s="4">
        <v>4302</v>
      </c>
      <c r="B597" s="4">
        <f>VLOOKUP(TABLA_STOCK[Codigo],LISTADO_PRODUCTOS[#All],2)</f>
        <v>54768</v>
      </c>
      <c r="C597" s="6" t="str">
        <f>VLOOKUP(TABLA_STOCK[Codigo],LISTADO_PRODUCTOS[#All],3)</f>
        <v xml:space="preserve">OFICINA </v>
      </c>
      <c r="D597" s="6" t="str">
        <f>VLOOKUP(TABLA_STOCK[Codigo],LISTADO_PRODUCTOS[#All],4)</f>
        <v>Marcador Sharpie Metal plateado/rojo/azul/verde</v>
      </c>
      <c r="E597" s="6" t="str">
        <f>VLOOKUP(TABLA_STOCK[Codigo],LISTADO_PRODUCTOS[#All],5)</f>
        <v>N/A</v>
      </c>
      <c r="F597" s="4">
        <v>10</v>
      </c>
      <c r="G597" s="4">
        <v>25</v>
      </c>
    </row>
    <row r="598" spans="1:7" x14ac:dyDescent="0.3">
      <c r="A598" s="4">
        <v>4305</v>
      </c>
      <c r="B598" s="4">
        <f>VLOOKUP(TABLA_STOCK[Codigo],LISTADO_PRODUCTOS[#All],2)</f>
        <v>54769</v>
      </c>
      <c r="C598" s="6" t="str">
        <f>VLOOKUP(TABLA_STOCK[Codigo],LISTADO_PRODUCTOS[#All],3)</f>
        <v xml:space="preserve">OFICINA </v>
      </c>
      <c r="D598" s="6" t="str">
        <f>VLOOKUP(TABLA_STOCK[Codigo],LISTADO_PRODUCTOS[#All],4)</f>
        <v>Banderitas flecha Mooving Pastel</v>
      </c>
      <c r="E598" s="6" t="str">
        <f>VLOOKUP(TABLA_STOCK[Codigo],LISTADO_PRODUCTOS[#All],5)</f>
        <v>N/A</v>
      </c>
      <c r="F598" s="4">
        <v>20</v>
      </c>
      <c r="G598" s="4">
        <v>32</v>
      </c>
    </row>
    <row r="599" spans="1:7" x14ac:dyDescent="0.3">
      <c r="A599" s="4">
        <v>4308</v>
      </c>
      <c r="B599" s="4">
        <f>VLOOKUP(TABLA_STOCK[Codigo],LISTADO_PRODUCTOS[#All],2)</f>
        <v>54770</v>
      </c>
      <c r="C599" s="6" t="str">
        <f>VLOOKUP(TABLA_STOCK[Codigo],LISTADO_PRODUCTOS[#All],3)</f>
        <v xml:space="preserve">OFICINA </v>
      </c>
      <c r="D599" s="6" t="str">
        <f>VLOOKUP(TABLA_STOCK[Codigo],LISTADO_PRODUCTOS[#All],4)</f>
        <v>Clip Sifap N°8 78mm</v>
      </c>
      <c r="E599" s="6" t="str">
        <f>VLOOKUP(TABLA_STOCK[Codigo],LISTADO_PRODUCTOS[#All],5)</f>
        <v>N/A</v>
      </c>
      <c r="F599" s="4">
        <v>5</v>
      </c>
      <c r="G599" s="4">
        <v>150</v>
      </c>
    </row>
    <row r="600" spans="1:7" x14ac:dyDescent="0.3">
      <c r="A600" s="4">
        <v>4322</v>
      </c>
      <c r="B600" s="4">
        <f>VLOOKUP(TABLA_STOCK[Codigo],LISTADO_PRODUCTOS[#All],2)</f>
        <v>54771</v>
      </c>
      <c r="C600" s="6" t="str">
        <f>VLOOKUP(TABLA_STOCK[Codigo],LISTADO_PRODUCTOS[#All],3)</f>
        <v xml:space="preserve">OFICINA </v>
      </c>
      <c r="D600" s="6" t="str">
        <f>VLOOKUP(TABLA_STOCK[Codigo],LISTADO_PRODUCTOS[#All],4)</f>
        <v>Clip 50mm Trazos</v>
      </c>
      <c r="E600" s="6" t="str">
        <f>VLOOKUP(TABLA_STOCK[Codigo],LISTADO_PRODUCTOS[#All],5)</f>
        <v>N/A</v>
      </c>
      <c r="F600" s="4">
        <v>1</v>
      </c>
      <c r="G600" s="4">
        <v>20</v>
      </c>
    </row>
    <row r="601" spans="1:7" x14ac:dyDescent="0.3">
      <c r="A601" s="4">
        <v>4323</v>
      </c>
      <c r="B601" s="4">
        <f>VLOOKUP(TABLA_STOCK[Codigo],LISTADO_PRODUCTOS[#All],2)</f>
        <v>54772</v>
      </c>
      <c r="C601" s="6" t="str">
        <f>VLOOKUP(TABLA_STOCK[Codigo],LISTADO_PRODUCTOS[#All],3)</f>
        <v xml:space="preserve">OFICINA </v>
      </c>
      <c r="D601" s="6" t="str">
        <f>VLOOKUP(TABLA_STOCK[Codigo],LISTADO_PRODUCTOS[#All],4)</f>
        <v>Libro Recibos expediente Potosi</v>
      </c>
      <c r="E601" s="6" t="str">
        <f>VLOOKUP(TABLA_STOCK[Codigo],LISTADO_PRODUCTOS[#All],5)</f>
        <v>N/A</v>
      </c>
      <c r="F601" s="4">
        <v>5</v>
      </c>
      <c r="G601" s="4">
        <v>19</v>
      </c>
    </row>
    <row r="602" spans="1:7" x14ac:dyDescent="0.3">
      <c r="A602" s="4">
        <v>4325</v>
      </c>
      <c r="B602" s="4">
        <f>VLOOKUP(TABLA_STOCK[Codigo],LISTADO_PRODUCTOS[#All],2)</f>
        <v>54773</v>
      </c>
      <c r="C602" s="6" t="str">
        <f>VLOOKUP(TABLA_STOCK[Codigo],LISTADO_PRODUCTOS[#All],3)</f>
        <v xml:space="preserve">OFICINA </v>
      </c>
      <c r="D602" s="6" t="str">
        <f>VLOOKUP(TABLA_STOCK[Codigo],LISTADO_PRODUCTOS[#All],4)</f>
        <v>Carpeta foliada Oficio Util-off 60f - 7794765003712</v>
      </c>
      <c r="E602" s="6" t="str">
        <f>VLOOKUP(TABLA_STOCK[Codigo],LISTADO_PRODUCTOS[#All],5)</f>
        <v>N/A</v>
      </c>
      <c r="F602" s="4">
        <v>2</v>
      </c>
      <c r="G602" s="4">
        <v>6</v>
      </c>
    </row>
    <row r="603" spans="1:7" x14ac:dyDescent="0.3">
      <c r="A603" s="4">
        <v>4328</v>
      </c>
      <c r="B603" s="4">
        <f>VLOOKUP(TABLA_STOCK[Codigo],LISTADO_PRODUCTOS[#All],2)</f>
        <v>54774</v>
      </c>
      <c r="C603" s="6" t="str">
        <f>VLOOKUP(TABLA_STOCK[Codigo],LISTADO_PRODUCTOS[#All],3)</f>
        <v xml:space="preserve">OFICINA </v>
      </c>
      <c r="D603" s="6" t="str">
        <f>VLOOKUP(TABLA_STOCK[Codigo],LISTADO_PRODUCTOS[#All],4)</f>
        <v>Broche Clip Sifap metal Nº5 / Nº6</v>
      </c>
      <c r="E603" s="6" t="str">
        <f>VLOOKUP(TABLA_STOCK[Codigo],LISTADO_PRODUCTOS[#All],5)</f>
        <v>N/A</v>
      </c>
      <c r="F603" s="4">
        <v>2</v>
      </c>
      <c r="G603" s="4">
        <v>5</v>
      </c>
    </row>
    <row r="604" spans="1:7" x14ac:dyDescent="0.3">
      <c r="A604" s="4">
        <v>4332</v>
      </c>
      <c r="B604" s="4">
        <f>VLOOKUP(TABLA_STOCK[Codigo],LISTADO_PRODUCTOS[#All],2)</f>
        <v>54775</v>
      </c>
      <c r="C604" s="6" t="str">
        <f>VLOOKUP(TABLA_STOCK[Codigo],LISTADO_PRODUCTOS[#All],3)</f>
        <v xml:space="preserve">OFICINA </v>
      </c>
      <c r="D604" s="6" t="str">
        <f>VLOOKUP(TABLA_STOCK[Codigo],LISTADO_PRODUCTOS[#All],4)</f>
        <v>Carpeta colgante nepaco delta</v>
      </c>
      <c r="E604" s="6" t="str">
        <f>VLOOKUP(TABLA_STOCK[Codigo],LISTADO_PRODUCTOS[#All],5)</f>
        <v>N/A</v>
      </c>
      <c r="F604" s="4">
        <v>10</v>
      </c>
      <c r="G604" s="4">
        <v>52</v>
      </c>
    </row>
    <row r="605" spans="1:7" x14ac:dyDescent="0.3">
      <c r="A605" s="4">
        <v>4335</v>
      </c>
      <c r="B605" s="4">
        <f>VLOOKUP(TABLA_STOCK[Codigo],LISTADO_PRODUCTOS[#All],2)</f>
        <v>54776</v>
      </c>
      <c r="C605" s="6" t="str">
        <f>VLOOKUP(TABLA_STOCK[Codigo],LISTADO_PRODUCTOS[#All],3)</f>
        <v xml:space="preserve">OFICINA </v>
      </c>
      <c r="D605" s="6" t="str">
        <f>VLOOKUP(TABLA_STOCK[Codigo],LISTADO_PRODUCTOS[#All],4)</f>
        <v>Carpeta foliada 10f util-off oficio - 7794765003644</v>
      </c>
      <c r="E605" s="6" t="str">
        <f>VLOOKUP(TABLA_STOCK[Codigo],LISTADO_PRODUCTOS[#All],5)</f>
        <v>N/A</v>
      </c>
      <c r="F605" s="4">
        <v>20</v>
      </c>
      <c r="G605" s="4">
        <v>32</v>
      </c>
    </row>
    <row r="606" spans="1:7" x14ac:dyDescent="0.3">
      <c r="A606" s="4">
        <v>4336</v>
      </c>
      <c r="B606" s="4">
        <f>VLOOKUP(TABLA_STOCK[Codigo],LISTADO_PRODUCTOS[#All],2)</f>
        <v>54777</v>
      </c>
      <c r="C606" s="6" t="str">
        <f>VLOOKUP(TABLA_STOCK[Codigo],LISTADO_PRODUCTOS[#All],3)</f>
        <v xml:space="preserve">OFICINA </v>
      </c>
      <c r="D606" s="6" t="str">
        <f>VLOOKUP(TABLA_STOCK[Codigo],LISTADO_PRODUCTOS[#All],4)</f>
        <v>Plancha de ojalillos Ori-Tec C/U</v>
      </c>
      <c r="E606" s="6" t="str">
        <f>VLOOKUP(TABLA_STOCK[Codigo],LISTADO_PRODUCTOS[#All],5)</f>
        <v>N/A</v>
      </c>
      <c r="F606" s="4">
        <v>5</v>
      </c>
      <c r="G606" s="4">
        <v>56</v>
      </c>
    </row>
    <row r="607" spans="1:7" x14ac:dyDescent="0.3">
      <c r="A607" s="4">
        <v>4337</v>
      </c>
      <c r="B607" s="4">
        <f>VLOOKUP(TABLA_STOCK[Codigo],LISTADO_PRODUCTOS[#All],2)</f>
        <v>54778</v>
      </c>
      <c r="C607" s="6" t="str">
        <f>VLOOKUP(TABLA_STOCK[Codigo],LISTADO_PRODUCTOS[#All],3)</f>
        <v xml:space="preserve">OFICINA </v>
      </c>
      <c r="D607" s="6" t="str">
        <f>VLOOKUP(TABLA_STOCK[Codigo],LISTADO_PRODUCTOS[#All],4)</f>
        <v>Banderitas Mickey de Mooving</v>
      </c>
      <c r="E607" s="6" t="str">
        <f>VLOOKUP(TABLA_STOCK[Codigo],LISTADO_PRODUCTOS[#All],5)</f>
        <v>N/A</v>
      </c>
      <c r="F607" s="4">
        <v>1</v>
      </c>
      <c r="G607" s="4">
        <v>107</v>
      </c>
    </row>
    <row r="608" spans="1:7" x14ac:dyDescent="0.3">
      <c r="A608" s="4">
        <v>4338</v>
      </c>
      <c r="B608" s="4">
        <f>VLOOKUP(TABLA_STOCK[Codigo],LISTADO_PRODUCTOS[#All],2)</f>
        <v>54779</v>
      </c>
      <c r="C608" s="6" t="str">
        <f>VLOOKUP(TABLA_STOCK[Codigo],LISTADO_PRODUCTOS[#All],3)</f>
        <v xml:space="preserve">OFICINA </v>
      </c>
      <c r="D608" s="6" t="str">
        <f>VLOOKUP(TABLA_STOCK[Codigo],LISTADO_PRODUCTOS[#All],4)</f>
        <v>Banderitas mooving 2100203 / 2</v>
      </c>
      <c r="E608" s="6" t="str">
        <f>VLOOKUP(TABLA_STOCK[Codigo],LISTADO_PRODUCTOS[#All],5)</f>
        <v>N/A</v>
      </c>
      <c r="F608" s="4">
        <v>5</v>
      </c>
      <c r="G608" s="4">
        <v>25</v>
      </c>
    </row>
    <row r="609" spans="1:7" x14ac:dyDescent="0.3">
      <c r="A609" s="4">
        <v>4340</v>
      </c>
      <c r="B609" s="4">
        <f>VLOOKUP(TABLA_STOCK[Codigo],LISTADO_PRODUCTOS[#All],2)</f>
        <v>54780</v>
      </c>
      <c r="C609" s="6" t="str">
        <f>VLOOKUP(TABLA_STOCK[Codigo],LISTADO_PRODUCTOS[#All],3)</f>
        <v xml:space="preserve">OFICINA </v>
      </c>
      <c r="D609" s="6" t="str">
        <f>VLOOKUP(TABLA_STOCK[Codigo],LISTADO_PRODUCTOS[#All],4)</f>
        <v>banderitas mooving 2100207</v>
      </c>
      <c r="E609" s="6" t="str">
        <f>VLOOKUP(TABLA_STOCK[Codigo],LISTADO_PRODUCTOS[#All],5)</f>
        <v>N/A</v>
      </c>
      <c r="F609" s="4">
        <v>2</v>
      </c>
      <c r="G609" s="4">
        <v>32</v>
      </c>
    </row>
    <row r="610" spans="1:7" x14ac:dyDescent="0.3">
      <c r="A610" s="4">
        <v>4341</v>
      </c>
      <c r="B610" s="4">
        <f>VLOOKUP(TABLA_STOCK[Codigo],LISTADO_PRODUCTOS[#All],2)</f>
        <v>54781</v>
      </c>
      <c r="C610" s="6" t="str">
        <f>VLOOKUP(TABLA_STOCK[Codigo],LISTADO_PRODUCTOS[#All],3)</f>
        <v xml:space="preserve">OFICINA </v>
      </c>
      <c r="D610" s="6" t="str">
        <f>VLOOKUP(TABLA_STOCK[Codigo],LISTADO_PRODUCTOS[#All],4)</f>
        <v>banderitas mooving 2100402</v>
      </c>
      <c r="E610" s="6" t="str">
        <f>VLOOKUP(TABLA_STOCK[Codigo],LISTADO_PRODUCTOS[#All],5)</f>
        <v>N/A</v>
      </c>
      <c r="F610" s="4">
        <v>2</v>
      </c>
      <c r="G610" s="4">
        <v>150</v>
      </c>
    </row>
    <row r="611" spans="1:7" x14ac:dyDescent="0.3">
      <c r="A611" s="4">
        <v>4342</v>
      </c>
      <c r="B611" s="4">
        <f>VLOOKUP(TABLA_STOCK[Codigo],LISTADO_PRODUCTOS[#All],2)</f>
        <v>54782</v>
      </c>
      <c r="C611" s="6" t="str">
        <f>VLOOKUP(TABLA_STOCK[Codigo],LISTADO_PRODUCTOS[#All],3)</f>
        <v xml:space="preserve">OFICINA </v>
      </c>
      <c r="D611" s="6" t="str">
        <f>VLOOKUP(TABLA_STOCK[Codigo],LISTADO_PRODUCTOS[#All],4)</f>
        <v>Flechas Adhesivas Mooving pastel</v>
      </c>
      <c r="E611" s="6" t="str">
        <f>VLOOKUP(TABLA_STOCK[Codigo],LISTADO_PRODUCTOS[#All],5)</f>
        <v>N/A</v>
      </c>
      <c r="F611" s="4">
        <v>10</v>
      </c>
      <c r="G611" s="4">
        <v>20</v>
      </c>
    </row>
    <row r="612" spans="1:7" x14ac:dyDescent="0.3">
      <c r="A612" s="4">
        <v>4345</v>
      </c>
      <c r="B612" s="4">
        <f>VLOOKUP(TABLA_STOCK[Codigo],LISTADO_PRODUCTOS[#All],2)</f>
        <v>54783</v>
      </c>
      <c r="C612" s="6" t="str">
        <f>VLOOKUP(TABLA_STOCK[Codigo],LISTADO_PRODUCTOS[#All],3)</f>
        <v xml:space="preserve">OFICINA </v>
      </c>
      <c r="D612" s="6" t="str">
        <f>VLOOKUP(TABLA_STOCK[Codigo],LISTADO_PRODUCTOS[#All],4)</f>
        <v>Banderitas mooving 2100205</v>
      </c>
      <c r="E612" s="6" t="str">
        <f>VLOOKUP(TABLA_STOCK[Codigo],LISTADO_PRODUCTOS[#All],5)</f>
        <v>N/A</v>
      </c>
      <c r="F612" s="4">
        <v>20</v>
      </c>
      <c r="G612" s="4">
        <v>19</v>
      </c>
    </row>
    <row r="613" spans="1:7" x14ac:dyDescent="0.3">
      <c r="A613" s="4">
        <v>4346</v>
      </c>
      <c r="B613" s="4">
        <f>VLOOKUP(TABLA_STOCK[Codigo],LISTADO_PRODUCTOS[#All],2)</f>
        <v>54784</v>
      </c>
      <c r="C613" s="6" t="str">
        <f>VLOOKUP(TABLA_STOCK[Codigo],LISTADO_PRODUCTOS[#All],3)</f>
        <v xml:space="preserve">OFICINA </v>
      </c>
      <c r="D613" s="6" t="str">
        <f>VLOOKUP(TABLA_STOCK[Codigo],LISTADO_PRODUCTOS[#All],4)</f>
        <v>Carpeta catalogo foliada 10F General Office A4</v>
      </c>
      <c r="E613" s="6" t="str">
        <f>VLOOKUP(TABLA_STOCK[Codigo],LISTADO_PRODUCTOS[#All],5)</f>
        <v>N/A</v>
      </c>
      <c r="F613" s="4">
        <v>5</v>
      </c>
      <c r="G613" s="4">
        <v>6</v>
      </c>
    </row>
    <row r="614" spans="1:7" x14ac:dyDescent="0.3">
      <c r="A614" s="4">
        <v>4354</v>
      </c>
      <c r="B614" s="4">
        <f>VLOOKUP(TABLA_STOCK[Codigo],LISTADO_PRODUCTOS[#All],2)</f>
        <v>54785</v>
      </c>
      <c r="C614" s="6" t="str">
        <f>VLOOKUP(TABLA_STOCK[Codigo],LISTADO_PRODUCTOS[#All],3)</f>
        <v xml:space="preserve">OFICINA </v>
      </c>
      <c r="D614" s="6" t="str">
        <f>VLOOKUP(TABLA_STOCK[Codigo],LISTADO_PRODUCTOS[#All],4)</f>
        <v>Marcador SHARPIE STAINED P/TELA PUNTA PINCEL blister x8u</v>
      </c>
      <c r="E614" s="6" t="str">
        <f>VLOOKUP(TABLA_STOCK[Codigo],LISTADO_PRODUCTOS[#All],5)</f>
        <v>N/A</v>
      </c>
      <c r="F614" s="4">
        <v>1</v>
      </c>
      <c r="G614" s="4">
        <v>5</v>
      </c>
    </row>
    <row r="615" spans="1:7" x14ac:dyDescent="0.3">
      <c r="A615" s="4">
        <v>4362</v>
      </c>
      <c r="B615" s="4">
        <f>VLOOKUP(TABLA_STOCK[Codigo],LISTADO_PRODUCTOS[#All],2)</f>
        <v>54786</v>
      </c>
      <c r="C615" s="6" t="str">
        <f>VLOOKUP(TABLA_STOCK[Codigo],LISTADO_PRODUCTOS[#All],3)</f>
        <v xml:space="preserve">OFICINA </v>
      </c>
      <c r="D615" s="6" t="str">
        <f>VLOOKUP(TABLA_STOCK[Codigo],LISTADO_PRODUCTOS[#All],4)</f>
        <v>Abrochadora brazo largo 31cm + 1000 broche 26/6</v>
      </c>
      <c r="E615" s="6" t="str">
        <f>VLOOKUP(TABLA_STOCK[Codigo],LISTADO_PRODUCTOS[#All],5)</f>
        <v>N/A</v>
      </c>
      <c r="F615" s="4">
        <v>5</v>
      </c>
      <c r="G615" s="4">
        <v>52</v>
      </c>
    </row>
    <row r="616" spans="1:7" x14ac:dyDescent="0.3">
      <c r="A616" s="4">
        <v>4363</v>
      </c>
      <c r="B616" s="4">
        <f>VLOOKUP(TABLA_STOCK[Codigo],LISTADO_PRODUCTOS[#All],2)</f>
        <v>54787</v>
      </c>
      <c r="C616" s="6" t="str">
        <f>VLOOKUP(TABLA_STOCK[Codigo],LISTADO_PRODUCTOS[#All],3)</f>
        <v xml:space="preserve">OFICINA </v>
      </c>
      <c r="D616" s="6" t="str">
        <f>VLOOKUP(TABLA_STOCK[Codigo],LISTADO_PRODUCTOS[#All],4)</f>
        <v>Almohadilla Pelikan N°0</v>
      </c>
      <c r="E616" s="6" t="str">
        <f>VLOOKUP(TABLA_STOCK[Codigo],LISTADO_PRODUCTOS[#All],5)</f>
        <v>N/A</v>
      </c>
      <c r="F616" s="4">
        <v>2</v>
      </c>
      <c r="G616" s="4">
        <v>32</v>
      </c>
    </row>
    <row r="617" spans="1:7" x14ac:dyDescent="0.3">
      <c r="A617" s="4">
        <v>4364</v>
      </c>
      <c r="B617" s="4">
        <f>VLOOKUP(TABLA_STOCK[Codigo],LISTADO_PRODUCTOS[#All],2)</f>
        <v>54788</v>
      </c>
      <c r="C617" s="6" t="str">
        <f>VLOOKUP(TABLA_STOCK[Codigo],LISTADO_PRODUCTOS[#All],3)</f>
        <v xml:space="preserve">OFICINA </v>
      </c>
      <c r="D617" s="6" t="str">
        <f>VLOOKUP(TABLA_STOCK[Codigo],LISTADO_PRODUCTOS[#All],4)</f>
        <v>Almohadilla Pelikan N°1</v>
      </c>
      <c r="E617" s="6" t="str">
        <f>VLOOKUP(TABLA_STOCK[Codigo],LISTADO_PRODUCTOS[#All],5)</f>
        <v>N/A</v>
      </c>
      <c r="F617" s="4">
        <v>2</v>
      </c>
      <c r="G617" s="4">
        <v>56</v>
      </c>
    </row>
    <row r="618" spans="1:7" x14ac:dyDescent="0.3">
      <c r="A618" s="4">
        <v>4366</v>
      </c>
      <c r="B618" s="4">
        <f>VLOOKUP(TABLA_STOCK[Codigo],LISTADO_PRODUCTOS[#All],2)</f>
        <v>54789</v>
      </c>
      <c r="C618" s="6" t="str">
        <f>VLOOKUP(TABLA_STOCK[Codigo],LISTADO_PRODUCTOS[#All],3)</f>
        <v xml:space="preserve">OFICINA </v>
      </c>
      <c r="D618" s="6" t="str">
        <f>VLOOKUP(TABLA_STOCK[Codigo],LISTADO_PRODUCTOS[#All],4)</f>
        <v>Marcador Simball metaizado doble punta pinta 2</v>
      </c>
      <c r="E618" s="6" t="str">
        <f>VLOOKUP(TABLA_STOCK[Codigo],LISTADO_PRODUCTOS[#All],5)</f>
        <v>N/A</v>
      </c>
      <c r="F618" s="4">
        <v>10</v>
      </c>
      <c r="G618" s="4">
        <v>107</v>
      </c>
    </row>
    <row r="619" spans="1:7" x14ac:dyDescent="0.3">
      <c r="A619" s="4">
        <v>4367</v>
      </c>
      <c r="B619" s="4">
        <f>VLOOKUP(TABLA_STOCK[Codigo],LISTADO_PRODUCTOS[#All],2)</f>
        <v>54790</v>
      </c>
      <c r="C619" s="6" t="str">
        <f>VLOOKUP(TABLA_STOCK[Codigo],LISTADO_PRODUCTOS[#All],3)</f>
        <v xml:space="preserve">OFICINA </v>
      </c>
      <c r="D619" s="6" t="str">
        <f>VLOOKUP(TABLA_STOCK[Codigo],LISTADO_PRODUCTOS[#All],4)</f>
        <v>Abrochadora huvito Eagle Omax Mini N°10 s-5150D</v>
      </c>
      <c r="E619" s="6" t="str">
        <f>VLOOKUP(TABLA_STOCK[Codigo],LISTADO_PRODUCTOS[#All],5)</f>
        <v>N/A</v>
      </c>
      <c r="F619" s="4">
        <v>20</v>
      </c>
      <c r="G619" s="4">
        <v>25</v>
      </c>
    </row>
    <row r="620" spans="1:7" x14ac:dyDescent="0.3">
      <c r="A620" s="4">
        <v>4368</v>
      </c>
      <c r="B620" s="4">
        <f>VLOOKUP(TABLA_STOCK[Codigo],LISTADO_PRODUCTOS[#All],2)</f>
        <v>54791</v>
      </c>
      <c r="C620" s="6" t="str">
        <f>VLOOKUP(TABLA_STOCK[Codigo],LISTADO_PRODUCTOS[#All],3)</f>
        <v xml:space="preserve">OFICINA </v>
      </c>
      <c r="D620" s="6" t="str">
        <f>VLOOKUP(TABLA_STOCK[Codigo],LISTADO_PRODUCTOS[#All],4)</f>
        <v>Abrochadora Deli Animalitos + broches</v>
      </c>
      <c r="E620" s="6" t="str">
        <f>VLOOKUP(TABLA_STOCK[Codigo],LISTADO_PRODUCTOS[#All],5)</f>
        <v>N/A</v>
      </c>
      <c r="F620" s="4">
        <v>5</v>
      </c>
      <c r="G620" s="4">
        <v>32</v>
      </c>
    </row>
    <row r="621" spans="1:7" x14ac:dyDescent="0.3">
      <c r="A621" s="4">
        <v>4369</v>
      </c>
      <c r="B621" s="4">
        <f>VLOOKUP(TABLA_STOCK[Codigo],LISTADO_PRODUCTOS[#All],2)</f>
        <v>54792</v>
      </c>
      <c r="C621" s="6" t="str">
        <f>VLOOKUP(TABLA_STOCK[Codigo],LISTADO_PRODUCTOS[#All],3)</f>
        <v xml:space="preserve">OFICINA </v>
      </c>
      <c r="D621" s="6" t="str">
        <f>VLOOKUP(TABLA_STOCK[Codigo],LISTADO_PRODUCTOS[#All],4)</f>
        <v>Abrochadora Metal Kangaroo HP-10 Pinza</v>
      </c>
      <c r="E621" s="6" t="str">
        <f>VLOOKUP(TABLA_STOCK[Codigo],LISTADO_PRODUCTOS[#All],5)</f>
        <v>N/A</v>
      </c>
      <c r="F621" s="4">
        <v>1</v>
      </c>
      <c r="G621" s="4">
        <v>150</v>
      </c>
    </row>
    <row r="622" spans="1:7" x14ac:dyDescent="0.3">
      <c r="A622" s="4">
        <v>4372</v>
      </c>
      <c r="B622" s="4">
        <f>VLOOKUP(TABLA_STOCK[Codigo],LISTADO_PRODUCTOS[#All],2)</f>
        <v>54793</v>
      </c>
      <c r="C622" s="6" t="str">
        <f>VLOOKUP(TABLA_STOCK[Codigo],LISTADO_PRODUCTOS[#All],3)</f>
        <v xml:space="preserve">OFICINA </v>
      </c>
      <c r="D622" s="6" t="str">
        <f>VLOOKUP(TABLA_STOCK[Codigo],LISTADO_PRODUCTOS[#All],4)</f>
        <v>Broche dorado Sifap en bolsa N°14 63mm</v>
      </c>
      <c r="E622" s="6" t="str">
        <f>VLOOKUP(TABLA_STOCK[Codigo],LISTADO_PRODUCTOS[#All],5)</f>
        <v>N/A</v>
      </c>
      <c r="F622" s="4">
        <v>5</v>
      </c>
      <c r="G622" s="4">
        <v>20</v>
      </c>
    </row>
    <row r="623" spans="1:7" x14ac:dyDescent="0.3">
      <c r="A623" s="4">
        <v>4377</v>
      </c>
      <c r="B623" s="4">
        <f>VLOOKUP(TABLA_STOCK[Codigo],LISTADO_PRODUCTOS[#All],2)</f>
        <v>54794</v>
      </c>
      <c r="C623" s="6" t="str">
        <f>VLOOKUP(TABLA_STOCK[Codigo],LISTADO_PRODUCTOS[#All],3)</f>
        <v xml:space="preserve">OFICINA </v>
      </c>
      <c r="D623" s="6" t="str">
        <f>VLOOKUP(TABLA_STOCK[Codigo],LISTADO_PRODUCTOS[#All],4)</f>
        <v>Resaltador Trabí Pastel/FLUO High Texter</v>
      </c>
      <c r="E623" s="6" t="str">
        <f>VLOOKUP(TABLA_STOCK[Codigo],LISTADO_PRODUCTOS[#All],5)</f>
        <v>N/A</v>
      </c>
      <c r="F623" s="4">
        <v>2</v>
      </c>
      <c r="G623" s="4">
        <v>19</v>
      </c>
    </row>
    <row r="624" spans="1:7" x14ac:dyDescent="0.3">
      <c r="A624" s="4">
        <v>4382</v>
      </c>
      <c r="B624" s="4">
        <f>VLOOKUP(TABLA_STOCK[Codigo],LISTADO_PRODUCTOS[#All],2)</f>
        <v>54795</v>
      </c>
      <c r="C624" s="6" t="str">
        <f>VLOOKUP(TABLA_STOCK[Codigo],LISTADO_PRODUCTOS[#All],3)</f>
        <v xml:space="preserve">OFICINA </v>
      </c>
      <c r="D624" s="6" t="str">
        <f>VLOOKUP(TABLA_STOCK[Codigo],LISTADO_PRODUCTOS[#All],4)</f>
        <v>Notas adhesivas traslucidas extra fuerte super adhesiva</v>
      </c>
      <c r="E624" s="6" t="str">
        <f>VLOOKUP(TABLA_STOCK[Codigo],LISTADO_PRODUCTOS[#All],5)</f>
        <v>N/A</v>
      </c>
      <c r="F624" s="4">
        <v>10</v>
      </c>
      <c r="G624" s="4">
        <v>6</v>
      </c>
    </row>
    <row r="625" spans="1:7" x14ac:dyDescent="0.3">
      <c r="A625" s="4">
        <v>4384</v>
      </c>
      <c r="B625" s="4">
        <f>VLOOKUP(TABLA_STOCK[Codigo],LISTADO_PRODUCTOS[#All],2)</f>
        <v>54796</v>
      </c>
      <c r="C625" s="6" t="str">
        <f>VLOOKUP(TABLA_STOCK[Codigo],LISTADO_PRODUCTOS[#All],3)</f>
        <v xml:space="preserve">OFICINA </v>
      </c>
      <c r="D625" s="6" t="str">
        <f>VLOOKUP(TABLA_STOCK[Codigo],LISTADO_PRODUCTOS[#All],4)</f>
        <v>Resaltador Pelikan textmarker Flash</v>
      </c>
      <c r="E625" s="6" t="str">
        <f>VLOOKUP(TABLA_STOCK[Codigo],LISTADO_PRODUCTOS[#All],5)</f>
        <v>N/A</v>
      </c>
      <c r="F625" s="4">
        <v>20</v>
      </c>
      <c r="G625" s="4">
        <v>5</v>
      </c>
    </row>
    <row r="626" spans="1:7" x14ac:dyDescent="0.3">
      <c r="A626" s="4">
        <v>4391</v>
      </c>
      <c r="B626" s="4">
        <f>VLOOKUP(TABLA_STOCK[Codigo],LISTADO_PRODUCTOS[#All],2)</f>
        <v>54797</v>
      </c>
      <c r="C626" s="6" t="str">
        <f>VLOOKUP(TABLA_STOCK[Codigo],LISTADO_PRODUCTOS[#All],3)</f>
        <v xml:space="preserve">OFICINA </v>
      </c>
      <c r="D626" s="6" t="str">
        <f>VLOOKUP(TABLA_STOCK[Codigo],LISTADO_PRODUCTOS[#All],4)</f>
        <v>Anotador MEMO FIX formas varias Pastel</v>
      </c>
      <c r="E626" s="6" t="str">
        <f>VLOOKUP(TABLA_STOCK[Codigo],LISTADO_PRODUCTOS[#All],5)</f>
        <v>N/A</v>
      </c>
      <c r="F626" s="4">
        <v>5</v>
      </c>
      <c r="G626" s="4">
        <v>52</v>
      </c>
    </row>
    <row r="627" spans="1:7" x14ac:dyDescent="0.3">
      <c r="A627" s="4">
        <v>4392</v>
      </c>
      <c r="B627" s="4">
        <f>VLOOKUP(TABLA_STOCK[Codigo],LISTADO_PRODUCTOS[#All],2)</f>
        <v>54798</v>
      </c>
      <c r="C627" s="6" t="str">
        <f>VLOOKUP(TABLA_STOCK[Codigo],LISTADO_PRODUCTOS[#All],3)</f>
        <v xml:space="preserve">OFICINA </v>
      </c>
      <c r="D627" s="6" t="str">
        <f>VLOOKUP(TABLA_STOCK[Codigo],LISTADO_PRODUCTOS[#All],4)</f>
        <v>Notas MEMO FIX Phantone 25x74</v>
      </c>
      <c r="E627" s="6" t="str">
        <f>VLOOKUP(TABLA_STOCK[Codigo],LISTADO_PRODUCTOS[#All],5)</f>
        <v>N/A</v>
      </c>
      <c r="F627" s="4">
        <v>1</v>
      </c>
      <c r="G627" s="4">
        <v>32</v>
      </c>
    </row>
    <row r="628" spans="1:7" x14ac:dyDescent="0.3">
      <c r="A628" s="4">
        <v>4393</v>
      </c>
      <c r="B628" s="4">
        <f>VLOOKUP(TABLA_STOCK[Codigo],LISTADO_PRODUCTOS[#All],2)</f>
        <v>54799</v>
      </c>
      <c r="C628" s="6" t="str">
        <f>VLOOKUP(TABLA_STOCK[Codigo],LISTADO_PRODUCTOS[#All],3)</f>
        <v xml:space="preserve">OFICINA </v>
      </c>
      <c r="D628" s="6" t="str">
        <f>VLOOKUP(TABLA_STOCK[Codigo],LISTADO_PRODUCTOS[#All],4)</f>
        <v>Mini cubo notas pastel Memo Fix200h 74x74</v>
      </c>
      <c r="E628" s="6" t="str">
        <f>VLOOKUP(TABLA_STOCK[Codigo],LISTADO_PRODUCTOS[#All],5)</f>
        <v>N/A</v>
      </c>
      <c r="F628" s="4">
        <v>5</v>
      </c>
      <c r="G628" s="4">
        <v>56</v>
      </c>
    </row>
    <row r="629" spans="1:7" x14ac:dyDescent="0.3">
      <c r="A629" s="4">
        <v>4395</v>
      </c>
      <c r="B629" s="4">
        <f>VLOOKUP(TABLA_STOCK[Codigo],LISTADO_PRODUCTOS[#All],2)</f>
        <v>54800</v>
      </c>
      <c r="C629" s="6" t="str">
        <f>VLOOKUP(TABLA_STOCK[Codigo],LISTADO_PRODUCTOS[#All],3)</f>
        <v xml:space="preserve">OFICINA </v>
      </c>
      <c r="D629" s="6" t="str">
        <f>VLOOKUP(TABLA_STOCK[Codigo],LISTADO_PRODUCTOS[#All],4)</f>
        <v>Clasificador LAMA Oficio colores vivos y negro EF202FCR</v>
      </c>
      <c r="E629" s="6" t="str">
        <f>VLOOKUP(TABLA_STOCK[Codigo],LISTADO_PRODUCTOS[#All],5)</f>
        <v>N/A</v>
      </c>
      <c r="F629" s="4">
        <v>2</v>
      </c>
      <c r="G629" s="4">
        <v>107</v>
      </c>
    </row>
    <row r="630" spans="1:7" x14ac:dyDescent="0.3">
      <c r="A630" s="4">
        <v>4399</v>
      </c>
      <c r="B630" s="4">
        <f>VLOOKUP(TABLA_STOCK[Codigo],LISTADO_PRODUCTOS[#All],2)</f>
        <v>54801</v>
      </c>
      <c r="C630" s="6" t="str">
        <f>VLOOKUP(TABLA_STOCK[Codigo],LISTADO_PRODUCTOS[#All],3)</f>
        <v xml:space="preserve">OFICINA </v>
      </c>
      <c r="D630" s="6" t="str">
        <f>VLOOKUP(TABLA_STOCK[Codigo],LISTADO_PRODUCTOS[#All],4)</f>
        <v>Taco MEMOFIX CUBO 200h 50x50 PASTEL surt-226</v>
      </c>
      <c r="E630" s="6" t="str">
        <f>VLOOKUP(TABLA_STOCK[Codigo],LISTADO_PRODUCTOS[#All],5)</f>
        <v>N/A</v>
      </c>
      <c r="F630" s="4">
        <v>2</v>
      </c>
      <c r="G630" s="4">
        <v>25</v>
      </c>
    </row>
    <row r="631" spans="1:7" x14ac:dyDescent="0.3">
      <c r="A631" s="4">
        <v>4405</v>
      </c>
      <c r="B631" s="4">
        <f>VLOOKUP(TABLA_STOCK[Codigo],LISTADO_PRODUCTOS[#All],2)</f>
        <v>54802</v>
      </c>
      <c r="C631" s="6" t="str">
        <f>VLOOKUP(TABLA_STOCK[Codigo],LISTADO_PRODUCTOS[#All],3)</f>
        <v xml:space="preserve">OFICINA </v>
      </c>
      <c r="D631" s="6" t="str">
        <f>VLOOKUP(TABLA_STOCK[Codigo],LISTADO_PRODUCTOS[#All],4)</f>
        <v>Taco Notas adhesivas NEON Ezco</v>
      </c>
      <c r="E631" s="6" t="str">
        <f>VLOOKUP(TABLA_STOCK[Codigo],LISTADO_PRODUCTOS[#All],5)</f>
        <v>N/A</v>
      </c>
      <c r="F631" s="4">
        <v>10</v>
      </c>
      <c r="G631" s="4">
        <v>32</v>
      </c>
    </row>
    <row r="632" spans="1:7" x14ac:dyDescent="0.3">
      <c r="A632" s="4">
        <v>4407</v>
      </c>
      <c r="B632" s="4">
        <f>VLOOKUP(TABLA_STOCK[Codigo],LISTADO_PRODUCTOS[#All],2)</f>
        <v>54803</v>
      </c>
      <c r="C632" s="6" t="str">
        <f>VLOOKUP(TABLA_STOCK[Codigo],LISTADO_PRODUCTOS[#All],3)</f>
        <v xml:space="preserve">OFICINA </v>
      </c>
      <c r="D632" s="6" t="str">
        <f>VLOOKUP(TABLA_STOCK[Codigo],LISTADO_PRODUCTOS[#All],4)</f>
        <v>Adaptador OTG USB</v>
      </c>
      <c r="E632" s="6" t="str">
        <f>VLOOKUP(TABLA_STOCK[Codigo],LISTADO_PRODUCTOS[#All],5)</f>
        <v>N/A</v>
      </c>
      <c r="F632" s="4">
        <v>20</v>
      </c>
      <c r="G632" s="4">
        <v>150</v>
      </c>
    </row>
    <row r="633" spans="1:7" x14ac:dyDescent="0.3">
      <c r="A633" s="4">
        <v>4408</v>
      </c>
      <c r="B633" s="4">
        <f>VLOOKUP(TABLA_STOCK[Codigo],LISTADO_PRODUCTOS[#All],2)</f>
        <v>54804</v>
      </c>
      <c r="C633" s="6" t="str">
        <f>VLOOKUP(TABLA_STOCK[Codigo],LISTADO_PRODUCTOS[#All],3)</f>
        <v xml:space="preserve">OFICINA </v>
      </c>
      <c r="D633" s="6" t="str">
        <f>VLOOKUP(TABLA_STOCK[Codigo],LISTADO_PRODUCTOS[#All],4)</f>
        <v>Cable HDMI Apro</v>
      </c>
      <c r="E633" s="6" t="str">
        <f>VLOOKUP(TABLA_STOCK[Codigo],LISTADO_PRODUCTOS[#All],5)</f>
        <v>N/A</v>
      </c>
      <c r="F633" s="4">
        <v>5</v>
      </c>
      <c r="G633" s="4">
        <v>20</v>
      </c>
    </row>
    <row r="634" spans="1:7" x14ac:dyDescent="0.3">
      <c r="A634" s="4">
        <v>4410</v>
      </c>
      <c r="B634" s="4">
        <f>VLOOKUP(TABLA_STOCK[Codigo],LISTADO_PRODUCTOS[#All],2)</f>
        <v>54805</v>
      </c>
      <c r="C634" s="6" t="str">
        <f>VLOOKUP(TABLA_STOCK[Codigo],LISTADO_PRODUCTOS[#All],3)</f>
        <v xml:space="preserve">OFICINA </v>
      </c>
      <c r="D634" s="6" t="str">
        <f>VLOOKUP(TABLA_STOCK[Codigo],LISTADO_PRODUCTOS[#All],4)</f>
        <v>Notas adhesivas Util-of 76x127 amarillo 100h</v>
      </c>
      <c r="E634" s="6" t="str">
        <f>VLOOKUP(TABLA_STOCK[Codigo],LISTADO_PRODUCTOS[#All],5)</f>
        <v>N/A</v>
      </c>
      <c r="F634" s="4">
        <v>1</v>
      </c>
      <c r="G634" s="4">
        <v>19</v>
      </c>
    </row>
    <row r="635" spans="1:7" x14ac:dyDescent="0.3">
      <c r="A635" s="4">
        <v>4411</v>
      </c>
      <c r="B635" s="4">
        <f>VLOOKUP(TABLA_STOCK[Codigo],LISTADO_PRODUCTOS[#All],2)</f>
        <v>54806</v>
      </c>
      <c r="C635" s="6" t="str">
        <f>VLOOKUP(TABLA_STOCK[Codigo],LISTADO_PRODUCTOS[#All],3)</f>
        <v xml:space="preserve">OFICINA </v>
      </c>
      <c r="D635" s="6" t="str">
        <f>VLOOKUP(TABLA_STOCK[Codigo],LISTADO_PRODUCTOS[#All],4)</f>
        <v>Notas adhesivas Util-of 76x102 amarilla 100h</v>
      </c>
      <c r="E635" s="6" t="str">
        <f>VLOOKUP(TABLA_STOCK[Codigo],LISTADO_PRODUCTOS[#All],5)</f>
        <v>N/A</v>
      </c>
      <c r="F635" s="4">
        <v>5</v>
      </c>
      <c r="G635" s="4">
        <v>6</v>
      </c>
    </row>
    <row r="636" spans="1:7" x14ac:dyDescent="0.3">
      <c r="A636" s="4">
        <v>4414</v>
      </c>
      <c r="B636" s="4">
        <f>VLOOKUP(TABLA_STOCK[Codigo],LISTADO_PRODUCTOS[#All],2)</f>
        <v>54807</v>
      </c>
      <c r="C636" s="6" t="str">
        <f>VLOOKUP(TABLA_STOCK[Codigo],LISTADO_PRODUCTOS[#All],3)</f>
        <v xml:space="preserve">OFICINA </v>
      </c>
      <c r="D636" s="6" t="str">
        <f>VLOOKUP(TABLA_STOCK[Codigo],LISTADO_PRODUCTOS[#All],4)</f>
        <v xml:space="preserve">Abrochadora MIT 24/6 Pintada </v>
      </c>
      <c r="E636" s="6" t="str">
        <f>VLOOKUP(TABLA_STOCK[Codigo],LISTADO_PRODUCTOS[#All],5)</f>
        <v>N/A</v>
      </c>
      <c r="F636" s="4">
        <v>2</v>
      </c>
      <c r="G636" s="4">
        <v>5</v>
      </c>
    </row>
    <row r="637" spans="1:7" x14ac:dyDescent="0.3">
      <c r="A637" s="4">
        <v>4415</v>
      </c>
      <c r="B637" s="4">
        <f>VLOOKUP(TABLA_STOCK[Codigo],LISTADO_PRODUCTOS[#All],2)</f>
        <v>54808</v>
      </c>
      <c r="C637" s="6" t="str">
        <f>VLOOKUP(TABLA_STOCK[Codigo],LISTADO_PRODUCTOS[#All],3)</f>
        <v xml:space="preserve">OFICINA </v>
      </c>
      <c r="D637" s="6" t="str">
        <f>VLOOKUP(TABLA_STOCK[Codigo],LISTADO_PRODUCTOS[#All],4)</f>
        <v xml:space="preserve">Perforador MIT Mediano Pintado </v>
      </c>
      <c r="E637" s="6" t="str">
        <f>VLOOKUP(TABLA_STOCK[Codigo],LISTADO_PRODUCTOS[#All],5)</f>
        <v>N/A</v>
      </c>
      <c r="F637" s="4">
        <v>2</v>
      </c>
      <c r="G637" s="4">
        <v>52</v>
      </c>
    </row>
    <row r="638" spans="1:7" x14ac:dyDescent="0.3">
      <c r="A638" s="4">
        <v>4416</v>
      </c>
      <c r="B638" s="4">
        <f>VLOOKUP(TABLA_STOCK[Codigo],LISTADO_PRODUCTOS[#All],2)</f>
        <v>54809</v>
      </c>
      <c r="C638" s="6" t="str">
        <f>VLOOKUP(TABLA_STOCK[Codigo],LISTADO_PRODUCTOS[#All],3)</f>
        <v xml:space="preserve">OFICINA </v>
      </c>
      <c r="D638" s="6" t="str">
        <f>VLOOKUP(TABLA_STOCK[Codigo],LISTADO_PRODUCTOS[#All],4)</f>
        <v>Pizarra Blanca C/Iman alto impacto N°7 61*91</v>
      </c>
      <c r="E638" s="6" t="str">
        <f>VLOOKUP(TABLA_STOCK[Codigo],LISTADO_PRODUCTOS[#All],5)</f>
        <v>N/A</v>
      </c>
      <c r="F638" s="4">
        <v>10</v>
      </c>
      <c r="G638" s="4">
        <v>32</v>
      </c>
    </row>
    <row r="639" spans="1:7" x14ac:dyDescent="0.3">
      <c r="A639" s="4">
        <v>4417</v>
      </c>
      <c r="B639" s="4">
        <f>VLOOKUP(TABLA_STOCK[Codigo],LISTADO_PRODUCTOS[#All],2)</f>
        <v>54810</v>
      </c>
      <c r="C639" s="6" t="str">
        <f>VLOOKUP(TABLA_STOCK[Codigo],LISTADO_PRODUCTOS[#All],3)</f>
        <v xml:space="preserve">OFICINA </v>
      </c>
      <c r="D639" s="6" t="str">
        <f>VLOOKUP(TABLA_STOCK[Codigo],LISTADO_PRODUCTOS[#All],4)</f>
        <v>Pizarra Blanca C/Iman Alto Impacto N°9 91*123</v>
      </c>
      <c r="E639" s="6" t="str">
        <f>VLOOKUP(TABLA_STOCK[Codigo],LISTADO_PRODUCTOS[#All],5)</f>
        <v>N/A</v>
      </c>
      <c r="F639" s="4">
        <v>20</v>
      </c>
      <c r="G639" s="4">
        <v>56</v>
      </c>
    </row>
    <row r="640" spans="1:7" x14ac:dyDescent="0.3">
      <c r="A640" s="4">
        <v>4418</v>
      </c>
      <c r="B640" s="4">
        <f>VLOOKUP(TABLA_STOCK[Codigo],LISTADO_PRODUCTOS[#All],2)</f>
        <v>54811</v>
      </c>
      <c r="C640" s="6" t="str">
        <f>VLOOKUP(TABLA_STOCK[Codigo],LISTADO_PRODUCTOS[#All],3)</f>
        <v xml:space="preserve">OFICINA </v>
      </c>
      <c r="D640" s="6" t="str">
        <f>VLOOKUP(TABLA_STOCK[Codigo],LISTADO_PRODUCTOS[#All],4)</f>
        <v>Pizarra Blanca N°8 Alto Impacto 70*123</v>
      </c>
      <c r="E640" s="6" t="str">
        <f>VLOOKUP(TABLA_STOCK[Codigo],LISTADO_PRODUCTOS[#All],5)</f>
        <v>N/A</v>
      </c>
      <c r="F640" s="4">
        <v>5</v>
      </c>
      <c r="G640" s="4">
        <v>107</v>
      </c>
    </row>
    <row r="641" spans="1:7" x14ac:dyDescent="0.3">
      <c r="A641" s="4">
        <v>4419</v>
      </c>
      <c r="B641" s="4">
        <f>VLOOKUP(TABLA_STOCK[Codigo],LISTADO_PRODUCTOS[#All],2)</f>
        <v>54812</v>
      </c>
      <c r="C641" s="6" t="str">
        <f>VLOOKUP(TABLA_STOCK[Codigo],LISTADO_PRODUCTOS[#All],3)</f>
        <v xml:space="preserve">OFICINA </v>
      </c>
      <c r="D641" s="6" t="str">
        <f>VLOOKUP(TABLA_STOCK[Codigo],LISTADO_PRODUCTOS[#All],4)</f>
        <v>Notas Adhesivas Deli animales</v>
      </c>
      <c r="E641" s="6" t="str">
        <f>VLOOKUP(TABLA_STOCK[Codigo],LISTADO_PRODUCTOS[#All],5)</f>
        <v>N/A</v>
      </c>
      <c r="F641" s="4">
        <v>1</v>
      </c>
      <c r="G641" s="4">
        <v>25</v>
      </c>
    </row>
    <row r="642" spans="1:7" x14ac:dyDescent="0.3">
      <c r="A642" s="4">
        <v>4420</v>
      </c>
      <c r="B642" s="4">
        <f>VLOOKUP(TABLA_STOCK[Codigo],LISTADO_PRODUCTOS[#All],2)</f>
        <v>54813</v>
      </c>
      <c r="C642" s="6" t="str">
        <f>VLOOKUP(TABLA_STOCK[Codigo],LISTADO_PRODUCTOS[#All],3)</f>
        <v xml:space="preserve">OFICINA </v>
      </c>
      <c r="D642" s="6" t="str">
        <f>VLOOKUP(TABLA_STOCK[Codigo],LISTADO_PRODUCTOS[#All],4)</f>
        <v>Notas adhesivas Memo Fix 74x74 8h  decoradas</v>
      </c>
      <c r="E642" s="6" t="str">
        <f>VLOOKUP(TABLA_STOCK[Codigo],LISTADO_PRODUCTOS[#All],5)</f>
        <v>N/A</v>
      </c>
      <c r="F642" s="4">
        <v>5</v>
      </c>
      <c r="G642" s="4">
        <v>32</v>
      </c>
    </row>
    <row r="643" spans="1:7" x14ac:dyDescent="0.3">
      <c r="A643" s="4">
        <v>4421</v>
      </c>
      <c r="B643" s="4">
        <f>VLOOKUP(TABLA_STOCK[Codigo],LISTADO_PRODUCTOS[#All],2)</f>
        <v>54814</v>
      </c>
      <c r="C643" s="6" t="str">
        <f>VLOOKUP(TABLA_STOCK[Codigo],LISTADO_PRODUCTOS[#All],3)</f>
        <v xml:space="preserve">OFICINA </v>
      </c>
      <c r="D643" s="6" t="str">
        <f>VLOOKUP(TABLA_STOCK[Codigo],LISTADO_PRODUCTOS[#All],4)</f>
        <v>Pizarra Blanca N°9 Alto Impacto 91*123</v>
      </c>
      <c r="E643" s="6" t="str">
        <f>VLOOKUP(TABLA_STOCK[Codigo],LISTADO_PRODUCTOS[#All],5)</f>
        <v>N/A</v>
      </c>
      <c r="F643" s="4">
        <v>2</v>
      </c>
      <c r="G643" s="4">
        <v>150</v>
      </c>
    </row>
    <row r="644" spans="1:7" x14ac:dyDescent="0.3">
      <c r="A644" s="4">
        <v>4422</v>
      </c>
      <c r="B644" s="4">
        <f>VLOOKUP(TABLA_STOCK[Codigo],LISTADO_PRODUCTOS[#All],2)</f>
        <v>54815</v>
      </c>
      <c r="C644" s="6" t="str">
        <f>VLOOKUP(TABLA_STOCK[Codigo],LISTADO_PRODUCTOS[#All],3)</f>
        <v xml:space="preserve">OFICINA </v>
      </c>
      <c r="D644" s="6" t="str">
        <f>VLOOKUP(TABLA_STOCK[Codigo],LISTADO_PRODUCTOS[#All],4)</f>
        <v>Clasificador Oficio Avios Combinado</v>
      </c>
      <c r="E644" s="6" t="str">
        <f>VLOOKUP(TABLA_STOCK[Codigo],LISTADO_PRODUCTOS[#All],5)</f>
        <v>N/A</v>
      </c>
      <c r="F644" s="4">
        <v>2</v>
      </c>
      <c r="G644" s="4">
        <v>20</v>
      </c>
    </row>
    <row r="645" spans="1:7" x14ac:dyDescent="0.3">
      <c r="A645" s="4">
        <v>4423</v>
      </c>
      <c r="B645" s="4">
        <f>VLOOKUP(TABLA_STOCK[Codigo],LISTADO_PRODUCTOS[#All],2)</f>
        <v>54816</v>
      </c>
      <c r="C645" s="6" t="str">
        <f>VLOOKUP(TABLA_STOCK[Codigo],LISTADO_PRODUCTOS[#All],3)</f>
        <v xml:space="preserve">OFICINA </v>
      </c>
      <c r="D645" s="6" t="str">
        <f>VLOOKUP(TABLA_STOCK[Codigo],LISTADO_PRODUCTOS[#All],4)</f>
        <v>Marcador de pizarra Simball</v>
      </c>
      <c r="E645" s="6" t="str">
        <f>VLOOKUP(TABLA_STOCK[Codigo],LISTADO_PRODUCTOS[#All],5)</f>
        <v>N/A</v>
      </c>
      <c r="F645" s="4">
        <v>10</v>
      </c>
      <c r="G645" s="4">
        <v>9</v>
      </c>
    </row>
    <row r="646" spans="1:7" x14ac:dyDescent="0.3">
      <c r="A646" s="4">
        <v>4424</v>
      </c>
      <c r="B646" s="4">
        <f>VLOOKUP(TABLA_STOCK[Codigo],LISTADO_PRODUCTOS[#All],2)</f>
        <v>54817</v>
      </c>
      <c r="C646" s="6" t="str">
        <f>VLOOKUP(TABLA_STOCK[Codigo],LISTADO_PRODUCTOS[#All],3)</f>
        <v xml:space="preserve">OFICINA </v>
      </c>
      <c r="D646" s="6" t="str">
        <f>VLOOKUP(TABLA_STOCK[Codigo],LISTADO_PRODUCTOS[#All],4)</f>
        <v>Taco color FLUO Simball Office 75x75 80h</v>
      </c>
      <c r="E646" s="6" t="str">
        <f>VLOOKUP(TABLA_STOCK[Codigo],LISTADO_PRODUCTOS[#All],5)</f>
        <v>N/A</v>
      </c>
      <c r="F646" s="4">
        <v>20</v>
      </c>
      <c r="G646" s="4">
        <v>6</v>
      </c>
    </row>
    <row r="647" spans="1:7" x14ac:dyDescent="0.3">
      <c r="A647" s="4">
        <v>4425</v>
      </c>
      <c r="B647" s="4">
        <f>VLOOKUP(TABLA_STOCK[Codigo],LISTADO_PRODUCTOS[#All],2)</f>
        <v>54818</v>
      </c>
      <c r="C647" s="6" t="str">
        <f>VLOOKUP(TABLA_STOCK[Codigo],LISTADO_PRODUCTOS[#All],3)</f>
        <v xml:space="preserve">OFICINA </v>
      </c>
      <c r="D647" s="6" t="str">
        <f>VLOOKUP(TABLA_STOCK[Codigo],LISTADO_PRODUCTOS[#All],4)</f>
        <v>Pizarra Blanca Magnetica OLAMI 35 x 43</v>
      </c>
      <c r="E647" s="6" t="str">
        <f>VLOOKUP(TABLA_STOCK[Codigo],LISTADO_PRODUCTOS[#All],5)</f>
        <v>N/A</v>
      </c>
      <c r="F647" s="4">
        <v>5</v>
      </c>
      <c r="G647" s="4">
        <v>5</v>
      </c>
    </row>
    <row r="648" spans="1:7" x14ac:dyDescent="0.3">
      <c r="A648" s="4">
        <v>4426</v>
      </c>
      <c r="B648" s="4">
        <f>VLOOKUP(TABLA_STOCK[Codigo],LISTADO_PRODUCTOS[#All],2)</f>
        <v>54819</v>
      </c>
      <c r="C648" s="6" t="str">
        <f>VLOOKUP(TABLA_STOCK[Codigo],LISTADO_PRODUCTOS[#All],3)</f>
        <v xml:space="preserve">OFICINA </v>
      </c>
      <c r="D648" s="6" t="str">
        <f>VLOOKUP(TABLA_STOCK[Codigo],LISTADO_PRODUCTOS[#All],4)</f>
        <v>Pizarra Blanca Magnetica OLAMI 43 x 58</v>
      </c>
      <c r="E648" s="6" t="str">
        <f>VLOOKUP(TABLA_STOCK[Codigo],LISTADO_PRODUCTOS[#All],5)</f>
        <v>N/A</v>
      </c>
      <c r="F648" s="4">
        <v>1</v>
      </c>
      <c r="G648" s="4">
        <v>52</v>
      </c>
    </row>
    <row r="649" spans="1:7" x14ac:dyDescent="0.3">
      <c r="A649" s="4">
        <v>4428</v>
      </c>
      <c r="B649" s="4">
        <f>VLOOKUP(TABLA_STOCK[Codigo],LISTADO_PRODUCTOS[#All],2)</f>
        <v>54820</v>
      </c>
      <c r="C649" s="6" t="str">
        <f>VLOOKUP(TABLA_STOCK[Codigo],LISTADO_PRODUCTOS[#All],3)</f>
        <v xml:space="preserve">OFICINA </v>
      </c>
      <c r="D649" s="6" t="str">
        <f>VLOOKUP(TABLA_STOCK[Codigo],LISTADO_PRODUCTOS[#All],4)</f>
        <v>Notas Adhesivas BOHO FW 17 stick notes distintas</v>
      </c>
      <c r="E649" s="6" t="str">
        <f>VLOOKUP(TABLA_STOCK[Codigo],LISTADO_PRODUCTOS[#All],5)</f>
        <v>N/A</v>
      </c>
      <c r="F649" s="4">
        <v>5</v>
      </c>
      <c r="G649" s="4">
        <v>32</v>
      </c>
    </row>
    <row r="650" spans="1:7" x14ac:dyDescent="0.3">
      <c r="A650" s="4">
        <v>4431</v>
      </c>
      <c r="B650" s="4">
        <f>VLOOKUP(TABLA_STOCK[Codigo],LISTADO_PRODUCTOS[#All],2)</f>
        <v>54821</v>
      </c>
      <c r="C650" s="6" t="str">
        <f>VLOOKUP(TABLA_STOCK[Codigo],LISTADO_PRODUCTOS[#All],3)</f>
        <v xml:space="preserve">OFICINA </v>
      </c>
      <c r="D650" s="6" t="str">
        <f>VLOOKUP(TABLA_STOCK[Codigo],LISTADO_PRODUCTOS[#All],4)</f>
        <v>Blister Marcadores Permanentes NEON Sharpie x 5</v>
      </c>
      <c r="E650" s="6" t="str">
        <f>VLOOKUP(TABLA_STOCK[Codigo],LISTADO_PRODUCTOS[#All],5)</f>
        <v>N/A</v>
      </c>
      <c r="F650" s="4">
        <v>2</v>
      </c>
      <c r="G650" s="4">
        <v>56</v>
      </c>
    </row>
    <row r="651" spans="1:7" x14ac:dyDescent="0.3">
      <c r="A651" s="4">
        <v>5001</v>
      </c>
      <c r="B651" s="4">
        <f>VLOOKUP(TABLA_STOCK[Codigo],LISTADO_PRODUCTOS[#All],2)</f>
        <v>54822</v>
      </c>
      <c r="C651" s="6" t="str">
        <f>VLOOKUP(TABLA_STOCK[Codigo],LISTADO_PRODUCTOS[#All],3)</f>
        <v>COMPUTACION</v>
      </c>
      <c r="D651" s="6" t="str">
        <f>VLOOKUP(TABLA_STOCK[Codigo],LISTADO_PRODUCTOS[#All],4)</f>
        <v>Pen Drive Verbatim 32GB Pin Stripe</v>
      </c>
      <c r="E651" s="6" t="str">
        <f>VLOOKUP(TABLA_STOCK[Codigo],LISTADO_PRODUCTOS[#All],5)</f>
        <v>N/A</v>
      </c>
      <c r="F651" s="4">
        <v>10</v>
      </c>
      <c r="G651" s="4">
        <v>107</v>
      </c>
    </row>
    <row r="652" spans="1:7" x14ac:dyDescent="0.3">
      <c r="A652" s="4">
        <v>5002</v>
      </c>
      <c r="B652" s="4">
        <f>VLOOKUP(TABLA_STOCK[Codigo],LISTADO_PRODUCTOS[#All],2)</f>
        <v>54823</v>
      </c>
      <c r="C652" s="6" t="str">
        <f>VLOOKUP(TABLA_STOCK[Codigo],LISTADO_PRODUCTOS[#All],3)</f>
        <v>COMPUTACION</v>
      </c>
      <c r="D652" s="6" t="str">
        <f>VLOOKUP(TABLA_STOCK[Codigo],LISTADO_PRODUCTOS[#All],4)</f>
        <v>Pen Drive Verbatim 16GB Store n Go</v>
      </c>
      <c r="E652" s="6" t="str">
        <f>VLOOKUP(TABLA_STOCK[Codigo],LISTADO_PRODUCTOS[#All],5)</f>
        <v>N/A</v>
      </c>
      <c r="F652" s="4">
        <v>20</v>
      </c>
      <c r="G652" s="4">
        <v>25</v>
      </c>
    </row>
    <row r="653" spans="1:7" x14ac:dyDescent="0.3">
      <c r="A653" s="4">
        <v>5003</v>
      </c>
      <c r="B653" s="4">
        <f>VLOOKUP(TABLA_STOCK[Codigo],LISTADO_PRODUCTOS[#All],2)</f>
        <v>54824</v>
      </c>
      <c r="C653" s="6" t="str">
        <f>VLOOKUP(TABLA_STOCK[Codigo],LISTADO_PRODUCTOS[#All],3)</f>
        <v>COMPUTACION</v>
      </c>
      <c r="D653" s="6" t="str">
        <f>VLOOKUP(TABLA_STOCK[Codigo],LISTADO_PRODUCTOS[#All],4)</f>
        <v>Pen drive Vervatim 64gb 2.0 Microban Pin Strip</v>
      </c>
      <c r="E653" s="6" t="str">
        <f>VLOOKUP(TABLA_STOCK[Codigo],LISTADO_PRODUCTOS[#All],5)</f>
        <v>N/A</v>
      </c>
      <c r="F653" s="4">
        <v>5</v>
      </c>
      <c r="G653" s="4">
        <v>32</v>
      </c>
    </row>
    <row r="654" spans="1:7" x14ac:dyDescent="0.3">
      <c r="A654" s="4">
        <v>5009</v>
      </c>
      <c r="B654" s="4">
        <f>VLOOKUP(TABLA_STOCK[Codigo],LISTADO_PRODUCTOS[#All],2)</f>
        <v>54825</v>
      </c>
      <c r="C654" s="6" t="str">
        <f>VLOOKUP(TABLA_STOCK[Codigo],LISTADO_PRODUCTOS[#All],3)</f>
        <v>COMPUTACION</v>
      </c>
      <c r="D654" s="6" t="str">
        <f>VLOOKUP(TABLA_STOCK[Codigo],LISTADO_PRODUCTOS[#All],4)</f>
        <v>Clasificador 5 divisiones Pastel</v>
      </c>
      <c r="E654" s="6" t="str">
        <f>VLOOKUP(TABLA_STOCK[Codigo],LISTADO_PRODUCTOS[#All],5)</f>
        <v>N/A</v>
      </c>
      <c r="F654" s="4">
        <v>1</v>
      </c>
      <c r="G654" s="4">
        <v>150</v>
      </c>
    </row>
    <row r="655" spans="1:7" x14ac:dyDescent="0.3">
      <c r="A655" s="4">
        <v>5010</v>
      </c>
      <c r="B655" s="4">
        <f>VLOOKUP(TABLA_STOCK[Codigo],LISTADO_PRODUCTOS[#All],2)</f>
        <v>54826</v>
      </c>
      <c r="C655" s="6" t="str">
        <f>VLOOKUP(TABLA_STOCK[Codigo],LISTADO_PRODUCTOS[#All],3)</f>
        <v>COMPUTACION</v>
      </c>
      <c r="D655" s="6" t="str">
        <f>VLOOKUP(TABLA_STOCK[Codigo],LISTADO_PRODUCTOS[#All],4)</f>
        <v>Auricular economico</v>
      </c>
      <c r="E655" s="6" t="str">
        <f>VLOOKUP(TABLA_STOCK[Codigo],LISTADO_PRODUCTOS[#All],5)</f>
        <v>N/A</v>
      </c>
      <c r="F655" s="4">
        <v>5</v>
      </c>
      <c r="G655" s="4">
        <v>20</v>
      </c>
    </row>
    <row r="656" spans="1:7" x14ac:dyDescent="0.3">
      <c r="A656" s="4">
        <v>5013</v>
      </c>
      <c r="B656" s="4">
        <f>VLOOKUP(TABLA_STOCK[Codigo],LISTADO_PRODUCTOS[#All],2)</f>
        <v>54827</v>
      </c>
      <c r="C656" s="6" t="str">
        <f>VLOOKUP(TABLA_STOCK[Codigo],LISTADO_PRODUCTOS[#All],3)</f>
        <v>COMPUTACION</v>
      </c>
      <c r="D656" s="6" t="str">
        <f>VLOOKUP(TABLA_STOCK[Codigo],LISTADO_PRODUCTOS[#All],4)</f>
        <v>Disco externo Seagate 2tb</v>
      </c>
      <c r="E656" s="6" t="str">
        <f>VLOOKUP(TABLA_STOCK[Codigo],LISTADO_PRODUCTOS[#All],5)</f>
        <v>N/A</v>
      </c>
      <c r="F656" s="4">
        <v>2</v>
      </c>
      <c r="G656" s="4">
        <v>19</v>
      </c>
    </row>
    <row r="657" spans="1:7" x14ac:dyDescent="0.3">
      <c r="A657" s="4">
        <v>5018</v>
      </c>
      <c r="B657" s="4">
        <f>VLOOKUP(TABLA_STOCK[Codigo],LISTADO_PRODUCTOS[#All],2)</f>
        <v>54828</v>
      </c>
      <c r="C657" s="6" t="str">
        <f>VLOOKUP(TABLA_STOCK[Codigo],LISTADO_PRODUCTOS[#All],3)</f>
        <v>COMPUTACION</v>
      </c>
      <c r="D657" s="6" t="str">
        <f>VLOOKUP(TABLA_STOCK[Codigo],LISTADO_PRODUCTOS[#All],4)</f>
        <v>Consola ALIEN PRO 2 videojuegos</v>
      </c>
      <c r="E657" s="6" t="str">
        <f>VLOOKUP(TABLA_STOCK[Codigo],LISTADO_PRODUCTOS[#All],5)</f>
        <v>N/A</v>
      </c>
      <c r="F657" s="4">
        <v>2</v>
      </c>
      <c r="G657" s="4">
        <v>6</v>
      </c>
    </row>
    <row r="658" spans="1:7" x14ac:dyDescent="0.3">
      <c r="A658" s="4">
        <v>5108</v>
      </c>
      <c r="B658" s="4">
        <f>VLOOKUP(TABLA_STOCK[Codigo],LISTADO_PRODUCTOS[#All],2)</f>
        <v>54829</v>
      </c>
      <c r="C658" s="6" t="str">
        <f>VLOOKUP(TABLA_STOCK[Codigo],LISTADO_PRODUCTOS[#All],3)</f>
        <v>COMPUTACION</v>
      </c>
      <c r="D658" s="6" t="str">
        <f>VLOOKUP(TABLA_STOCK[Codigo],LISTADO_PRODUCTOS[#All],4)</f>
        <v>Calculadora Kenko de Bolsillo KK-402</v>
      </c>
      <c r="E658" s="6" t="str">
        <f>VLOOKUP(TABLA_STOCK[Codigo],LISTADO_PRODUCTOS[#All],5)</f>
        <v>N/A</v>
      </c>
      <c r="F658" s="4">
        <v>10</v>
      </c>
      <c r="G658" s="4">
        <v>5</v>
      </c>
    </row>
    <row r="659" spans="1:7" x14ac:dyDescent="0.3">
      <c r="A659" s="4">
        <v>5109</v>
      </c>
      <c r="B659" s="4">
        <f>VLOOKUP(TABLA_STOCK[Codigo],LISTADO_PRODUCTOS[#All],2)</f>
        <v>54830</v>
      </c>
      <c r="C659" s="6" t="str">
        <f>VLOOKUP(TABLA_STOCK[Codigo],LISTADO_PRODUCTOS[#All],3)</f>
        <v>COMPUTACION</v>
      </c>
      <c r="D659" s="6" t="str">
        <f>VLOOKUP(TABLA_STOCK[Codigo],LISTADO_PRODUCTOS[#All],4)</f>
        <v>Calculadora Ecal TC37</v>
      </c>
      <c r="E659" s="6" t="str">
        <f>VLOOKUP(TABLA_STOCK[Codigo],LISTADO_PRODUCTOS[#All],5)</f>
        <v>N/A</v>
      </c>
      <c r="F659" s="4">
        <v>20</v>
      </c>
      <c r="G659" s="4">
        <v>52</v>
      </c>
    </row>
    <row r="660" spans="1:7" x14ac:dyDescent="0.3">
      <c r="A660" s="4">
        <v>5111</v>
      </c>
      <c r="B660" s="4">
        <f>VLOOKUP(TABLA_STOCK[Codigo],LISTADO_PRODUCTOS[#All],2)</f>
        <v>54831</v>
      </c>
      <c r="C660" s="6" t="str">
        <f>VLOOKUP(TABLA_STOCK[Codigo],LISTADO_PRODUCTOS[#All],3)</f>
        <v>COMPUTACION</v>
      </c>
      <c r="D660" s="6" t="str">
        <f>VLOOKUP(TABLA_STOCK[Codigo],LISTADO_PRODUCTOS[#All],4)</f>
        <v>Calculadora Casio Fx-82 cientifica</v>
      </c>
      <c r="E660" s="6" t="str">
        <f>VLOOKUP(TABLA_STOCK[Codigo],LISTADO_PRODUCTOS[#All],5)</f>
        <v>N/A</v>
      </c>
      <c r="F660" s="4">
        <v>5</v>
      </c>
      <c r="G660" s="4">
        <v>32</v>
      </c>
    </row>
    <row r="661" spans="1:7" x14ac:dyDescent="0.3">
      <c r="A661" s="4">
        <v>5113</v>
      </c>
      <c r="B661" s="4">
        <f>VLOOKUP(TABLA_STOCK[Codigo],LISTADO_PRODUCTOS[#All],2)</f>
        <v>54832</v>
      </c>
      <c r="C661" s="6" t="str">
        <f>VLOOKUP(TABLA_STOCK[Codigo],LISTADO_PRODUCTOS[#All],3)</f>
        <v>COMPUTACION</v>
      </c>
      <c r="D661" s="6" t="str">
        <f>VLOOKUP(TABLA_STOCK[Codigo],LISTADO_PRODUCTOS[#All],4)</f>
        <v>Calculadora Ecal TC 95 MS</v>
      </c>
      <c r="E661" s="6" t="str">
        <f>VLOOKUP(TABLA_STOCK[Codigo],LISTADO_PRODUCTOS[#All],5)</f>
        <v>N/A</v>
      </c>
      <c r="F661" s="4">
        <v>1</v>
      </c>
      <c r="G661" s="4">
        <v>56</v>
      </c>
    </row>
    <row r="662" spans="1:7" x14ac:dyDescent="0.3">
      <c r="A662" s="4">
        <v>5114</v>
      </c>
      <c r="B662" s="4">
        <f>VLOOKUP(TABLA_STOCK[Codigo],LISTADO_PRODUCTOS[#All],2)</f>
        <v>54833</v>
      </c>
      <c r="C662" s="6" t="str">
        <f>VLOOKUP(TABLA_STOCK[Codigo],LISTADO_PRODUCTOS[#All],3)</f>
        <v>COMPUTACION</v>
      </c>
      <c r="D662" s="6" t="str">
        <f>VLOOKUP(TABLA_STOCK[Codigo],LISTADO_PRODUCTOS[#All],4)</f>
        <v>Calculadora Casio HL-820LV</v>
      </c>
      <c r="E662" s="6" t="str">
        <f>VLOOKUP(TABLA_STOCK[Codigo],LISTADO_PRODUCTOS[#All],5)</f>
        <v>N/A</v>
      </c>
      <c r="F662" s="4">
        <v>5</v>
      </c>
      <c r="G662" s="4">
        <v>107</v>
      </c>
    </row>
    <row r="663" spans="1:7" x14ac:dyDescent="0.3">
      <c r="A663" s="4">
        <v>5115</v>
      </c>
      <c r="B663" s="4">
        <f>VLOOKUP(TABLA_STOCK[Codigo],LISTADO_PRODUCTOS[#All],2)</f>
        <v>54834</v>
      </c>
      <c r="C663" s="6" t="str">
        <f>VLOOKUP(TABLA_STOCK[Codigo],LISTADO_PRODUCTOS[#All],3)</f>
        <v>COMPUTACION</v>
      </c>
      <c r="D663" s="6" t="str">
        <f>VLOOKUP(TABLA_STOCK[Codigo],LISTADO_PRODUCTOS[#All],4)</f>
        <v>Calculadora Ecal TC 82</v>
      </c>
      <c r="E663" s="6" t="str">
        <f>VLOOKUP(TABLA_STOCK[Codigo],LISTADO_PRODUCTOS[#All],5)</f>
        <v>N/A</v>
      </c>
      <c r="F663" s="4">
        <v>2</v>
      </c>
      <c r="G663" s="4">
        <v>25</v>
      </c>
    </row>
    <row r="664" spans="1:7" x14ac:dyDescent="0.3">
      <c r="A664" s="4">
        <v>5118</v>
      </c>
      <c r="B664" s="4">
        <f>VLOOKUP(TABLA_STOCK[Codigo],LISTADO_PRODUCTOS[#All],2)</f>
        <v>54835</v>
      </c>
      <c r="C664" s="6" t="str">
        <f>VLOOKUP(TABLA_STOCK[Codigo],LISTADO_PRODUCTOS[#All],3)</f>
        <v>COMPUTACION</v>
      </c>
      <c r="D664" s="6" t="str">
        <f>VLOOKUP(TABLA_STOCK[Codigo],LISTADO_PRODUCTOS[#All],4)</f>
        <v>Mouse Genius retractil</v>
      </c>
      <c r="E664" s="6" t="str">
        <f>VLOOKUP(TABLA_STOCK[Codigo],LISTADO_PRODUCTOS[#All],5)</f>
        <v>N/A</v>
      </c>
      <c r="F664" s="4">
        <v>2</v>
      </c>
      <c r="G664" s="4">
        <v>32</v>
      </c>
    </row>
    <row r="665" spans="1:7" x14ac:dyDescent="0.3">
      <c r="A665" s="4">
        <v>5120</v>
      </c>
      <c r="B665" s="4">
        <f>VLOOKUP(TABLA_STOCK[Codigo],LISTADO_PRODUCTOS[#All],2)</f>
        <v>54836</v>
      </c>
      <c r="C665" s="6" t="str">
        <f>VLOOKUP(TABLA_STOCK[Codigo],LISTADO_PRODUCTOS[#All],3)</f>
        <v>COMPUTACION</v>
      </c>
      <c r="D665" s="6" t="str">
        <f>VLOOKUP(TABLA_STOCK[Codigo],LISTADO_PRODUCTOS[#All],4)</f>
        <v>Mouse Gamer GX AMMOX X1-400</v>
      </c>
      <c r="E665" s="6" t="str">
        <f>VLOOKUP(TABLA_STOCK[Codigo],LISTADO_PRODUCTOS[#All],5)</f>
        <v>N/A</v>
      </c>
      <c r="F665" s="4">
        <v>10</v>
      </c>
      <c r="G665" s="4">
        <v>150</v>
      </c>
    </row>
    <row r="666" spans="1:7" x14ac:dyDescent="0.3">
      <c r="A666" s="4">
        <v>5129</v>
      </c>
      <c r="B666" s="4">
        <f>VLOOKUP(TABLA_STOCK[Codigo],LISTADO_PRODUCTOS[#All],2)</f>
        <v>54837</v>
      </c>
      <c r="C666" s="6" t="str">
        <f>VLOOKUP(TABLA_STOCK[Codigo],LISTADO_PRODUCTOS[#All],3)</f>
        <v>COMPUTACION</v>
      </c>
      <c r="D666" s="6" t="str">
        <f>VLOOKUP(TABLA_STOCK[Codigo],LISTADO_PRODUCTOS[#All],4)</f>
        <v>Mouse FLICA Diseños especiales inalambrico</v>
      </c>
      <c r="E666" s="6" t="str">
        <f>VLOOKUP(TABLA_STOCK[Codigo],LISTADO_PRODUCTOS[#All],5)</f>
        <v>N/A</v>
      </c>
      <c r="F666" s="4">
        <v>20</v>
      </c>
      <c r="G666" s="4">
        <v>20</v>
      </c>
    </row>
    <row r="667" spans="1:7" x14ac:dyDescent="0.3">
      <c r="A667" s="4">
        <v>5133</v>
      </c>
      <c r="B667" s="4">
        <f>VLOOKUP(TABLA_STOCK[Codigo],LISTADO_PRODUCTOS[#All],2)</f>
        <v>54838</v>
      </c>
      <c r="C667" s="6" t="str">
        <f>VLOOKUP(TABLA_STOCK[Codigo],LISTADO_PRODUCTOS[#All],3)</f>
        <v>COMPUTACION</v>
      </c>
      <c r="D667" s="6" t="str">
        <f>VLOOKUP(TABLA_STOCK[Codigo],LISTADO_PRODUCTOS[#All],4)</f>
        <v>Brick Game 9999 in 1</v>
      </c>
      <c r="E667" s="6" t="str">
        <f>VLOOKUP(TABLA_STOCK[Codigo],LISTADO_PRODUCTOS[#All],5)</f>
        <v>N/A</v>
      </c>
      <c r="F667" s="4">
        <v>5</v>
      </c>
      <c r="G667" s="4">
        <v>19</v>
      </c>
    </row>
    <row r="668" spans="1:7" x14ac:dyDescent="0.3">
      <c r="A668" s="4">
        <v>5134</v>
      </c>
      <c r="B668" s="4">
        <f>VLOOKUP(TABLA_STOCK[Codigo],LISTADO_PRODUCTOS[#All],2)</f>
        <v>54839</v>
      </c>
      <c r="C668" s="6" t="str">
        <f>VLOOKUP(TABLA_STOCK[Codigo],LISTADO_PRODUCTOS[#All],3)</f>
        <v>COMPUTACION</v>
      </c>
      <c r="D668" s="6" t="str">
        <f>VLOOKUP(TABLA_STOCK[Codigo],LISTADO_PRODUCTOS[#All],4)</f>
        <v>Pad Mouse FLICA Eco Cuero</v>
      </c>
      <c r="E668" s="6" t="str">
        <f>VLOOKUP(TABLA_STOCK[Codigo],LISTADO_PRODUCTOS[#All],5)</f>
        <v>N/A</v>
      </c>
      <c r="F668" s="4">
        <v>1</v>
      </c>
      <c r="G668" s="4">
        <v>6</v>
      </c>
    </row>
    <row r="669" spans="1:7" x14ac:dyDescent="0.3">
      <c r="A669" s="4">
        <v>5140</v>
      </c>
      <c r="B669" s="4">
        <f>VLOOKUP(TABLA_STOCK[Codigo],LISTADO_PRODUCTOS[#All],2)</f>
        <v>54840</v>
      </c>
      <c r="C669" s="6" t="str">
        <f>VLOOKUP(TABLA_STOCK[Codigo],LISTADO_PRODUCTOS[#All],3)</f>
        <v>COMPUTACION</v>
      </c>
      <c r="D669" s="6" t="str">
        <f>VLOOKUP(TABLA_STOCK[Codigo],LISTADO_PRODUCTOS[#All],4)</f>
        <v>Funda tablet 7" NOGA</v>
      </c>
      <c r="E669" s="6" t="str">
        <f>VLOOKUP(TABLA_STOCK[Codigo],LISTADO_PRODUCTOS[#All],5)</f>
        <v>N/A</v>
      </c>
      <c r="F669" s="4">
        <v>5</v>
      </c>
      <c r="G669" s="4">
        <v>5</v>
      </c>
    </row>
    <row r="670" spans="1:7" x14ac:dyDescent="0.3">
      <c r="A670" s="4">
        <v>5143</v>
      </c>
      <c r="B670" s="4">
        <f>VLOOKUP(TABLA_STOCK[Codigo],LISTADO_PRODUCTOS[#All],2)</f>
        <v>54841</v>
      </c>
      <c r="C670" s="6" t="str">
        <f>VLOOKUP(TABLA_STOCK[Codigo],LISTADO_PRODUCTOS[#All],3)</f>
        <v>COMPUTACION</v>
      </c>
      <c r="D670" s="6" t="str">
        <f>VLOOKUP(TABLA_STOCK[Codigo],LISTADO_PRODUCTOS[#All],4)</f>
        <v>Parlante Genius SP-HF180 6wRMS</v>
      </c>
      <c r="E670" s="6" t="str">
        <f>VLOOKUP(TABLA_STOCK[Codigo],LISTADO_PRODUCTOS[#All],5)</f>
        <v>N/A</v>
      </c>
      <c r="F670" s="4">
        <v>2</v>
      </c>
      <c r="G670" s="4">
        <v>52</v>
      </c>
    </row>
    <row r="671" spans="1:7" x14ac:dyDescent="0.3">
      <c r="A671" s="4">
        <v>5146</v>
      </c>
      <c r="B671" s="4">
        <f>VLOOKUP(TABLA_STOCK[Codigo],LISTADO_PRODUCTOS[#All],2)</f>
        <v>54842</v>
      </c>
      <c r="C671" s="6" t="str">
        <f>VLOOKUP(TABLA_STOCK[Codigo],LISTADO_PRODUCTOS[#All],3)</f>
        <v>COMPUTACION</v>
      </c>
      <c r="D671" s="6" t="str">
        <f>VLOOKUP(TABLA_STOCK[Codigo],LISTADO_PRODUCTOS[#All],4)</f>
        <v>Auricular Genius sobre oreja HS-M270</v>
      </c>
      <c r="E671" s="6" t="str">
        <f>VLOOKUP(TABLA_STOCK[Codigo],LISTADO_PRODUCTOS[#All],5)</f>
        <v>N/A</v>
      </c>
      <c r="F671" s="4">
        <v>2</v>
      </c>
      <c r="G671" s="4">
        <v>32</v>
      </c>
    </row>
    <row r="672" spans="1:7" x14ac:dyDescent="0.3">
      <c r="A672" s="4">
        <v>5148</v>
      </c>
      <c r="B672" s="4">
        <f>VLOOKUP(TABLA_STOCK[Codigo],LISTADO_PRODUCTOS[#All],2)</f>
        <v>54843</v>
      </c>
      <c r="C672" s="6" t="str">
        <f>VLOOKUP(TABLA_STOCK[Codigo],LISTADO_PRODUCTOS[#All],3)</f>
        <v>COMPUTACION</v>
      </c>
      <c r="D672" s="6" t="str">
        <f>VLOOKUP(TABLA_STOCK[Codigo],LISTADO_PRODUCTOS[#All],4)</f>
        <v>Teclado inalambrico compacto LOGITECH K230</v>
      </c>
      <c r="E672" s="6" t="str">
        <f>VLOOKUP(TABLA_STOCK[Codigo],LISTADO_PRODUCTOS[#All],5)</f>
        <v>N/A</v>
      </c>
      <c r="F672" s="4">
        <v>10</v>
      </c>
      <c r="G672" s="4">
        <v>56</v>
      </c>
    </row>
    <row r="673" spans="1:7" x14ac:dyDescent="0.3">
      <c r="A673" s="4">
        <v>5167</v>
      </c>
      <c r="B673" s="4">
        <f>VLOOKUP(TABLA_STOCK[Codigo],LISTADO_PRODUCTOS[#All],2)</f>
        <v>54844</v>
      </c>
      <c r="C673" s="6" t="str">
        <f>VLOOKUP(TABLA_STOCK[Codigo],LISTADO_PRODUCTOS[#All],3)</f>
        <v>COMPUTACION</v>
      </c>
      <c r="D673" s="6" t="str">
        <f>VLOOKUP(TABLA_STOCK[Codigo],LISTADO_PRODUCTOS[#All],4)</f>
        <v>Mini teclado numerico NETMAK NM KB240</v>
      </c>
      <c r="E673" s="6" t="str">
        <f>VLOOKUP(TABLA_STOCK[Codigo],LISTADO_PRODUCTOS[#All],5)</f>
        <v>N/A</v>
      </c>
      <c r="F673" s="4">
        <v>20</v>
      </c>
      <c r="G673" s="4">
        <v>107</v>
      </c>
    </row>
    <row r="674" spans="1:7" x14ac:dyDescent="0.3">
      <c r="A674" s="4">
        <v>5170</v>
      </c>
      <c r="B674" s="4">
        <f>VLOOKUP(TABLA_STOCK[Codigo],LISTADO_PRODUCTOS[#All],2)</f>
        <v>54845</v>
      </c>
      <c r="C674" s="6" t="str">
        <f>VLOOKUP(TABLA_STOCK[Codigo],LISTADO_PRODUCTOS[#All],3)</f>
        <v>COMPUTACION</v>
      </c>
      <c r="D674" s="6" t="str">
        <f>VLOOKUP(TABLA_STOCK[Codigo],LISTADO_PRODUCTOS[#All],4)</f>
        <v>Cargador USB Energizer</v>
      </c>
      <c r="E674" s="6" t="str">
        <f>VLOOKUP(TABLA_STOCK[Codigo],LISTADO_PRODUCTOS[#All],5)</f>
        <v>N/A</v>
      </c>
      <c r="F674" s="4">
        <v>5</v>
      </c>
      <c r="G674" s="4">
        <v>25</v>
      </c>
    </row>
    <row r="675" spans="1:7" x14ac:dyDescent="0.3">
      <c r="A675" s="4">
        <v>5189</v>
      </c>
      <c r="B675" s="4">
        <f>VLOOKUP(TABLA_STOCK[Codigo],LISTADO_PRODUCTOS[#All],2)</f>
        <v>54846</v>
      </c>
      <c r="C675" s="6" t="str">
        <f>VLOOKUP(TABLA_STOCK[Codigo],LISTADO_PRODUCTOS[#All],3)</f>
        <v>COMPUTACION</v>
      </c>
      <c r="D675" s="6" t="str">
        <f>VLOOKUP(TABLA_STOCK[Codigo],LISTADO_PRODUCTOS[#All],4)</f>
        <v>Cable audio Mini plug - mini plug (Rojo)</v>
      </c>
      <c r="E675" s="6" t="str">
        <f>VLOOKUP(TABLA_STOCK[Codigo],LISTADO_PRODUCTOS[#All],5)</f>
        <v>N/A</v>
      </c>
      <c r="F675" s="4">
        <v>1</v>
      </c>
      <c r="G675" s="4">
        <v>32</v>
      </c>
    </row>
    <row r="676" spans="1:7" x14ac:dyDescent="0.3">
      <c r="A676" s="4">
        <v>5192</v>
      </c>
      <c r="B676" s="4">
        <f>VLOOKUP(TABLA_STOCK[Codigo],LISTADO_PRODUCTOS[#All],2)</f>
        <v>54847</v>
      </c>
      <c r="C676" s="6" t="str">
        <f>VLOOKUP(TABLA_STOCK[Codigo],LISTADO_PRODUCTOS[#All],3)</f>
        <v>COMPUTACION</v>
      </c>
      <c r="D676" s="6" t="str">
        <f>VLOOKUP(TABLA_STOCK[Codigo],LISTADO_PRODUCTOS[#All],4)</f>
        <v>Equipo de audio para motos</v>
      </c>
      <c r="E676" s="6" t="str">
        <f>VLOOKUP(TABLA_STOCK[Codigo],LISTADO_PRODUCTOS[#All],5)</f>
        <v>N/A</v>
      </c>
      <c r="F676" s="4">
        <v>5</v>
      </c>
      <c r="G676" s="4">
        <v>150</v>
      </c>
    </row>
    <row r="677" spans="1:7" x14ac:dyDescent="0.3">
      <c r="A677" s="4">
        <v>5194</v>
      </c>
      <c r="B677" s="4">
        <f>VLOOKUP(TABLA_STOCK[Codigo],LISTADO_PRODUCTOS[#All],2)</f>
        <v>54848</v>
      </c>
      <c r="C677" s="6" t="str">
        <f>VLOOKUP(TABLA_STOCK[Codigo],LISTADO_PRODUCTOS[#All],3)</f>
        <v>COMPUTACION</v>
      </c>
      <c r="D677" s="6" t="str">
        <f>VLOOKUP(TABLA_STOCK[Codigo],LISTADO_PRODUCTOS[#All],4)</f>
        <v>Mouse inalambrico Genius NX-7000</v>
      </c>
      <c r="E677" s="6" t="str">
        <f>VLOOKUP(TABLA_STOCK[Codigo],LISTADO_PRODUCTOS[#All],5)</f>
        <v>N/A</v>
      </c>
      <c r="F677" s="4">
        <v>2</v>
      </c>
      <c r="G677" s="4">
        <v>20</v>
      </c>
    </row>
    <row r="678" spans="1:7" x14ac:dyDescent="0.3">
      <c r="A678" s="4">
        <v>5202</v>
      </c>
      <c r="B678" s="4">
        <f>VLOOKUP(TABLA_STOCK[Codigo],LISTADO_PRODUCTOS[#All],2)</f>
        <v>54849</v>
      </c>
      <c r="C678" s="6" t="str">
        <f>VLOOKUP(TABLA_STOCK[Codigo],LISTADO_PRODUCTOS[#All],3)</f>
        <v>COMPUTACION</v>
      </c>
      <c r="D678" s="6" t="str">
        <f>VLOOKUP(TABLA_STOCK[Codigo],LISTADO_PRODUCTOS[#All],4)</f>
        <v>Joestick para Celu</v>
      </c>
      <c r="E678" s="6" t="str">
        <f>VLOOKUP(TABLA_STOCK[Codigo],LISTADO_PRODUCTOS[#All],5)</f>
        <v>N/A</v>
      </c>
      <c r="F678" s="4">
        <v>10</v>
      </c>
      <c r="G678" s="4">
        <v>19</v>
      </c>
    </row>
    <row r="679" spans="1:7" x14ac:dyDescent="0.3">
      <c r="A679" s="4">
        <v>5204</v>
      </c>
      <c r="B679" s="4">
        <f>VLOOKUP(TABLA_STOCK[Codigo],LISTADO_PRODUCTOS[#All],2)</f>
        <v>54850</v>
      </c>
      <c r="C679" s="6" t="str">
        <f>VLOOKUP(TABLA_STOCK[Codigo],LISTADO_PRODUCTOS[#All],3)</f>
        <v>COMPUTACION</v>
      </c>
      <c r="D679" s="6" t="str">
        <f>VLOOKUP(TABLA_STOCK[Codigo],LISTADO_PRODUCTOS[#All],4)</f>
        <v>Reposa celular piramide soporte diferentes angulos 228747</v>
      </c>
      <c r="E679" s="6" t="str">
        <f>VLOOKUP(TABLA_STOCK[Codigo],LISTADO_PRODUCTOS[#All],5)</f>
        <v>N/A</v>
      </c>
      <c r="F679" s="4">
        <v>20</v>
      </c>
      <c r="G679" s="4">
        <v>6</v>
      </c>
    </row>
    <row r="680" spans="1:7" x14ac:dyDescent="0.3">
      <c r="A680" s="4">
        <v>5207</v>
      </c>
      <c r="B680" s="4">
        <f>VLOOKUP(TABLA_STOCK[Codigo],LISTADO_PRODUCTOS[#All],2)</f>
        <v>54851</v>
      </c>
      <c r="C680" s="6" t="str">
        <f>VLOOKUP(TABLA_STOCK[Codigo],LISTADO_PRODUCTOS[#All],3)</f>
        <v>COMPUTACION</v>
      </c>
      <c r="D680" s="6" t="str">
        <f>VLOOKUP(TABLA_STOCK[Codigo],LISTADO_PRODUCTOS[#All],4)</f>
        <v>Cable iphone en bolsita suelto</v>
      </c>
      <c r="E680" s="6" t="str">
        <f>VLOOKUP(TABLA_STOCK[Codigo],LISTADO_PRODUCTOS[#All],5)</f>
        <v>N/A</v>
      </c>
      <c r="F680" s="4">
        <v>5</v>
      </c>
      <c r="G680" s="4">
        <v>5</v>
      </c>
    </row>
    <row r="681" spans="1:7" x14ac:dyDescent="0.3">
      <c r="A681" s="4">
        <v>5213</v>
      </c>
      <c r="B681" s="4">
        <f>VLOOKUP(TABLA_STOCK[Codigo],LISTADO_PRODUCTOS[#All],2)</f>
        <v>54852</v>
      </c>
      <c r="C681" s="6" t="str">
        <f>VLOOKUP(TABLA_STOCK[Codigo],LISTADO_PRODUCTOS[#All],3)</f>
        <v>COMPUTACION</v>
      </c>
      <c r="D681" s="6" t="str">
        <f>VLOOKUP(TABLA_STOCK[Codigo],LISTADO_PRODUCTOS[#All],4)</f>
        <v>Auricular sobre oreja</v>
      </c>
      <c r="E681" s="6" t="str">
        <f>VLOOKUP(TABLA_STOCK[Codigo],LISTADO_PRODUCTOS[#All],5)</f>
        <v>N/A</v>
      </c>
      <c r="F681" s="4">
        <v>1</v>
      </c>
      <c r="G681" s="4">
        <v>52</v>
      </c>
    </row>
    <row r="682" spans="1:7" x14ac:dyDescent="0.3">
      <c r="A682" s="4">
        <v>5219</v>
      </c>
      <c r="B682" s="4">
        <f>VLOOKUP(TABLA_STOCK[Codigo],LISTADO_PRODUCTOS[#All],2)</f>
        <v>54853</v>
      </c>
      <c r="C682" s="6" t="str">
        <f>VLOOKUP(TABLA_STOCK[Codigo],LISTADO_PRODUCTOS[#All],3)</f>
        <v>COMPUTACION</v>
      </c>
      <c r="D682" s="6" t="str">
        <f>VLOOKUP(TABLA_STOCK[Codigo],LISTADO_PRODUCTOS[#All],4)</f>
        <v>Calculadora ECAL TC63</v>
      </c>
      <c r="E682" s="6" t="str">
        <f>VLOOKUP(TABLA_STOCK[Codigo],LISTADO_PRODUCTOS[#All],5)</f>
        <v>N/A</v>
      </c>
      <c r="F682" s="4">
        <v>5</v>
      </c>
      <c r="G682" s="4">
        <v>32</v>
      </c>
    </row>
    <row r="683" spans="1:7" x14ac:dyDescent="0.3">
      <c r="A683" s="4">
        <v>5226</v>
      </c>
      <c r="B683" s="4">
        <f>VLOOKUP(TABLA_STOCK[Codigo],LISTADO_PRODUCTOS[#All],2)</f>
        <v>54854</v>
      </c>
      <c r="C683" s="6" t="str">
        <f>VLOOKUP(TABLA_STOCK[Codigo],LISTADO_PRODUCTOS[#All],3)</f>
        <v>COMPUTACION</v>
      </c>
      <c r="D683" s="6" t="str">
        <f>VLOOKUP(TABLA_STOCK[Codigo],LISTADO_PRODUCTOS[#All],4)</f>
        <v>Bateria cargador  Power Bank chato</v>
      </c>
      <c r="E683" s="6" t="str">
        <f>VLOOKUP(TABLA_STOCK[Codigo],LISTADO_PRODUCTOS[#All],5)</f>
        <v>N/A</v>
      </c>
      <c r="F683" s="4">
        <v>2</v>
      </c>
      <c r="G683" s="4">
        <v>56</v>
      </c>
    </row>
    <row r="684" spans="1:7" x14ac:dyDescent="0.3">
      <c r="A684" s="4">
        <v>5227</v>
      </c>
      <c r="B684" s="4">
        <f>VLOOKUP(TABLA_STOCK[Codigo],LISTADO_PRODUCTOS[#All],2)</f>
        <v>54855</v>
      </c>
      <c r="C684" s="6" t="str">
        <f>VLOOKUP(TABLA_STOCK[Codigo],LISTADO_PRODUCTOS[#All],3)</f>
        <v>COMPUTACION</v>
      </c>
      <c r="D684" s="6" t="str">
        <f>VLOOKUP(TABLA_STOCK[Codigo],LISTADO_PRODUCTOS[#All],4)</f>
        <v>Teclado + mouse IBEK BK-811</v>
      </c>
      <c r="E684" s="6" t="str">
        <f>VLOOKUP(TABLA_STOCK[Codigo],LISTADO_PRODUCTOS[#All],5)</f>
        <v>N/A</v>
      </c>
      <c r="F684" s="4">
        <v>2</v>
      </c>
      <c r="G684" s="4">
        <v>107</v>
      </c>
    </row>
    <row r="685" spans="1:7" x14ac:dyDescent="0.3">
      <c r="A685" s="4">
        <v>5228</v>
      </c>
      <c r="B685" s="4">
        <f>VLOOKUP(TABLA_STOCK[Codigo],LISTADO_PRODUCTOS[#All],2)</f>
        <v>54856</v>
      </c>
      <c r="C685" s="6" t="str">
        <f>VLOOKUP(TABLA_STOCK[Codigo],LISTADO_PRODUCTOS[#All],3)</f>
        <v>COMPUTACION</v>
      </c>
      <c r="D685" s="6" t="str">
        <f>VLOOKUP(TABLA_STOCK[Codigo],LISTADO_PRODUCTOS[#All],4)</f>
        <v>Calculadora Motex doble visor KK-8585-12</v>
      </c>
      <c r="E685" s="6" t="str">
        <f>VLOOKUP(TABLA_STOCK[Codigo],LISTADO_PRODUCTOS[#All],5)</f>
        <v>N/A</v>
      </c>
      <c r="F685" s="4">
        <v>10</v>
      </c>
      <c r="G685" s="4">
        <v>25</v>
      </c>
    </row>
    <row r="686" spans="1:7" x14ac:dyDescent="0.3">
      <c r="A686" s="4">
        <v>5229</v>
      </c>
      <c r="B686" s="4">
        <f>VLOOKUP(TABLA_STOCK[Codigo],LISTADO_PRODUCTOS[#All],2)</f>
        <v>54857</v>
      </c>
      <c r="C686" s="6" t="str">
        <f>VLOOKUP(TABLA_STOCK[Codigo],LISTADO_PRODUCTOS[#All],3)</f>
        <v>COMPUTACION</v>
      </c>
      <c r="D686" s="6" t="str">
        <f>VLOOKUP(TABLA_STOCK[Codigo],LISTADO_PRODUCTOS[#All],4)</f>
        <v>Cable Samsung USB - Type C</v>
      </c>
      <c r="E686" s="6" t="str">
        <f>VLOOKUP(TABLA_STOCK[Codigo],LISTADO_PRODUCTOS[#All],5)</f>
        <v>N/A</v>
      </c>
      <c r="F686" s="4">
        <v>20</v>
      </c>
      <c r="G686" s="4">
        <v>32</v>
      </c>
    </row>
    <row r="687" spans="1:7" x14ac:dyDescent="0.3">
      <c r="A687" s="4">
        <v>5230</v>
      </c>
      <c r="B687" s="4">
        <f>VLOOKUP(TABLA_STOCK[Codigo],LISTADO_PRODUCTOS[#All],2)</f>
        <v>54858</v>
      </c>
      <c r="C687" s="6" t="str">
        <f>VLOOKUP(TABLA_STOCK[Codigo],LISTADO_PRODUCTOS[#All],3)</f>
        <v>COMPUTACION</v>
      </c>
      <c r="D687" s="6" t="str">
        <f>VLOOKUP(TABLA_STOCK[Codigo],LISTADO_PRODUCTOS[#All],4)</f>
        <v>Calculadora Casio MW-5V-WE</v>
      </c>
      <c r="E687" s="6" t="str">
        <f>VLOOKUP(TABLA_STOCK[Codigo],LISTADO_PRODUCTOS[#All],5)</f>
        <v>N/A</v>
      </c>
      <c r="F687" s="4">
        <v>5</v>
      </c>
      <c r="G687" s="4">
        <v>150</v>
      </c>
    </row>
    <row r="688" spans="1:7" x14ac:dyDescent="0.3">
      <c r="A688" s="4">
        <v>5231</v>
      </c>
      <c r="B688" s="4">
        <f>VLOOKUP(TABLA_STOCK[Codigo],LISTADO_PRODUCTOS[#All],2)</f>
        <v>54859</v>
      </c>
      <c r="C688" s="6" t="str">
        <f>VLOOKUP(TABLA_STOCK[Codigo],LISTADO_PRODUCTOS[#All],3)</f>
        <v>COMPUTACION</v>
      </c>
      <c r="D688" s="6" t="str">
        <f>VLOOKUP(TABLA_STOCK[Codigo],LISTADO_PRODUCTOS[#All],4)</f>
        <v>Cable Fast Charging Samsung Galaxy Note</v>
      </c>
      <c r="E688" s="6" t="str">
        <f>VLOOKUP(TABLA_STOCK[Codigo],LISTADO_PRODUCTOS[#All],5)</f>
        <v>N/A</v>
      </c>
      <c r="F688" s="4">
        <v>1</v>
      </c>
      <c r="G688" s="4">
        <v>20</v>
      </c>
    </row>
    <row r="689" spans="1:7" x14ac:dyDescent="0.3">
      <c r="A689" s="4">
        <v>5233</v>
      </c>
      <c r="B689" s="4">
        <f>VLOOKUP(TABLA_STOCK[Codigo],LISTADO_PRODUCTOS[#All],2)</f>
        <v>54860</v>
      </c>
      <c r="C689" s="6" t="str">
        <f>VLOOKUP(TABLA_STOCK[Codigo],LISTADO_PRODUCTOS[#All],3)</f>
        <v>COMPUTACION</v>
      </c>
      <c r="D689" s="6" t="str">
        <f>VLOOKUP(TABLA_STOCK[Codigo],LISTADO_PRODUCTOS[#All],4)</f>
        <v>Toner Global para Xerox Phaser 3020</v>
      </c>
      <c r="E689" s="6" t="str">
        <f>VLOOKUP(TABLA_STOCK[Codigo],LISTADO_PRODUCTOS[#All],5)</f>
        <v>N/A</v>
      </c>
      <c r="F689" s="4">
        <v>5</v>
      </c>
      <c r="G689" s="4">
        <v>19</v>
      </c>
    </row>
    <row r="690" spans="1:7" x14ac:dyDescent="0.3">
      <c r="A690" s="4">
        <v>6100</v>
      </c>
      <c r="B690" s="4">
        <f>VLOOKUP(TABLA_STOCK[Codigo],LISTADO_PRODUCTOS[#All],2)</f>
        <v>54861</v>
      </c>
      <c r="C690" s="6" t="str">
        <f>VLOOKUP(TABLA_STOCK[Codigo],LISTADO_PRODUCTOS[#All],3)</f>
        <v>LIBROS</v>
      </c>
      <c r="D690" s="6" t="str">
        <f>VLOOKUP(TABLA_STOCK[Codigo],LISTADO_PRODUCTOS[#All],4)</f>
        <v>El Principito Catapulta Junior</v>
      </c>
      <c r="E690" s="6" t="str">
        <f>VLOOKUP(TABLA_STOCK[Codigo],LISTADO_PRODUCTOS[#All],5)</f>
        <v>N/A</v>
      </c>
      <c r="F690" s="4">
        <v>2</v>
      </c>
      <c r="G690" s="4">
        <v>6</v>
      </c>
    </row>
    <row r="691" spans="1:7" x14ac:dyDescent="0.3">
      <c r="A691" s="4">
        <v>6101</v>
      </c>
      <c r="B691" s="4">
        <f>VLOOKUP(TABLA_STOCK[Codigo],LISTADO_PRODUCTOS[#All],2)</f>
        <v>54862</v>
      </c>
      <c r="C691" s="6" t="str">
        <f>VLOOKUP(TABLA_STOCK[Codigo],LISTADO_PRODUCTOS[#All],3)</f>
        <v>LIBROS</v>
      </c>
      <c r="D691" s="6" t="str">
        <f>VLOOKUP(TABLA_STOCK[Codigo],LISTADO_PRODUCTOS[#All],4)</f>
        <v>Set Mi primer libro de actividades + 24 colores Filgo</v>
      </c>
      <c r="E691" s="6" t="str">
        <f>VLOOKUP(TABLA_STOCK[Codigo],LISTADO_PRODUCTOS[#All],5)</f>
        <v>N/A</v>
      </c>
      <c r="F691" s="4">
        <v>2</v>
      </c>
      <c r="G691" s="4">
        <v>5</v>
      </c>
    </row>
    <row r="692" spans="1:7" x14ac:dyDescent="0.3">
      <c r="A692" s="4">
        <v>6102</v>
      </c>
      <c r="B692" s="4">
        <f>VLOOKUP(TABLA_STOCK[Codigo],LISTADO_PRODUCTOS[#All],2)</f>
        <v>54863</v>
      </c>
      <c r="C692" s="6" t="str">
        <f>VLOOKUP(TABLA_STOCK[Codigo],LISTADO_PRODUCTOS[#All],3)</f>
        <v>LIBROS</v>
      </c>
      <c r="D692" s="6" t="str">
        <f>VLOOKUP(TABLA_STOCK[Codigo],LISTADO_PRODUCTOS[#All],4)</f>
        <v xml:space="preserve">Libro Paleta Magica de colores (12 Posters con acuarelas en cada pagina) </v>
      </c>
      <c r="E692" s="6" t="str">
        <f>VLOOKUP(TABLA_STOCK[Codigo],LISTADO_PRODUCTOS[#All],5)</f>
        <v>N/A</v>
      </c>
      <c r="F692" s="4">
        <v>10</v>
      </c>
      <c r="G692" s="4">
        <v>52</v>
      </c>
    </row>
    <row r="693" spans="1:7" x14ac:dyDescent="0.3">
      <c r="A693" s="4">
        <v>6105</v>
      </c>
      <c r="B693" s="4">
        <f>VLOOKUP(TABLA_STOCK[Codigo],LISTADO_PRODUCTOS[#All],2)</f>
        <v>54864</v>
      </c>
      <c r="C693" s="6" t="str">
        <f>VLOOKUP(TABLA_STOCK[Codigo],LISTADO_PRODUCTOS[#All],3)</f>
        <v>LIBROS</v>
      </c>
      <c r="D693" s="6" t="str">
        <f>VLOOKUP(TABLA_STOCK[Codigo],LISTADO_PRODUCTOS[#All],4)</f>
        <v>Largo petalo de mar- Isabel Allende</v>
      </c>
      <c r="E693" s="6" t="str">
        <f>VLOOKUP(TABLA_STOCK[Codigo],LISTADO_PRODUCTOS[#All],5)</f>
        <v>N/A</v>
      </c>
      <c r="F693" s="4">
        <v>20</v>
      </c>
      <c r="G693" s="4">
        <v>32</v>
      </c>
    </row>
    <row r="694" spans="1:7" x14ac:dyDescent="0.3">
      <c r="A694" s="4">
        <v>6106</v>
      </c>
      <c r="B694" s="4">
        <f>VLOOKUP(TABLA_STOCK[Codigo],LISTADO_PRODUCTOS[#All],2)</f>
        <v>54865</v>
      </c>
      <c r="C694" s="6" t="str">
        <f>VLOOKUP(TABLA_STOCK[Codigo],LISTADO_PRODUCTOS[#All],3)</f>
        <v>LIBROS</v>
      </c>
      <c r="D694" s="6" t="str">
        <f>VLOOKUP(TABLA_STOCK[Codigo],LISTADO_PRODUCTOS[#All],4)</f>
        <v>Las neuronas de dios de Diego Golombek</v>
      </c>
      <c r="E694" s="6" t="str">
        <f>VLOOKUP(TABLA_STOCK[Codigo],LISTADO_PRODUCTOS[#All],5)</f>
        <v>N/A</v>
      </c>
      <c r="F694" s="4">
        <v>5</v>
      </c>
      <c r="G694" s="4">
        <v>56</v>
      </c>
    </row>
    <row r="695" spans="1:7" x14ac:dyDescent="0.3">
      <c r="A695" s="4">
        <v>6107</v>
      </c>
      <c r="B695" s="4">
        <f>VLOOKUP(TABLA_STOCK[Codigo],LISTADO_PRODUCTOS[#All],2)</f>
        <v>54866</v>
      </c>
      <c r="C695" s="6" t="str">
        <f>VLOOKUP(TABLA_STOCK[Codigo],LISTADO_PRODUCTOS[#All],3)</f>
        <v>LIBROS</v>
      </c>
      <c r="D695" s="6" t="str">
        <f>VLOOKUP(TABLA_STOCK[Codigo],LISTADO_PRODUCTOS[#All],4)</f>
        <v>Cruzar la noche de Alicia Barberis</v>
      </c>
      <c r="E695" s="6" t="str">
        <f>VLOOKUP(TABLA_STOCK[Codigo],LISTADO_PRODUCTOS[#All],5)</f>
        <v>N/A</v>
      </c>
      <c r="F695" s="4">
        <v>1</v>
      </c>
      <c r="G695" s="4">
        <v>107</v>
      </c>
    </row>
    <row r="696" spans="1:7" x14ac:dyDescent="0.3">
      <c r="A696" s="4">
        <v>6108</v>
      </c>
      <c r="B696" s="4">
        <f>VLOOKUP(TABLA_STOCK[Codigo],LISTADO_PRODUCTOS[#All],2)</f>
        <v>54867</v>
      </c>
      <c r="C696" s="6" t="str">
        <f>VLOOKUP(TABLA_STOCK[Codigo],LISTADO_PRODUCTOS[#All],3)</f>
        <v>LIBROS</v>
      </c>
      <c r="D696" s="6" t="str">
        <f>VLOOKUP(TABLA_STOCK[Codigo],LISTADO_PRODUCTOS[#All],4)</f>
        <v>Una caza de secretos de paula bombara</v>
      </c>
      <c r="E696" s="6" t="str">
        <f>VLOOKUP(TABLA_STOCK[Codigo],LISTADO_PRODUCTOS[#All],5)</f>
        <v>N/A</v>
      </c>
      <c r="F696" s="4">
        <v>5</v>
      </c>
      <c r="G696" s="4">
        <v>25</v>
      </c>
    </row>
    <row r="697" spans="1:7" x14ac:dyDescent="0.3">
      <c r="A697" s="4">
        <v>6109</v>
      </c>
      <c r="B697" s="4">
        <f>VLOOKUP(TABLA_STOCK[Codigo],LISTADO_PRODUCTOS[#All],2)</f>
        <v>54868</v>
      </c>
      <c r="C697" s="6" t="str">
        <f>VLOOKUP(TABLA_STOCK[Codigo],LISTADO_PRODUCTOS[#All],3)</f>
        <v>LIBROS</v>
      </c>
      <c r="D697" s="6" t="str">
        <f>VLOOKUP(TABLA_STOCK[Codigo],LISTADO_PRODUCTOS[#All],4)</f>
        <v>Cuando me muera quiero que me toquen cumbia de cristian alarcon</v>
      </c>
      <c r="E697" s="6" t="str">
        <f>VLOOKUP(TABLA_STOCK[Codigo],LISTADO_PRODUCTOS[#All],5)</f>
        <v>N/A</v>
      </c>
      <c r="F697" s="4">
        <v>2</v>
      </c>
      <c r="G697" s="4">
        <v>32</v>
      </c>
    </row>
    <row r="698" spans="1:7" x14ac:dyDescent="0.3">
      <c r="A698" s="4">
        <v>6110</v>
      </c>
      <c r="B698" s="4">
        <f>VLOOKUP(TABLA_STOCK[Codigo],LISTADO_PRODUCTOS[#All],2)</f>
        <v>54869</v>
      </c>
      <c r="C698" s="6" t="str">
        <f>VLOOKUP(TABLA_STOCK[Codigo],LISTADO_PRODUCTOS[#All],3)</f>
        <v>LIBROS</v>
      </c>
      <c r="D698" s="6" t="str">
        <f>VLOOKUP(TABLA_STOCK[Codigo],LISTADO_PRODUCTOS[#All],4)</f>
        <v>La chica pajaro de paula bombara</v>
      </c>
      <c r="E698" s="6" t="str">
        <f>VLOOKUP(TABLA_STOCK[Codigo],LISTADO_PRODUCTOS[#All],5)</f>
        <v>N/A</v>
      </c>
      <c r="F698" s="4">
        <v>2</v>
      </c>
      <c r="G698" s="4">
        <v>150</v>
      </c>
    </row>
    <row r="699" spans="1:7" x14ac:dyDescent="0.3">
      <c r="A699" s="4">
        <v>6149</v>
      </c>
      <c r="B699" s="4">
        <f>VLOOKUP(TABLA_STOCK[Codigo],LISTADO_PRODUCTOS[#All],2)</f>
        <v>54870</v>
      </c>
      <c r="C699" s="6" t="str">
        <f>VLOOKUP(TABLA_STOCK[Codigo],LISTADO_PRODUCTOS[#All],3)</f>
        <v>LIBROS</v>
      </c>
      <c r="D699" s="6" t="str">
        <f>VLOOKUP(TABLA_STOCK[Codigo],LISTADO_PRODUCTOS[#All],4)</f>
        <v>Libritos Mandalitas Ed. Betina</v>
      </c>
      <c r="E699" s="6" t="str">
        <f>VLOOKUP(TABLA_STOCK[Codigo],LISTADO_PRODUCTOS[#All],5)</f>
        <v>N/A</v>
      </c>
      <c r="F699" s="4">
        <v>10</v>
      </c>
      <c r="G699" s="4">
        <v>20</v>
      </c>
    </row>
    <row r="700" spans="1:7" x14ac:dyDescent="0.3">
      <c r="A700" s="4">
        <v>6165</v>
      </c>
      <c r="B700" s="4">
        <f>VLOOKUP(TABLA_STOCK[Codigo],LISTADO_PRODUCTOS[#All],2)</f>
        <v>54871</v>
      </c>
      <c r="C700" s="6" t="str">
        <f>VLOOKUP(TABLA_STOCK[Codigo],LISTADO_PRODUCTOS[#All],3)</f>
        <v>LIBROS</v>
      </c>
      <c r="D700" s="6" t="str">
        <f>VLOOKUP(TABLA_STOCK[Codigo],LISTADO_PRODUCTOS[#All],4)</f>
        <v>El Retrato de Doria Grey</v>
      </c>
      <c r="E700" s="6" t="str">
        <f>VLOOKUP(TABLA_STOCK[Codigo],LISTADO_PRODUCTOS[#All],5)</f>
        <v>N/A</v>
      </c>
      <c r="F700" s="4">
        <v>20</v>
      </c>
      <c r="G700" s="4">
        <v>19</v>
      </c>
    </row>
    <row r="701" spans="1:7" x14ac:dyDescent="0.3">
      <c r="A701" s="4">
        <v>6166</v>
      </c>
      <c r="B701" s="4">
        <f>VLOOKUP(TABLA_STOCK[Codigo],LISTADO_PRODUCTOS[#All],2)</f>
        <v>54872</v>
      </c>
      <c r="C701" s="6" t="str">
        <f>VLOOKUP(TABLA_STOCK[Codigo],LISTADO_PRODUCTOS[#All],3)</f>
        <v>LIBROS</v>
      </c>
      <c r="D701" s="6" t="str">
        <f>VLOOKUP(TABLA_STOCK[Codigo],LISTADO_PRODUCTOS[#All],4)</f>
        <v>La Gitanilla</v>
      </c>
      <c r="E701" s="6" t="str">
        <f>VLOOKUP(TABLA_STOCK[Codigo],LISTADO_PRODUCTOS[#All],5)</f>
        <v>N/A</v>
      </c>
      <c r="F701" s="4">
        <v>5</v>
      </c>
      <c r="G701" s="4">
        <v>6</v>
      </c>
    </row>
    <row r="702" spans="1:7" x14ac:dyDescent="0.3">
      <c r="A702" s="4">
        <v>6167</v>
      </c>
      <c r="B702" s="4">
        <f>VLOOKUP(TABLA_STOCK[Codigo],LISTADO_PRODUCTOS[#All],2)</f>
        <v>54873</v>
      </c>
      <c r="C702" s="6" t="str">
        <f>VLOOKUP(TABLA_STOCK[Codigo],LISTADO_PRODUCTOS[#All],3)</f>
        <v>LIBROS</v>
      </c>
      <c r="D702" s="6" t="str">
        <f>VLOOKUP(TABLA_STOCK[Codigo],LISTADO_PRODUCTOS[#All],4)</f>
        <v>La Isla del Tesoro</v>
      </c>
      <c r="E702" s="6" t="str">
        <f>VLOOKUP(TABLA_STOCK[Codigo],LISTADO_PRODUCTOS[#All],5)</f>
        <v>N/A</v>
      </c>
      <c r="F702" s="4">
        <v>1</v>
      </c>
      <c r="G702" s="4">
        <v>5</v>
      </c>
    </row>
    <row r="703" spans="1:7" x14ac:dyDescent="0.3">
      <c r="A703" s="4">
        <v>6180</v>
      </c>
      <c r="B703" s="4">
        <f>VLOOKUP(TABLA_STOCK[Codigo],LISTADO_PRODUCTOS[#All],2)</f>
        <v>54874</v>
      </c>
      <c r="C703" s="6" t="str">
        <f>VLOOKUP(TABLA_STOCK[Codigo],LISTADO_PRODUCTOS[#All],3)</f>
        <v>LIBROS</v>
      </c>
      <c r="D703" s="6" t="str">
        <f>VLOOKUP(TABLA_STOCK[Codigo],LISTADO_PRODUCTOS[#All],4)</f>
        <v>Diccionario de sinonimos y antonimos Estrada</v>
      </c>
      <c r="E703" s="6" t="str">
        <f>VLOOKUP(TABLA_STOCK[Codigo],LISTADO_PRODUCTOS[#All],5)</f>
        <v>N/A</v>
      </c>
      <c r="F703" s="4">
        <v>5</v>
      </c>
      <c r="G703" s="4">
        <v>52</v>
      </c>
    </row>
    <row r="704" spans="1:7" x14ac:dyDescent="0.3">
      <c r="A704" s="4">
        <v>6185</v>
      </c>
      <c r="B704" s="4">
        <f>VLOOKUP(TABLA_STOCK[Codigo],LISTADO_PRODUCTOS[#All],2)</f>
        <v>54875</v>
      </c>
      <c r="C704" s="6" t="str">
        <f>VLOOKUP(TABLA_STOCK[Codigo],LISTADO_PRODUCTOS[#All],3)</f>
        <v>LIBROS</v>
      </c>
      <c r="D704" s="6" t="str">
        <f>VLOOKUP(TABLA_STOCK[Codigo],LISTADO_PRODUCTOS[#All],4)</f>
        <v>Juega y Colorea (Libro para pintar+ Stikers + crayones)</v>
      </c>
      <c r="E704" s="6" t="str">
        <f>VLOOKUP(TABLA_STOCK[Codigo],LISTADO_PRODUCTOS[#All],5)</f>
        <v>N/A</v>
      </c>
      <c r="F704" s="4">
        <v>2</v>
      </c>
      <c r="G704" s="4">
        <v>32</v>
      </c>
    </row>
    <row r="705" spans="1:7" x14ac:dyDescent="0.3">
      <c r="A705" s="4">
        <v>6187</v>
      </c>
      <c r="B705" s="4">
        <f>VLOOKUP(TABLA_STOCK[Codigo],LISTADO_PRODUCTOS[#All],2)</f>
        <v>54876</v>
      </c>
      <c r="C705" s="6" t="str">
        <f>VLOOKUP(TABLA_STOCK[Codigo],LISTADO_PRODUCTOS[#All],3)</f>
        <v>LIBROS</v>
      </c>
      <c r="D705" s="6" t="str">
        <f>VLOOKUP(TABLA_STOCK[Codigo],LISTADO_PRODUCTOS[#All],4)</f>
        <v>Mamá gracias por tu amor VyR</v>
      </c>
      <c r="E705" s="6" t="str">
        <f>VLOOKUP(TABLA_STOCK[Codigo],LISTADO_PRODUCTOS[#All],5)</f>
        <v>N/A</v>
      </c>
      <c r="F705" s="4">
        <v>10</v>
      </c>
      <c r="G705" s="4">
        <v>56</v>
      </c>
    </row>
    <row r="706" spans="1:7" x14ac:dyDescent="0.3">
      <c r="A706" s="4">
        <v>6190</v>
      </c>
      <c r="B706" s="4">
        <f>VLOOKUP(TABLA_STOCK[Codigo],LISTADO_PRODUCTOS[#All],2)</f>
        <v>54877</v>
      </c>
      <c r="C706" s="6" t="str">
        <f>VLOOKUP(TABLA_STOCK[Codigo],LISTADO_PRODUCTOS[#All],3)</f>
        <v>LIBROS</v>
      </c>
      <c r="D706" s="6" t="str">
        <f>VLOOKUP(TABLA_STOCK[Codigo],LISTADO_PRODUCTOS[#All],4)</f>
        <v>Premio a la mejor Madre VyR</v>
      </c>
      <c r="E706" s="6" t="str">
        <f>VLOOKUP(TABLA_STOCK[Codigo],LISTADO_PRODUCTOS[#All],5)</f>
        <v>N/A</v>
      </c>
      <c r="F706" s="4">
        <v>20</v>
      </c>
      <c r="G706" s="4">
        <v>107</v>
      </c>
    </row>
    <row r="707" spans="1:7" x14ac:dyDescent="0.3">
      <c r="A707" s="4">
        <v>6191</v>
      </c>
      <c r="B707" s="4">
        <f>VLOOKUP(TABLA_STOCK[Codigo],LISTADO_PRODUCTOS[#All],2)</f>
        <v>54878</v>
      </c>
      <c r="C707" s="6" t="str">
        <f>VLOOKUP(TABLA_STOCK[Codigo],LISTADO_PRODUCTOS[#All],3)</f>
        <v>LIBROS</v>
      </c>
      <c r="D707" s="6" t="str">
        <f>VLOOKUP(TABLA_STOCK[Codigo],LISTADO_PRODUCTOS[#All],4)</f>
        <v>Querida Mama VyR</v>
      </c>
      <c r="E707" s="6" t="str">
        <f>VLOOKUP(TABLA_STOCK[Codigo],LISTADO_PRODUCTOS[#All],5)</f>
        <v>N/A</v>
      </c>
      <c r="F707" s="4">
        <v>5</v>
      </c>
      <c r="G707" s="4">
        <v>25</v>
      </c>
    </row>
    <row r="708" spans="1:7" x14ac:dyDescent="0.3">
      <c r="A708" s="4">
        <v>6193</v>
      </c>
      <c r="B708" s="4">
        <f>VLOOKUP(TABLA_STOCK[Codigo],LISTADO_PRODUCTOS[#All],2)</f>
        <v>54879</v>
      </c>
      <c r="C708" s="6" t="str">
        <f>VLOOKUP(TABLA_STOCK[Codigo],LISTADO_PRODUCTOS[#All],3)</f>
        <v>LIBROS</v>
      </c>
      <c r="D708" s="6" t="str">
        <f>VLOOKUP(TABLA_STOCK[Codigo],LISTADO_PRODUCTOS[#All],4)</f>
        <v>cuento uno y cuento dos</v>
      </c>
      <c r="E708" s="6" t="str">
        <f>VLOOKUP(TABLA_STOCK[Codigo],LISTADO_PRODUCTOS[#All],5)</f>
        <v>N/A</v>
      </c>
      <c r="F708" s="4">
        <v>1</v>
      </c>
      <c r="G708" s="4">
        <v>32</v>
      </c>
    </row>
    <row r="709" spans="1:7" x14ac:dyDescent="0.3">
      <c r="A709" s="4">
        <v>6209</v>
      </c>
      <c r="B709" s="4">
        <f>VLOOKUP(TABLA_STOCK[Codigo],LISTADO_PRODUCTOS[#All],2)</f>
        <v>54880</v>
      </c>
      <c r="C709" s="6" t="str">
        <f>VLOOKUP(TABLA_STOCK[Codigo],LISTADO_PRODUCTOS[#All],3)</f>
        <v>LIBROS</v>
      </c>
      <c r="D709" s="6" t="str">
        <f>VLOOKUP(TABLA_STOCK[Codigo],LISTADO_PRODUCTOS[#All],4)</f>
        <v>Libro Biblia para niños de Giuseppino de Roma</v>
      </c>
      <c r="E709" s="6" t="str">
        <f>VLOOKUP(TABLA_STOCK[Codigo],LISTADO_PRODUCTOS[#All],5)</f>
        <v>N/A</v>
      </c>
      <c r="F709" s="4">
        <v>5</v>
      </c>
      <c r="G709" s="4">
        <v>150</v>
      </c>
    </row>
    <row r="710" spans="1:7" x14ac:dyDescent="0.3">
      <c r="A710" s="4">
        <v>6220</v>
      </c>
      <c r="B710" s="4">
        <f>VLOOKUP(TABLA_STOCK[Codigo],LISTADO_PRODUCTOS[#All],2)</f>
        <v>54881</v>
      </c>
      <c r="C710" s="6" t="str">
        <f>VLOOKUP(TABLA_STOCK[Codigo],LISTADO_PRODUCTOS[#All],3)</f>
        <v>LIBROS</v>
      </c>
      <c r="D710" s="6" t="str">
        <f>VLOOKUP(TABLA_STOCK[Codigo],LISTADO_PRODUCTOS[#All],4)</f>
        <v>Diccionario escolar Rivadavia</v>
      </c>
      <c r="E710" s="6" t="str">
        <f>VLOOKUP(TABLA_STOCK[Codigo],LISTADO_PRODUCTOS[#All],5)</f>
        <v>N/A</v>
      </c>
      <c r="F710" s="4">
        <v>2</v>
      </c>
      <c r="G710" s="4">
        <v>20</v>
      </c>
    </row>
    <row r="711" spans="1:7" x14ac:dyDescent="0.3">
      <c r="A711" s="4">
        <v>6226</v>
      </c>
      <c r="B711" s="4">
        <f>VLOOKUP(TABLA_STOCK[Codigo],LISTADO_PRODUCTOS[#All],2)</f>
        <v>54882</v>
      </c>
      <c r="C711" s="6" t="str">
        <f>VLOOKUP(TABLA_STOCK[Codigo],LISTADO_PRODUCTOS[#All],3)</f>
        <v>LIBROS</v>
      </c>
      <c r="D711" s="6" t="str">
        <f>VLOOKUP(TABLA_STOCK[Codigo],LISTADO_PRODUCTOS[#All],4)</f>
        <v>Stiker grande</v>
      </c>
      <c r="E711" s="6" t="str">
        <f>VLOOKUP(TABLA_STOCK[Codigo],LISTADO_PRODUCTOS[#All],5)</f>
        <v>N/A</v>
      </c>
      <c r="F711" s="4">
        <v>2</v>
      </c>
      <c r="G711" s="4">
        <v>19</v>
      </c>
    </row>
    <row r="712" spans="1:7" x14ac:dyDescent="0.3">
      <c r="A712" s="4">
        <v>6235</v>
      </c>
      <c r="B712" s="4">
        <f>VLOOKUP(TABLA_STOCK[Codigo],LISTADO_PRODUCTOS[#All],2)</f>
        <v>54883</v>
      </c>
      <c r="C712" s="6" t="str">
        <f>VLOOKUP(TABLA_STOCK[Codigo],LISTADO_PRODUCTOS[#All],3)</f>
        <v>LIBROS</v>
      </c>
      <c r="D712" s="6" t="str">
        <f>VLOOKUP(TABLA_STOCK[Codigo],LISTADO_PRODUCTOS[#All],4)</f>
        <v>DESAPARECIDA de Gabriel Barnes</v>
      </c>
      <c r="E712" s="6" t="str">
        <f>VLOOKUP(TABLA_STOCK[Codigo],LISTADO_PRODUCTOS[#All],5)</f>
        <v>N/A</v>
      </c>
      <c r="F712" s="4">
        <v>10</v>
      </c>
      <c r="G712" s="4">
        <v>6</v>
      </c>
    </row>
    <row r="713" spans="1:7" x14ac:dyDescent="0.3">
      <c r="A713" s="4">
        <v>6240</v>
      </c>
      <c r="B713" s="4">
        <f>VLOOKUP(TABLA_STOCK[Codigo],LISTADO_PRODUCTOS[#All],2)</f>
        <v>54884</v>
      </c>
      <c r="C713" s="6" t="str">
        <f>VLOOKUP(TABLA_STOCK[Codigo],LISTADO_PRODUCTOS[#All],3)</f>
        <v>LIBROS</v>
      </c>
      <c r="D713" s="6" t="str">
        <f>VLOOKUP(TABLA_STOCK[Codigo],LISTADO_PRODUCTOS[#All],4)</f>
        <v>PROHIBIDO SOÑAR Carlos Marianidis</v>
      </c>
      <c r="E713" s="6" t="str">
        <f>VLOOKUP(TABLA_STOCK[Codigo],LISTADO_PRODUCTOS[#All],5)</f>
        <v>N/A</v>
      </c>
      <c r="F713" s="4">
        <v>20</v>
      </c>
      <c r="G713" s="4">
        <v>5</v>
      </c>
    </row>
    <row r="714" spans="1:7" x14ac:dyDescent="0.3">
      <c r="A714" s="4">
        <v>6251</v>
      </c>
      <c r="B714" s="4">
        <f>VLOOKUP(TABLA_STOCK[Codigo],LISTADO_PRODUCTOS[#All],2)</f>
        <v>54885</v>
      </c>
      <c r="C714" s="6" t="str">
        <f>VLOOKUP(TABLA_STOCK[Codigo],LISTADO_PRODUCTOS[#All],3)</f>
        <v>LIBROS</v>
      </c>
      <c r="D714" s="6" t="str">
        <f>VLOOKUP(TABLA_STOCK[Codigo],LISTADO_PRODUCTOS[#All],4)</f>
        <v>QUIEN SE ANIMA A BAJAR AL SOTANO</v>
      </c>
      <c r="E714" s="6" t="str">
        <f>VLOOKUP(TABLA_STOCK[Codigo],LISTADO_PRODUCTOS[#All],5)</f>
        <v>N/A</v>
      </c>
      <c r="F714" s="4">
        <v>5</v>
      </c>
      <c r="G714" s="4">
        <v>52</v>
      </c>
    </row>
    <row r="715" spans="1:7" x14ac:dyDescent="0.3">
      <c r="A715" s="4">
        <v>6257</v>
      </c>
      <c r="B715" s="4">
        <f>VLOOKUP(TABLA_STOCK[Codigo],LISTADO_PRODUCTOS[#All],2)</f>
        <v>54886</v>
      </c>
      <c r="C715" s="6" t="str">
        <f>VLOOKUP(TABLA_STOCK[Codigo],LISTADO_PRODUCTOS[#All],3)</f>
        <v>LIBROS</v>
      </c>
      <c r="D715" s="6" t="str">
        <f>VLOOKUP(TABLA_STOCK[Codigo],LISTADO_PRODUCTOS[#All],4)</f>
        <v>LA PUERTA SECRETA</v>
      </c>
      <c r="E715" s="6" t="str">
        <f>VLOOKUP(TABLA_STOCK[Codigo],LISTADO_PRODUCTOS[#All],5)</f>
        <v>N/A</v>
      </c>
      <c r="F715" s="4">
        <v>1</v>
      </c>
      <c r="G715" s="4">
        <v>32</v>
      </c>
    </row>
    <row r="716" spans="1:7" x14ac:dyDescent="0.3">
      <c r="A716" s="4">
        <v>6268</v>
      </c>
      <c r="B716" s="4">
        <f>VLOOKUP(TABLA_STOCK[Codigo],LISTADO_PRODUCTOS[#All],2)</f>
        <v>54887</v>
      </c>
      <c r="C716" s="6" t="str">
        <f>VLOOKUP(TABLA_STOCK[Codigo],LISTADO_PRODUCTOS[#All],3)</f>
        <v>LIBROS</v>
      </c>
      <c r="D716" s="6" t="str">
        <f>VLOOKUP(TABLA_STOCK[Codigo],LISTADO_PRODUCTOS[#All],4)</f>
        <v>LA FAMA ES PURO CUENTO</v>
      </c>
      <c r="E716" s="6" t="str">
        <f>VLOOKUP(TABLA_STOCK[Codigo],LISTADO_PRODUCTOS[#All],5)</f>
        <v>N/A</v>
      </c>
      <c r="F716" s="4">
        <v>5</v>
      </c>
      <c r="G716" s="4">
        <v>56</v>
      </c>
    </row>
    <row r="717" spans="1:7" x14ac:dyDescent="0.3">
      <c r="A717" s="4">
        <v>6272</v>
      </c>
      <c r="B717" s="4">
        <f>VLOOKUP(TABLA_STOCK[Codigo],LISTADO_PRODUCTOS[#All],2)</f>
        <v>54888</v>
      </c>
      <c r="C717" s="6" t="str">
        <f>VLOOKUP(TABLA_STOCK[Codigo],LISTADO_PRODUCTOS[#All],3)</f>
        <v>LIBROS</v>
      </c>
      <c r="D717" s="6" t="str">
        <f>VLOOKUP(TABLA_STOCK[Codigo],LISTADO_PRODUCTOS[#All],4)</f>
        <v>Elegi el nombre para tu bebe</v>
      </c>
      <c r="E717" s="6" t="str">
        <f>VLOOKUP(TABLA_STOCK[Codigo],LISTADO_PRODUCTOS[#All],5)</f>
        <v>N/A</v>
      </c>
      <c r="F717" s="4">
        <v>2</v>
      </c>
      <c r="G717" s="4">
        <v>107</v>
      </c>
    </row>
    <row r="718" spans="1:7" x14ac:dyDescent="0.3">
      <c r="A718" s="4">
        <v>6274</v>
      </c>
      <c r="B718" s="4">
        <f>VLOOKUP(TABLA_STOCK[Codigo],LISTADO_PRODUCTOS[#All],2)</f>
        <v>54889</v>
      </c>
      <c r="C718" s="6" t="str">
        <f>VLOOKUP(TABLA_STOCK[Codigo],LISTADO_PRODUCTOS[#All],3)</f>
        <v>LIBROS</v>
      </c>
      <c r="D718" s="6" t="str">
        <f>VLOOKUP(TABLA_STOCK[Codigo],LISTADO_PRODUCTOS[#All],4)</f>
        <v>Libro Busca y Encuentra</v>
      </c>
      <c r="E718" s="6" t="str">
        <f>VLOOKUP(TABLA_STOCK[Codigo],LISTADO_PRODUCTOS[#All],5)</f>
        <v>N/A</v>
      </c>
      <c r="F718" s="4">
        <v>2</v>
      </c>
      <c r="G718" s="4">
        <v>25</v>
      </c>
    </row>
    <row r="719" spans="1:7" x14ac:dyDescent="0.3">
      <c r="A719" s="4">
        <v>6286</v>
      </c>
      <c r="B719" s="4">
        <f>VLOOKUP(TABLA_STOCK[Codigo],LISTADO_PRODUCTOS[#All],2)</f>
        <v>54890</v>
      </c>
      <c r="C719" s="6" t="str">
        <f>VLOOKUP(TABLA_STOCK[Codigo],LISTADO_PRODUCTOS[#All],3)</f>
        <v>LIBROS</v>
      </c>
      <c r="D719" s="6" t="str">
        <f>VLOOKUP(TABLA_STOCK[Codigo],LISTADO_PRODUCTOS[#All],4)</f>
        <v>Libro colección bilingüe latinbooks Toco y aprendo colección x 4</v>
      </c>
      <c r="E719" s="6" t="str">
        <f>VLOOKUP(TABLA_STOCK[Codigo],LISTADO_PRODUCTOS[#All],5)</f>
        <v>N/A</v>
      </c>
      <c r="F719" s="4">
        <v>10</v>
      </c>
      <c r="G719" s="4">
        <v>32</v>
      </c>
    </row>
    <row r="720" spans="1:7" x14ac:dyDescent="0.3">
      <c r="A720" s="4">
        <v>6290</v>
      </c>
      <c r="B720" s="4">
        <f>VLOOKUP(TABLA_STOCK[Codigo],LISTADO_PRODUCTOS[#All],2)</f>
        <v>54891</v>
      </c>
      <c r="C720" s="6" t="str">
        <f>VLOOKUP(TABLA_STOCK[Codigo],LISTADO_PRODUCTOS[#All],3)</f>
        <v>LIBROS</v>
      </c>
      <c r="D720" s="6" t="str">
        <f>VLOOKUP(TABLA_STOCK[Codigo],LISTADO_PRODUCTOS[#All],4)</f>
        <v>Cuerpos que importan de Judith Butler</v>
      </c>
      <c r="E720" s="6" t="str">
        <f>VLOOKUP(TABLA_STOCK[Codigo],LISTADO_PRODUCTOS[#All],5)</f>
        <v>N/A</v>
      </c>
      <c r="F720" s="4">
        <v>20</v>
      </c>
      <c r="G720" s="4">
        <v>150</v>
      </c>
    </row>
    <row r="721" spans="1:7" x14ac:dyDescent="0.3">
      <c r="A721" s="4">
        <v>7001</v>
      </c>
      <c r="B721" s="4">
        <f>VLOOKUP(TABLA_STOCK[Codigo],LISTADO_PRODUCTOS[#All],2)</f>
        <v>54892</v>
      </c>
      <c r="C721" s="6" t="str">
        <f>VLOOKUP(TABLA_STOCK[Codigo],LISTADO_PRODUCTOS[#All],3)</f>
        <v>REGALERIA</v>
      </c>
      <c r="D721" s="6" t="str">
        <f>VLOOKUP(TABLA_STOCK[Codigo],LISTADO_PRODUCTOS[#All],4)</f>
        <v>Cuaderno FW Travel Journal Colección Feel Cuero Buffalo</v>
      </c>
      <c r="E721" s="6" t="str">
        <f>VLOOKUP(TABLA_STOCK[Codigo],LISTADO_PRODUCTOS[#All],5)</f>
        <v>N/A</v>
      </c>
      <c r="F721" s="4">
        <v>5</v>
      </c>
      <c r="G721" s="4">
        <v>20</v>
      </c>
    </row>
    <row r="722" spans="1:7" x14ac:dyDescent="0.3">
      <c r="A722" s="4">
        <v>7002</v>
      </c>
      <c r="B722" s="4">
        <f>VLOOKUP(TABLA_STOCK[Codigo],LISTADO_PRODUCTOS[#All],2)</f>
        <v>54893</v>
      </c>
      <c r="C722" s="6" t="str">
        <f>VLOOKUP(TABLA_STOCK[Codigo],LISTADO_PRODUCTOS[#All],3)</f>
        <v>REGALERIA</v>
      </c>
      <c r="D722" s="6" t="str">
        <f>VLOOKUP(TABLA_STOCK[Codigo],LISTADO_PRODUCTOS[#All],4)</f>
        <v>Cuaderno FW Sketch Book Colección Feel Tela Texturada</v>
      </c>
      <c r="E722" s="6" t="str">
        <f>VLOOKUP(TABLA_STOCK[Codigo],LISTADO_PRODUCTOS[#All],5)</f>
        <v>N/A</v>
      </c>
      <c r="F722" s="4">
        <v>1</v>
      </c>
      <c r="G722" s="4">
        <v>19</v>
      </c>
    </row>
    <row r="723" spans="1:7" x14ac:dyDescent="0.3">
      <c r="A723" s="4">
        <v>7003</v>
      </c>
      <c r="B723" s="4">
        <f>VLOOKUP(TABLA_STOCK[Codigo],LISTADO_PRODUCTOS[#All],2)</f>
        <v>54894</v>
      </c>
      <c r="C723" s="6" t="str">
        <f>VLOOKUP(TABLA_STOCK[Codigo],LISTADO_PRODUCTOS[#All],3)</f>
        <v>REGALERIA</v>
      </c>
      <c r="D723" s="6" t="str">
        <f>VLOOKUP(TABLA_STOCK[Codigo],LISTADO_PRODUCTOS[#All],4)</f>
        <v>Cuaderno Fw Love Journal Feel Tela Satinada</v>
      </c>
      <c r="E723" s="6" t="str">
        <f>VLOOKUP(TABLA_STOCK[Codigo],LISTADO_PRODUCTOS[#All],5)</f>
        <v>N/A</v>
      </c>
      <c r="F723" s="4">
        <v>5</v>
      </c>
      <c r="G723" s="4">
        <v>6</v>
      </c>
    </row>
    <row r="724" spans="1:7" x14ac:dyDescent="0.3">
      <c r="A724" s="4">
        <v>7004</v>
      </c>
      <c r="B724" s="4">
        <f>VLOOKUP(TABLA_STOCK[Codigo],LISTADO_PRODUCTOS[#All],2)</f>
        <v>54895</v>
      </c>
      <c r="C724" s="6" t="str">
        <f>VLOOKUP(TABLA_STOCK[Codigo],LISTADO_PRODUCTOS[#All],3)</f>
        <v>REGALERIA</v>
      </c>
      <c r="D724" s="6" t="str">
        <f>VLOOKUP(TABLA_STOCK[Codigo],LISTADO_PRODUCTOS[#All],4)</f>
        <v>Cuaderno Onix 16.21 anillado 120h T/C</v>
      </c>
      <c r="E724" s="6" t="str">
        <f>VLOOKUP(TABLA_STOCK[Codigo],LISTADO_PRODUCTOS[#All],5)</f>
        <v>N/A</v>
      </c>
      <c r="F724" s="4">
        <v>2</v>
      </c>
      <c r="G724" s="4">
        <v>5</v>
      </c>
    </row>
    <row r="725" spans="1:7" x14ac:dyDescent="0.3">
      <c r="A725" s="4">
        <v>7005</v>
      </c>
      <c r="B725" s="4">
        <f>VLOOKUP(TABLA_STOCK[Codigo],LISTADO_PRODUCTOS[#All],2)</f>
        <v>54896</v>
      </c>
      <c r="C725" s="6" t="str">
        <f>VLOOKUP(TABLA_STOCK[Codigo],LISTADO_PRODUCTOS[#All],3)</f>
        <v>REGALERIA</v>
      </c>
      <c r="D725" s="6" t="str">
        <f>VLOOKUP(TABLA_STOCK[Codigo],LISTADO_PRODUCTOS[#All],4)</f>
        <v>Cuaderno Onix 16.21 anillado 96hs T/C Hojas decoradas</v>
      </c>
      <c r="E725" s="6" t="str">
        <f>VLOOKUP(TABLA_STOCK[Codigo],LISTADO_PRODUCTOS[#All],5)</f>
        <v>N/A</v>
      </c>
      <c r="F725" s="4">
        <v>2</v>
      </c>
      <c r="G725" s="4">
        <v>52</v>
      </c>
    </row>
    <row r="726" spans="1:7" x14ac:dyDescent="0.3">
      <c r="A726" s="4">
        <v>7006</v>
      </c>
      <c r="B726" s="4">
        <f>VLOOKUP(TABLA_STOCK[Codigo],LISTADO_PRODUCTOS[#All],2)</f>
        <v>54897</v>
      </c>
      <c r="C726" s="6" t="str">
        <f>VLOOKUP(TABLA_STOCK[Codigo],LISTADO_PRODUCTOS[#All],3)</f>
        <v>REGALERIA</v>
      </c>
      <c r="D726" s="6" t="str">
        <f>VLOOKUP(TABLA_STOCK[Codigo],LISTADO_PRODUCTOS[#All],4)</f>
        <v>Cuaderno Onix 16.21 anillado 120hs T/C hojas decoradas</v>
      </c>
      <c r="E726" s="6" t="str">
        <f>VLOOKUP(TABLA_STOCK[Codigo],LISTADO_PRODUCTOS[#All],5)</f>
        <v>N/A</v>
      </c>
      <c r="F726" s="4">
        <v>10</v>
      </c>
      <c r="G726" s="4">
        <v>32</v>
      </c>
    </row>
    <row r="727" spans="1:7" x14ac:dyDescent="0.3">
      <c r="A727" s="4">
        <v>7007</v>
      </c>
      <c r="B727" s="4">
        <f>VLOOKUP(TABLA_STOCK[Codigo],LISTADO_PRODUCTOS[#All],2)</f>
        <v>54898</v>
      </c>
      <c r="C727" s="6" t="str">
        <f>VLOOKUP(TABLA_STOCK[Codigo],LISTADO_PRODUCTOS[#All],3)</f>
        <v>REGALERIA</v>
      </c>
      <c r="D727" s="6" t="str">
        <f>VLOOKUP(TABLA_STOCK[Codigo],LISTADO_PRODUCTOS[#All],4)</f>
        <v>Agenda FW 12x17 Diaria Linea Travel Marmol</v>
      </c>
      <c r="E727" s="6" t="str">
        <f>VLOOKUP(TABLA_STOCK[Codigo],LISTADO_PRODUCTOS[#All],5)</f>
        <v>N/A</v>
      </c>
      <c r="F727" s="4">
        <v>20</v>
      </c>
      <c r="G727" s="4">
        <v>56</v>
      </c>
    </row>
    <row r="728" spans="1:7" x14ac:dyDescent="0.3">
      <c r="A728" s="4">
        <v>7008</v>
      </c>
      <c r="B728" s="4">
        <f>VLOOKUP(TABLA_STOCK[Codigo],LISTADO_PRODUCTOS[#All],2)</f>
        <v>54899</v>
      </c>
      <c r="C728" s="6" t="str">
        <f>VLOOKUP(TABLA_STOCK[Codigo],LISTADO_PRODUCTOS[#All],3)</f>
        <v>REGALERIA</v>
      </c>
      <c r="D728" s="6" t="str">
        <f>VLOOKUP(TABLA_STOCK[Codigo],LISTADO_PRODUCTOS[#All],4)</f>
        <v>Agenda 12x17 dos dias x pagina Linea Universo</v>
      </c>
      <c r="E728" s="6" t="str">
        <f>VLOOKUP(TABLA_STOCK[Codigo],LISTADO_PRODUCTOS[#All],5)</f>
        <v>N/A</v>
      </c>
      <c r="F728" s="4">
        <v>5</v>
      </c>
      <c r="G728" s="4">
        <v>107</v>
      </c>
    </row>
    <row r="729" spans="1:7" x14ac:dyDescent="0.3">
      <c r="A729" s="4">
        <v>7009</v>
      </c>
      <c r="B729" s="4">
        <f>VLOOKUP(TABLA_STOCK[Codigo],LISTADO_PRODUCTOS[#All],2)</f>
        <v>54900</v>
      </c>
      <c r="C729" s="6" t="str">
        <f>VLOOKUP(TABLA_STOCK[Codigo],LISTADO_PRODUCTOS[#All],3)</f>
        <v>REGALERIA</v>
      </c>
      <c r="D729" s="6" t="str">
        <f>VLOOKUP(TABLA_STOCK[Codigo],LISTADO_PRODUCTOS[#All],4)</f>
        <v>Agenda Onix Batik 16 x 22 352 paginas 1dia x pag</v>
      </c>
      <c r="E729" s="6" t="str">
        <f>VLOOKUP(TABLA_STOCK[Codigo],LISTADO_PRODUCTOS[#All],5)</f>
        <v>N/A</v>
      </c>
      <c r="F729" s="4">
        <v>1</v>
      </c>
      <c r="G729" s="4">
        <v>25</v>
      </c>
    </row>
    <row r="730" spans="1:7" x14ac:dyDescent="0.3">
      <c r="A730" s="4">
        <v>7071</v>
      </c>
      <c r="B730" s="4">
        <f>VLOOKUP(TABLA_STOCK[Codigo],LISTADO_PRODUCTOS[#All],2)</f>
        <v>54901</v>
      </c>
      <c r="C730" s="6" t="str">
        <f>VLOOKUP(TABLA_STOCK[Codigo],LISTADO_PRODUCTOS[#All],3)</f>
        <v>REGALERIA</v>
      </c>
      <c r="D730" s="6" t="str">
        <f>VLOOKUP(TABLA_STOCK[Codigo],LISTADO_PRODUCTOS[#All],4)</f>
        <v>Cuaderno anillado Bookcel ahuesado Ediciones de la Montaña 80h 80gr</v>
      </c>
      <c r="E730" s="6" t="str">
        <f>VLOOKUP(TABLA_STOCK[Codigo],LISTADO_PRODUCTOS[#All],5)</f>
        <v>N/A</v>
      </c>
      <c r="F730" s="4">
        <v>5</v>
      </c>
      <c r="G730" s="4">
        <v>32</v>
      </c>
    </row>
    <row r="731" spans="1:7" x14ac:dyDescent="0.3">
      <c r="A731" s="4">
        <v>7072</v>
      </c>
      <c r="B731" s="4">
        <f>VLOOKUP(TABLA_STOCK[Codigo],LISTADO_PRODUCTOS[#All],2)</f>
        <v>54902</v>
      </c>
      <c r="C731" s="6" t="str">
        <f>VLOOKUP(TABLA_STOCK[Codigo],LISTADO_PRODUCTOS[#All],3)</f>
        <v>REGALERIA</v>
      </c>
      <c r="D731" s="6" t="str">
        <f>VLOOKUP(TABLA_STOCK[Codigo],LISTADO_PRODUCTOS[#All],4)</f>
        <v>Libreta Ediciones de la Montaña 64 hojas lisas Bookcel ahuesado 80gr</v>
      </c>
      <c r="E731" s="6" t="str">
        <f>VLOOKUP(TABLA_STOCK[Codigo],LISTADO_PRODUCTOS[#All],5)</f>
        <v>N/A</v>
      </c>
      <c r="F731" s="4">
        <v>2</v>
      </c>
      <c r="G731" s="4">
        <v>150</v>
      </c>
    </row>
    <row r="732" spans="1:7" x14ac:dyDescent="0.3">
      <c r="A732" s="4">
        <v>7073</v>
      </c>
      <c r="B732" s="4">
        <f>VLOOKUP(TABLA_STOCK[Codigo],LISTADO_PRODUCTOS[#All],2)</f>
        <v>54903</v>
      </c>
      <c r="C732" s="6" t="str">
        <f>VLOOKUP(TABLA_STOCK[Codigo],LISTADO_PRODUCTOS[#All],3)</f>
        <v>REGALERIA</v>
      </c>
      <c r="D732" s="6" t="str">
        <f>VLOOKUP(TABLA_STOCK[Codigo],LISTADO_PRODUCTOS[#All],4)</f>
        <v>Notepad Block de notas con imán 50h</v>
      </c>
      <c r="E732" s="6" t="str">
        <f>VLOOKUP(TABLA_STOCK[Codigo],LISTADO_PRODUCTOS[#All],5)</f>
        <v>N/A</v>
      </c>
      <c r="F732" s="4">
        <v>10</v>
      </c>
      <c r="G732" s="4">
        <v>20</v>
      </c>
    </row>
    <row r="733" spans="1:7" x14ac:dyDescent="0.3">
      <c r="A733" s="4">
        <v>7075</v>
      </c>
      <c r="B733" s="4">
        <f>VLOOKUP(TABLA_STOCK[Codigo],LISTADO_PRODUCTOS[#All],2)</f>
        <v>54904</v>
      </c>
      <c r="C733" s="6" t="str">
        <f>VLOOKUP(TABLA_STOCK[Codigo],LISTADO_PRODUCTOS[#All],3)</f>
        <v>REGALERIA</v>
      </c>
      <c r="D733" s="6" t="str">
        <f>VLOOKUP(TABLA_STOCK[Codigo],LISTADO_PRODUCTOS[#All],4)</f>
        <v>Libro de recetas y paisajes del sur</v>
      </c>
      <c r="E733" s="6" t="str">
        <f>VLOOKUP(TABLA_STOCK[Codigo],LISTADO_PRODUCTOS[#All],5)</f>
        <v>N/A</v>
      </c>
      <c r="F733" s="4">
        <v>20</v>
      </c>
      <c r="G733" s="4">
        <v>19</v>
      </c>
    </row>
    <row r="734" spans="1:7" x14ac:dyDescent="0.3">
      <c r="A734" s="4">
        <v>7076</v>
      </c>
      <c r="B734" s="4">
        <f>VLOOKUP(TABLA_STOCK[Codigo],LISTADO_PRODUCTOS[#All],2)</f>
        <v>54905</v>
      </c>
      <c r="C734" s="6" t="str">
        <f>VLOOKUP(TABLA_STOCK[Codigo],LISTADO_PRODUCTOS[#All],3)</f>
        <v>REGALERIA</v>
      </c>
      <c r="D734" s="6" t="str">
        <f>VLOOKUP(TABLA_STOCK[Codigo],LISTADO_PRODUCTOS[#All],4)</f>
        <v>Taza de Genko grande</v>
      </c>
      <c r="E734" s="6" t="str">
        <f>VLOOKUP(TABLA_STOCK[Codigo],LISTADO_PRODUCTOS[#All],5)</f>
        <v>N/A</v>
      </c>
      <c r="F734" s="4">
        <v>5</v>
      </c>
      <c r="G734" s="4">
        <v>6</v>
      </c>
    </row>
    <row r="735" spans="1:7" x14ac:dyDescent="0.3">
      <c r="A735" s="4">
        <v>7077</v>
      </c>
      <c r="B735" s="4">
        <f>VLOOKUP(TABLA_STOCK[Codigo],LISTADO_PRODUCTOS[#All],2)</f>
        <v>54906</v>
      </c>
      <c r="C735" s="6" t="str">
        <f>VLOOKUP(TABLA_STOCK[Codigo],LISTADO_PRODUCTOS[#All],3)</f>
        <v>REGALERIA</v>
      </c>
      <c r="D735" s="6" t="str">
        <f>VLOOKUP(TABLA_STOCK[Codigo],LISTADO_PRODUCTOS[#All],4)</f>
        <v>Taza de Genko chica</v>
      </c>
      <c r="E735" s="6" t="str">
        <f>VLOOKUP(TABLA_STOCK[Codigo],LISTADO_PRODUCTOS[#All],5)</f>
        <v>N/A</v>
      </c>
      <c r="F735" s="4">
        <v>1</v>
      </c>
      <c r="G735" s="4">
        <v>5</v>
      </c>
    </row>
    <row r="736" spans="1:7" x14ac:dyDescent="0.3">
      <c r="A736" s="4">
        <v>7078</v>
      </c>
      <c r="B736" s="4">
        <f>VLOOKUP(TABLA_STOCK[Codigo],LISTADO_PRODUCTOS[#All],2)</f>
        <v>54907</v>
      </c>
      <c r="C736" s="6" t="str">
        <f>VLOOKUP(TABLA_STOCK[Codigo],LISTADO_PRODUCTOS[#All],3)</f>
        <v>REGALERIA</v>
      </c>
      <c r="D736" s="6" t="str">
        <f>VLOOKUP(TABLA_STOCK[Codigo],LISTADO_PRODUCTOS[#All],4)</f>
        <v>Boligrafo Vaquita Vaca Wero</v>
      </c>
      <c r="E736" s="6" t="str">
        <f>VLOOKUP(TABLA_STOCK[Codigo],LISTADO_PRODUCTOS[#All],5)</f>
        <v>N/A</v>
      </c>
      <c r="F736" s="4">
        <v>5</v>
      </c>
      <c r="G736" s="4">
        <v>52</v>
      </c>
    </row>
    <row r="737" spans="1:7" x14ac:dyDescent="0.3">
      <c r="A737" s="4">
        <v>7080</v>
      </c>
      <c r="B737" s="4">
        <f>VLOOKUP(TABLA_STOCK[Codigo],LISTADO_PRODUCTOS[#All],2)</f>
        <v>54908</v>
      </c>
      <c r="C737" s="6" t="str">
        <f>VLOOKUP(TABLA_STOCK[Codigo],LISTADO_PRODUCTOS[#All],3)</f>
        <v>REGALERIA</v>
      </c>
      <c r="D737" s="6" t="str">
        <f>VLOOKUP(TABLA_STOCK[Codigo],LISTADO_PRODUCTOS[#All],4)</f>
        <v>MAPED Creativ PAT DOUGH Masas c/ extrusor</v>
      </c>
      <c r="E737" s="6" t="str">
        <f>VLOOKUP(TABLA_STOCK[Codigo],LISTADO_PRODUCTOS[#All],5)</f>
        <v>N/A</v>
      </c>
      <c r="F737" s="4">
        <v>2</v>
      </c>
      <c r="G737" s="4">
        <v>32</v>
      </c>
    </row>
    <row r="738" spans="1:7" x14ac:dyDescent="0.3">
      <c r="A738" s="4">
        <v>7081</v>
      </c>
      <c r="B738" s="4">
        <f>VLOOKUP(TABLA_STOCK[Codigo],LISTADO_PRODUCTOS[#All],2)</f>
        <v>54909</v>
      </c>
      <c r="C738" s="6" t="str">
        <f>VLOOKUP(TABLA_STOCK[Codigo],LISTADO_PRODUCTOS[#All],3)</f>
        <v>REGALERIA</v>
      </c>
      <c r="D738" s="6" t="str">
        <f>VLOOKUP(TABLA_STOCK[Codigo],LISTADO_PRODUCTOS[#All],4)</f>
        <v>Maped Creativ 50 Pieces Kit para colorear</v>
      </c>
      <c r="E738" s="6" t="str">
        <f>VLOOKUP(TABLA_STOCK[Codigo],LISTADO_PRODUCTOS[#All],5)</f>
        <v>N/A</v>
      </c>
      <c r="F738" s="4">
        <v>2</v>
      </c>
      <c r="G738" s="4">
        <v>56</v>
      </c>
    </row>
    <row r="739" spans="1:7" x14ac:dyDescent="0.3">
      <c r="A739" s="4">
        <v>7082</v>
      </c>
      <c r="B739" s="4">
        <f>VLOOKUP(TABLA_STOCK[Codigo],LISTADO_PRODUCTOS[#All],2)</f>
        <v>54910</v>
      </c>
      <c r="C739" s="6" t="str">
        <f>VLOOKUP(TABLA_STOCK[Codigo],LISTADO_PRODUCTOS[#All],3)</f>
        <v>REGALERIA</v>
      </c>
      <c r="D739" s="6" t="str">
        <f>VLOOKUP(TABLA_STOCK[Codigo],LISTADO_PRODUCTOS[#All],4)</f>
        <v>Maped Creativ VELVET MOSAICS</v>
      </c>
      <c r="E739" s="6" t="str">
        <f>VLOOKUP(TABLA_STOCK[Codigo],LISTADO_PRODUCTOS[#All],5)</f>
        <v>N/A</v>
      </c>
      <c r="F739" s="4">
        <v>10</v>
      </c>
      <c r="G739" s="4">
        <v>107</v>
      </c>
    </row>
    <row r="740" spans="1:7" x14ac:dyDescent="0.3">
      <c r="A740" s="4">
        <v>7094</v>
      </c>
      <c r="B740" s="4">
        <f>VLOOKUP(TABLA_STOCK[Codigo],LISTADO_PRODUCTOS[#All],2)</f>
        <v>54911</v>
      </c>
      <c r="C740" s="6" t="str">
        <f>VLOOKUP(TABLA_STOCK[Codigo],LISTADO_PRODUCTOS[#All],3)</f>
        <v>REGALERIA</v>
      </c>
      <c r="D740" s="6" t="str">
        <f>VLOOKUP(TABLA_STOCK[Codigo],LISTADO_PRODUCTOS[#All],4)</f>
        <v>Plasticlips crea sin limites 40 piezas</v>
      </c>
      <c r="E740" s="6" t="str">
        <f>VLOOKUP(TABLA_STOCK[Codigo],LISTADO_PRODUCTOS[#All],5)</f>
        <v>N/A</v>
      </c>
      <c r="F740" s="4">
        <v>20</v>
      </c>
      <c r="G740" s="4">
        <v>25</v>
      </c>
    </row>
    <row r="741" spans="1:7" x14ac:dyDescent="0.3">
      <c r="A741" s="4">
        <v>7100</v>
      </c>
      <c r="B741" s="4">
        <f>VLOOKUP(TABLA_STOCK[Codigo],LISTADO_PRODUCTOS[#All],2)</f>
        <v>54912</v>
      </c>
      <c r="C741" s="6" t="str">
        <f>VLOOKUP(TABLA_STOCK[Codigo],LISTADO_PRODUCTOS[#All],3)</f>
        <v>REGALERIA</v>
      </c>
      <c r="D741" s="6" t="str">
        <f>VLOOKUP(TABLA_STOCK[Codigo],LISTADO_PRODUCTOS[#All],4)</f>
        <v>Cartelito de puerta infantil colours</v>
      </c>
      <c r="E741" s="6" t="str">
        <f>VLOOKUP(TABLA_STOCK[Codigo],LISTADO_PRODUCTOS[#All],5)</f>
        <v>N/A</v>
      </c>
      <c r="F741" s="4">
        <v>5</v>
      </c>
      <c r="G741" s="4">
        <v>32</v>
      </c>
    </row>
    <row r="742" spans="1:7" x14ac:dyDescent="0.3">
      <c r="A742" s="4">
        <v>7103</v>
      </c>
      <c r="B742" s="4">
        <f>VLOOKUP(TABLA_STOCK[Codigo],LISTADO_PRODUCTOS[#All],2)</f>
        <v>54913</v>
      </c>
      <c r="C742" s="6" t="str">
        <f>VLOOKUP(TABLA_STOCK[Codigo],LISTADO_PRODUCTOS[#All],3)</f>
        <v>REGALERIA</v>
      </c>
      <c r="D742" s="6" t="str">
        <f>VLOOKUP(TABLA_STOCK[Codigo],LISTADO_PRODUCTOS[#All],4)</f>
        <v>Porta lapices para Cuadernos / Agendas Para 1 Lapicera FW Metal</v>
      </c>
      <c r="E742" s="6" t="str">
        <f>VLOOKUP(TABLA_STOCK[Codigo],LISTADO_PRODUCTOS[#All],5)</f>
        <v>N/A</v>
      </c>
      <c r="F742" s="4">
        <v>1</v>
      </c>
      <c r="G742" s="4">
        <v>150</v>
      </c>
    </row>
    <row r="743" spans="1:7" x14ac:dyDescent="0.3">
      <c r="A743" s="4">
        <v>9000</v>
      </c>
      <c r="B743" s="4">
        <f>VLOOKUP(TABLA_STOCK[Codigo],LISTADO_PRODUCTOS[#All],2)</f>
        <v>54914</v>
      </c>
      <c r="C743" s="6" t="str">
        <f>VLOOKUP(TABLA_STOCK[Codigo],LISTADO_PRODUCTOS[#All],3)</f>
        <v>JUGUETERIA</v>
      </c>
      <c r="D743" s="6" t="str">
        <f>VLOOKUP(TABLA_STOCK[Codigo],LISTADO_PRODUCTOS[#All],4)</f>
        <v>Masas con cortante Dido</v>
      </c>
      <c r="E743" s="6" t="str">
        <f>VLOOKUP(TABLA_STOCK[Codigo],LISTADO_PRODUCTOS[#All],5)</f>
        <v>N/A</v>
      </c>
      <c r="F743" s="4">
        <v>5</v>
      </c>
      <c r="G743" s="4">
        <v>20</v>
      </c>
    </row>
    <row r="744" spans="1:7" x14ac:dyDescent="0.3">
      <c r="A744" s="4">
        <v>9001</v>
      </c>
      <c r="B744" s="4">
        <f>VLOOKUP(TABLA_STOCK[Codigo],LISTADO_PRODUCTOS[#All],2)</f>
        <v>54915</v>
      </c>
      <c r="C744" s="6" t="str">
        <f>VLOOKUP(TABLA_STOCK[Codigo],LISTADO_PRODUCTOS[#All],3)</f>
        <v>JUGUETERIA</v>
      </c>
      <c r="D744" s="6" t="str">
        <f>VLOOKUP(TABLA_STOCK[Codigo],LISTADO_PRODUCTOS[#All],4)</f>
        <v>Masas Maped Creativ Pote x 114gr</v>
      </c>
      <c r="E744" s="6" t="str">
        <f>VLOOKUP(TABLA_STOCK[Codigo],LISTADO_PRODUCTOS[#All],5)</f>
        <v>N/A</v>
      </c>
      <c r="F744" s="4">
        <v>2</v>
      </c>
      <c r="G744" s="4">
        <v>19</v>
      </c>
    </row>
    <row r="745" spans="1:7" x14ac:dyDescent="0.3">
      <c r="A745" s="4">
        <v>9006</v>
      </c>
      <c r="B745" s="4">
        <f>VLOOKUP(TABLA_STOCK[Codigo],LISTADO_PRODUCTOS[#All],2)</f>
        <v>54916</v>
      </c>
      <c r="C745" s="6" t="str">
        <f>VLOOKUP(TABLA_STOCK[Codigo],LISTADO_PRODUCTOS[#All],3)</f>
        <v>JUGUETERIA</v>
      </c>
      <c r="D745" s="6" t="str">
        <f>VLOOKUP(TABLA_STOCK[Codigo],LISTADO_PRODUCTOS[#All],4)</f>
        <v>Cerebronia conexión mental</v>
      </c>
      <c r="E745" s="6" t="str">
        <f>VLOOKUP(TABLA_STOCK[Codigo],LISTADO_PRODUCTOS[#All],5)</f>
        <v>N/A</v>
      </c>
      <c r="F745" s="4">
        <v>2</v>
      </c>
      <c r="G745" s="4">
        <v>6</v>
      </c>
    </row>
    <row r="746" spans="1:7" x14ac:dyDescent="0.3">
      <c r="A746" s="4">
        <v>9010</v>
      </c>
      <c r="B746" s="4">
        <f>VLOOKUP(TABLA_STOCK[Codigo],LISTADO_PRODUCTOS[#All],2)</f>
        <v>54917</v>
      </c>
      <c r="C746" s="6" t="str">
        <f>VLOOKUP(TABLA_STOCK[Codigo],LISTADO_PRODUCTOS[#All],3)</f>
        <v>JUGUETERIA</v>
      </c>
      <c r="D746" s="6" t="str">
        <f>VLOOKUP(TABLA_STOCK[Codigo],LISTADO_PRODUCTOS[#All],4)</f>
        <v>Cartas Naipes Truco Habana Plastificadas x 40c</v>
      </c>
      <c r="E746" s="6" t="str">
        <f>VLOOKUP(TABLA_STOCK[Codigo],LISTADO_PRODUCTOS[#All],5)</f>
        <v>N/A</v>
      </c>
      <c r="F746" s="4">
        <v>10</v>
      </c>
      <c r="G746" s="4">
        <v>5</v>
      </c>
    </row>
    <row r="747" spans="1:7" x14ac:dyDescent="0.3">
      <c r="A747" s="4">
        <v>9012</v>
      </c>
      <c r="B747" s="4">
        <f>VLOOKUP(TABLA_STOCK[Codigo],LISTADO_PRODUCTOS[#All],2)</f>
        <v>54918</v>
      </c>
      <c r="C747" s="6" t="str">
        <f>VLOOKUP(TABLA_STOCK[Codigo],LISTADO_PRODUCTOS[#All],3)</f>
        <v>JUGUETERIA</v>
      </c>
      <c r="D747" s="6" t="str">
        <f>VLOOKUP(TABLA_STOCK[Codigo],LISTADO_PRODUCTOS[#All],4)</f>
        <v>Agenda FW Inspire Diaria Batik</v>
      </c>
      <c r="E747" s="6" t="str">
        <f>VLOOKUP(TABLA_STOCK[Codigo],LISTADO_PRODUCTOS[#All],5)</f>
        <v>N/A</v>
      </c>
      <c r="F747" s="4">
        <v>20</v>
      </c>
      <c r="G747" s="4">
        <v>52</v>
      </c>
    </row>
    <row r="748" spans="1:7" x14ac:dyDescent="0.3">
      <c r="A748" s="4">
        <v>9014</v>
      </c>
      <c r="B748" s="4">
        <f>VLOOKUP(TABLA_STOCK[Codigo],LISTADO_PRODUCTOS[#All],2)</f>
        <v>54919</v>
      </c>
      <c r="C748" s="6" t="str">
        <f>VLOOKUP(TABLA_STOCK[Codigo],LISTADO_PRODUCTOS[#All],3)</f>
        <v>JUGUETERIA</v>
      </c>
      <c r="D748" s="6" t="str">
        <f>VLOOKUP(TABLA_STOCK[Codigo],LISTADO_PRODUCTOS[#All],4)</f>
        <v>Set regadera con pala y rastrillo chico</v>
      </c>
      <c r="E748" s="6" t="str">
        <f>VLOOKUP(TABLA_STOCK[Codigo],LISTADO_PRODUCTOS[#All],5)</f>
        <v>N/A</v>
      </c>
      <c r="F748" s="4">
        <v>5</v>
      </c>
      <c r="G748" s="4">
        <v>32</v>
      </c>
    </row>
    <row r="749" spans="1:7" x14ac:dyDescent="0.3">
      <c r="A749" s="4">
        <v>9023</v>
      </c>
      <c r="B749" s="4">
        <f>VLOOKUP(TABLA_STOCK[Codigo],LISTADO_PRODUCTOS[#All],2)</f>
        <v>54920</v>
      </c>
      <c r="C749" s="6" t="str">
        <f>VLOOKUP(TABLA_STOCK[Codigo],LISTADO_PRODUCTOS[#All],3)</f>
        <v>JUGUETERIA</v>
      </c>
      <c r="D749" s="6" t="str">
        <f>VLOOKUP(TABLA_STOCK[Codigo],LISTADO_PRODUCTOS[#All],4)</f>
        <v>Set DURAVIT PALITA RASTRILLO Y MOLDES</v>
      </c>
      <c r="E749" s="6" t="str">
        <f>VLOOKUP(TABLA_STOCK[Codigo],LISTADO_PRODUCTOS[#All],5)</f>
        <v>N/A</v>
      </c>
      <c r="F749" s="4">
        <v>1</v>
      </c>
      <c r="G749" s="4">
        <v>56</v>
      </c>
    </row>
    <row r="750" spans="1:7" x14ac:dyDescent="0.3">
      <c r="A750" s="4">
        <v>9028</v>
      </c>
      <c r="B750" s="4">
        <f>VLOOKUP(TABLA_STOCK[Codigo],LISTADO_PRODUCTOS[#All],2)</f>
        <v>54921</v>
      </c>
      <c r="C750" s="6" t="str">
        <f>VLOOKUP(TABLA_STOCK[Codigo],LISTADO_PRODUCTOS[#All],3)</f>
        <v>JUGUETERIA</v>
      </c>
      <c r="D750" s="6" t="str">
        <f>VLOOKUP(TABLA_STOCK[Codigo],LISTADO_PRODUCTOS[#All],4)</f>
        <v>Juego de mesa LA GRANJA MILLONARIA 3200 RUIBAL</v>
      </c>
      <c r="E750" s="6" t="str">
        <f>VLOOKUP(TABLA_STOCK[Codigo],LISTADO_PRODUCTOS[#All],5)</f>
        <v>N/A</v>
      </c>
      <c r="F750" s="4">
        <v>5</v>
      </c>
      <c r="G750" s="4">
        <v>107</v>
      </c>
    </row>
    <row r="751" spans="1:7" x14ac:dyDescent="0.3">
      <c r="A751" s="4">
        <v>9040</v>
      </c>
      <c r="B751" s="4">
        <f>VLOOKUP(TABLA_STOCK[Codigo],LISTADO_PRODUCTOS[#All],2)</f>
        <v>54922</v>
      </c>
      <c r="C751" s="6" t="str">
        <f>VLOOKUP(TABLA_STOCK[Codigo],LISTADO_PRODUCTOS[#All],3)</f>
        <v>JUGUETERIA</v>
      </c>
      <c r="D751" s="6" t="str">
        <f>VLOOKUP(TABLA_STOCK[Codigo],LISTADO_PRODUCTOS[#All],4)</f>
        <v>Juego de mesa Conquista del Mundo</v>
      </c>
      <c r="E751" s="6" t="str">
        <f>VLOOKUP(TABLA_STOCK[Codigo],LISTADO_PRODUCTOS[#All],5)</f>
        <v>N/A</v>
      </c>
      <c r="F751" s="4">
        <v>2</v>
      </c>
      <c r="G751" s="4">
        <v>25</v>
      </c>
    </row>
    <row r="752" spans="1:7" x14ac:dyDescent="0.3">
      <c r="A752" s="4">
        <v>9078</v>
      </c>
      <c r="B752" s="4">
        <f>VLOOKUP(TABLA_STOCK[Codigo],LISTADO_PRODUCTOS[#All],2)</f>
        <v>54923</v>
      </c>
      <c r="C752" s="6" t="str">
        <f>VLOOKUP(TABLA_STOCK[Codigo],LISTADO_PRODUCTOS[#All],3)</f>
        <v>JUGUETERIA</v>
      </c>
      <c r="D752" s="6" t="str">
        <f>VLOOKUP(TABLA_STOCK[Codigo],LISTADO_PRODUCTOS[#All],4)</f>
        <v>Set balde con rastrillo y pala mediano Luni/Duravit</v>
      </c>
      <c r="E752" s="6" t="str">
        <f>VLOOKUP(TABLA_STOCK[Codigo],LISTADO_PRODUCTOS[#All],5)</f>
        <v>N/A</v>
      </c>
      <c r="F752" s="4">
        <v>2</v>
      </c>
      <c r="G752" s="4">
        <v>32</v>
      </c>
    </row>
    <row r="753" spans="1:7" x14ac:dyDescent="0.3">
      <c r="A753" s="4">
        <v>9100</v>
      </c>
      <c r="B753" s="4">
        <f>VLOOKUP(TABLA_STOCK[Codigo],LISTADO_PRODUCTOS[#All],2)</f>
        <v>54924</v>
      </c>
      <c r="C753" s="6" t="str">
        <f>VLOOKUP(TABLA_STOCK[Codigo],LISTADO_PRODUCTOS[#All],3)</f>
        <v>JUGUETERIA</v>
      </c>
      <c r="D753" s="6" t="str">
        <f>VLOOKUP(TABLA_STOCK[Codigo],LISTADO_PRODUCTOS[#All],4)</f>
        <v>Rompecabezas c/iman grande PIPI KUKU</v>
      </c>
      <c r="E753" s="6" t="str">
        <f>VLOOKUP(TABLA_STOCK[Codigo],LISTADO_PRODUCTOS[#All],5)</f>
        <v>N/A</v>
      </c>
      <c r="F753" s="4">
        <v>10</v>
      </c>
      <c r="G753" s="4">
        <v>150</v>
      </c>
    </row>
    <row r="754" spans="1:7" x14ac:dyDescent="0.3">
      <c r="A754" s="4">
        <v>9101</v>
      </c>
      <c r="B754" s="4">
        <f>VLOOKUP(TABLA_STOCK[Codigo],LISTADO_PRODUCTOS[#All],2)</f>
        <v>54925</v>
      </c>
      <c r="C754" s="6" t="str">
        <f>VLOOKUP(TABLA_STOCK[Codigo],LISTADO_PRODUCTOS[#All],3)</f>
        <v>JUGUETERIA</v>
      </c>
      <c r="D754" s="6" t="str">
        <f>VLOOKUP(TABLA_STOCK[Codigo],LISTADO_PRODUCTOS[#All],4)</f>
        <v>Rompecabezas inicial de PIPIKUKU madera c/iman 4 piezas</v>
      </c>
      <c r="E754" s="6" t="str">
        <f>VLOOKUP(TABLA_STOCK[Codigo],LISTADO_PRODUCTOS[#All],5)</f>
        <v>N/A</v>
      </c>
      <c r="F754" s="4">
        <v>20</v>
      </c>
      <c r="G754" s="4">
        <v>20</v>
      </c>
    </row>
    <row r="755" spans="1:7" x14ac:dyDescent="0.3">
      <c r="A755" s="4">
        <v>9102</v>
      </c>
      <c r="B755" s="4">
        <f>VLOOKUP(TABLA_STOCK[Codigo],LISTADO_PRODUCTOS[#All],2)</f>
        <v>54926</v>
      </c>
      <c r="C755" s="6" t="str">
        <f>VLOOKUP(TABLA_STOCK[Codigo],LISTADO_PRODUCTOS[#All],3)</f>
        <v>JUGUETERIA</v>
      </c>
      <c r="D755" s="6" t="str">
        <f>VLOOKUP(TABLA_STOCK[Codigo],LISTADO_PRODUCTOS[#All],4)</f>
        <v>Rompecabezas de en plancha de encastre PIPIU KUKU 36 piezas madera</v>
      </c>
      <c r="E755" s="6" t="str">
        <f>VLOOKUP(TABLA_STOCK[Codigo],LISTADO_PRODUCTOS[#All],5)</f>
        <v>N/A</v>
      </c>
      <c r="F755" s="4">
        <v>5</v>
      </c>
      <c r="G755" s="4">
        <v>19</v>
      </c>
    </row>
    <row r="756" spans="1:7" x14ac:dyDescent="0.3">
      <c r="A756" s="4">
        <v>9103</v>
      </c>
      <c r="B756" s="4">
        <f>VLOOKUP(TABLA_STOCK[Codigo],LISTADO_PRODUCTOS[#All],2)</f>
        <v>54927</v>
      </c>
      <c r="C756" s="6" t="str">
        <f>VLOOKUP(TABLA_STOCK[Codigo],LISTADO_PRODUCTOS[#All],3)</f>
        <v>JUGUETERIA</v>
      </c>
      <c r="D756" s="6" t="str">
        <f>VLOOKUP(TABLA_STOCK[Codigo],LISTADO_PRODUCTOS[#All],4)</f>
        <v xml:space="preserve">Arrastre madera </v>
      </c>
      <c r="E756" s="6" t="str">
        <f>VLOOKUP(TABLA_STOCK[Codigo],LISTADO_PRODUCTOS[#All],5)</f>
        <v>N/A</v>
      </c>
      <c r="F756" s="4">
        <v>1</v>
      </c>
      <c r="G756" s="4">
        <v>6</v>
      </c>
    </row>
    <row r="757" spans="1:7" x14ac:dyDescent="0.3">
      <c r="A757" s="4">
        <v>9104</v>
      </c>
      <c r="B757" s="4">
        <f>VLOOKUP(TABLA_STOCK[Codigo],LISTADO_PRODUCTOS[#All],2)</f>
        <v>54928</v>
      </c>
      <c r="C757" s="6" t="str">
        <f>VLOOKUP(TABLA_STOCK[Codigo],LISTADO_PRODUCTOS[#All],3)</f>
        <v>JUGUETERIA</v>
      </c>
      <c r="D757" s="6" t="str">
        <f>VLOOKUP(TABLA_STOCK[Codigo],LISTADO_PRODUCTOS[#All],4)</f>
        <v>Memo test madera PIPI KUKU</v>
      </c>
      <c r="E757" s="6" t="str">
        <f>VLOOKUP(TABLA_STOCK[Codigo],LISTADO_PRODUCTOS[#All],5)</f>
        <v>N/A</v>
      </c>
      <c r="F757" s="4">
        <v>5</v>
      </c>
      <c r="G757" s="4">
        <v>5</v>
      </c>
    </row>
    <row r="758" spans="1:7" x14ac:dyDescent="0.3">
      <c r="A758" s="4">
        <v>9105</v>
      </c>
      <c r="B758" s="4">
        <f>VLOOKUP(TABLA_STOCK[Codigo],LISTADO_PRODUCTOS[#All],2)</f>
        <v>54929</v>
      </c>
      <c r="C758" s="6" t="str">
        <f>VLOOKUP(TABLA_STOCK[Codigo],LISTADO_PRODUCTOS[#All],3)</f>
        <v>JUGUETERIA</v>
      </c>
      <c r="D758" s="6" t="str">
        <f>VLOOKUP(TABLA_STOCK[Codigo],LISTADO_PRODUCTOS[#All],4)</f>
        <v>Piezas de madera Aprendiendo PIPI KUKU 48 piezas</v>
      </c>
      <c r="E758" s="6" t="str">
        <f>VLOOKUP(TABLA_STOCK[Codigo],LISTADO_PRODUCTOS[#All],5)</f>
        <v>N/A</v>
      </c>
      <c r="F758" s="4">
        <v>2</v>
      </c>
      <c r="G758" s="4">
        <v>52</v>
      </c>
    </row>
    <row r="759" spans="1:7" x14ac:dyDescent="0.3">
      <c r="A759" s="4">
        <v>9113</v>
      </c>
      <c r="B759" s="4">
        <f>VLOOKUP(TABLA_STOCK[Codigo],LISTADO_PRODUCTOS[#All],2)</f>
        <v>54930</v>
      </c>
      <c r="C759" s="6" t="str">
        <f>VLOOKUP(TABLA_STOCK[Codigo],LISTADO_PRODUCTOS[#All],3)</f>
        <v>JUGUETERIA</v>
      </c>
      <c r="D759" s="6" t="str">
        <f>VLOOKUP(TABLA_STOCK[Codigo],LISTADO_PRODUCTOS[#All],4)</f>
        <v>Juego de cartas CONQUISTA DEL MUNDO</v>
      </c>
      <c r="E759" s="6" t="str">
        <f>VLOOKUP(TABLA_STOCK[Codigo],LISTADO_PRODUCTOS[#All],5)</f>
        <v>N/A</v>
      </c>
      <c r="F759" s="4">
        <v>10</v>
      </c>
      <c r="G759" s="4">
        <v>32</v>
      </c>
    </row>
    <row r="760" spans="1:7" x14ac:dyDescent="0.3">
      <c r="A760" s="4">
        <v>9114</v>
      </c>
      <c r="B760" s="4">
        <f>VLOOKUP(TABLA_STOCK[Codigo],LISTADO_PRODUCTOS[#All],2)</f>
        <v>54931</v>
      </c>
      <c r="C760" s="6" t="str">
        <f>VLOOKUP(TABLA_STOCK[Codigo],LISTADO_PRODUCTOS[#All],3)</f>
        <v>JUGUETERIA</v>
      </c>
      <c r="D760" s="6" t="str">
        <f>VLOOKUP(TABLA_STOCK[Codigo],LISTADO_PRODUCTOS[#All],4)</f>
        <v>Juego de bolsillo LA CASA DE LOS FANTASMAS 506</v>
      </c>
      <c r="E760" s="6" t="str">
        <f>VLOOKUP(TABLA_STOCK[Codigo],LISTADO_PRODUCTOS[#All],5)</f>
        <v>N/A</v>
      </c>
      <c r="F760" s="4">
        <v>20</v>
      </c>
      <c r="G760" s="4">
        <v>56</v>
      </c>
    </row>
    <row r="761" spans="1:7" x14ac:dyDescent="0.3">
      <c r="A761" s="4">
        <v>9120</v>
      </c>
      <c r="B761" s="4">
        <f>VLOOKUP(TABLA_STOCK[Codigo],LISTADO_PRODUCTOS[#All],2)</f>
        <v>54932</v>
      </c>
      <c r="C761" s="6" t="str">
        <f>VLOOKUP(TABLA_STOCK[Codigo],LISTADO_PRODUCTOS[#All],3)</f>
        <v>JUGUETERIA</v>
      </c>
      <c r="D761" s="6" t="str">
        <f>VLOOKUP(TABLA_STOCK[Codigo],LISTADO_PRODUCTOS[#All],4)</f>
        <v>Duravit</v>
      </c>
      <c r="E761" s="6" t="str">
        <f>VLOOKUP(TABLA_STOCK[Codigo],LISTADO_PRODUCTOS[#All],5)</f>
        <v>N/A</v>
      </c>
      <c r="F761" s="4">
        <v>5</v>
      </c>
      <c r="G761" s="4">
        <v>107</v>
      </c>
    </row>
    <row r="762" spans="1:7" x14ac:dyDescent="0.3">
      <c r="A762" s="4">
        <v>9246</v>
      </c>
      <c r="B762" s="4">
        <f>VLOOKUP(TABLA_STOCK[Codigo],LISTADO_PRODUCTOS[#All],2)</f>
        <v>54933</v>
      </c>
      <c r="C762" s="6" t="str">
        <f>VLOOKUP(TABLA_STOCK[Codigo],LISTADO_PRODUCTOS[#All],3)</f>
        <v>JUGUETERIA</v>
      </c>
      <c r="D762" s="6" t="str">
        <f>VLOOKUP(TABLA_STOCK[Codigo],LISTADO_PRODUCTOS[#All],4)</f>
        <v>Porta mfoto PIPI KUKU</v>
      </c>
      <c r="E762" s="6" t="str">
        <f>VLOOKUP(TABLA_STOCK[Codigo],LISTADO_PRODUCTOS[#All],5)</f>
        <v>N/A</v>
      </c>
      <c r="F762" s="4">
        <v>1</v>
      </c>
      <c r="G762" s="4">
        <v>25</v>
      </c>
    </row>
    <row r="763" spans="1:7" x14ac:dyDescent="0.3">
      <c r="A763" s="4">
        <v>9298</v>
      </c>
      <c r="B763" s="4">
        <f>VLOOKUP(TABLA_STOCK[Codigo],LISTADO_PRODUCTOS[#All],2)</f>
        <v>54934</v>
      </c>
      <c r="C763" s="6" t="str">
        <f>VLOOKUP(TABLA_STOCK[Codigo],LISTADO_PRODUCTOS[#All],3)</f>
        <v>JUGUETERIA</v>
      </c>
      <c r="D763" s="6" t="str">
        <f>VLOOKUP(TABLA_STOCK[Codigo],LISTADO_PRODUCTOS[#All],4)</f>
        <v>Trencito Feliz JNG Childy plast Art. 012193</v>
      </c>
      <c r="E763" s="6" t="str">
        <f>VLOOKUP(TABLA_STOCK[Codigo],LISTADO_PRODUCTOS[#All],5)</f>
        <v>N/A</v>
      </c>
      <c r="F763" s="4">
        <v>5</v>
      </c>
      <c r="G763" s="4">
        <v>32</v>
      </c>
    </row>
    <row r="764" spans="1:7" x14ac:dyDescent="0.3">
      <c r="A764" s="4">
        <v>9303</v>
      </c>
      <c r="B764" s="4">
        <f>VLOOKUP(TABLA_STOCK[Codigo],LISTADO_PRODUCTOS[#All],2)</f>
        <v>54935</v>
      </c>
      <c r="C764" s="6" t="str">
        <f>VLOOKUP(TABLA_STOCK[Codigo],LISTADO_PRODUCTOS[#All],3)</f>
        <v>JUGUETERIA</v>
      </c>
      <c r="D764" s="6" t="str">
        <f>VLOOKUP(TABLA_STOCK[Codigo],LISTADO_PRODUCTOS[#All],4)</f>
        <v>Masa perfumada en Pote Expresa Emocion</v>
      </c>
      <c r="E764" s="6" t="str">
        <f>VLOOKUP(TABLA_STOCK[Codigo],LISTADO_PRODUCTOS[#All],5)</f>
        <v>N/A</v>
      </c>
      <c r="F764" s="4">
        <v>2</v>
      </c>
      <c r="G764" s="4">
        <v>150</v>
      </c>
    </row>
    <row r="765" spans="1:7" x14ac:dyDescent="0.3">
      <c r="A765" s="4">
        <v>9322</v>
      </c>
      <c r="B765" s="4">
        <f>VLOOKUP(TABLA_STOCK[Codigo],LISTADO_PRODUCTOS[#All],2)</f>
        <v>54936</v>
      </c>
      <c r="C765" s="6" t="str">
        <f>VLOOKUP(TABLA_STOCK[Codigo],LISTADO_PRODUCTOS[#All],3)</f>
        <v>JUGUETERIA</v>
      </c>
      <c r="D765" s="6" t="str">
        <f>VLOOKUP(TABLA_STOCK[Codigo],LISTADO_PRODUCTOS[#All],4)</f>
        <v>Bitacora La cuadra/animalitos imantados</v>
      </c>
      <c r="E765" s="6" t="str">
        <f>VLOOKUP(TABLA_STOCK[Codigo],LISTADO_PRODUCTOS[#All],5)</f>
        <v>N/A</v>
      </c>
      <c r="F765" s="4">
        <v>2</v>
      </c>
      <c r="G765" s="4">
        <v>20</v>
      </c>
    </row>
    <row r="766" spans="1:7" x14ac:dyDescent="0.3">
      <c r="A766" s="4">
        <v>9331</v>
      </c>
      <c r="B766" s="4">
        <f>VLOOKUP(TABLA_STOCK[Codigo],LISTADO_PRODUCTOS[#All],2)</f>
        <v>54937</v>
      </c>
      <c r="C766" s="6" t="str">
        <f>VLOOKUP(TABLA_STOCK[Codigo],LISTADO_PRODUCTOS[#All],3)</f>
        <v>JUGUETERIA</v>
      </c>
      <c r="D766" s="6" t="str">
        <f>VLOOKUP(TABLA_STOCK[Codigo],LISTADO_PRODUCTOS[#All],4)</f>
        <v>Veo veo El Espacio - 50 personajes del espacio para buscarlos por el tablero</v>
      </c>
      <c r="E766" s="6" t="str">
        <f>VLOOKUP(TABLA_STOCK[Codigo],LISTADO_PRODUCTOS[#All],5)</f>
        <v>N/A</v>
      </c>
      <c r="F766" s="4">
        <v>10</v>
      </c>
      <c r="G766" s="4">
        <v>19</v>
      </c>
    </row>
    <row r="767" spans="1:7" x14ac:dyDescent="0.3">
      <c r="A767" s="4">
        <v>9353</v>
      </c>
      <c r="B767" s="4">
        <f>VLOOKUP(TABLA_STOCK[Codigo],LISTADO_PRODUCTOS[#All],2)</f>
        <v>54938</v>
      </c>
      <c r="C767" s="6" t="str">
        <f>VLOOKUP(TABLA_STOCK[Codigo],LISTADO_PRODUCTOS[#All],3)</f>
        <v>JUGUETERIA</v>
      </c>
      <c r="D767" s="6" t="str">
        <f>VLOOKUP(TABLA_STOCK[Codigo],LISTADO_PRODUCTOS[#All],4)</f>
        <v>Caja sorpresa x bolsa</v>
      </c>
      <c r="E767" s="6" t="str">
        <f>VLOOKUP(TABLA_STOCK[Codigo],LISTADO_PRODUCTOS[#All],5)</f>
        <v>N/A</v>
      </c>
      <c r="F767" s="4">
        <v>20</v>
      </c>
      <c r="G767" s="4">
        <v>6</v>
      </c>
    </row>
    <row r="768" spans="1:7" x14ac:dyDescent="0.3">
      <c r="A768" s="4">
        <v>9358</v>
      </c>
      <c r="B768" s="4">
        <f>VLOOKUP(TABLA_STOCK[Codigo],LISTADO_PRODUCTOS[#All],2)</f>
        <v>54939</v>
      </c>
      <c r="C768" s="6" t="str">
        <f>VLOOKUP(TABLA_STOCK[Codigo],LISTADO_PRODUCTOS[#All],3)</f>
        <v>JUGUETERIA</v>
      </c>
      <c r="D768" s="6" t="str">
        <f>VLOOKUP(TABLA_STOCK[Codigo],LISTADO_PRODUCTOS[#All],4)</f>
        <v>Pistola de agua Lyon Toys modelo 912-2</v>
      </c>
      <c r="E768" s="6" t="str">
        <f>VLOOKUP(TABLA_STOCK[Codigo],LISTADO_PRODUCTOS[#All],5)</f>
        <v>N/A</v>
      </c>
      <c r="F768" s="4">
        <v>5</v>
      </c>
      <c r="G768" s="4">
        <v>5</v>
      </c>
    </row>
    <row r="769" spans="1:7" x14ac:dyDescent="0.3">
      <c r="A769" s="4">
        <v>9359</v>
      </c>
      <c r="B769" s="4">
        <f>VLOOKUP(TABLA_STOCK[Codigo],LISTADO_PRODUCTOS[#All],2)</f>
        <v>25556</v>
      </c>
      <c r="C769" s="6" t="str">
        <f>VLOOKUP(TABLA_STOCK[Codigo],LISTADO_PRODUCTOS[#All],3)</f>
        <v xml:space="preserve">OFICINA </v>
      </c>
      <c r="D769" s="6">
        <f>VLOOKUP(TABLA_STOCK[Codigo],LISTADO_PRODUCTOS[#All],4)</f>
        <v>0</v>
      </c>
      <c r="E769" s="6">
        <f>VLOOKUP(TABLA_STOCK[Codigo],LISTADO_PRODUCTOS[#All],5)</f>
        <v>0</v>
      </c>
      <c r="G769" s="4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2490"/>
  <sheetViews>
    <sheetView workbookViewId="0">
      <selection activeCell="E3" sqref="E3"/>
    </sheetView>
  </sheetViews>
  <sheetFormatPr baseColWidth="10" defaultRowHeight="14.4" x14ac:dyDescent="0.3"/>
  <cols>
    <col min="1" max="1" width="12.33203125" customWidth="1"/>
    <col min="2" max="2" width="51.21875" customWidth="1"/>
    <col min="3" max="3" width="22.77734375" customWidth="1"/>
    <col min="4" max="4" width="18.88671875" customWidth="1"/>
  </cols>
  <sheetData>
    <row r="1" spans="1:5" x14ac:dyDescent="0.3">
      <c r="A1" t="s">
        <v>46</v>
      </c>
      <c r="B1" t="s">
        <v>3</v>
      </c>
      <c r="C1" t="s">
        <v>47</v>
      </c>
      <c r="D1" t="s">
        <v>57</v>
      </c>
      <c r="E1" t="s">
        <v>58</v>
      </c>
    </row>
    <row r="2" spans="1:5" x14ac:dyDescent="0.3">
      <c r="A2" s="4">
        <v>1000</v>
      </c>
      <c r="B2" s="25" t="str">
        <f>VLOOKUP(TABLA_STOCK_LISTBOX[[#This Row],[Codigo]],LISTADO_PRODUCTOS[#All],4)</f>
        <v>Cuaderno 29.7 America flex - 7792216854173</v>
      </c>
      <c r="C2" s="25" t="str">
        <f>VLOOKUP(TABLA_STOCK_LISTBOX[[#This Row],[Codigo]],LISTADO_PRODUCTOS[#All],5)</f>
        <v>N/A</v>
      </c>
      <c r="D2" t="str">
        <f>VLOOKUP(TABLA_STOCK_LISTBOX[[#This Row],[Codigo]],TABLA_STOCK[#All],6)</f>
        <v>5</v>
      </c>
      <c r="E2">
        <f>VLOOKUP(TABLA_STOCK_LISTBOX[[#This Row],[Codigo]],TABLA_STOCK[#All],7)</f>
        <v>98</v>
      </c>
    </row>
    <row r="3" spans="1:5" x14ac:dyDescent="0.3">
      <c r="A3" s="4">
        <v>1001</v>
      </c>
      <c r="B3" s="25" t="str">
        <f>VLOOKUP(TABLA_STOCK_LISTBOX[[#This Row],[Codigo]],LISTADO_PRODUCTOS[#All],4)</f>
        <v>Cuaderno Rivadavia escolar 194h 88g</v>
      </c>
      <c r="C3" s="25" t="str">
        <f>VLOOKUP(TABLA_STOCK_LISTBOX[[#This Row],[Codigo]],LISTADO_PRODUCTOS[#All],5)</f>
        <v>N/A</v>
      </c>
      <c r="D3" s="25">
        <f>VLOOKUP(TABLA_STOCK_LISTBOX[[#This Row],[Codigo]],TABLA_STOCK[#All],6)</f>
        <v>20</v>
      </c>
      <c r="E3" s="25">
        <f>VLOOKUP(TABLA_STOCK_LISTBOX[[#This Row],[Codigo]],TABLA_STOCK[#All],7)</f>
        <v>0</v>
      </c>
    </row>
    <row r="4" spans="1:5" x14ac:dyDescent="0.3">
      <c r="A4" s="4">
        <v>1002</v>
      </c>
      <c r="B4" s="25" t="str">
        <f>VLOOKUP(TABLA_STOCK_LISTBOX[[#This Row],[Codigo]],LISTADO_PRODUCTOS[#All],4)</f>
        <v>Cuaderno 29.7 America Nos/Avon 80h</v>
      </c>
      <c r="C4" s="25" t="str">
        <f>VLOOKUP(TABLA_STOCK_LISTBOX[[#This Row],[Codigo]],LISTADO_PRODUCTOS[#All],5)</f>
        <v>N/A</v>
      </c>
      <c r="D4" s="25" t="str">
        <f>VLOOKUP(TABLA_STOCK_LISTBOX[[#This Row],[Codigo]],TABLA_STOCK[#All],6)</f>
        <v>5</v>
      </c>
      <c r="E4" s="25">
        <f>VLOOKUP(TABLA_STOCK_LISTBOX[[#This Row],[Codigo]],TABLA_STOCK[#All],7)</f>
        <v>5</v>
      </c>
    </row>
    <row r="5" spans="1:5" x14ac:dyDescent="0.3">
      <c r="A5" s="4">
        <v>1004</v>
      </c>
      <c r="B5" s="25" t="str">
        <f>VLOOKUP(TABLA_STOCK_LISTBOX[[#This Row],[Codigo]],LISTADO_PRODUCTOS[#All],4)</f>
        <v>Resaltador Sharpie x12</v>
      </c>
      <c r="C5" s="25" t="str">
        <f>VLOOKUP(TABLA_STOCK_LISTBOX[[#This Row],[Codigo]],LISTADO_PRODUCTOS[#All],5)</f>
        <v>N/A</v>
      </c>
      <c r="D5" s="25" t="str">
        <f>VLOOKUP(TABLA_STOCK_LISTBOX[[#This Row],[Codigo]],TABLA_STOCK[#All],6)</f>
        <v>1</v>
      </c>
      <c r="E5" s="25">
        <f>VLOOKUP(TABLA_STOCK_LISTBOX[[#This Row],[Codigo]],TABLA_STOCK[#All],7)</f>
        <v>0</v>
      </c>
    </row>
    <row r="6" spans="1:5" x14ac:dyDescent="0.3">
      <c r="A6" s="4">
        <v>1007</v>
      </c>
      <c r="B6" s="25" t="str">
        <f>VLOOKUP(TABLA_STOCK_LISTBOX[[#This Row],[Codigo]],LISTADO_PRODUCTOS[#All],4)</f>
        <v>Cuaderno 16.21 America Nos c/espiral x 84h</v>
      </c>
      <c r="C6" s="25" t="str">
        <f>VLOOKUP(TABLA_STOCK_LISTBOX[[#This Row],[Codigo]],LISTADO_PRODUCTOS[#All],5)</f>
        <v>N/A</v>
      </c>
      <c r="D6" s="25" t="str">
        <f>VLOOKUP(TABLA_STOCK_LISTBOX[[#This Row],[Codigo]],TABLA_STOCK[#All],6)</f>
        <v>12</v>
      </c>
      <c r="E6" s="25">
        <f>VLOOKUP(TABLA_STOCK_LISTBOX[[#This Row],[Codigo]],TABLA_STOCK[#All],7)</f>
        <v>5</v>
      </c>
    </row>
    <row r="7" spans="1:5" x14ac:dyDescent="0.3">
      <c r="A7" s="4">
        <v>1009</v>
      </c>
      <c r="B7" s="25" t="str">
        <f>VLOOKUP(TABLA_STOCK_LISTBOX[[#This Row],[Codigo]],LISTADO_PRODUCTOS[#All],4)</f>
        <v>Cuaderno E7 Éxito Colegial Tapa c/ motivos 60h</v>
      </c>
      <c r="C7" s="25" t="str">
        <f>VLOOKUP(TABLA_STOCK_LISTBOX[[#This Row],[Codigo]],LISTADO_PRODUCTOS[#All],5)</f>
        <v>N/A</v>
      </c>
      <c r="D7" s="25" t="str">
        <f>VLOOKUP(TABLA_STOCK_LISTBOX[[#This Row],[Codigo]],TABLA_STOCK[#All],6)</f>
        <v>5</v>
      </c>
      <c r="E7" s="25">
        <f>VLOOKUP(TABLA_STOCK_LISTBOX[[#This Row],[Codigo]],TABLA_STOCK[#All],7)</f>
        <v>46</v>
      </c>
    </row>
    <row r="8" spans="1:5" x14ac:dyDescent="0.3">
      <c r="A8" s="4">
        <v>1010</v>
      </c>
      <c r="B8" s="25" t="str">
        <f>VLOOKUP(TABLA_STOCK_LISTBOX[[#This Row],[Codigo]],LISTADO_PRODUCTOS[#All],4)</f>
        <v>Cuaderno Colegial Éxito x 60h</v>
      </c>
      <c r="C8" s="25" t="str">
        <f>VLOOKUP(TABLA_STOCK_LISTBOX[[#This Row],[Codigo]],LISTADO_PRODUCTOS[#All],5)</f>
        <v>N/A</v>
      </c>
      <c r="D8" s="25">
        <f>VLOOKUP(TABLA_STOCK_LISTBOX[[#This Row],[Codigo]],TABLA_STOCK[#All],6)</f>
        <v>2</v>
      </c>
      <c r="E8" s="25">
        <f>VLOOKUP(TABLA_STOCK_LISTBOX[[#This Row],[Codigo]],TABLA_STOCK[#All],7)</f>
        <v>28</v>
      </c>
    </row>
    <row r="9" spans="1:5" x14ac:dyDescent="0.3">
      <c r="A9" s="4">
        <v>1011</v>
      </c>
      <c r="B9" s="25" t="str">
        <f>VLOOKUP(TABLA_STOCK_LISTBOX[[#This Row],[Codigo]],LISTADO_PRODUCTOS[#All],4)</f>
        <v>Cuaderno Colegial Éxito x 100h</v>
      </c>
      <c r="C9" s="25" t="str">
        <f>VLOOKUP(TABLA_STOCK_LISTBOX[[#This Row],[Codigo]],LISTADO_PRODUCTOS[#All],5)</f>
        <v>N/A</v>
      </c>
      <c r="D9" s="25">
        <f>VLOOKUP(TABLA_STOCK_LISTBOX[[#This Row],[Codigo]],TABLA_STOCK[#All],6)</f>
        <v>10</v>
      </c>
      <c r="E9" s="25">
        <f>VLOOKUP(TABLA_STOCK_LISTBOX[[#This Row],[Codigo]],TABLA_STOCK[#All],7)</f>
        <v>51</v>
      </c>
    </row>
    <row r="10" spans="1:5" x14ac:dyDescent="0.3">
      <c r="A10" s="4">
        <v>1012</v>
      </c>
      <c r="B10" s="25" t="str">
        <f>VLOOKUP(TABLA_STOCK_LISTBOX[[#This Row],[Codigo]],LISTADO_PRODUCTOS[#All],4)</f>
        <v>Cuaderno ABC Rivadavia x 60h</v>
      </c>
      <c r="C10" s="25" t="str">
        <f>VLOOKUP(TABLA_STOCK_LISTBOX[[#This Row],[Codigo]],LISTADO_PRODUCTOS[#All],5)</f>
        <v>N/A</v>
      </c>
      <c r="D10" s="25" t="str">
        <f>VLOOKUP(TABLA_STOCK_LISTBOX[[#This Row],[Codigo]],TABLA_STOCK[#All],6)</f>
        <v>20</v>
      </c>
      <c r="E10" s="25">
        <f>VLOOKUP(TABLA_STOCK_LISTBOX[[#This Row],[Codigo]],TABLA_STOCK[#All],7)</f>
        <v>107</v>
      </c>
    </row>
    <row r="11" spans="1:5" x14ac:dyDescent="0.3">
      <c r="A11" s="4">
        <v>1013</v>
      </c>
      <c r="B11" s="25" t="str">
        <f>VLOOKUP(TABLA_STOCK_LISTBOX[[#This Row],[Codigo]],LISTADO_PRODUCTOS[#All],4)</f>
        <v>Cuaderno ABC Rivadavia x 100h</v>
      </c>
      <c r="C11" s="25" t="str">
        <f>VLOOKUP(TABLA_STOCK_LISTBOX[[#This Row],[Codigo]],LISTADO_PRODUCTOS[#All],5)</f>
        <v>N/A</v>
      </c>
      <c r="D11" s="25">
        <f>VLOOKUP(TABLA_STOCK_LISTBOX[[#This Row],[Codigo]],TABLA_STOCK[#All],6)</f>
        <v>5</v>
      </c>
      <c r="E11" s="25">
        <f>VLOOKUP(TABLA_STOCK_LISTBOX[[#This Row],[Codigo]],TABLA_STOCK[#All],7)</f>
        <v>25</v>
      </c>
    </row>
    <row r="12" spans="1:5" x14ac:dyDescent="0.3">
      <c r="A12" s="4">
        <v>1014</v>
      </c>
      <c r="B12" s="25" t="str">
        <f>VLOOKUP(TABLA_STOCK_LISTBOX[[#This Row],[Codigo]],LISTADO_PRODUCTOS[#All],4)</f>
        <v>Block A6 Alfa anillado Rayado 80h</v>
      </c>
      <c r="C12" s="25" t="str">
        <f>VLOOKUP(TABLA_STOCK_LISTBOX[[#This Row],[Codigo]],LISTADO_PRODUCTOS[#All],5)</f>
        <v>N/A</v>
      </c>
      <c r="D12" s="25">
        <f>VLOOKUP(TABLA_STOCK_LISTBOX[[#This Row],[Codigo]],TABLA_STOCK[#All],6)</f>
        <v>1</v>
      </c>
      <c r="E12" s="25">
        <f>VLOOKUP(TABLA_STOCK_LISTBOX[[#This Row],[Codigo]],TABLA_STOCK[#All],7)</f>
        <v>32</v>
      </c>
    </row>
    <row r="13" spans="1:5" x14ac:dyDescent="0.3">
      <c r="A13" s="4">
        <v>1015</v>
      </c>
      <c r="B13" s="25" t="str">
        <f>VLOOKUP(TABLA_STOCK_LISTBOX[[#This Row],[Codigo]],LISTADO_PRODUCTOS[#All],4)</f>
        <v xml:space="preserve">Cuaderno 16.21 Avon x 84h Rayadas </v>
      </c>
      <c r="C13" s="25" t="str">
        <f>VLOOKUP(TABLA_STOCK_LISTBOX[[#This Row],[Codigo]],LISTADO_PRODUCTOS[#All],5)</f>
        <v>N/A</v>
      </c>
      <c r="D13" s="25" t="str">
        <f>VLOOKUP(TABLA_STOCK_LISTBOX[[#This Row],[Codigo]],TABLA_STOCK[#All],6)</f>
        <v>5</v>
      </c>
      <c r="E13" s="25">
        <f>VLOOKUP(TABLA_STOCK_LISTBOX[[#This Row],[Codigo]],TABLA_STOCK[#All],7)</f>
        <v>150</v>
      </c>
    </row>
    <row r="14" spans="1:5" x14ac:dyDescent="0.3">
      <c r="A14" s="4">
        <v>1016</v>
      </c>
      <c r="B14" s="25" t="str">
        <f>VLOOKUP(TABLA_STOCK_LISTBOX[[#This Row],[Codigo]],LISTADO_PRODUCTOS[#All],4)</f>
        <v>Block A5 anillado Alfa</v>
      </c>
      <c r="C14" s="25" t="str">
        <f>VLOOKUP(TABLA_STOCK_LISTBOX[[#This Row],[Codigo]],LISTADO_PRODUCTOS[#All],5)</f>
        <v>N/A</v>
      </c>
      <c r="D14" s="25">
        <f>VLOOKUP(TABLA_STOCK_LISTBOX[[#This Row],[Codigo]],TABLA_STOCK[#All],6)</f>
        <v>2</v>
      </c>
      <c r="E14" s="25">
        <f>VLOOKUP(TABLA_STOCK_LISTBOX[[#This Row],[Codigo]],TABLA_STOCK[#All],7)</f>
        <v>20</v>
      </c>
    </row>
    <row r="15" spans="1:5" x14ac:dyDescent="0.3">
      <c r="A15" s="4">
        <v>1017</v>
      </c>
      <c r="B15" s="25" t="str">
        <f>VLOOKUP(TABLA_STOCK_LISTBOX[[#This Row],[Codigo]],LISTADO_PRODUCTOS[#All],4)</f>
        <v>Block A4 Alfa anillado</v>
      </c>
      <c r="C15" s="25" t="str">
        <f>VLOOKUP(TABLA_STOCK_LISTBOX[[#This Row],[Codigo]],LISTADO_PRODUCTOS[#All],5)</f>
        <v>N/A</v>
      </c>
      <c r="D15" s="25">
        <f>VLOOKUP(TABLA_STOCK_LISTBOX[[#This Row],[Codigo]],TABLA_STOCK[#All],6)</f>
        <v>2</v>
      </c>
      <c r="E15" s="25">
        <f>VLOOKUP(TABLA_STOCK_LISTBOX[[#This Row],[Codigo]],TABLA_STOCK[#All],7)</f>
        <v>19</v>
      </c>
    </row>
    <row r="16" spans="1:5" x14ac:dyDescent="0.3">
      <c r="A16" s="4">
        <v>1018</v>
      </c>
      <c r="B16" s="25" t="str">
        <f>VLOOKUP(TABLA_STOCK_LISTBOX[[#This Row],[Codigo]],LISTADO_PRODUCTOS[#All],4)</f>
        <v>Block A4 Avon</v>
      </c>
      <c r="C16" s="25" t="str">
        <f>VLOOKUP(TABLA_STOCK_LISTBOX[[#This Row],[Codigo]],LISTADO_PRODUCTOS[#All],5)</f>
        <v>N/A</v>
      </c>
      <c r="D16" s="25">
        <f>VLOOKUP(TABLA_STOCK_LISTBOX[[#This Row],[Codigo]],TABLA_STOCK[#All],6)</f>
        <v>10</v>
      </c>
      <c r="E16" s="25">
        <f>VLOOKUP(TABLA_STOCK_LISTBOX[[#This Row],[Codigo]],TABLA_STOCK[#All],7)</f>
        <v>6</v>
      </c>
    </row>
    <row r="17" spans="1:5" x14ac:dyDescent="0.3">
      <c r="A17" s="4">
        <v>1020</v>
      </c>
      <c r="B17" s="25" t="str">
        <f>VLOOKUP(TABLA_STOCK_LISTBOX[[#This Row],[Codigo]],LISTADO_PRODUCTOS[#All],4)</f>
        <v>Block Oficio Avon</v>
      </c>
      <c r="C17" s="25" t="str">
        <f>VLOOKUP(TABLA_STOCK_LISTBOX[[#This Row],[Codigo]],LISTADO_PRODUCTOS[#All],5)</f>
        <v>N/A</v>
      </c>
      <c r="D17" s="25">
        <f>VLOOKUP(TABLA_STOCK_LISTBOX[[#This Row],[Codigo]],TABLA_STOCK[#All],6)</f>
        <v>20</v>
      </c>
      <c r="E17" s="25">
        <f>VLOOKUP(TABLA_STOCK_LISTBOX[[#This Row],[Codigo]],TABLA_STOCK[#All],7)</f>
        <v>5</v>
      </c>
    </row>
    <row r="18" spans="1:5" x14ac:dyDescent="0.3">
      <c r="A18" s="4">
        <v>1021</v>
      </c>
      <c r="B18" s="25" t="str">
        <f>VLOOKUP(TABLA_STOCK_LISTBOX[[#This Row],[Codigo]],LISTADO_PRODUCTOS[#All],4)</f>
        <v>Tijera para Zurdos Maped</v>
      </c>
      <c r="C18" s="25" t="str">
        <f>VLOOKUP(TABLA_STOCK_LISTBOX[[#This Row],[Codigo]],LISTADO_PRODUCTOS[#All],5)</f>
        <v>N/A</v>
      </c>
      <c r="D18" s="25">
        <f>VLOOKUP(TABLA_STOCK_LISTBOX[[#This Row],[Codigo]],TABLA_STOCK[#All],6)</f>
        <v>5</v>
      </c>
      <c r="E18" s="25">
        <f>VLOOKUP(TABLA_STOCK_LISTBOX[[#This Row],[Codigo]],TABLA_STOCK[#All],7)</f>
        <v>52</v>
      </c>
    </row>
    <row r="19" spans="1:5" x14ac:dyDescent="0.3">
      <c r="A19" s="4">
        <v>1023</v>
      </c>
      <c r="B19" s="25" t="str">
        <f>VLOOKUP(TABLA_STOCK_LISTBOX[[#This Row],[Codigo]],LISTADO_PRODUCTOS[#All],4)</f>
        <v>Cuaderno Éxito Nº3 x 48h Forrado</v>
      </c>
      <c r="C19" s="25" t="str">
        <f>VLOOKUP(TABLA_STOCK_LISTBOX[[#This Row],[Codigo]],LISTADO_PRODUCTOS[#All],5)</f>
        <v>N/A</v>
      </c>
      <c r="D19" s="25">
        <f>VLOOKUP(TABLA_STOCK_LISTBOX[[#This Row],[Codigo]],TABLA_STOCK[#All],6)</f>
        <v>1</v>
      </c>
      <c r="E19" s="25">
        <f>VLOOKUP(TABLA_STOCK_LISTBOX[[#This Row],[Codigo]],TABLA_STOCK[#All],7)</f>
        <v>32</v>
      </c>
    </row>
    <row r="20" spans="1:5" x14ac:dyDescent="0.3">
      <c r="A20" s="4">
        <v>1024</v>
      </c>
      <c r="B20" s="25" t="str">
        <f>VLOOKUP(TABLA_STOCK_LISTBOX[[#This Row],[Codigo]],LISTADO_PRODUCTOS[#All],4)</f>
        <v>Cuaderno Éxito Nº3 x 48h Motivos - 7791762225079</v>
      </c>
      <c r="C20" s="25" t="str">
        <f>VLOOKUP(TABLA_STOCK_LISTBOX[[#This Row],[Codigo]],LISTADO_PRODUCTOS[#All],5)</f>
        <v>N/A</v>
      </c>
      <c r="D20" s="25">
        <f>VLOOKUP(TABLA_STOCK_LISTBOX[[#This Row],[Codigo]],TABLA_STOCK[#All],6)</f>
        <v>5</v>
      </c>
      <c r="E20" s="25">
        <f>VLOOKUP(TABLA_STOCK_LISTBOX[[#This Row],[Codigo]],TABLA_STOCK[#All],7)</f>
        <v>56</v>
      </c>
    </row>
    <row r="21" spans="1:5" x14ac:dyDescent="0.3">
      <c r="A21" s="4">
        <v>1025</v>
      </c>
      <c r="B21" s="25" t="str">
        <f>VLOOKUP(TABLA_STOCK_LISTBOX[[#This Row],[Codigo]],LISTADO_PRODUCTOS[#All],4)</f>
        <v>Cuaderno Éxito Nº3 x 48h Lunares - 7791762378072</v>
      </c>
      <c r="C21" s="25" t="str">
        <f>VLOOKUP(TABLA_STOCK_LISTBOX[[#This Row],[Codigo]],LISTADO_PRODUCTOS[#All],5)</f>
        <v>N/A</v>
      </c>
      <c r="D21" s="25">
        <f>VLOOKUP(TABLA_STOCK_LISTBOX[[#This Row],[Codigo]],TABLA_STOCK[#All],6)</f>
        <v>2</v>
      </c>
      <c r="E21" s="25">
        <f>VLOOKUP(TABLA_STOCK_LISTBOX[[#This Row],[Codigo]],TABLA_STOCK[#All],7)</f>
        <v>107</v>
      </c>
    </row>
    <row r="22" spans="1:5" x14ac:dyDescent="0.3">
      <c r="A22" s="4">
        <v>1026</v>
      </c>
      <c r="B22" s="25" t="str">
        <f>VLOOKUP(TABLA_STOCK_LISTBOX[[#This Row],[Codigo]],LISTADO_PRODUCTOS[#All],4)</f>
        <v>Cuaderno Rivadavia Nº3 x 50h Forrado araña</v>
      </c>
      <c r="C22" s="25" t="str">
        <f>VLOOKUP(TABLA_STOCK_LISTBOX[[#This Row],[Codigo]],LISTADO_PRODUCTOS[#All],5)</f>
        <v>N/A</v>
      </c>
      <c r="D22" s="25">
        <f>VLOOKUP(TABLA_STOCK_LISTBOX[[#This Row],[Codigo]],TABLA_STOCK[#All],6)</f>
        <v>2</v>
      </c>
      <c r="E22" s="25">
        <f>VLOOKUP(TABLA_STOCK_LISTBOX[[#This Row],[Codigo]],TABLA_STOCK[#All],7)</f>
        <v>25</v>
      </c>
    </row>
    <row r="23" spans="1:5" x14ac:dyDescent="0.3">
      <c r="A23" s="4">
        <v>1027</v>
      </c>
      <c r="B23" s="25" t="str">
        <f>VLOOKUP(TABLA_STOCK_LISTBOX[[#This Row],[Codigo]],LISTADO_PRODUCTOS[#All],4)</f>
        <v>Cuaderno Rivadavia Nº3 x 50h Lunar</v>
      </c>
      <c r="C23" s="25" t="str">
        <f>VLOOKUP(TABLA_STOCK_LISTBOX[[#This Row],[Codigo]],LISTADO_PRODUCTOS[#All],5)</f>
        <v>N/A</v>
      </c>
      <c r="D23" s="25">
        <f>VLOOKUP(TABLA_STOCK_LISTBOX[[#This Row],[Codigo]],TABLA_STOCK[#All],6)</f>
        <v>10</v>
      </c>
      <c r="E23" s="25">
        <f>VLOOKUP(TABLA_STOCK_LISTBOX[[#This Row],[Codigo]],TABLA_STOCK[#All],7)</f>
        <v>32</v>
      </c>
    </row>
    <row r="24" spans="1:5" x14ac:dyDescent="0.3">
      <c r="A24" s="4">
        <v>1028</v>
      </c>
      <c r="B24" s="25" t="str">
        <f>VLOOKUP(TABLA_STOCK_LISTBOX[[#This Row],[Codigo]],LISTADO_PRODUCTOS[#All],4)</f>
        <v>Cuaderno ABC Inicial T/C</v>
      </c>
      <c r="C24" s="25" t="str">
        <f>VLOOKUP(TABLA_STOCK_LISTBOX[[#This Row],[Codigo]],LISTADO_PRODUCTOS[#All],5)</f>
        <v>N/A</v>
      </c>
      <c r="D24" s="25">
        <f>VLOOKUP(TABLA_STOCK_LISTBOX[[#This Row],[Codigo]],TABLA_STOCK[#All],6)</f>
        <v>20</v>
      </c>
      <c r="E24" s="25">
        <f>VLOOKUP(TABLA_STOCK_LISTBOX[[#This Row],[Codigo]],TABLA_STOCK[#All],7)</f>
        <v>150</v>
      </c>
    </row>
    <row r="25" spans="1:5" x14ac:dyDescent="0.3">
      <c r="A25" s="4">
        <v>1029</v>
      </c>
      <c r="B25" s="25" t="str">
        <f>VLOOKUP(TABLA_STOCK_LISTBOX[[#This Row],[Codigo]],LISTADO_PRODUCTOS[#All],4)</f>
        <v>Cuaderno Escolar Éxito x 48h Forrado</v>
      </c>
      <c r="C25" s="25" t="str">
        <f>VLOOKUP(TABLA_STOCK_LISTBOX[[#This Row],[Codigo]],LISTADO_PRODUCTOS[#All],5)</f>
        <v>N/A</v>
      </c>
      <c r="D25" s="25">
        <f>VLOOKUP(TABLA_STOCK_LISTBOX[[#This Row],[Codigo]],TABLA_STOCK[#All],6)</f>
        <v>5</v>
      </c>
      <c r="E25" s="25">
        <f>VLOOKUP(TABLA_STOCK_LISTBOX[[#This Row],[Codigo]],TABLA_STOCK[#All],7)</f>
        <v>20</v>
      </c>
    </row>
    <row r="26" spans="1:5" x14ac:dyDescent="0.3">
      <c r="A26" s="4">
        <v>1030</v>
      </c>
      <c r="B26" s="25" t="str">
        <f>VLOOKUP(TABLA_STOCK_LISTBOX[[#This Row],[Codigo]],LISTADO_PRODUCTOS[#All],4)</f>
        <v>Cuaderno Escolar ABC Rivadavia x 50h - 7792216051053</v>
      </c>
      <c r="C26" s="25" t="str">
        <f>VLOOKUP(TABLA_STOCK_LISTBOX[[#This Row],[Codigo]],LISTADO_PRODUCTOS[#All],5)</f>
        <v>N/A</v>
      </c>
      <c r="D26" s="25">
        <f>VLOOKUP(TABLA_STOCK_LISTBOX[[#This Row],[Codigo]],TABLA_STOCK[#All],6)</f>
        <v>1</v>
      </c>
      <c r="E26" s="25">
        <f>VLOOKUP(TABLA_STOCK_LISTBOX[[#This Row],[Codigo]],TABLA_STOCK[#All],7)</f>
        <v>19</v>
      </c>
    </row>
    <row r="27" spans="1:5" x14ac:dyDescent="0.3">
      <c r="A27" s="4">
        <v>1031</v>
      </c>
      <c r="B27" s="25" t="str">
        <f>VLOOKUP(TABLA_STOCK_LISTBOX[[#This Row],[Codigo]],LISTADO_PRODUCTOS[#All],4)</f>
        <v>Cuaderno Escolar America x 82h T/C - 7792216675709</v>
      </c>
      <c r="C27" s="25" t="str">
        <f>VLOOKUP(TABLA_STOCK_LISTBOX[[#This Row],[Codigo]],LISTADO_PRODUCTOS[#All],5)</f>
        <v>N/A</v>
      </c>
      <c r="D27" s="25">
        <f>VLOOKUP(TABLA_STOCK_LISTBOX[[#This Row],[Codigo]],TABLA_STOCK[#All],6)</f>
        <v>5</v>
      </c>
      <c r="E27" s="25">
        <f>VLOOKUP(TABLA_STOCK_LISTBOX[[#This Row],[Codigo]],TABLA_STOCK[#All],7)</f>
        <v>6</v>
      </c>
    </row>
    <row r="28" spans="1:5" x14ac:dyDescent="0.3">
      <c r="A28" s="4">
        <v>1032</v>
      </c>
      <c r="B28" s="25" t="str">
        <f>VLOOKUP(TABLA_STOCK_LISTBOX[[#This Row],[Codigo]],LISTADO_PRODUCTOS[#All],4)</f>
        <v xml:space="preserve"> cuaderno Escolar America 42h T/C - 7792216000495</v>
      </c>
      <c r="C28" s="25" t="str">
        <f>VLOOKUP(TABLA_STOCK_LISTBOX[[#This Row],[Codigo]],LISTADO_PRODUCTOS[#All],5)</f>
        <v>N/A</v>
      </c>
      <c r="D28" s="25">
        <f>VLOOKUP(TABLA_STOCK_LISTBOX[[#This Row],[Codigo]],TABLA_STOCK[#All],6)</f>
        <v>2</v>
      </c>
      <c r="E28" s="25">
        <f>VLOOKUP(TABLA_STOCK_LISTBOX[[#This Row],[Codigo]],TABLA_STOCK[#All],7)</f>
        <v>5</v>
      </c>
    </row>
    <row r="29" spans="1:5" x14ac:dyDescent="0.3">
      <c r="A29" s="4">
        <v>1033</v>
      </c>
      <c r="B29" s="25" t="str">
        <f>VLOOKUP(TABLA_STOCK_LISTBOX[[#This Row],[Codigo]],LISTADO_PRODUCTOS[#All],4)</f>
        <v>Cuaderno Escolar Gloria x 84h</v>
      </c>
      <c r="C29" s="25" t="str">
        <f>VLOOKUP(TABLA_STOCK_LISTBOX[[#This Row],[Codigo]],LISTADO_PRODUCTOS[#All],5)</f>
        <v>N/A</v>
      </c>
      <c r="D29" s="25">
        <f>VLOOKUP(TABLA_STOCK_LISTBOX[[#This Row],[Codigo]],TABLA_STOCK[#All],6)</f>
        <v>2</v>
      </c>
      <c r="E29" s="25">
        <f>VLOOKUP(TABLA_STOCK_LISTBOX[[#This Row],[Codigo]],TABLA_STOCK[#All],7)</f>
        <v>52</v>
      </c>
    </row>
    <row r="30" spans="1:5" x14ac:dyDescent="0.3">
      <c r="A30" s="4">
        <v>1036</v>
      </c>
      <c r="B30" s="25" t="str">
        <f>VLOOKUP(TABLA_STOCK_LISTBOX[[#This Row],[Codigo]],LISTADO_PRODUCTOS[#All],4)</f>
        <v>Cuaderno Rivadavia escolar T dura 50h 16.21</v>
      </c>
      <c r="C30" s="25" t="str">
        <f>VLOOKUP(TABLA_STOCK_LISTBOX[[#This Row],[Codigo]],LISTADO_PRODUCTOS[#All],5)</f>
        <v>N/A</v>
      </c>
      <c r="D30" s="25">
        <f>VLOOKUP(TABLA_STOCK_LISTBOX[[#This Row],[Codigo]],TABLA_STOCK[#All],6)</f>
        <v>10</v>
      </c>
      <c r="E30" s="25">
        <f>VLOOKUP(TABLA_STOCK_LISTBOX[[#This Row],[Codigo]],TABLA_STOCK[#All],7)</f>
        <v>32</v>
      </c>
    </row>
    <row r="31" spans="1:5" x14ac:dyDescent="0.3">
      <c r="A31" s="4">
        <v>1038</v>
      </c>
      <c r="B31" s="25" t="str">
        <f>VLOOKUP(TABLA_STOCK_LISTBOX[[#This Row],[Codigo]],LISTADO_PRODUCTOS[#All],4)</f>
        <v>Cuaderno T/flex Gloria x 48h - 7791762110078</v>
      </c>
      <c r="C31" s="25" t="str">
        <f>VLOOKUP(TABLA_STOCK_LISTBOX[[#This Row],[Codigo]],LISTADO_PRODUCTOS[#All],5)</f>
        <v>N/A</v>
      </c>
      <c r="D31" s="25">
        <f>VLOOKUP(TABLA_STOCK_LISTBOX[[#This Row],[Codigo]],TABLA_STOCK[#All],6)</f>
        <v>20</v>
      </c>
      <c r="E31" s="25">
        <f>VLOOKUP(TABLA_STOCK_LISTBOX[[#This Row],[Codigo]],TABLA_STOCK[#All],7)</f>
        <v>56</v>
      </c>
    </row>
    <row r="32" spans="1:5" x14ac:dyDescent="0.3">
      <c r="A32" s="4">
        <v>1039</v>
      </c>
      <c r="B32" s="25" t="str">
        <f>VLOOKUP(TABLA_STOCK_LISTBOX[[#This Row],[Codigo]],LISTADO_PRODUCTOS[#All],4)</f>
        <v>Cuaderno T/flex Gloria x 24h</v>
      </c>
      <c r="C32" s="25" t="str">
        <f>VLOOKUP(TABLA_STOCK_LISTBOX[[#This Row],[Codigo]],LISTADO_PRODUCTOS[#All],5)</f>
        <v>N/A</v>
      </c>
      <c r="D32" s="25">
        <f>VLOOKUP(TABLA_STOCK_LISTBOX[[#This Row],[Codigo]],TABLA_STOCK[#All],6)</f>
        <v>5</v>
      </c>
      <c r="E32" s="25">
        <f>VLOOKUP(TABLA_STOCK_LISTBOX[[#This Row],[Codigo]],TABLA_STOCK[#All],7)</f>
        <v>107</v>
      </c>
    </row>
    <row r="33" spans="1:5" x14ac:dyDescent="0.3">
      <c r="A33" s="4">
        <v>1040</v>
      </c>
      <c r="B33" s="25" t="str">
        <f>VLOOKUP(TABLA_STOCK_LISTBOX[[#This Row],[Codigo]],LISTADO_PRODUCTOS[#All],4)</f>
        <v>Repuesto N°3 Husares x 480h</v>
      </c>
      <c r="C33" s="25" t="str">
        <f>VLOOKUP(TABLA_STOCK_LISTBOX[[#This Row],[Codigo]],LISTADO_PRODUCTOS[#All],5)</f>
        <v>N/A</v>
      </c>
      <c r="D33" s="25">
        <f>VLOOKUP(TABLA_STOCK_LISTBOX[[#This Row],[Codigo]],TABLA_STOCK[#All],6)</f>
        <v>1</v>
      </c>
      <c r="E33" s="25">
        <f>VLOOKUP(TABLA_STOCK_LISTBOX[[#This Row],[Codigo]],TABLA_STOCK[#All],7)</f>
        <v>25</v>
      </c>
    </row>
    <row r="34" spans="1:5" x14ac:dyDescent="0.3">
      <c r="A34" s="4">
        <v>1041</v>
      </c>
      <c r="B34" s="25" t="str">
        <f>VLOOKUP(TABLA_STOCK_LISTBOX[[#This Row],[Codigo]],LISTADO_PRODUCTOS[#All],4)</f>
        <v>Repuesto A4 Éxito M/Reforzado x 96h - 7791762400124</v>
      </c>
      <c r="C34" s="25" t="str">
        <f>VLOOKUP(TABLA_STOCK_LISTBOX[[#This Row],[Codigo]],LISTADO_PRODUCTOS[#All],5)</f>
        <v>N/A</v>
      </c>
      <c r="D34" s="25">
        <f>VLOOKUP(TABLA_STOCK_LISTBOX[[#This Row],[Codigo]],TABLA_STOCK[#All],6)</f>
        <v>5</v>
      </c>
      <c r="E34" s="25">
        <f>VLOOKUP(TABLA_STOCK_LISTBOX[[#This Row],[Codigo]],TABLA_STOCK[#All],7)</f>
        <v>32</v>
      </c>
    </row>
    <row r="35" spans="1:5" x14ac:dyDescent="0.3">
      <c r="A35" s="4">
        <v>1042</v>
      </c>
      <c r="B35" s="25" t="str">
        <f>VLOOKUP(TABLA_STOCK_LISTBOX[[#This Row],[Codigo]],LISTADO_PRODUCTOS[#All],4)</f>
        <v>Repuesto A4 Rivadavia M/Ref x96h - 7792216041917</v>
      </c>
      <c r="C35" s="25" t="str">
        <f>VLOOKUP(TABLA_STOCK_LISTBOX[[#This Row],[Codigo]],LISTADO_PRODUCTOS[#All],5)</f>
        <v>N/A</v>
      </c>
      <c r="D35" s="25">
        <f>VLOOKUP(TABLA_STOCK_LISTBOX[[#This Row],[Codigo]],TABLA_STOCK[#All],6)</f>
        <v>2</v>
      </c>
      <c r="E35" s="25">
        <f>VLOOKUP(TABLA_STOCK_LISTBOX[[#This Row],[Codigo]],TABLA_STOCK[#All],7)</f>
        <v>150</v>
      </c>
    </row>
    <row r="36" spans="1:5" x14ac:dyDescent="0.3">
      <c r="A36" s="4">
        <v>1043</v>
      </c>
      <c r="B36" s="25" t="str">
        <f>VLOOKUP(TABLA_STOCK_LISTBOX[[#This Row],[Codigo]],LISTADO_PRODUCTOS[#All],4)</f>
        <v>Repuesto A4 Rivadavia M/Ref x 48h</v>
      </c>
      <c r="C36" s="25" t="str">
        <f>VLOOKUP(TABLA_STOCK_LISTBOX[[#This Row],[Codigo]],LISTADO_PRODUCTOS[#All],5)</f>
        <v>N/A</v>
      </c>
      <c r="D36" s="25">
        <f>VLOOKUP(TABLA_STOCK_LISTBOX[[#This Row],[Codigo]],TABLA_STOCK[#All],6)</f>
        <v>2</v>
      </c>
      <c r="E36" s="25">
        <f>VLOOKUP(TABLA_STOCK_LISTBOX[[#This Row],[Codigo]],TABLA_STOCK[#All],7)</f>
        <v>20</v>
      </c>
    </row>
    <row r="37" spans="1:5" x14ac:dyDescent="0.3">
      <c r="A37" s="4">
        <v>1044</v>
      </c>
      <c r="B37" s="25" t="str">
        <f>VLOOKUP(TABLA_STOCK_LISTBOX[[#This Row],[Codigo]],LISTADO_PRODUCTOS[#All],4)</f>
        <v>Repuesto escolar A4 Éxito x 192h M/Reforzado</v>
      </c>
      <c r="C37" s="25" t="str">
        <f>VLOOKUP(TABLA_STOCK_LISTBOX[[#This Row],[Codigo]],LISTADO_PRODUCTOS[#All],5)</f>
        <v>N/A</v>
      </c>
      <c r="D37" s="25">
        <f>VLOOKUP(TABLA_STOCK_LISTBOX[[#This Row],[Codigo]],TABLA_STOCK[#All],6)</f>
        <v>10</v>
      </c>
      <c r="E37" s="25">
        <f>VLOOKUP(TABLA_STOCK_LISTBOX[[#This Row],[Codigo]],TABLA_STOCK[#All],7)</f>
        <v>19</v>
      </c>
    </row>
    <row r="38" spans="1:5" x14ac:dyDescent="0.3">
      <c r="A38" s="4">
        <v>1045</v>
      </c>
      <c r="B38" s="25" t="str">
        <f>VLOOKUP(TABLA_STOCK_LISTBOX[[#This Row],[Codigo]],LISTADO_PRODUCTOS[#All],4)</f>
        <v xml:space="preserve">Repuesto A4 Husares x 48h </v>
      </c>
      <c r="C38" s="25" t="str">
        <f>VLOOKUP(TABLA_STOCK_LISTBOX[[#This Row],[Codigo]],LISTADO_PRODUCTOS[#All],5)</f>
        <v>N/A</v>
      </c>
      <c r="D38" s="25">
        <f>VLOOKUP(TABLA_STOCK_LISTBOX[[#This Row],[Codigo]],TABLA_STOCK[#All],6)</f>
        <v>20</v>
      </c>
      <c r="E38" s="25">
        <f>VLOOKUP(TABLA_STOCK_LISTBOX[[#This Row],[Codigo]],TABLA_STOCK[#All],7)</f>
        <v>6</v>
      </c>
    </row>
    <row r="39" spans="1:5" x14ac:dyDescent="0.3">
      <c r="A39" s="4">
        <v>1047</v>
      </c>
      <c r="B39" s="25" t="str">
        <f>VLOOKUP(TABLA_STOCK_LISTBOX[[#This Row],[Codigo]],LISTADO_PRODUCTOS[#All],4)</f>
        <v>Repuesto A4 Husares 120h</v>
      </c>
      <c r="C39" s="25" t="str">
        <f>VLOOKUP(TABLA_STOCK_LISTBOX[[#This Row],[Codigo]],LISTADO_PRODUCTOS[#All],5)</f>
        <v>N/A</v>
      </c>
      <c r="D39" s="25">
        <f>VLOOKUP(TABLA_STOCK_LISTBOX[[#This Row],[Codigo]],TABLA_STOCK[#All],6)</f>
        <v>5</v>
      </c>
      <c r="E39" s="25">
        <f>VLOOKUP(TABLA_STOCK_LISTBOX[[#This Row],[Codigo]],TABLA_STOCK[#All],7)</f>
        <v>5</v>
      </c>
    </row>
    <row r="40" spans="1:5" x14ac:dyDescent="0.3">
      <c r="A40" s="4">
        <v>1048</v>
      </c>
      <c r="B40" s="25" t="str">
        <f>VLOOKUP(TABLA_STOCK_LISTBOX[[#This Row],[Codigo]],LISTADO_PRODUCTOS[#All],4)</f>
        <v>Repuesto Nº3 Éxito M/R x 480h</v>
      </c>
      <c r="C40" s="25" t="str">
        <f>VLOOKUP(TABLA_STOCK_LISTBOX[[#This Row],[Codigo]],LISTADO_PRODUCTOS[#All],5)</f>
        <v>N/A</v>
      </c>
      <c r="D40" s="25">
        <f>VLOOKUP(TABLA_STOCK_LISTBOX[[#This Row],[Codigo]],TABLA_STOCK[#All],6)</f>
        <v>1</v>
      </c>
      <c r="E40" s="25">
        <f>VLOOKUP(TABLA_STOCK_LISTBOX[[#This Row],[Codigo]],TABLA_STOCK[#All],7)</f>
        <v>52</v>
      </c>
    </row>
    <row r="41" spans="1:5" x14ac:dyDescent="0.3">
      <c r="A41" s="4">
        <v>1049</v>
      </c>
      <c r="B41" s="25" t="str">
        <f>VLOOKUP(TABLA_STOCK_LISTBOX[[#This Row],[Codigo]],LISTADO_PRODUCTOS[#All],4)</f>
        <v>Repuesto Nº3 Éxito M/R x 96h - 7791762480126</v>
      </c>
      <c r="C41" s="25" t="str">
        <f>VLOOKUP(TABLA_STOCK_LISTBOX[[#This Row],[Codigo]],LISTADO_PRODUCTOS[#All],5)</f>
        <v>N/A</v>
      </c>
      <c r="D41" s="25">
        <f>VLOOKUP(TABLA_STOCK_LISTBOX[[#This Row],[Codigo]],TABLA_STOCK[#All],6)</f>
        <v>5</v>
      </c>
      <c r="E41" s="25">
        <f>VLOOKUP(TABLA_STOCK_LISTBOX[[#This Row],[Codigo]],TABLA_STOCK[#All],7)</f>
        <v>32</v>
      </c>
    </row>
    <row r="42" spans="1:5" x14ac:dyDescent="0.3">
      <c r="A42" s="4">
        <v>1050</v>
      </c>
      <c r="B42" s="25" t="str">
        <f>VLOOKUP(TABLA_STOCK_LISTBOX[[#This Row],[Codigo]],LISTADO_PRODUCTOS[#All],4)</f>
        <v>Repuesto Éxito N°3 M/R x 48h</v>
      </c>
      <c r="C42" s="25" t="str">
        <f>VLOOKUP(TABLA_STOCK_LISTBOX[[#This Row],[Codigo]],LISTADO_PRODUCTOS[#All],5)</f>
        <v>N/A</v>
      </c>
      <c r="D42" s="25">
        <f>VLOOKUP(TABLA_STOCK_LISTBOX[[#This Row],[Codigo]],TABLA_STOCK[#All],6)</f>
        <v>2</v>
      </c>
      <c r="E42" s="25">
        <f>VLOOKUP(TABLA_STOCK_LISTBOX[[#This Row],[Codigo]],TABLA_STOCK[#All],7)</f>
        <v>56</v>
      </c>
    </row>
    <row r="43" spans="1:5" x14ac:dyDescent="0.3">
      <c r="A43" s="4">
        <v>1051</v>
      </c>
      <c r="B43" s="25" t="str">
        <f>VLOOKUP(TABLA_STOCK_LISTBOX[[#This Row],[Codigo]],LISTADO_PRODUCTOS[#All],4)</f>
        <v>Repuesto Nº3 Éxito M/R x 24h</v>
      </c>
      <c r="C43" s="25" t="str">
        <f>VLOOKUP(TABLA_STOCK_LISTBOX[[#This Row],[Codigo]],LISTADO_PRODUCTOS[#All],5)</f>
        <v>N/A</v>
      </c>
      <c r="D43" s="25">
        <f>VLOOKUP(TABLA_STOCK_LISTBOX[[#This Row],[Codigo]],TABLA_STOCK[#All],6)</f>
        <v>2</v>
      </c>
      <c r="E43" s="25">
        <f>VLOOKUP(TABLA_STOCK_LISTBOX[[#This Row],[Codigo]],TABLA_STOCK[#All],7)</f>
        <v>107</v>
      </c>
    </row>
    <row r="44" spans="1:5" x14ac:dyDescent="0.3">
      <c r="A44" s="4">
        <v>1052</v>
      </c>
      <c r="B44" s="25" t="str">
        <f>VLOOKUP(TABLA_STOCK_LISTBOX[[#This Row],[Codigo]],LISTADO_PRODUCTOS[#All],4)</f>
        <v>Repuesto Nº3 Éxito x 480h</v>
      </c>
      <c r="C44" s="25" t="str">
        <f>VLOOKUP(TABLA_STOCK_LISTBOX[[#This Row],[Codigo]],LISTADO_PRODUCTOS[#All],5)</f>
        <v>N/A</v>
      </c>
      <c r="D44" s="25">
        <f>VLOOKUP(TABLA_STOCK_LISTBOX[[#This Row],[Codigo]],TABLA_STOCK[#All],6)</f>
        <v>10</v>
      </c>
      <c r="E44" s="25">
        <f>VLOOKUP(TABLA_STOCK_LISTBOX[[#This Row],[Codigo]],TABLA_STOCK[#All],7)</f>
        <v>25</v>
      </c>
    </row>
    <row r="45" spans="1:5" x14ac:dyDescent="0.3">
      <c r="A45" s="4">
        <v>1053</v>
      </c>
      <c r="B45" s="25" t="str">
        <f>VLOOKUP(TABLA_STOCK_LISTBOX[[#This Row],[Codigo]],LISTADO_PRODUCTOS[#All],4)</f>
        <v>Repuesto Nº3 Éxito x 96h</v>
      </c>
      <c r="C45" s="25" t="str">
        <f>VLOOKUP(TABLA_STOCK_LISTBOX[[#This Row],[Codigo]],LISTADO_PRODUCTOS[#All],5)</f>
        <v>N/A</v>
      </c>
      <c r="D45" s="25">
        <f>VLOOKUP(TABLA_STOCK_LISTBOX[[#This Row],[Codigo]],TABLA_STOCK[#All],6)</f>
        <v>20</v>
      </c>
      <c r="E45" s="25">
        <f>VLOOKUP(TABLA_STOCK_LISTBOX[[#This Row],[Codigo]],TABLA_STOCK[#All],7)</f>
        <v>32</v>
      </c>
    </row>
    <row r="46" spans="1:5" x14ac:dyDescent="0.3">
      <c r="A46" s="4">
        <v>1054</v>
      </c>
      <c r="B46" s="25" t="str">
        <f>VLOOKUP(TABLA_STOCK_LISTBOX[[#This Row],[Codigo]],LISTADO_PRODUCTOS[#All],4)</f>
        <v>Repuesto Nº3 Éxito x 48h</v>
      </c>
      <c r="C46" s="25" t="str">
        <f>VLOOKUP(TABLA_STOCK_LISTBOX[[#This Row],[Codigo]],LISTADO_PRODUCTOS[#All],5)</f>
        <v>N/A</v>
      </c>
      <c r="D46" s="25">
        <f>VLOOKUP(TABLA_STOCK_LISTBOX[[#This Row],[Codigo]],TABLA_STOCK[#All],6)</f>
        <v>5</v>
      </c>
      <c r="E46" s="25">
        <f>VLOOKUP(TABLA_STOCK_LISTBOX[[#This Row],[Codigo]],TABLA_STOCK[#All],7)</f>
        <v>150</v>
      </c>
    </row>
    <row r="47" spans="1:5" x14ac:dyDescent="0.3">
      <c r="A47" s="4">
        <v>1055</v>
      </c>
      <c r="B47" s="25" t="str">
        <f>VLOOKUP(TABLA_STOCK_LISTBOX[[#This Row],[Codigo]],LISTADO_PRODUCTOS[#All],4)</f>
        <v>Repuesto Nº3 Éxito x 24h - 7791762486333</v>
      </c>
      <c r="C47" s="25" t="str">
        <f>VLOOKUP(TABLA_STOCK_LISTBOX[[#This Row],[Codigo]],LISTADO_PRODUCTOS[#All],5)</f>
        <v>N/A</v>
      </c>
      <c r="D47" s="25">
        <f>VLOOKUP(TABLA_STOCK_LISTBOX[[#This Row],[Codigo]],TABLA_STOCK[#All],6)</f>
        <v>1</v>
      </c>
      <c r="E47" s="25">
        <f>VLOOKUP(TABLA_STOCK_LISTBOX[[#This Row],[Codigo]],TABLA_STOCK[#All],7)</f>
        <v>20</v>
      </c>
    </row>
    <row r="48" spans="1:5" x14ac:dyDescent="0.3">
      <c r="A48" s="4">
        <v>1056</v>
      </c>
      <c r="B48" s="25" t="str">
        <f>VLOOKUP(TABLA_STOCK_LISTBOX[[#This Row],[Codigo]],LISTADO_PRODUCTOS[#All],4)</f>
        <v>Repuesto Nº3 Rivadavia x 480h - 7792216050162</v>
      </c>
      <c r="C48" s="25" t="str">
        <f>VLOOKUP(TABLA_STOCK_LISTBOX[[#This Row],[Codigo]],LISTADO_PRODUCTOS[#All],5)</f>
        <v>N/A</v>
      </c>
      <c r="D48" s="25">
        <f>VLOOKUP(TABLA_STOCK_LISTBOX[[#This Row],[Codigo]],TABLA_STOCK[#All],6)</f>
        <v>5</v>
      </c>
      <c r="E48" s="25">
        <f>VLOOKUP(TABLA_STOCK_LISTBOX[[#This Row],[Codigo]],TABLA_STOCK[#All],7)</f>
        <v>19</v>
      </c>
    </row>
    <row r="49" spans="1:5" x14ac:dyDescent="0.3">
      <c r="A49" s="4">
        <v>1057</v>
      </c>
      <c r="B49" s="25" t="str">
        <f>VLOOKUP(TABLA_STOCK_LISTBOX[[#This Row],[Codigo]],LISTADO_PRODUCTOS[#All],4)</f>
        <v>Repuesto Nº3 Rivadavia x 96h - 7792216041658</v>
      </c>
      <c r="C49" s="25" t="str">
        <f>VLOOKUP(TABLA_STOCK_LISTBOX[[#This Row],[Codigo]],LISTADO_PRODUCTOS[#All],5)</f>
        <v>N/A</v>
      </c>
      <c r="D49" s="25">
        <f>VLOOKUP(TABLA_STOCK_LISTBOX[[#This Row],[Codigo]],TABLA_STOCK[#All],6)</f>
        <v>2</v>
      </c>
      <c r="E49" s="25">
        <f>VLOOKUP(TABLA_STOCK_LISTBOX[[#This Row],[Codigo]],TABLA_STOCK[#All],7)</f>
        <v>6</v>
      </c>
    </row>
    <row r="50" spans="1:5" x14ac:dyDescent="0.3">
      <c r="A50" s="4">
        <v>1058</v>
      </c>
      <c r="B50" s="25" t="str">
        <f>VLOOKUP(TABLA_STOCK_LISTBOX[[#This Row],[Codigo]],LISTADO_PRODUCTOS[#All],4)</f>
        <v>Repuesto Nº3 Rivadavia x 48h</v>
      </c>
      <c r="C50" s="25" t="str">
        <f>VLOOKUP(TABLA_STOCK_LISTBOX[[#This Row],[Codigo]],LISTADO_PRODUCTOS[#All],5)</f>
        <v>N/A</v>
      </c>
      <c r="D50" s="25">
        <f>VLOOKUP(TABLA_STOCK_LISTBOX[[#This Row],[Codigo]],TABLA_STOCK[#All],6)</f>
        <v>2</v>
      </c>
      <c r="E50" s="25">
        <f>VLOOKUP(TABLA_STOCK_LISTBOX[[#This Row],[Codigo]],TABLA_STOCK[#All],7)</f>
        <v>5</v>
      </c>
    </row>
    <row r="51" spans="1:5" x14ac:dyDescent="0.3">
      <c r="A51" s="4">
        <v>1059</v>
      </c>
      <c r="B51" s="25" t="str">
        <f>VLOOKUP(TABLA_STOCK_LISTBOX[[#This Row],[Codigo]],LISTADO_PRODUCTOS[#All],4)</f>
        <v>Repuesto Nº3 Rivadavia x 24h</v>
      </c>
      <c r="C51" s="25" t="str">
        <f>VLOOKUP(TABLA_STOCK_LISTBOX[[#This Row],[Codigo]],LISTADO_PRODUCTOS[#All],5)</f>
        <v>N/A</v>
      </c>
      <c r="D51" s="25">
        <f>VLOOKUP(TABLA_STOCK_LISTBOX[[#This Row],[Codigo]],TABLA_STOCK[#All],6)</f>
        <v>10</v>
      </c>
      <c r="E51" s="25">
        <f>VLOOKUP(TABLA_STOCK_LISTBOX[[#This Row],[Codigo]],TABLA_STOCK[#All],7)</f>
        <v>52</v>
      </c>
    </row>
    <row r="52" spans="1:5" x14ac:dyDescent="0.3">
      <c r="A52" s="4">
        <v>1060</v>
      </c>
      <c r="B52" s="25" t="str">
        <f>VLOOKUP(TABLA_STOCK_LISTBOX[[#This Row],[Codigo]],LISTADO_PRODUCTOS[#All],4)</f>
        <v>Cuaderno T/flex Gloria x 84h</v>
      </c>
      <c r="C52" s="25" t="str">
        <f>VLOOKUP(TABLA_STOCK_LISTBOX[[#This Row],[Codigo]],LISTADO_PRODUCTOS[#All],5)</f>
        <v>N/A</v>
      </c>
      <c r="D52" s="25">
        <f>VLOOKUP(TABLA_STOCK_LISTBOX[[#This Row],[Codigo]],TABLA_STOCK[#All],6)</f>
        <v>20</v>
      </c>
      <c r="E52" s="25">
        <f>VLOOKUP(TABLA_STOCK_LISTBOX[[#This Row],[Codigo]],TABLA_STOCK[#All],7)</f>
        <v>32</v>
      </c>
    </row>
    <row r="53" spans="1:5" x14ac:dyDescent="0.3">
      <c r="A53" s="4">
        <v>1061</v>
      </c>
      <c r="B53" s="25" t="str">
        <f>VLOOKUP(TABLA_STOCK_LISTBOX[[#This Row],[Codigo]],LISTADO_PRODUCTOS[#All],4)</f>
        <v xml:space="preserve">Repuesto husares x 96h A4 rayado - </v>
      </c>
      <c r="C53" s="25" t="str">
        <f>VLOOKUP(TABLA_STOCK_LISTBOX[[#This Row],[Codigo]],LISTADO_PRODUCTOS[#All],5)</f>
        <v>N/A</v>
      </c>
      <c r="D53" s="25">
        <f>VLOOKUP(TABLA_STOCK_LISTBOX[[#This Row],[Codigo]],TABLA_STOCK[#All],6)</f>
        <v>5</v>
      </c>
      <c r="E53" s="25">
        <f>VLOOKUP(TABLA_STOCK_LISTBOX[[#This Row],[Codigo]],TABLA_STOCK[#All],7)</f>
        <v>56</v>
      </c>
    </row>
    <row r="54" spans="1:5" x14ac:dyDescent="0.3">
      <c r="A54" s="4">
        <v>1062</v>
      </c>
      <c r="B54" s="25" t="str">
        <f>VLOOKUP(TABLA_STOCK_LISTBOX[[#This Row],[Codigo]],LISTADO_PRODUCTOS[#All],4)</f>
        <v>Repuesto A4 Husares 96h - 7792564060837</v>
      </c>
      <c r="C54" s="25" t="str">
        <f>VLOOKUP(TABLA_STOCK_LISTBOX[[#This Row],[Codigo]],LISTADO_PRODUCTOS[#All],5)</f>
        <v>N/A</v>
      </c>
      <c r="D54" s="25">
        <f>VLOOKUP(TABLA_STOCK_LISTBOX[[#This Row],[Codigo]],TABLA_STOCK[#All],6)</f>
        <v>1</v>
      </c>
      <c r="E54" s="25">
        <f>VLOOKUP(TABLA_STOCK_LISTBOX[[#This Row],[Codigo]],TABLA_STOCK[#All],7)</f>
        <v>107</v>
      </c>
    </row>
    <row r="55" spans="1:5" x14ac:dyDescent="0.3">
      <c r="A55" s="4">
        <v>1063</v>
      </c>
      <c r="B55" s="25" t="str">
        <f>VLOOKUP(TABLA_STOCK_LISTBOX[[#This Row],[Codigo]],LISTADO_PRODUCTOS[#All],4)</f>
        <v>Repuesto escolar N°3 Husares x 96h</v>
      </c>
      <c r="C55" s="25" t="str">
        <f>VLOOKUP(TABLA_STOCK_LISTBOX[[#This Row],[Codigo]],LISTADO_PRODUCTOS[#All],5)</f>
        <v>N/A</v>
      </c>
      <c r="D55" s="25">
        <f>VLOOKUP(TABLA_STOCK_LISTBOX[[#This Row],[Codigo]],TABLA_STOCK[#All],6)</f>
        <v>5</v>
      </c>
      <c r="E55" s="25">
        <f>VLOOKUP(TABLA_STOCK_LISTBOX[[#This Row],[Codigo]],TABLA_STOCK[#All],7)</f>
        <v>25</v>
      </c>
    </row>
    <row r="56" spans="1:5" x14ac:dyDescent="0.3">
      <c r="A56" s="4">
        <v>1064</v>
      </c>
      <c r="B56" s="25" t="str">
        <f>VLOOKUP(TABLA_STOCK_LISTBOX[[#This Row],[Codigo]],LISTADO_PRODUCTOS[#All],4)</f>
        <v>Repuesto Nº6 Canson Luma Blanco</v>
      </c>
      <c r="C56" s="25" t="str">
        <f>VLOOKUP(TABLA_STOCK_LISTBOX[[#This Row],[Codigo]],LISTADO_PRODUCTOS[#All],5)</f>
        <v>N/A</v>
      </c>
      <c r="D56" s="25">
        <f>VLOOKUP(TABLA_STOCK_LISTBOX[[#This Row],[Codigo]],TABLA_STOCK[#All],6)</f>
        <v>2</v>
      </c>
      <c r="E56" s="25">
        <f>VLOOKUP(TABLA_STOCK_LISTBOX[[#This Row],[Codigo]],TABLA_STOCK[#All],7)</f>
        <v>32</v>
      </c>
    </row>
    <row r="57" spans="1:5" x14ac:dyDescent="0.3">
      <c r="A57" s="4">
        <v>1065</v>
      </c>
      <c r="B57" s="25" t="str">
        <f>VLOOKUP(TABLA_STOCK_LISTBOX[[#This Row],[Codigo]],LISTADO_PRODUCTOS[#All],4)</f>
        <v>Repuesto Nº5 Canson Luma Blanco</v>
      </c>
      <c r="C57" s="25" t="str">
        <f>VLOOKUP(TABLA_STOCK_LISTBOX[[#This Row],[Codigo]],LISTADO_PRODUCTOS[#All],5)</f>
        <v>N/A</v>
      </c>
      <c r="D57" s="25">
        <f>VLOOKUP(TABLA_STOCK_LISTBOX[[#This Row],[Codigo]],TABLA_STOCK[#All],6)</f>
        <v>10</v>
      </c>
      <c r="E57" s="25">
        <f>VLOOKUP(TABLA_STOCK_LISTBOX[[#This Row],[Codigo]],TABLA_STOCK[#All],7)</f>
        <v>150</v>
      </c>
    </row>
    <row r="58" spans="1:5" x14ac:dyDescent="0.3">
      <c r="A58" s="4">
        <v>1066</v>
      </c>
      <c r="B58" s="25" t="str">
        <f>VLOOKUP(TABLA_STOCK_LISTBOX[[#This Row],[Codigo]],LISTADO_PRODUCTOS[#All],4)</f>
        <v>Repuesto Nº3 Canson Luma Blanco</v>
      </c>
      <c r="C58" s="25" t="str">
        <f>VLOOKUP(TABLA_STOCK_LISTBOX[[#This Row],[Codigo]],LISTADO_PRODUCTOS[#All],5)</f>
        <v>N/A</v>
      </c>
      <c r="D58" s="25">
        <f>VLOOKUP(TABLA_STOCK_LISTBOX[[#This Row],[Codigo]],TABLA_STOCK[#All],6)</f>
        <v>20</v>
      </c>
      <c r="E58" s="25">
        <f>VLOOKUP(TABLA_STOCK_LISTBOX[[#This Row],[Codigo]],TABLA_STOCK[#All],7)</f>
        <v>20</v>
      </c>
    </row>
    <row r="59" spans="1:5" x14ac:dyDescent="0.3">
      <c r="A59" s="4">
        <v>1067</v>
      </c>
      <c r="B59" s="25" t="str">
        <f>VLOOKUP(TABLA_STOCK_LISTBOX[[#This Row],[Codigo]],LISTADO_PRODUCTOS[#All],4)</f>
        <v>Repuesto Nº5 Canson Luma Color</v>
      </c>
      <c r="C59" s="25" t="str">
        <f>VLOOKUP(TABLA_STOCK_LISTBOX[[#This Row],[Codigo]],LISTADO_PRODUCTOS[#All],5)</f>
        <v>N/A</v>
      </c>
      <c r="D59" s="25">
        <f>VLOOKUP(TABLA_STOCK_LISTBOX[[#This Row],[Codigo]],TABLA_STOCK[#All],6)</f>
        <v>5</v>
      </c>
      <c r="E59" s="25">
        <f>VLOOKUP(TABLA_STOCK_LISTBOX[[#This Row],[Codigo]],TABLA_STOCK[#All],7)</f>
        <v>19</v>
      </c>
    </row>
    <row r="60" spans="1:5" x14ac:dyDescent="0.3">
      <c r="A60" s="4">
        <v>1068</v>
      </c>
      <c r="B60" s="25" t="str">
        <f>VLOOKUP(TABLA_STOCK_LISTBOX[[#This Row],[Codigo]],LISTADO_PRODUCTOS[#All],4)</f>
        <v>Repuesto Nº3 Canson Luma Color</v>
      </c>
      <c r="C60" s="25" t="str">
        <f>VLOOKUP(TABLA_STOCK_LISTBOX[[#This Row],[Codigo]],LISTADO_PRODUCTOS[#All],5)</f>
        <v>N/A</v>
      </c>
      <c r="D60" s="25">
        <f>VLOOKUP(TABLA_STOCK_LISTBOX[[#This Row],[Codigo]],TABLA_STOCK[#All],6)</f>
        <v>1</v>
      </c>
      <c r="E60" s="25">
        <f>VLOOKUP(TABLA_STOCK_LISTBOX[[#This Row],[Codigo]],TABLA_STOCK[#All],7)</f>
        <v>6</v>
      </c>
    </row>
    <row r="61" spans="1:5" x14ac:dyDescent="0.3">
      <c r="A61" s="4">
        <v>1069</v>
      </c>
      <c r="B61" s="25" t="str">
        <f>VLOOKUP(TABLA_STOCK_LISTBOX[[#This Row],[Codigo]],LISTADO_PRODUCTOS[#All],4)</f>
        <v>Repuesto Nº5 Canson Luma Negro</v>
      </c>
      <c r="C61" s="25" t="str">
        <f>VLOOKUP(TABLA_STOCK_LISTBOX[[#This Row],[Codigo]],LISTADO_PRODUCTOS[#All],5)</f>
        <v>N/A</v>
      </c>
      <c r="D61" s="25">
        <f>VLOOKUP(TABLA_STOCK_LISTBOX[[#This Row],[Codigo]],TABLA_STOCK[#All],6)</f>
        <v>5</v>
      </c>
      <c r="E61" s="25">
        <f>VLOOKUP(TABLA_STOCK_LISTBOX[[#This Row],[Codigo]],TABLA_STOCK[#All],7)</f>
        <v>5</v>
      </c>
    </row>
    <row r="62" spans="1:5" x14ac:dyDescent="0.3">
      <c r="A62" s="4">
        <v>1070</v>
      </c>
      <c r="B62" s="25" t="str">
        <f>VLOOKUP(TABLA_STOCK_LISTBOX[[#This Row],[Codigo]],LISTADO_PRODUCTOS[#All],4)</f>
        <v>Repuesto Nº3 Canson Luma Negro</v>
      </c>
      <c r="C62" s="25" t="str">
        <f>VLOOKUP(TABLA_STOCK_LISTBOX[[#This Row],[Codigo]],LISTADO_PRODUCTOS[#All],5)</f>
        <v>N/A</v>
      </c>
      <c r="D62" s="25">
        <f>VLOOKUP(TABLA_STOCK_LISTBOX[[#This Row],[Codigo]],TABLA_STOCK[#All],6)</f>
        <v>2</v>
      </c>
      <c r="E62" s="25">
        <f>VLOOKUP(TABLA_STOCK_LISTBOX[[#This Row],[Codigo]],TABLA_STOCK[#All],7)</f>
        <v>52</v>
      </c>
    </row>
    <row r="63" spans="1:5" x14ac:dyDescent="0.3">
      <c r="A63" s="4">
        <v>1071</v>
      </c>
      <c r="B63" s="25" t="str">
        <f>VLOOKUP(TABLA_STOCK_LISTBOX[[#This Row],[Codigo]],LISTADO_PRODUCTOS[#All],4)</f>
        <v>Repuesto Nº5 Calcar Luma</v>
      </c>
      <c r="C63" s="25" t="str">
        <f>VLOOKUP(TABLA_STOCK_LISTBOX[[#This Row],[Codigo]],LISTADO_PRODUCTOS[#All],5)</f>
        <v>N/A</v>
      </c>
      <c r="D63" s="25">
        <f>VLOOKUP(TABLA_STOCK_LISTBOX[[#This Row],[Codigo]],TABLA_STOCK[#All],6)</f>
        <v>2</v>
      </c>
      <c r="E63" s="25">
        <f>VLOOKUP(TABLA_STOCK_LISTBOX[[#This Row],[Codigo]],TABLA_STOCK[#All],7)</f>
        <v>32</v>
      </c>
    </row>
    <row r="64" spans="1:5" x14ac:dyDescent="0.3">
      <c r="A64" s="4">
        <v>1072</v>
      </c>
      <c r="B64" s="25" t="str">
        <f>VLOOKUP(TABLA_STOCK_LISTBOX[[#This Row],[Codigo]],LISTADO_PRODUCTOS[#All],4)</f>
        <v>Repuesto Nº3 Calcar Luma</v>
      </c>
      <c r="C64" s="25" t="str">
        <f>VLOOKUP(TABLA_STOCK_LISTBOX[[#This Row],[Codigo]],LISTADO_PRODUCTOS[#All],5)</f>
        <v>N/A</v>
      </c>
      <c r="D64" s="25">
        <f>VLOOKUP(TABLA_STOCK_LISTBOX[[#This Row],[Codigo]],TABLA_STOCK[#All],6)</f>
        <v>10</v>
      </c>
      <c r="E64" s="25">
        <f>VLOOKUP(TABLA_STOCK_LISTBOX[[#This Row],[Codigo]],TABLA_STOCK[#All],7)</f>
        <v>56</v>
      </c>
    </row>
    <row r="65" spans="1:5" x14ac:dyDescent="0.3">
      <c r="A65" s="4">
        <v>1073</v>
      </c>
      <c r="B65" s="25" t="str">
        <f>VLOOKUP(TABLA_STOCK_LISTBOX[[#This Row],[Codigo]],LISTADO_PRODUCTOS[#All],4)</f>
        <v>Carpeta escolar Nº3 colores y dibujos lindos Mooving</v>
      </c>
      <c r="C65" s="25" t="str">
        <f>VLOOKUP(TABLA_STOCK_LISTBOX[[#This Row],[Codigo]],LISTADO_PRODUCTOS[#All],5)</f>
        <v>N/A</v>
      </c>
      <c r="D65" s="25">
        <f>VLOOKUP(TABLA_STOCK_LISTBOX[[#This Row],[Codigo]],TABLA_STOCK[#All],6)</f>
        <v>20</v>
      </c>
      <c r="E65" s="25">
        <f>VLOOKUP(TABLA_STOCK_LISTBOX[[#This Row],[Codigo]],TABLA_STOCK[#All],7)</f>
        <v>107</v>
      </c>
    </row>
    <row r="66" spans="1:5" x14ac:dyDescent="0.3">
      <c r="A66" s="4">
        <v>1074</v>
      </c>
      <c r="B66" s="25" t="str">
        <f>VLOOKUP(TABLA_STOCK_LISTBOX[[#This Row],[Codigo]],LISTADO_PRODUCTOS[#All],4)</f>
        <v>Carpeta Nº3 Neon 2020</v>
      </c>
      <c r="C66" s="25" t="str">
        <f>VLOOKUP(TABLA_STOCK_LISTBOX[[#This Row],[Codigo]],LISTADO_PRODUCTOS[#All],5)</f>
        <v>N/A</v>
      </c>
      <c r="D66" s="25">
        <f>VLOOKUP(TABLA_STOCK_LISTBOX[[#This Row],[Codigo]],TABLA_STOCK[#All],6)</f>
        <v>5</v>
      </c>
      <c r="E66" s="25">
        <f>VLOOKUP(TABLA_STOCK_LISTBOX[[#This Row],[Codigo]],TABLA_STOCK[#All],7)</f>
        <v>25</v>
      </c>
    </row>
    <row r="67" spans="1:5" x14ac:dyDescent="0.3">
      <c r="A67" s="4">
        <v>1075</v>
      </c>
      <c r="B67" s="25" t="str">
        <f>VLOOKUP(TABLA_STOCK_LISTBOX[[#This Row],[Codigo]],LISTADO_PRODUCTOS[#All],4)</f>
        <v>Carpeta Nº3 Jurasic Park</v>
      </c>
      <c r="C67" s="25" t="str">
        <f>VLOOKUP(TABLA_STOCK_LISTBOX[[#This Row],[Codigo]],LISTADO_PRODUCTOS[#All],5)</f>
        <v>N/A</v>
      </c>
      <c r="D67" s="25">
        <f>VLOOKUP(TABLA_STOCK_LISTBOX[[#This Row],[Codigo]],TABLA_STOCK[#All],6)</f>
        <v>1</v>
      </c>
      <c r="E67" s="25">
        <f>VLOOKUP(TABLA_STOCK_LISTBOX[[#This Row],[Codigo]],TABLA_STOCK[#All],7)</f>
        <v>32</v>
      </c>
    </row>
    <row r="68" spans="1:5" x14ac:dyDescent="0.3">
      <c r="A68" s="4">
        <v>1076</v>
      </c>
      <c r="B68" s="25" t="str">
        <f>VLOOKUP(TABLA_STOCK_LISTBOX[[#This Row],[Codigo]],LISTADO_PRODUCTOS[#All],4)</f>
        <v>Carpeta Nº3 3aros diseño zapatilla linea snakers Ito 2020</v>
      </c>
      <c r="C68" s="25" t="str">
        <f>VLOOKUP(TABLA_STOCK_LISTBOX[[#This Row],[Codigo]],LISTADO_PRODUCTOS[#All],5)</f>
        <v>N/A</v>
      </c>
      <c r="D68" s="25">
        <f>VLOOKUP(TABLA_STOCK_LISTBOX[[#This Row],[Codigo]],TABLA_STOCK[#All],6)</f>
        <v>5</v>
      </c>
      <c r="E68" s="25">
        <f>VLOOKUP(TABLA_STOCK_LISTBOX[[#This Row],[Codigo]],TABLA_STOCK[#All],7)</f>
        <v>150</v>
      </c>
    </row>
    <row r="69" spans="1:5" x14ac:dyDescent="0.3">
      <c r="A69" s="4">
        <v>1077</v>
      </c>
      <c r="B69" s="25" t="str">
        <f>VLOOKUP(TABLA_STOCK_LISTBOX[[#This Row],[Codigo]],LISTADO_PRODUCTOS[#All],4)</f>
        <v>Carpeta Nº3 isofit forrada lisa</v>
      </c>
      <c r="C69" s="25" t="str">
        <f>VLOOKUP(TABLA_STOCK_LISTBOX[[#This Row],[Codigo]],LISTADO_PRODUCTOS[#All],5)</f>
        <v>N/A</v>
      </c>
      <c r="D69" s="25">
        <f>VLOOKUP(TABLA_STOCK_LISTBOX[[#This Row],[Codigo]],TABLA_STOCK[#All],6)</f>
        <v>2</v>
      </c>
      <c r="E69" s="25">
        <f>VLOOKUP(TABLA_STOCK_LISTBOX[[#This Row],[Codigo]],TABLA_STOCK[#All],7)</f>
        <v>20</v>
      </c>
    </row>
    <row r="70" spans="1:5" x14ac:dyDescent="0.3">
      <c r="A70" s="4">
        <v>1078</v>
      </c>
      <c r="B70" s="25" t="str">
        <f>VLOOKUP(TABLA_STOCK_LISTBOX[[#This Row],[Codigo]],LISTADO_PRODUCTOS[#All],4)</f>
        <v>Carpeta Nº3 Rivadavia C/Çhojas</v>
      </c>
      <c r="C70" s="25" t="str">
        <f>VLOOKUP(TABLA_STOCK_LISTBOX[[#This Row],[Codigo]],LISTADO_PRODUCTOS[#All],5)</f>
        <v>N/A</v>
      </c>
      <c r="D70" s="25">
        <f>VLOOKUP(TABLA_STOCK_LISTBOX[[#This Row],[Codigo]],TABLA_STOCK[#All],6)</f>
        <v>2</v>
      </c>
      <c r="E70" s="25">
        <f>VLOOKUP(TABLA_STOCK_LISTBOX[[#This Row],[Codigo]],TABLA_STOCK[#All],7)</f>
        <v>19</v>
      </c>
    </row>
    <row r="71" spans="1:5" x14ac:dyDescent="0.3">
      <c r="A71" s="4">
        <v>1079</v>
      </c>
      <c r="B71" s="25" t="str">
        <f>VLOOKUP(TABLA_STOCK_LISTBOX[[#This Row],[Codigo]],LISTADO_PRODUCTOS[#All],4)</f>
        <v>Carpeta escolar Nº3 Util-off Mia / Love</v>
      </c>
      <c r="C71" s="25" t="str">
        <f>VLOOKUP(TABLA_STOCK_LISTBOX[[#This Row],[Codigo]],LISTADO_PRODUCTOS[#All],5)</f>
        <v>N/A</v>
      </c>
      <c r="D71" s="25">
        <f>VLOOKUP(TABLA_STOCK_LISTBOX[[#This Row],[Codigo]],TABLA_STOCK[#All],6)</f>
        <v>10</v>
      </c>
      <c r="E71" s="25">
        <f>VLOOKUP(TABLA_STOCK_LISTBOX[[#This Row],[Codigo]],TABLA_STOCK[#All],7)</f>
        <v>6</v>
      </c>
    </row>
    <row r="72" spans="1:5" x14ac:dyDescent="0.3">
      <c r="A72" s="4">
        <v>1080</v>
      </c>
      <c r="B72" s="25" t="str">
        <f>VLOOKUP(TABLA_STOCK_LISTBOX[[#This Row],[Codigo]],LISTADO_PRODUCTOS[#All],4)</f>
        <v>Carpeta Dibujo Nº3 3aros (Se entrega con aros OTA 35mm)</v>
      </c>
      <c r="C72" s="25" t="str">
        <f>VLOOKUP(TABLA_STOCK_LISTBOX[[#This Row],[Codigo]],LISTADO_PRODUCTOS[#All],5)</f>
        <v>N/A</v>
      </c>
      <c r="D72" s="25">
        <f>VLOOKUP(TABLA_STOCK_LISTBOX[[#This Row],[Codigo]],TABLA_STOCK[#All],6)</f>
        <v>20</v>
      </c>
      <c r="E72" s="25">
        <f>VLOOKUP(TABLA_STOCK_LISTBOX[[#This Row],[Codigo]],TABLA_STOCK[#All],7)</f>
        <v>5</v>
      </c>
    </row>
    <row r="73" spans="1:5" x14ac:dyDescent="0.3">
      <c r="A73" s="4">
        <v>1081</v>
      </c>
      <c r="B73" s="25" t="str">
        <f>VLOOKUP(TABLA_STOCK_LISTBOX[[#This Row],[Codigo]],LISTADO_PRODUCTOS[#All],4)</f>
        <v>Carpeta Avery esquela 3 anillos small format</v>
      </c>
      <c r="C73" s="25" t="str">
        <f>VLOOKUP(TABLA_STOCK_LISTBOX[[#This Row],[Codigo]],LISTADO_PRODUCTOS[#All],5)</f>
        <v>N/A</v>
      </c>
      <c r="D73" s="25">
        <f>VLOOKUP(TABLA_STOCK_LISTBOX[[#This Row],[Codigo]],TABLA_STOCK[#All],6)</f>
        <v>5</v>
      </c>
      <c r="E73" s="25">
        <f>VLOOKUP(TABLA_STOCK_LISTBOX[[#This Row],[Codigo]],TABLA_STOCK[#All],7)</f>
        <v>52</v>
      </c>
    </row>
    <row r="74" spans="1:5" x14ac:dyDescent="0.3">
      <c r="A74" s="4">
        <v>1082</v>
      </c>
      <c r="B74" s="25" t="str">
        <f>VLOOKUP(TABLA_STOCK_LISTBOX[[#This Row],[Codigo]],LISTADO_PRODUCTOS[#All],4)</f>
        <v>Cuaderno Nº3 Triunfante lunares x 50h</v>
      </c>
      <c r="C74" s="25" t="str">
        <f>VLOOKUP(TABLA_STOCK_LISTBOX[[#This Row],[Codigo]],LISTADO_PRODUCTOS[#All],5)</f>
        <v>N/A</v>
      </c>
      <c r="D74" s="25">
        <f>VLOOKUP(TABLA_STOCK_LISTBOX[[#This Row],[Codigo]],TABLA_STOCK[#All],6)</f>
        <v>1</v>
      </c>
      <c r="E74" s="25">
        <f>VLOOKUP(TABLA_STOCK_LISTBOX[[#This Row],[Codigo]],TABLA_STOCK[#All],7)</f>
        <v>32</v>
      </c>
    </row>
    <row r="75" spans="1:5" x14ac:dyDescent="0.3">
      <c r="A75" s="4">
        <v>1083</v>
      </c>
      <c r="B75" s="25" t="str">
        <f>VLOOKUP(TABLA_STOCK_LISTBOX[[#This Row],[Codigo]],LISTADO_PRODUCTOS[#All],4)</f>
        <v>Carpeta Nº5 mooving / camaron brujo / rexon / ink-drop  c/aros</v>
      </c>
      <c r="C75" s="25" t="str">
        <f>VLOOKUP(TABLA_STOCK_LISTBOX[[#This Row],[Codigo]],LISTADO_PRODUCTOS[#All],5)</f>
        <v>N/A</v>
      </c>
      <c r="D75" s="25">
        <f>VLOOKUP(TABLA_STOCK_LISTBOX[[#This Row],[Codigo]],TABLA_STOCK[#All],6)</f>
        <v>5</v>
      </c>
      <c r="E75" s="25">
        <f>VLOOKUP(TABLA_STOCK_LISTBOX[[#This Row],[Codigo]],TABLA_STOCK[#All],7)</f>
        <v>56</v>
      </c>
    </row>
    <row r="76" spans="1:5" x14ac:dyDescent="0.3">
      <c r="A76" s="4">
        <v>1084</v>
      </c>
      <c r="B76" s="25" t="str">
        <f>VLOOKUP(TABLA_STOCK_LISTBOX[[#This Row],[Codigo]],LISTADO_PRODUCTOS[#All],4)</f>
        <v>Carpeta Nº5 el nene c/aros y hojas</v>
      </c>
      <c r="C76" s="25" t="str">
        <f>VLOOKUP(TABLA_STOCK_LISTBOX[[#This Row],[Codigo]],LISTADO_PRODUCTOS[#All],5)</f>
        <v>N/A</v>
      </c>
      <c r="D76" s="25">
        <f>VLOOKUP(TABLA_STOCK_LISTBOX[[#This Row],[Codigo]],TABLA_STOCK[#All],6)</f>
        <v>2</v>
      </c>
      <c r="E76" s="25">
        <f>VLOOKUP(TABLA_STOCK_LISTBOX[[#This Row],[Codigo]],TABLA_STOCK[#All],7)</f>
        <v>107</v>
      </c>
    </row>
    <row r="77" spans="1:5" x14ac:dyDescent="0.3">
      <c r="A77" s="4">
        <v>1085</v>
      </c>
      <c r="B77" s="25" t="str">
        <f>VLOOKUP(TABLA_STOCK_LISTBOX[[#This Row],[Codigo]],LISTADO_PRODUCTOS[#All],4)</f>
        <v>Carpeta Nº5 C/Relieve</v>
      </c>
      <c r="C77" s="25" t="str">
        <f>VLOOKUP(TABLA_STOCK_LISTBOX[[#This Row],[Codigo]],LISTADO_PRODUCTOS[#All],5)</f>
        <v>N/A</v>
      </c>
      <c r="D77" s="25">
        <f>VLOOKUP(TABLA_STOCK_LISTBOX[[#This Row],[Codigo]],TABLA_STOCK[#All],6)</f>
        <v>2</v>
      </c>
      <c r="E77" s="25">
        <f>VLOOKUP(TABLA_STOCK_LISTBOX[[#This Row],[Codigo]],TABLA_STOCK[#All],7)</f>
        <v>25</v>
      </c>
    </row>
    <row r="78" spans="1:5" x14ac:dyDescent="0.3">
      <c r="A78" s="4">
        <v>1086</v>
      </c>
      <c r="B78" s="25" t="str">
        <f>VLOOKUP(TABLA_STOCK_LISTBOX[[#This Row],[Codigo]],LISTADO_PRODUCTOS[#All],4)</f>
        <v>Carpeta Nº5 Lavable</v>
      </c>
      <c r="C78" s="25" t="str">
        <f>VLOOKUP(TABLA_STOCK_LISTBOX[[#This Row],[Codigo]],LISTADO_PRODUCTOS[#All],5)</f>
        <v>N/A</v>
      </c>
      <c r="D78" s="25">
        <f>VLOOKUP(TABLA_STOCK_LISTBOX[[#This Row],[Codigo]],TABLA_STOCK[#All],6)</f>
        <v>10</v>
      </c>
      <c r="E78" s="25">
        <f>VLOOKUP(TABLA_STOCK_LISTBOX[[#This Row],[Codigo]],TABLA_STOCK[#All],7)</f>
        <v>32</v>
      </c>
    </row>
    <row r="79" spans="1:5" x14ac:dyDescent="0.3">
      <c r="A79" s="4">
        <v>1087</v>
      </c>
      <c r="B79" s="25" t="str">
        <f>VLOOKUP(TABLA_STOCK_LISTBOX[[#This Row],[Codigo]],LISTADO_PRODUCTOS[#All],4)</f>
        <v>Carpeta 3 Solapas Mot. Varios</v>
      </c>
      <c r="C79" s="25" t="str">
        <f>VLOOKUP(TABLA_STOCK_LISTBOX[[#This Row],[Codigo]],LISTADO_PRODUCTOS[#All],5)</f>
        <v>N/A</v>
      </c>
      <c r="D79" s="25">
        <f>VLOOKUP(TABLA_STOCK_LISTBOX[[#This Row],[Codigo]],TABLA_STOCK[#All],6)</f>
        <v>20</v>
      </c>
      <c r="E79" s="25">
        <f>VLOOKUP(TABLA_STOCK_LISTBOX[[#This Row],[Codigo]],TABLA_STOCK[#All],7)</f>
        <v>150</v>
      </c>
    </row>
    <row r="80" spans="1:5" x14ac:dyDescent="0.3">
      <c r="A80" s="4">
        <v>1088</v>
      </c>
      <c r="B80" s="25" t="str">
        <f>VLOOKUP(TABLA_STOCK_LISTBOX[[#This Row],[Codigo]],LISTADO_PRODUCTOS[#All],4)</f>
        <v>Carpeta 3 Solapas Comun</v>
      </c>
      <c r="C80" s="25" t="str">
        <f>VLOOKUP(TABLA_STOCK_LISTBOX[[#This Row],[Codigo]],LISTADO_PRODUCTOS[#All],5)</f>
        <v>N/A</v>
      </c>
      <c r="D80" s="25">
        <f>VLOOKUP(TABLA_STOCK_LISTBOX[[#This Row],[Codigo]],TABLA_STOCK[#All],6)</f>
        <v>5</v>
      </c>
      <c r="E80" s="25">
        <f>VLOOKUP(TABLA_STOCK_LISTBOX[[#This Row],[Codigo]],TABLA_STOCK[#All],7)</f>
        <v>20</v>
      </c>
    </row>
    <row r="81" spans="1:5" x14ac:dyDescent="0.3">
      <c r="A81" s="4">
        <v>1089</v>
      </c>
      <c r="B81" s="25" t="str">
        <f>VLOOKUP(TABLA_STOCK_LISTBOX[[#This Row],[Codigo]],LISTADO_PRODUCTOS[#All],4)</f>
        <v>Carpeta 3 solapas 35 x 50 Rivadavia</v>
      </c>
      <c r="C81" s="25" t="str">
        <f>VLOOKUP(TABLA_STOCK_LISTBOX[[#This Row],[Codigo]],LISTADO_PRODUCTOS[#All],5)</f>
        <v>N/A</v>
      </c>
      <c r="D81" s="25">
        <f>VLOOKUP(TABLA_STOCK_LISTBOX[[#This Row],[Codigo]],TABLA_STOCK[#All],6)</f>
        <v>1</v>
      </c>
      <c r="E81" s="25">
        <f>VLOOKUP(TABLA_STOCK_LISTBOX[[#This Row],[Codigo]],TABLA_STOCK[#All],7)</f>
        <v>19</v>
      </c>
    </row>
    <row r="82" spans="1:5" x14ac:dyDescent="0.3">
      <c r="A82" s="4">
        <v>1090</v>
      </c>
      <c r="B82" s="25" t="str">
        <f>VLOOKUP(TABLA_STOCK_LISTBOX[[#This Row],[Codigo]],LISTADO_PRODUCTOS[#All],4)</f>
        <v>Carpeta Fibra 35 x 50</v>
      </c>
      <c r="C82" s="25" t="str">
        <f>VLOOKUP(TABLA_STOCK_LISTBOX[[#This Row],[Codigo]],LISTADO_PRODUCTOS[#All],5)</f>
        <v>N/A</v>
      </c>
      <c r="D82" s="25">
        <f>VLOOKUP(TABLA_STOCK_LISTBOX[[#This Row],[Codigo]],TABLA_STOCK[#All],6)</f>
        <v>5</v>
      </c>
      <c r="E82" s="25">
        <f>VLOOKUP(TABLA_STOCK_LISTBOX[[#This Row],[Codigo]],TABLA_STOCK[#All],7)</f>
        <v>6</v>
      </c>
    </row>
    <row r="83" spans="1:5" x14ac:dyDescent="0.3">
      <c r="A83" s="4">
        <v>1091</v>
      </c>
      <c r="B83" s="25" t="str">
        <f>VLOOKUP(TABLA_STOCK_LISTBOX[[#This Row],[Codigo]],LISTADO_PRODUCTOS[#All],4)</f>
        <v>Repuesto Canson N°5 Luma FLUO</v>
      </c>
      <c r="C83" s="25" t="str">
        <f>VLOOKUP(TABLA_STOCK_LISTBOX[[#This Row],[Codigo]],LISTADO_PRODUCTOS[#All],5)</f>
        <v>N/A</v>
      </c>
      <c r="D83" s="25">
        <f>VLOOKUP(TABLA_STOCK_LISTBOX[[#This Row],[Codigo]],TABLA_STOCK[#All],6)</f>
        <v>2</v>
      </c>
      <c r="E83" s="25">
        <f>VLOOKUP(TABLA_STOCK_LISTBOX[[#This Row],[Codigo]],TABLA_STOCK[#All],7)</f>
        <v>5</v>
      </c>
    </row>
    <row r="84" spans="1:5" x14ac:dyDescent="0.3">
      <c r="A84" s="4">
        <v>1092</v>
      </c>
      <c r="B84" s="25" t="str">
        <f>VLOOKUP(TABLA_STOCK_LISTBOX[[#This Row],[Codigo]],LISTADO_PRODUCTOS[#All],4)</f>
        <v>Carpeta A4 Arte Benito/Barsky/Elisa/Milagros c/repuesto</v>
      </c>
      <c r="C84" s="25" t="str">
        <f>VLOOKUP(TABLA_STOCK_LISTBOX[[#This Row],[Codigo]],LISTADO_PRODUCTOS[#All],5)</f>
        <v>N/A</v>
      </c>
      <c r="D84" s="25">
        <f>VLOOKUP(TABLA_STOCK_LISTBOX[[#This Row],[Codigo]],TABLA_STOCK[#All],6)</f>
        <v>10</v>
      </c>
      <c r="E84" s="25">
        <f>VLOOKUP(TABLA_STOCK_LISTBOX[[#This Row],[Codigo]],TABLA_STOCK[#All],7)</f>
        <v>52</v>
      </c>
    </row>
    <row r="85" spans="1:5" x14ac:dyDescent="0.3">
      <c r="A85" s="4">
        <v>1093</v>
      </c>
      <c r="B85" s="25" t="str">
        <f>VLOOKUP(TABLA_STOCK_LISTBOX[[#This Row],[Codigo]],LISTADO_PRODUCTOS[#All],4)</f>
        <v>Carpeta A4 Rivadavia c/repuesto x96hray y 48h cuad + separadores</v>
      </c>
      <c r="C85" s="25" t="str">
        <f>VLOOKUP(TABLA_STOCK_LISTBOX[[#This Row],[Codigo]],LISTADO_PRODUCTOS[#All],5)</f>
        <v>N/A</v>
      </c>
      <c r="D85" s="25">
        <f>VLOOKUP(TABLA_STOCK_LISTBOX[[#This Row],[Codigo]],TABLA_STOCK[#All],6)</f>
        <v>20</v>
      </c>
      <c r="E85" s="25">
        <f>VLOOKUP(TABLA_STOCK_LISTBOX[[#This Row],[Codigo]],TABLA_STOCK[#All],7)</f>
        <v>32</v>
      </c>
    </row>
    <row r="86" spans="1:5" x14ac:dyDescent="0.3">
      <c r="A86" s="4">
        <v>1094</v>
      </c>
      <c r="B86" s="25" t="str">
        <f>VLOOKUP(TABLA_STOCK_LISTBOX[[#This Row],[Codigo]],LISTADO_PRODUCTOS[#All],4)</f>
        <v>Carpeta A4 Arte Clip/Bloom/barsky/benito c/repuesto</v>
      </c>
      <c r="C86" s="25" t="str">
        <f>VLOOKUP(TABLA_STOCK_LISTBOX[[#This Row],[Codigo]],LISTADO_PRODUCTOS[#All],5)</f>
        <v>N/A</v>
      </c>
      <c r="D86" s="25">
        <f>VLOOKUP(TABLA_STOCK_LISTBOX[[#This Row],[Codigo]],TABLA_STOCK[#All],6)</f>
        <v>5</v>
      </c>
      <c r="E86" s="25">
        <f>VLOOKUP(TABLA_STOCK_LISTBOX[[#This Row],[Codigo]],TABLA_STOCK[#All],7)</f>
        <v>56</v>
      </c>
    </row>
    <row r="87" spans="1:5" x14ac:dyDescent="0.3">
      <c r="A87" s="4">
        <v>1095</v>
      </c>
      <c r="B87" s="25" t="str">
        <f>VLOOKUP(TABLA_STOCK_LISTBOX[[#This Row],[Codigo]],LISTADO_PRODUCTOS[#All],4)</f>
        <v>Marcador Maped Color Peps Duo Stamp</v>
      </c>
      <c r="C87" s="25" t="str">
        <f>VLOOKUP(TABLA_STOCK_LISTBOX[[#This Row],[Codigo]],LISTADO_PRODUCTOS[#All],5)</f>
        <v>N/A</v>
      </c>
      <c r="D87" s="25">
        <f>VLOOKUP(TABLA_STOCK_LISTBOX[[#This Row],[Codigo]],TABLA_STOCK[#All],6)</f>
        <v>1</v>
      </c>
      <c r="E87" s="25">
        <f>VLOOKUP(TABLA_STOCK_LISTBOX[[#This Row],[Codigo]],TABLA_STOCK[#All],7)</f>
        <v>107</v>
      </c>
    </row>
    <row r="88" spans="1:5" x14ac:dyDescent="0.3">
      <c r="A88" s="4">
        <v>1098</v>
      </c>
      <c r="B88" s="25" t="str">
        <f>VLOOKUP(TABLA_STOCK_LISTBOX[[#This Row],[Codigo]],LISTADO_PRODUCTOS[#All],4)</f>
        <v>Crayon Pizzini x 6u Art. 9206</v>
      </c>
      <c r="C88" s="25" t="str">
        <f>VLOOKUP(TABLA_STOCK_LISTBOX[[#This Row],[Codigo]],LISTADO_PRODUCTOS[#All],5)</f>
        <v>N/A</v>
      </c>
      <c r="D88" s="25">
        <f>VLOOKUP(TABLA_STOCK_LISTBOX[[#This Row],[Codigo]],TABLA_STOCK[#All],6)</f>
        <v>5</v>
      </c>
      <c r="E88" s="25">
        <f>VLOOKUP(TABLA_STOCK_LISTBOX[[#This Row],[Codigo]],TABLA_STOCK[#All],7)</f>
        <v>25</v>
      </c>
    </row>
    <row r="89" spans="1:5" x14ac:dyDescent="0.3">
      <c r="A89" s="4">
        <v>1099</v>
      </c>
      <c r="B89" s="25" t="str">
        <f>VLOOKUP(TABLA_STOCK_LISTBOX[[#This Row],[Codigo]],LISTADO_PRODUCTOS[#All],4)</f>
        <v>Block de dibujo Luma/triunfante Nº5 20/24 hojas color</v>
      </c>
      <c r="C89" s="25" t="str">
        <f>VLOOKUP(TABLA_STOCK_LISTBOX[[#This Row],[Codigo]],LISTADO_PRODUCTOS[#All],5)</f>
        <v>N/A</v>
      </c>
      <c r="D89" s="25">
        <f>VLOOKUP(TABLA_STOCK_LISTBOX[[#This Row],[Codigo]],TABLA_STOCK[#All],6)</f>
        <v>2</v>
      </c>
      <c r="E89" s="25">
        <f>VLOOKUP(TABLA_STOCK_LISTBOX[[#This Row],[Codigo]],TABLA_STOCK[#All],7)</f>
        <v>32</v>
      </c>
    </row>
    <row r="90" spans="1:5" x14ac:dyDescent="0.3">
      <c r="A90" s="4">
        <v>1100</v>
      </c>
      <c r="B90" s="25" t="str">
        <f>VLOOKUP(TABLA_STOCK_LISTBOX[[#This Row],[Codigo]],LISTADO_PRODUCTOS[#All],4)</f>
        <v>Micro Tank pen 0,7</v>
      </c>
      <c r="C90" s="25" t="str">
        <f>VLOOKUP(TABLA_STOCK_LISTBOX[[#This Row],[Codigo]],LISTADO_PRODUCTOS[#All],5)</f>
        <v>N/A</v>
      </c>
      <c r="D90" s="25">
        <f>VLOOKUP(TABLA_STOCK_LISTBOX[[#This Row],[Codigo]],TABLA_STOCK[#All],6)</f>
        <v>2</v>
      </c>
      <c r="E90" s="25">
        <f>VLOOKUP(TABLA_STOCK_LISTBOX[[#This Row],[Codigo]],TABLA_STOCK[#All],7)</f>
        <v>150</v>
      </c>
    </row>
    <row r="91" spans="1:5" x14ac:dyDescent="0.3">
      <c r="A91" s="4">
        <v>1101</v>
      </c>
      <c r="B91" s="25" t="str">
        <f>VLOOKUP(TABLA_STOCK_LISTBOX[[#This Row],[Codigo]],LISTADO_PRODUCTOS[#All],4)</f>
        <v>Toyo Max 0,7</v>
      </c>
      <c r="C91" s="25" t="str">
        <f>VLOOKUP(TABLA_STOCK_LISTBOX[[#This Row],[Codigo]],LISTADO_PRODUCTOS[#All],5)</f>
        <v>N/A</v>
      </c>
      <c r="D91" s="25">
        <f>VLOOKUP(TABLA_STOCK_LISTBOX[[#This Row],[Codigo]],TABLA_STOCK[#All],6)</f>
        <v>10</v>
      </c>
      <c r="E91" s="25">
        <f>VLOOKUP(TABLA_STOCK_LISTBOX[[#This Row],[Codigo]],TABLA_STOCK[#All],7)</f>
        <v>20</v>
      </c>
    </row>
    <row r="92" spans="1:5" x14ac:dyDescent="0.3">
      <c r="A92" s="4">
        <v>1102</v>
      </c>
      <c r="B92" s="25" t="str">
        <f>VLOOKUP(TABLA_STOCK_LISTBOX[[#This Row],[Codigo]],LISTADO_PRODUCTOS[#All],4)</f>
        <v>Boligrafo Bic Grip</v>
      </c>
      <c r="C92" s="25" t="str">
        <f>VLOOKUP(TABLA_STOCK_LISTBOX[[#This Row],[Codigo]],LISTADO_PRODUCTOS[#All],5)</f>
        <v>N/A</v>
      </c>
      <c r="D92" s="25">
        <f>VLOOKUP(TABLA_STOCK_LISTBOX[[#This Row],[Codigo]],TABLA_STOCK[#All],6)</f>
        <v>20</v>
      </c>
      <c r="E92" s="25">
        <f>VLOOKUP(TABLA_STOCK_LISTBOX[[#This Row],[Codigo]],TABLA_STOCK[#All],7)</f>
        <v>9</v>
      </c>
    </row>
    <row r="93" spans="1:5" x14ac:dyDescent="0.3">
      <c r="A93" s="4">
        <v>1103</v>
      </c>
      <c r="B93" s="25" t="str">
        <f>VLOOKUP(TABLA_STOCK_LISTBOX[[#This Row],[Codigo]],LISTADO_PRODUCTOS[#All],4)</f>
        <v>Boligrafo Paper Mate Kilometrico 300RT</v>
      </c>
      <c r="C93" s="25" t="str">
        <f>VLOOKUP(TABLA_STOCK_LISTBOX[[#This Row],[Codigo]],LISTADO_PRODUCTOS[#All],5)</f>
        <v>N/A</v>
      </c>
      <c r="D93" s="25">
        <f>VLOOKUP(TABLA_STOCK_LISTBOX[[#This Row],[Codigo]],TABLA_STOCK[#All],6)</f>
        <v>5</v>
      </c>
      <c r="E93" s="25">
        <f>VLOOKUP(TABLA_STOCK_LISTBOX[[#This Row],[Codigo]],TABLA_STOCK[#All],7)</f>
        <v>6</v>
      </c>
    </row>
    <row r="94" spans="1:5" x14ac:dyDescent="0.3">
      <c r="A94" s="4">
        <v>1104</v>
      </c>
      <c r="B94" s="25" t="str">
        <f>VLOOKUP(TABLA_STOCK_LISTBOX[[#This Row],[Codigo]],LISTADO_PRODUCTOS[#All],4)</f>
        <v>Boligrafo Bic Cristal fina 2x $300</v>
      </c>
      <c r="C94" s="25" t="str">
        <f>VLOOKUP(TABLA_STOCK_LISTBOX[[#This Row],[Codigo]],LISTADO_PRODUCTOS[#All],5)</f>
        <v>N/A</v>
      </c>
      <c r="D94" s="25">
        <f>VLOOKUP(TABLA_STOCK_LISTBOX[[#This Row],[Codigo]],TABLA_STOCK[#All],6)</f>
        <v>1</v>
      </c>
      <c r="E94" s="25">
        <f>VLOOKUP(TABLA_STOCK_LISTBOX[[#This Row],[Codigo]],TABLA_STOCK[#All],7)</f>
        <v>5</v>
      </c>
    </row>
    <row r="95" spans="1:5" x14ac:dyDescent="0.3">
      <c r="A95" s="4">
        <v>1105</v>
      </c>
      <c r="B95" s="25" t="str">
        <f>VLOOKUP(TABLA_STOCK_LISTBOX[[#This Row],[Codigo]],LISTADO_PRODUCTOS[#All],4)</f>
        <v>Boligrafo Bic Cristal</v>
      </c>
      <c r="C95" s="25" t="str">
        <f>VLOOKUP(TABLA_STOCK_LISTBOX[[#This Row],[Codigo]],LISTADO_PRODUCTOS[#All],5)</f>
        <v>N/A</v>
      </c>
      <c r="D95" s="25">
        <f>VLOOKUP(TABLA_STOCK_LISTBOX[[#This Row],[Codigo]],TABLA_STOCK[#All],6)</f>
        <v>5</v>
      </c>
      <c r="E95" s="25">
        <f>VLOOKUP(TABLA_STOCK_LISTBOX[[#This Row],[Codigo]],TABLA_STOCK[#All],7)</f>
        <v>52</v>
      </c>
    </row>
    <row r="96" spans="1:5" x14ac:dyDescent="0.3">
      <c r="A96" s="4">
        <v>1107</v>
      </c>
      <c r="B96" s="25" t="str">
        <f>VLOOKUP(TABLA_STOCK_LISTBOX[[#This Row],[Codigo]],LISTADO_PRODUCTOS[#All],4)</f>
        <v>Boligrafo Faber Trilux 3 x $300</v>
      </c>
      <c r="C96" s="25" t="str">
        <f>VLOOKUP(TABLA_STOCK_LISTBOX[[#This Row],[Codigo]],LISTADO_PRODUCTOS[#All],5)</f>
        <v>N/A</v>
      </c>
      <c r="D96" s="25">
        <f>VLOOKUP(TABLA_STOCK_LISTBOX[[#This Row],[Codigo]],TABLA_STOCK[#All],6)</f>
        <v>2</v>
      </c>
      <c r="E96" s="25">
        <f>VLOOKUP(TABLA_STOCK_LISTBOX[[#This Row],[Codigo]],TABLA_STOCK[#All],7)</f>
        <v>32</v>
      </c>
    </row>
    <row r="97" spans="1:5" x14ac:dyDescent="0.3">
      <c r="A97" s="4">
        <v>1108</v>
      </c>
      <c r="B97" s="25" t="str">
        <f>VLOOKUP(TABLA_STOCK_LISTBOX[[#This Row],[Codigo]],LISTADO_PRODUCTOS[#All],4)</f>
        <v>Boligrafo Bic opaco 2 x $300</v>
      </c>
      <c r="C97" s="25" t="str">
        <f>VLOOKUP(TABLA_STOCK_LISTBOX[[#This Row],[Codigo]],LISTADO_PRODUCTOS[#All],5)</f>
        <v>N/A</v>
      </c>
      <c r="D97" s="25">
        <f>VLOOKUP(TABLA_STOCK_LISTBOX[[#This Row],[Codigo]],TABLA_STOCK[#All],6)</f>
        <v>2</v>
      </c>
      <c r="E97" s="25">
        <f>VLOOKUP(TABLA_STOCK_LISTBOX[[#This Row],[Codigo]],TABLA_STOCK[#All],7)</f>
        <v>56</v>
      </c>
    </row>
    <row r="98" spans="1:5" x14ac:dyDescent="0.3">
      <c r="A98" s="4">
        <v>1109</v>
      </c>
      <c r="B98" s="25" t="str">
        <f>VLOOKUP(TABLA_STOCK_LISTBOX[[#This Row],[Codigo]],LISTADO_PRODUCTOS[#All],4)</f>
        <v>Boligrafo Bic Vive</v>
      </c>
      <c r="C98" s="25" t="str">
        <f>VLOOKUP(TABLA_STOCK_LISTBOX[[#This Row],[Codigo]],LISTADO_PRODUCTOS[#All],5)</f>
        <v>N/A</v>
      </c>
      <c r="D98" s="25">
        <f>VLOOKUP(TABLA_STOCK_LISTBOX[[#This Row],[Codigo]],TABLA_STOCK[#All],6)</f>
        <v>10</v>
      </c>
      <c r="E98" s="25">
        <f>VLOOKUP(TABLA_STOCK_LISTBOX[[#This Row],[Codigo]],TABLA_STOCK[#All],7)</f>
        <v>107</v>
      </c>
    </row>
    <row r="99" spans="1:5" x14ac:dyDescent="0.3">
      <c r="A99" s="4">
        <v>1110</v>
      </c>
      <c r="B99" s="25" t="str">
        <f>VLOOKUP(TABLA_STOCK_LISTBOX[[#This Row],[Codigo]],LISTADO_PRODUCTOS[#All],4)</f>
        <v>Boligrafo Bic Shimmer 2 x $300</v>
      </c>
      <c r="C99" s="25" t="str">
        <f>VLOOKUP(TABLA_STOCK_LISTBOX[[#This Row],[Codigo]],LISTADO_PRODUCTOS[#All],5)</f>
        <v>N/A</v>
      </c>
      <c r="D99" s="25">
        <f>VLOOKUP(TABLA_STOCK_LISTBOX[[#This Row],[Codigo]],TABLA_STOCK[#All],6)</f>
        <v>20</v>
      </c>
      <c r="E99" s="25">
        <f>VLOOKUP(TABLA_STOCK_LISTBOX[[#This Row],[Codigo]],TABLA_STOCK[#All],7)</f>
        <v>25</v>
      </c>
    </row>
    <row r="100" spans="1:5" x14ac:dyDescent="0.3">
      <c r="A100" s="4">
        <v>1111</v>
      </c>
      <c r="B100" s="25" t="str">
        <f>VLOOKUP(TABLA_STOCK_LISTBOX[[#This Row],[Codigo]],LISTADO_PRODUCTOS[#All],4)</f>
        <v>Boligrafo Bic Opaco fina</v>
      </c>
      <c r="C100" s="25" t="str">
        <f>VLOOKUP(TABLA_STOCK_LISTBOX[[#This Row],[Codigo]],LISTADO_PRODUCTOS[#All],5)</f>
        <v>N/A</v>
      </c>
      <c r="D100" s="25">
        <f>VLOOKUP(TABLA_STOCK_LISTBOX[[#This Row],[Codigo]],TABLA_STOCK[#All],6)</f>
        <v>5</v>
      </c>
      <c r="E100" s="25">
        <f>VLOOKUP(TABLA_STOCK_LISTBOX[[#This Row],[Codigo]],TABLA_STOCK[#All],7)</f>
        <v>32</v>
      </c>
    </row>
    <row r="101" spans="1:5" x14ac:dyDescent="0.3">
      <c r="A101" s="4">
        <v>1112</v>
      </c>
      <c r="B101" s="25" t="str">
        <f>VLOOKUP(TABLA_STOCK_LISTBOX[[#This Row],[Codigo]],LISTADO_PRODUCTOS[#All],4)</f>
        <v>Boligrafo Bic Bold</v>
      </c>
      <c r="C101" s="25" t="str">
        <f>VLOOKUP(TABLA_STOCK_LISTBOX[[#This Row],[Codigo]],LISTADO_PRODUCTOS[#All],5)</f>
        <v>N/A</v>
      </c>
      <c r="D101" s="25">
        <f>VLOOKUP(TABLA_STOCK_LISTBOX[[#This Row],[Codigo]],TABLA_STOCK[#All],6)</f>
        <v>1</v>
      </c>
      <c r="E101" s="25">
        <f>VLOOKUP(TABLA_STOCK_LISTBOX[[#This Row],[Codigo]],TABLA_STOCK[#All],7)</f>
        <v>150</v>
      </c>
    </row>
    <row r="102" spans="1:5" x14ac:dyDescent="0.3">
      <c r="A102" s="4">
        <v>1113</v>
      </c>
      <c r="B102" s="25" t="str">
        <f>VLOOKUP(TABLA_STOCK_LISTBOX[[#This Row],[Codigo]],LISTADO_PRODUCTOS[#All],4)</f>
        <v>Roller Bic Gripp</v>
      </c>
      <c r="C102" s="25" t="str">
        <f>VLOOKUP(TABLA_STOCK_LISTBOX[[#This Row],[Codigo]],LISTADO_PRODUCTOS[#All],5)</f>
        <v>N/A</v>
      </c>
      <c r="D102" s="25">
        <f>VLOOKUP(TABLA_STOCK_LISTBOX[[#This Row],[Codigo]],TABLA_STOCK[#All],6)</f>
        <v>5</v>
      </c>
      <c r="E102" s="25">
        <f>VLOOKUP(TABLA_STOCK_LISTBOX[[#This Row],[Codigo]],TABLA_STOCK[#All],7)</f>
        <v>20</v>
      </c>
    </row>
    <row r="103" spans="1:5" x14ac:dyDescent="0.3">
      <c r="A103" s="4">
        <v>1114</v>
      </c>
      <c r="B103" s="25" t="str">
        <f>VLOOKUP(TABLA_STOCK_LISTBOX[[#This Row],[Codigo]],LISTADO_PRODUCTOS[#All],4)</f>
        <v>Carpeta N°3 con cordon Comunes</v>
      </c>
      <c r="C103" s="25" t="str">
        <f>VLOOKUP(TABLA_STOCK_LISTBOX[[#This Row],[Codigo]],LISTADO_PRODUCTOS[#All],5)</f>
        <v>N/A</v>
      </c>
      <c r="D103" s="25">
        <f>VLOOKUP(TABLA_STOCK_LISTBOX[[#This Row],[Codigo]],TABLA_STOCK[#All],6)</f>
        <v>2</v>
      </c>
      <c r="E103" s="25">
        <f>VLOOKUP(TABLA_STOCK_LISTBOX[[#This Row],[Codigo]],TABLA_STOCK[#All],7)</f>
        <v>19</v>
      </c>
    </row>
    <row r="104" spans="1:5" x14ac:dyDescent="0.3">
      <c r="A104" s="4">
        <v>1115</v>
      </c>
      <c r="B104" s="25" t="str">
        <f>VLOOKUP(TABLA_STOCK_LISTBOX[[#This Row],[Codigo]],LISTADO_PRODUCTOS[#All],4)</f>
        <v>Boligrafo borrable Erasermate comun</v>
      </c>
      <c r="C104" s="25" t="str">
        <f>VLOOKUP(TABLA_STOCK_LISTBOX[[#This Row],[Codigo]],LISTADO_PRODUCTOS[#All],5)</f>
        <v>N/A</v>
      </c>
      <c r="D104" s="25">
        <f>VLOOKUP(TABLA_STOCK_LISTBOX[[#This Row],[Codigo]],TABLA_STOCK[#All],6)</f>
        <v>2</v>
      </c>
      <c r="E104" s="25">
        <f>VLOOKUP(TABLA_STOCK_LISTBOX[[#This Row],[Codigo]],TABLA_STOCK[#All],7)</f>
        <v>6</v>
      </c>
    </row>
    <row r="105" spans="1:5" x14ac:dyDescent="0.3">
      <c r="A105" s="4">
        <v>1116</v>
      </c>
      <c r="B105" s="25" t="str">
        <f>VLOOKUP(TABLA_STOCK_LISTBOX[[#This Row],[Codigo]],LISTADO_PRODUCTOS[#All],4)</f>
        <v>Boligrafo Borrable OLAMI Negro</v>
      </c>
      <c r="C105" s="25" t="str">
        <f>VLOOKUP(TABLA_STOCK_LISTBOX[[#This Row],[Codigo]],LISTADO_PRODUCTOS[#All],5)</f>
        <v>N/A</v>
      </c>
      <c r="D105" s="25">
        <f>VLOOKUP(TABLA_STOCK_LISTBOX[[#This Row],[Codigo]],TABLA_STOCK[#All],6)</f>
        <v>10</v>
      </c>
      <c r="E105" s="25">
        <f>VLOOKUP(TABLA_STOCK_LISTBOX[[#This Row],[Codigo]],TABLA_STOCK[#All],7)</f>
        <v>5</v>
      </c>
    </row>
    <row r="106" spans="1:5" x14ac:dyDescent="0.3">
      <c r="A106" s="4">
        <v>1117</v>
      </c>
      <c r="B106" s="25" t="str">
        <f>VLOOKUP(TABLA_STOCK_LISTBOX[[#This Row],[Codigo]],LISTADO_PRODUCTOS[#All],4)</f>
        <v>Portaminas Filgo Real Grip 0.5</v>
      </c>
      <c r="C106" s="25" t="str">
        <f>VLOOKUP(TABLA_STOCK_LISTBOX[[#This Row],[Codigo]],LISTADO_PRODUCTOS[#All],5)</f>
        <v>N/A</v>
      </c>
      <c r="D106" s="25">
        <f>VLOOKUP(TABLA_STOCK_LISTBOX[[#This Row],[Codigo]],TABLA_STOCK[#All],6)</f>
        <v>20</v>
      </c>
      <c r="E106" s="25">
        <f>VLOOKUP(TABLA_STOCK_LISTBOX[[#This Row],[Codigo]],TABLA_STOCK[#All],7)</f>
        <v>52</v>
      </c>
    </row>
    <row r="107" spans="1:5" x14ac:dyDescent="0.3">
      <c r="A107" s="4">
        <v>1118</v>
      </c>
      <c r="B107" s="25" t="str">
        <f>VLOOKUP(TABLA_STOCK_LISTBOX[[#This Row],[Codigo]],LISTADO_PRODUCTOS[#All],4)</f>
        <v>Boligrafo Wero retractil Pastel Notes Corazon</v>
      </c>
      <c r="C107" s="25" t="str">
        <f>VLOOKUP(TABLA_STOCK_LISTBOX[[#This Row],[Codigo]],LISTADO_PRODUCTOS[#All],5)</f>
        <v>N/A</v>
      </c>
      <c r="D107" s="25">
        <f>VLOOKUP(TABLA_STOCK_LISTBOX[[#This Row],[Codigo]],TABLA_STOCK[#All],6)</f>
        <v>5</v>
      </c>
      <c r="E107" s="25">
        <f>VLOOKUP(TABLA_STOCK_LISTBOX[[#This Row],[Codigo]],TABLA_STOCK[#All],7)</f>
        <v>32</v>
      </c>
    </row>
    <row r="108" spans="1:5" x14ac:dyDescent="0.3">
      <c r="A108" s="4">
        <v>1119</v>
      </c>
      <c r="B108" s="25" t="str">
        <f>VLOOKUP(TABLA_STOCK_LISTBOX[[#This Row],[Codigo]],LISTADO_PRODUCTOS[#All],4)</f>
        <v>Boligrafo retractil pastel notes unicornio</v>
      </c>
      <c r="C108" s="25" t="str">
        <f>VLOOKUP(TABLA_STOCK_LISTBOX[[#This Row],[Codigo]],LISTADO_PRODUCTOS[#All],5)</f>
        <v>N/A</v>
      </c>
      <c r="D108" s="25">
        <f>VLOOKUP(TABLA_STOCK_LISTBOX[[#This Row],[Codigo]],TABLA_STOCK[#All],6)</f>
        <v>1</v>
      </c>
      <c r="E108" s="25">
        <f>VLOOKUP(TABLA_STOCK_LISTBOX[[#This Row],[Codigo]],TABLA_STOCK[#All],7)</f>
        <v>56</v>
      </c>
    </row>
    <row r="109" spans="1:5" x14ac:dyDescent="0.3">
      <c r="A109" s="4">
        <v>1124</v>
      </c>
      <c r="B109" s="25" t="str">
        <f>VLOOKUP(TABLA_STOCK_LISTBOX[[#This Row],[Codigo]],LISTADO_PRODUCTOS[#All],4)</f>
        <v>Portaminas Bic Clic Matic Atlantis pencil 0.5</v>
      </c>
      <c r="C109" s="25" t="str">
        <f>VLOOKUP(TABLA_STOCK_LISTBOX[[#This Row],[Codigo]],LISTADO_PRODUCTOS[#All],5)</f>
        <v>N/A</v>
      </c>
      <c r="D109" s="25">
        <f>VLOOKUP(TABLA_STOCK_LISTBOX[[#This Row],[Codigo]],TABLA_STOCK[#All],6)</f>
        <v>5</v>
      </c>
      <c r="E109" s="25">
        <f>VLOOKUP(TABLA_STOCK_LISTBOX[[#This Row],[Codigo]],TABLA_STOCK[#All],7)</f>
        <v>107</v>
      </c>
    </row>
    <row r="110" spans="1:5" x14ac:dyDescent="0.3">
      <c r="A110" s="4">
        <v>1125</v>
      </c>
      <c r="B110" s="25" t="str">
        <f>VLOOKUP(TABLA_STOCK_LISTBOX[[#This Row],[Codigo]],LISTADO_PRODUCTOS[#All],4)</f>
        <v>Minas pizzini 0.5 HB - Art. S5300HB - 7793198530079</v>
      </c>
      <c r="C110" s="25" t="str">
        <f>VLOOKUP(TABLA_STOCK_LISTBOX[[#This Row],[Codigo]],LISTADO_PRODUCTOS[#All],5)</f>
        <v>N/A</v>
      </c>
      <c r="D110" s="25">
        <f>VLOOKUP(TABLA_STOCK_LISTBOX[[#This Row],[Codigo]],TABLA_STOCK[#All],6)</f>
        <v>2</v>
      </c>
      <c r="E110" s="25">
        <f>VLOOKUP(TABLA_STOCK_LISTBOX[[#This Row],[Codigo]],TABLA_STOCK[#All],7)</f>
        <v>25</v>
      </c>
    </row>
    <row r="111" spans="1:5" x14ac:dyDescent="0.3">
      <c r="A111" s="4">
        <v>1126</v>
      </c>
      <c r="B111" s="25" t="str">
        <f>VLOOKUP(TABLA_STOCK_LISTBOX[[#This Row],[Codigo]],LISTADO_PRODUCTOS[#All],4)</f>
        <v>Minas Pizzini 0,7 HB - Art. S7300HB - 7793198730073</v>
      </c>
      <c r="C111" s="25" t="str">
        <f>VLOOKUP(TABLA_STOCK_LISTBOX[[#This Row],[Codigo]],LISTADO_PRODUCTOS[#All],5)</f>
        <v>N/A</v>
      </c>
      <c r="D111" s="25">
        <f>VLOOKUP(TABLA_STOCK_LISTBOX[[#This Row],[Codigo]],TABLA_STOCK[#All],6)</f>
        <v>10</v>
      </c>
      <c r="E111" s="25">
        <f>VLOOKUP(TABLA_STOCK_LISTBOX[[#This Row],[Codigo]],TABLA_STOCK[#All],7)</f>
        <v>32</v>
      </c>
    </row>
    <row r="112" spans="1:5" x14ac:dyDescent="0.3">
      <c r="A112" s="4">
        <v>1127</v>
      </c>
      <c r="B112" s="25" t="str">
        <f>VLOOKUP(TABLA_STOCK_LISTBOX[[#This Row],[Codigo]],LISTADO_PRODUCTOS[#All],4)</f>
        <v>Minas Faber Castell 0.5 HB</v>
      </c>
      <c r="C112" s="25" t="str">
        <f>VLOOKUP(TABLA_STOCK_LISTBOX[[#This Row],[Codigo]],LISTADO_PRODUCTOS[#All],5)</f>
        <v>N/A</v>
      </c>
      <c r="D112" s="25">
        <f>VLOOKUP(TABLA_STOCK_LISTBOX[[#This Row],[Codigo]],TABLA_STOCK[#All],6)</f>
        <v>20</v>
      </c>
      <c r="E112" s="25">
        <f>VLOOKUP(TABLA_STOCK_LISTBOX[[#This Row],[Codigo]],TABLA_STOCK[#All],7)</f>
        <v>150</v>
      </c>
    </row>
    <row r="113" spans="1:5" x14ac:dyDescent="0.3">
      <c r="A113" s="4">
        <v>1128</v>
      </c>
      <c r="B113" s="25" t="str">
        <f>VLOOKUP(TABLA_STOCK_LISTBOX[[#This Row],[Codigo]],LISTADO_PRODUCTOS[#All],4)</f>
        <v>Minas Faber Castell 0,7 HB</v>
      </c>
      <c r="C113" s="25" t="str">
        <f>VLOOKUP(TABLA_STOCK_LISTBOX[[#This Row],[Codigo]],LISTADO_PRODUCTOS[#All],5)</f>
        <v>N/A</v>
      </c>
      <c r="D113" s="25">
        <f>VLOOKUP(TABLA_STOCK_LISTBOX[[#This Row],[Codigo]],TABLA_STOCK[#All],6)</f>
        <v>5</v>
      </c>
      <c r="E113" s="25">
        <f>VLOOKUP(TABLA_STOCK_LISTBOX[[#This Row],[Codigo]],TABLA_STOCK[#All],7)</f>
        <v>20</v>
      </c>
    </row>
    <row r="114" spans="1:5" x14ac:dyDescent="0.3">
      <c r="A114" s="4">
        <v>1129</v>
      </c>
      <c r="B114" s="25" t="str">
        <f>VLOOKUP(TABLA_STOCK_LISTBOX[[#This Row],[Codigo]],LISTADO_PRODUCTOS[#All],4)</f>
        <v>Minas Faber Castell 0.5 2H</v>
      </c>
      <c r="C114" s="25" t="str">
        <f>VLOOKUP(TABLA_STOCK_LISTBOX[[#This Row],[Codigo]],LISTADO_PRODUCTOS[#All],5)</f>
        <v>N/A</v>
      </c>
      <c r="D114" s="25">
        <f>VLOOKUP(TABLA_STOCK_LISTBOX[[#This Row],[Codigo]],TABLA_STOCK[#All],6)</f>
        <v>1</v>
      </c>
      <c r="E114" s="25">
        <f>VLOOKUP(TABLA_STOCK_LISTBOX[[#This Row],[Codigo]],TABLA_STOCK[#All],7)</f>
        <v>19</v>
      </c>
    </row>
    <row r="115" spans="1:5" x14ac:dyDescent="0.3">
      <c r="A115" s="4">
        <v>1130</v>
      </c>
      <c r="B115" s="25" t="str">
        <f>VLOOKUP(TABLA_STOCK_LISTBOX[[#This Row],[Codigo]],LISTADO_PRODUCTOS[#All],4)</f>
        <v>Minas Pizzini 2mm B - Art. S20300B - 7793198203034</v>
      </c>
      <c r="C115" s="25" t="str">
        <f>VLOOKUP(TABLA_STOCK_LISTBOX[[#This Row],[Codigo]],LISTADO_PRODUCTOS[#All],5)</f>
        <v>N/A</v>
      </c>
      <c r="D115" s="25">
        <f>VLOOKUP(TABLA_STOCK_LISTBOX[[#This Row],[Codigo]],TABLA_STOCK[#All],6)</f>
        <v>5</v>
      </c>
      <c r="E115" s="25">
        <f>VLOOKUP(TABLA_STOCK_LISTBOX[[#This Row],[Codigo]],TABLA_STOCK[#All],7)</f>
        <v>6</v>
      </c>
    </row>
    <row r="116" spans="1:5" x14ac:dyDescent="0.3">
      <c r="A116" s="4">
        <v>1131</v>
      </c>
      <c r="B116" s="25" t="str">
        <f>VLOOKUP(TABLA_STOCK_LISTBOX[[#This Row],[Codigo]],LISTADO_PRODUCTOS[#All],4)</f>
        <v>Sacapuntas Maped CROC CROC</v>
      </c>
      <c r="C116" s="25" t="str">
        <f>VLOOKUP(TABLA_STOCK_LISTBOX[[#This Row],[Codigo]],LISTADO_PRODUCTOS[#All],5)</f>
        <v>N/A</v>
      </c>
      <c r="D116" s="25">
        <f>VLOOKUP(TABLA_STOCK_LISTBOX[[#This Row],[Codigo]],TABLA_STOCK[#All],6)</f>
        <v>2</v>
      </c>
      <c r="E116" s="25">
        <f>VLOOKUP(TABLA_STOCK_LISTBOX[[#This Row],[Codigo]],TABLA_STOCK[#All],7)</f>
        <v>5</v>
      </c>
    </row>
    <row r="117" spans="1:5" x14ac:dyDescent="0.3">
      <c r="A117" s="4">
        <v>1132</v>
      </c>
      <c r="B117" s="25" t="str">
        <f>VLOOKUP(TABLA_STOCK_LISTBOX[[#This Row],[Codigo]],LISTADO_PRODUCTOS[#All],4)</f>
        <v>Notas Adhesivas WERO Fun WE 1144</v>
      </c>
      <c r="C117" s="25" t="str">
        <f>VLOOKUP(TABLA_STOCK_LISTBOX[[#This Row],[Codigo]],LISTADO_PRODUCTOS[#All],5)</f>
        <v>N/A</v>
      </c>
      <c r="D117" s="25">
        <f>VLOOKUP(TABLA_STOCK_LISTBOX[[#This Row],[Codigo]],TABLA_STOCK[#All],6)</f>
        <v>2</v>
      </c>
      <c r="E117" s="25">
        <f>VLOOKUP(TABLA_STOCK_LISTBOX[[#This Row],[Codigo]],TABLA_STOCK[#All],7)</f>
        <v>52</v>
      </c>
    </row>
    <row r="118" spans="1:5" x14ac:dyDescent="0.3">
      <c r="A118" s="4">
        <v>1133</v>
      </c>
      <c r="B118" s="25" t="str">
        <f>VLOOKUP(TABLA_STOCK_LISTBOX[[#This Row],[Codigo]],LISTADO_PRODUCTOS[#All],4)</f>
        <v>Gomas c/formas Wero Cool Pops c/u se vende x unidad</v>
      </c>
      <c r="C118" s="25" t="str">
        <f>VLOOKUP(TABLA_STOCK_LISTBOX[[#This Row],[Codigo]],LISTADO_PRODUCTOS[#All],5)</f>
        <v>N/A</v>
      </c>
      <c r="D118" s="25">
        <f>VLOOKUP(TABLA_STOCK_LISTBOX[[#This Row],[Codigo]],TABLA_STOCK[#All],6)</f>
        <v>10</v>
      </c>
      <c r="E118" s="25">
        <f>VLOOKUP(TABLA_STOCK_LISTBOX[[#This Row],[Codigo]],TABLA_STOCK[#All],7)</f>
        <v>32</v>
      </c>
    </row>
    <row r="119" spans="1:5" x14ac:dyDescent="0.3">
      <c r="A119" s="4">
        <v>1136</v>
      </c>
      <c r="B119" s="25" t="str">
        <f>VLOOKUP(TABLA_STOCK_LISTBOX[[#This Row],[Codigo]],LISTADO_PRODUCTOS[#All],4)</f>
        <v xml:space="preserve">Separador de materias cartulina con lengüeta A4/Of x5u color </v>
      </c>
      <c r="C119" s="25" t="str">
        <f>VLOOKUP(TABLA_STOCK_LISTBOX[[#This Row],[Codigo]],LISTADO_PRODUCTOS[#All],5)</f>
        <v>N/A</v>
      </c>
      <c r="D119" s="25">
        <f>VLOOKUP(TABLA_STOCK_LISTBOX[[#This Row],[Codigo]],TABLA_STOCK[#All],6)</f>
        <v>20</v>
      </c>
      <c r="E119" s="25">
        <f>VLOOKUP(TABLA_STOCK_LISTBOX[[#This Row],[Codigo]],TABLA_STOCK[#All],7)</f>
        <v>56</v>
      </c>
    </row>
    <row r="120" spans="1:5" x14ac:dyDescent="0.3">
      <c r="A120" s="4">
        <v>1137</v>
      </c>
      <c r="B120" s="25" t="str">
        <f>VLOOKUP(TABLA_STOCK_LISTBOX[[#This Row],[Codigo]],LISTADO_PRODUCTOS[#All],4)</f>
        <v>Compas pizzini Pk133 - Art. PK133 - 7793198133003</v>
      </c>
      <c r="C120" s="25" t="str">
        <f>VLOOKUP(TABLA_STOCK_LISTBOX[[#This Row],[Codigo]],LISTADO_PRODUCTOS[#All],5)</f>
        <v>N/A</v>
      </c>
      <c r="D120" s="25">
        <f>VLOOKUP(TABLA_STOCK_LISTBOX[[#This Row],[Codigo]],TABLA_STOCK[#All],6)</f>
        <v>5</v>
      </c>
      <c r="E120" s="25">
        <f>VLOOKUP(TABLA_STOCK_LISTBOX[[#This Row],[Codigo]],TABLA_STOCK[#All],7)</f>
        <v>107</v>
      </c>
    </row>
    <row r="121" spans="1:5" x14ac:dyDescent="0.3">
      <c r="A121" s="4">
        <v>1138</v>
      </c>
      <c r="B121" s="25" t="str">
        <f>VLOOKUP(TABLA_STOCK_LISTBOX[[#This Row],[Codigo]],LISTADO_PRODUCTOS[#All],4)</f>
        <v>Compas Pelikan en caja</v>
      </c>
      <c r="C121" s="25" t="str">
        <f>VLOOKUP(TABLA_STOCK_LISTBOX[[#This Row],[Codigo]],LISTADO_PRODUCTOS[#All],5)</f>
        <v>N/A</v>
      </c>
      <c r="D121" s="25">
        <f>VLOOKUP(TABLA_STOCK_LISTBOX[[#This Row],[Codigo]],TABLA_STOCK[#All],6)</f>
        <v>1</v>
      </c>
      <c r="E121" s="25">
        <f>VLOOKUP(TABLA_STOCK_LISTBOX[[#This Row],[Codigo]],TABLA_STOCK[#All],7)</f>
        <v>25</v>
      </c>
    </row>
    <row r="122" spans="1:5" x14ac:dyDescent="0.3">
      <c r="A122" s="4">
        <v>1139</v>
      </c>
      <c r="B122" s="25" t="str">
        <f>VLOOKUP(TABLA_STOCK_LISTBOX[[#This Row],[Codigo]],LISTADO_PRODUCTOS[#All],4)</f>
        <v>Resaltador Micro Margi 2000</v>
      </c>
      <c r="C122" s="25" t="str">
        <f>VLOOKUP(TABLA_STOCK_LISTBOX[[#This Row],[Codigo]],LISTADO_PRODUCTOS[#All],5)</f>
        <v>N/A</v>
      </c>
      <c r="D122" s="25">
        <f>VLOOKUP(TABLA_STOCK_LISTBOX[[#This Row],[Codigo]],TABLA_STOCK[#All],6)</f>
        <v>5</v>
      </c>
      <c r="E122" s="25">
        <f>VLOOKUP(TABLA_STOCK_LISTBOX[[#This Row],[Codigo]],TABLA_STOCK[#All],7)</f>
        <v>32</v>
      </c>
    </row>
    <row r="123" spans="1:5" x14ac:dyDescent="0.3">
      <c r="A123" s="4">
        <v>1141</v>
      </c>
      <c r="B123" s="25" t="str">
        <f>VLOOKUP(TABLA_STOCK_LISTBOX[[#This Row],[Codigo]],LISTADO_PRODUCTOS[#All],4)</f>
        <v>Resaltador Pizzini Duo - Art. 1282 - 7793198128887</v>
      </c>
      <c r="C123" s="25" t="str">
        <f>VLOOKUP(TABLA_STOCK_LISTBOX[[#This Row],[Codigo]],LISTADO_PRODUCTOS[#All],5)</f>
        <v>N/A</v>
      </c>
      <c r="D123" s="25">
        <f>VLOOKUP(TABLA_STOCK_LISTBOX[[#This Row],[Codigo]],TABLA_STOCK[#All],6)</f>
        <v>2</v>
      </c>
      <c r="E123" s="25">
        <f>VLOOKUP(TABLA_STOCK_LISTBOX[[#This Row],[Codigo]],TABLA_STOCK[#All],7)</f>
        <v>150</v>
      </c>
    </row>
    <row r="124" spans="1:5" x14ac:dyDescent="0.3">
      <c r="A124" s="4">
        <v>1142</v>
      </c>
      <c r="B124" s="25" t="str">
        <f>VLOOKUP(TABLA_STOCK_LISTBOX[[#This Row],[Codigo]],LISTADO_PRODUCTOS[#All],4)</f>
        <v>Resaltador edding 342</v>
      </c>
      <c r="C124" s="25" t="str">
        <f>VLOOKUP(TABLA_STOCK_LISTBOX[[#This Row],[Codigo]],LISTADO_PRODUCTOS[#All],5)</f>
        <v>N/A</v>
      </c>
      <c r="D124" s="25">
        <f>VLOOKUP(TABLA_STOCK_LISTBOX[[#This Row],[Codigo]],TABLA_STOCK[#All],6)</f>
        <v>2</v>
      </c>
      <c r="E124" s="25">
        <f>VLOOKUP(TABLA_STOCK_LISTBOX[[#This Row],[Codigo]],TABLA_STOCK[#All],7)</f>
        <v>20</v>
      </c>
    </row>
    <row r="125" spans="1:5" x14ac:dyDescent="0.3">
      <c r="A125" s="4">
        <v>1143</v>
      </c>
      <c r="B125" s="25" t="str">
        <f>VLOOKUP(TABLA_STOCK_LISTBOX[[#This Row],[Codigo]],LISTADO_PRODUCTOS[#All],4)</f>
        <v>Resaltador Bic</v>
      </c>
      <c r="C125" s="25" t="str">
        <f>VLOOKUP(TABLA_STOCK_LISTBOX[[#This Row],[Codigo]],LISTADO_PRODUCTOS[#All],5)</f>
        <v>N/A</v>
      </c>
      <c r="D125" s="25">
        <f>VLOOKUP(TABLA_STOCK_LISTBOX[[#This Row],[Codigo]],TABLA_STOCK[#All],6)</f>
        <v>10</v>
      </c>
      <c r="E125" s="25">
        <f>VLOOKUP(TABLA_STOCK_LISTBOX[[#This Row],[Codigo]],TABLA_STOCK[#All],7)</f>
        <v>19</v>
      </c>
    </row>
    <row r="126" spans="1:5" x14ac:dyDescent="0.3">
      <c r="A126" s="4">
        <v>1144</v>
      </c>
      <c r="B126" s="25" t="str">
        <f>VLOOKUP(TABLA_STOCK_LISTBOX[[#This Row],[Codigo]],LISTADO_PRODUCTOS[#All],4)</f>
        <v>Marcador escolar Maped DUO TIP x 10u</v>
      </c>
      <c r="C126" s="25" t="str">
        <f>VLOOKUP(TABLA_STOCK_LISTBOX[[#This Row],[Codigo]],LISTADO_PRODUCTOS[#All],5)</f>
        <v>N/A</v>
      </c>
      <c r="D126" s="25">
        <f>VLOOKUP(TABLA_STOCK_LISTBOX[[#This Row],[Codigo]],TABLA_STOCK[#All],6)</f>
        <v>20</v>
      </c>
      <c r="E126" s="25">
        <f>VLOOKUP(TABLA_STOCK_LISTBOX[[#This Row],[Codigo]],TABLA_STOCK[#All],7)</f>
        <v>6</v>
      </c>
    </row>
    <row r="127" spans="1:5" x14ac:dyDescent="0.3">
      <c r="A127" s="4">
        <v>1149</v>
      </c>
      <c r="B127" s="25" t="str">
        <f>VLOOKUP(TABLA_STOCK_LISTBOX[[#This Row],[Codigo]],LISTADO_PRODUCTOS[#All],4)</f>
        <v>Fibron Bic Marking Biselado extra grueso</v>
      </c>
      <c r="C127" s="25" t="str">
        <f>VLOOKUP(TABLA_STOCK_LISTBOX[[#This Row],[Codigo]],LISTADO_PRODUCTOS[#All],5)</f>
        <v>N/A</v>
      </c>
      <c r="D127" s="25">
        <f>VLOOKUP(TABLA_STOCK_LISTBOX[[#This Row],[Codigo]],TABLA_STOCK[#All],6)</f>
        <v>5</v>
      </c>
      <c r="E127" s="25">
        <f>VLOOKUP(TABLA_STOCK_LISTBOX[[#This Row],[Codigo]],TABLA_STOCK[#All],7)</f>
        <v>5</v>
      </c>
    </row>
    <row r="128" spans="1:5" x14ac:dyDescent="0.3">
      <c r="A128" s="4">
        <v>1150</v>
      </c>
      <c r="B128" s="25" t="str">
        <f>VLOOKUP(TABLA_STOCK_LISTBOX[[#This Row],[Codigo]],LISTADO_PRODUCTOS[#All],4)</f>
        <v>Fibron Bic Marking redondo</v>
      </c>
      <c r="C128" s="25" t="str">
        <f>VLOOKUP(TABLA_STOCK_LISTBOX[[#This Row],[Codigo]],LISTADO_PRODUCTOS[#All],5)</f>
        <v>N/A</v>
      </c>
      <c r="D128" s="25">
        <f>VLOOKUP(TABLA_STOCK_LISTBOX[[#This Row],[Codigo]],TABLA_STOCK[#All],6)</f>
        <v>1</v>
      </c>
      <c r="E128" s="25">
        <f>VLOOKUP(TABLA_STOCK_LISTBOX[[#This Row],[Codigo]],TABLA_STOCK[#All],7)</f>
        <v>52</v>
      </c>
    </row>
    <row r="129" spans="1:5" x14ac:dyDescent="0.3">
      <c r="A129" s="4">
        <v>1451</v>
      </c>
      <c r="B129" s="25" t="str">
        <f>VLOOKUP(TABLA_STOCK_LISTBOX[[#This Row],[Codigo]],LISTADO_PRODUCTOS[#All],4)</f>
        <v>Set de Resaltadores NUWA x5u en dispenser</v>
      </c>
      <c r="C129" s="25" t="str">
        <f>VLOOKUP(TABLA_STOCK_LISTBOX[[#This Row],[Codigo]],LISTADO_PRODUCTOS[#All],5)</f>
        <v>N/A</v>
      </c>
      <c r="D129" s="25">
        <f>VLOOKUP(TABLA_STOCK_LISTBOX[[#This Row],[Codigo]],TABLA_STOCK[#All],6)</f>
        <v>5</v>
      </c>
      <c r="E129" s="25">
        <f>VLOOKUP(TABLA_STOCK_LISTBOX[[#This Row],[Codigo]],TABLA_STOCK[#All],7)</f>
        <v>32</v>
      </c>
    </row>
    <row r="130" spans="1:5" x14ac:dyDescent="0.3">
      <c r="A130" s="4">
        <v>1151</v>
      </c>
      <c r="B130" s="25" t="str">
        <f>VLOOKUP(TABLA_STOCK_LISTBOX[[#This Row],[Codigo]],LISTADO_PRODUCTOS[#All],4)</f>
        <v>Fibron Bic Marking redondo</v>
      </c>
      <c r="C130" s="25" t="str">
        <f>VLOOKUP(TABLA_STOCK_LISTBOX[[#This Row],[Codigo]],LISTADO_PRODUCTOS[#All],5)</f>
        <v>N/A</v>
      </c>
      <c r="D130" s="25">
        <f>VLOOKUP(TABLA_STOCK_LISTBOX[[#This Row],[Codigo]],TABLA_STOCK[#All],6)</f>
        <v>1</v>
      </c>
      <c r="E130" s="25">
        <f>VLOOKUP(TABLA_STOCK_LISTBOX[[#This Row],[Codigo]],TABLA_STOCK[#All],7)</f>
        <v>52</v>
      </c>
    </row>
    <row r="131" spans="1:5" x14ac:dyDescent="0.3">
      <c r="A131" s="4">
        <v>1153</v>
      </c>
      <c r="B131" s="25" t="str">
        <f>VLOOKUP(TABLA_STOCK_LISTBOX[[#This Row],[Codigo]],LISTADO_PRODUCTOS[#All],4)</f>
        <v>Fibron Bic Marking redondo</v>
      </c>
      <c r="C131" s="25" t="str">
        <f>VLOOKUP(TABLA_STOCK_LISTBOX[[#This Row],[Codigo]],LISTADO_PRODUCTOS[#All],5)</f>
        <v>N/A</v>
      </c>
      <c r="D131" s="25">
        <f>VLOOKUP(TABLA_STOCK_LISTBOX[[#This Row],[Codigo]],TABLA_STOCK[#All],6)</f>
        <v>1</v>
      </c>
      <c r="E131" s="25">
        <f>VLOOKUP(TABLA_STOCK_LISTBOX[[#This Row],[Codigo]],TABLA_STOCK[#All],7)</f>
        <v>52</v>
      </c>
    </row>
    <row r="132" spans="1:5" x14ac:dyDescent="0.3">
      <c r="A132" s="4">
        <v>1154</v>
      </c>
      <c r="B132" s="25" t="str">
        <f>VLOOKUP(TABLA_STOCK_LISTBOX[[#This Row],[Codigo]],LISTADO_PRODUCTOS[#All],4)</f>
        <v>Tijera Maped advanced office 17cm</v>
      </c>
      <c r="C132" s="25" t="str">
        <f>VLOOKUP(TABLA_STOCK_LISTBOX[[#This Row],[Codigo]],LISTADO_PRODUCTOS[#All],5)</f>
        <v>N/A</v>
      </c>
      <c r="D132" s="25">
        <f>VLOOKUP(TABLA_STOCK_LISTBOX[[#This Row],[Codigo]],TABLA_STOCK[#All],6)</f>
        <v>10</v>
      </c>
      <c r="E132" s="25">
        <f>VLOOKUP(TABLA_STOCK_LISTBOX[[#This Row],[Codigo]],TABLA_STOCK[#All],7)</f>
        <v>25</v>
      </c>
    </row>
    <row r="133" spans="1:5" x14ac:dyDescent="0.3">
      <c r="A133" s="4">
        <v>1155</v>
      </c>
      <c r="B133" s="25" t="str">
        <f>VLOOKUP(TABLA_STOCK_LISTBOX[[#This Row],[Codigo]],LISTADO_PRODUCTOS[#All],4)</f>
        <v>Tijera Maped Universal 21cm</v>
      </c>
      <c r="C133" s="25" t="str">
        <f>VLOOKUP(TABLA_STOCK_LISTBOX[[#This Row],[Codigo]],LISTADO_PRODUCTOS[#All],5)</f>
        <v>N/A</v>
      </c>
      <c r="D133" s="25">
        <f>VLOOKUP(TABLA_STOCK_LISTBOX[[#This Row],[Codigo]],TABLA_STOCK[#All],6)</f>
        <v>20</v>
      </c>
      <c r="E133" s="25">
        <f>VLOOKUP(TABLA_STOCK_LISTBOX[[#This Row],[Codigo]],TABLA_STOCK[#All],7)</f>
        <v>32</v>
      </c>
    </row>
    <row r="134" spans="1:5" x14ac:dyDescent="0.3">
      <c r="A134" s="4">
        <v>1156</v>
      </c>
      <c r="B134" s="25" t="str">
        <f>VLOOKUP(TABLA_STOCK_LISTBOX[[#This Row],[Codigo]],LISTADO_PRODUCTOS[#All],4)</f>
        <v>Tijera Olami Standard 17.5cm</v>
      </c>
      <c r="C134" s="25" t="str">
        <f>VLOOKUP(TABLA_STOCK_LISTBOX[[#This Row],[Codigo]],LISTADO_PRODUCTOS[#All],5)</f>
        <v>N/A</v>
      </c>
      <c r="D134" s="25">
        <f>VLOOKUP(TABLA_STOCK_LISTBOX[[#This Row],[Codigo]],TABLA_STOCK[#All],6)</f>
        <v>5</v>
      </c>
      <c r="E134" s="25">
        <f>VLOOKUP(TABLA_STOCK_LISTBOX[[#This Row],[Codigo]],TABLA_STOCK[#All],7)</f>
        <v>150</v>
      </c>
    </row>
    <row r="135" spans="1:5" x14ac:dyDescent="0.3">
      <c r="A135" s="4">
        <v>1161</v>
      </c>
      <c r="B135" s="25" t="str">
        <f>VLOOKUP(TABLA_STOCK_LISTBOX[[#This Row],[Codigo]],LISTADO_PRODUCTOS[#All],4)</f>
        <v>Crayon Ezco Jumbo x 12u</v>
      </c>
      <c r="C135" s="25" t="str">
        <f>VLOOKUP(TABLA_STOCK_LISTBOX[[#This Row],[Codigo]],LISTADO_PRODUCTOS[#All],5)</f>
        <v>N/A</v>
      </c>
      <c r="D135" s="25">
        <f>VLOOKUP(TABLA_STOCK_LISTBOX[[#This Row],[Codigo]],TABLA_STOCK[#All],6)</f>
        <v>1</v>
      </c>
      <c r="E135" s="25">
        <f>VLOOKUP(TABLA_STOCK_LISTBOX[[#This Row],[Codigo]],TABLA_STOCK[#All],7)</f>
        <v>20</v>
      </c>
    </row>
    <row r="136" spans="1:5" x14ac:dyDescent="0.3">
      <c r="A136" s="4">
        <v>1162</v>
      </c>
      <c r="B136" s="25" t="str">
        <f>VLOOKUP(TABLA_STOCK_LISTBOX[[#This Row],[Codigo]],LISTADO_PRODUCTOS[#All],4)</f>
        <v>Lapices de colores Bic Evolution x 24</v>
      </c>
      <c r="C136" s="25" t="str">
        <f>VLOOKUP(TABLA_STOCK_LISTBOX[[#This Row],[Codigo]],LISTADO_PRODUCTOS[#All],5)</f>
        <v>N/A</v>
      </c>
      <c r="D136" s="25">
        <f>VLOOKUP(TABLA_STOCK_LISTBOX[[#This Row],[Codigo]],TABLA_STOCK[#All],6)</f>
        <v>5</v>
      </c>
      <c r="E136" s="25">
        <f>VLOOKUP(TABLA_STOCK_LISTBOX[[#This Row],[Codigo]],TABLA_STOCK[#All],7)</f>
        <v>19</v>
      </c>
    </row>
    <row r="137" spans="1:5" x14ac:dyDescent="0.3">
      <c r="A137" s="4">
        <v>1163</v>
      </c>
      <c r="B137" s="25" t="str">
        <f>VLOOKUP(TABLA_STOCK_LISTBOX[[#This Row],[Codigo]],LISTADO_PRODUCTOS[#All],4)</f>
        <v>Lapices de colores Skycolor pastel x 12</v>
      </c>
      <c r="C137" s="25" t="str">
        <f>VLOOKUP(TABLA_STOCK_LISTBOX[[#This Row],[Codigo]],LISTADO_PRODUCTOS[#All],5)</f>
        <v>N/A</v>
      </c>
      <c r="D137" s="25">
        <f>VLOOKUP(TABLA_STOCK_LISTBOX[[#This Row],[Codigo]],TABLA_STOCK[#All],6)</f>
        <v>2</v>
      </c>
      <c r="E137" s="25">
        <f>VLOOKUP(TABLA_STOCK_LISTBOX[[#This Row],[Codigo]],TABLA_STOCK[#All],7)</f>
        <v>6</v>
      </c>
    </row>
    <row r="138" spans="1:5" x14ac:dyDescent="0.3">
      <c r="A138" s="4">
        <v>1164</v>
      </c>
      <c r="B138" s="25" t="str">
        <f>VLOOKUP(TABLA_STOCK_LISTBOX[[#This Row],[Codigo]],LISTADO_PRODUCTOS[#All],4)</f>
        <v>Lapices de colores Maped Star pinturitas x 36 u</v>
      </c>
      <c r="C138" s="25" t="str">
        <f>VLOOKUP(TABLA_STOCK_LISTBOX[[#This Row],[Codigo]],LISTADO_PRODUCTOS[#All],5)</f>
        <v>N/A</v>
      </c>
      <c r="D138" s="25">
        <f>VLOOKUP(TABLA_STOCK_LISTBOX[[#This Row],[Codigo]],TABLA_STOCK[#All],6)</f>
        <v>10</v>
      </c>
      <c r="E138" s="25">
        <f>VLOOKUP(TABLA_STOCK_LISTBOX[[#This Row],[Codigo]],TABLA_STOCK[#All],7)</f>
        <v>5</v>
      </c>
    </row>
    <row r="139" spans="1:5" x14ac:dyDescent="0.3">
      <c r="A139" s="4">
        <v>1165</v>
      </c>
      <c r="B139" s="25" t="str">
        <f>VLOOKUP(TABLA_STOCK_LISTBOX[[#This Row],[Codigo]],LISTADO_PRODUCTOS[#All],4)</f>
        <v>Lapices de colores Maped Star pinturitas x 48 u</v>
      </c>
      <c r="C139" s="25" t="str">
        <f>VLOOKUP(TABLA_STOCK_LISTBOX[[#This Row],[Codigo]],LISTADO_PRODUCTOS[#All],5)</f>
        <v>N/A</v>
      </c>
      <c r="D139" s="25">
        <f>VLOOKUP(TABLA_STOCK_LISTBOX[[#This Row],[Codigo]],TABLA_STOCK[#All],6)</f>
        <v>20</v>
      </c>
      <c r="E139" s="25">
        <f>VLOOKUP(TABLA_STOCK_LISTBOX[[#This Row],[Codigo]],TABLA_STOCK[#All],7)</f>
        <v>52</v>
      </c>
    </row>
    <row r="140" spans="1:5" x14ac:dyDescent="0.3">
      <c r="A140" s="4">
        <v>1167</v>
      </c>
      <c r="B140" s="25" t="str">
        <f>VLOOKUP(TABLA_STOCK_LISTBOX[[#This Row],[Codigo]],LISTADO_PRODUCTOS[#All],4)</f>
        <v>Colores Sylvapen x6 Fluo</v>
      </c>
      <c r="C140" s="25" t="str">
        <f>VLOOKUP(TABLA_STOCK_LISTBOX[[#This Row],[Codigo]],LISTADO_PRODUCTOS[#All],5)</f>
        <v>N/A</v>
      </c>
      <c r="D140" s="25">
        <f>VLOOKUP(TABLA_STOCK_LISTBOX[[#This Row],[Codigo]],TABLA_STOCK[#All],6)</f>
        <v>5</v>
      </c>
      <c r="E140" s="25">
        <f>VLOOKUP(TABLA_STOCK_LISTBOX[[#This Row],[Codigo]],TABLA_STOCK[#All],7)</f>
        <v>32</v>
      </c>
    </row>
    <row r="141" spans="1:5" x14ac:dyDescent="0.3">
      <c r="A141" s="4">
        <v>1168</v>
      </c>
      <c r="B141" s="25" t="str">
        <f>VLOOKUP(TABLA_STOCK_LISTBOX[[#This Row],[Codigo]],LISTADO_PRODUCTOS[#All],4)</f>
        <v>Colores x 12 Simball Largos Acuarelables</v>
      </c>
      <c r="C141" s="25" t="str">
        <f>VLOOKUP(TABLA_STOCK_LISTBOX[[#This Row],[Codigo]],LISTADO_PRODUCTOS[#All],5)</f>
        <v>N/A</v>
      </c>
      <c r="D141" s="25">
        <f>VLOOKUP(TABLA_STOCK_LISTBOX[[#This Row],[Codigo]],TABLA_STOCK[#All],6)</f>
        <v>1</v>
      </c>
      <c r="E141" s="25">
        <f>VLOOKUP(TABLA_STOCK_LISTBOX[[#This Row],[Codigo]],TABLA_STOCK[#All],7)</f>
        <v>56</v>
      </c>
    </row>
    <row r="142" spans="1:5" x14ac:dyDescent="0.3">
      <c r="A142" s="4">
        <v>1169</v>
      </c>
      <c r="B142" s="25" t="str">
        <f>VLOOKUP(TABLA_STOCK_LISTBOX[[#This Row],[Codigo]],LISTADO_PRODUCTOS[#All],4)</f>
        <v>Colores Simball x 12 largos innovation</v>
      </c>
      <c r="C142" s="25" t="str">
        <f>VLOOKUP(TABLA_STOCK_LISTBOX[[#This Row],[Codigo]],LISTADO_PRODUCTOS[#All],5)</f>
        <v>N/A</v>
      </c>
      <c r="D142" s="25">
        <f>VLOOKUP(TABLA_STOCK_LISTBOX[[#This Row],[Codigo]],TABLA_STOCK[#All],6)</f>
        <v>5</v>
      </c>
      <c r="E142" s="25">
        <f>VLOOKUP(TABLA_STOCK_LISTBOX[[#This Row],[Codigo]],TABLA_STOCK[#All],7)</f>
        <v>107</v>
      </c>
    </row>
    <row r="143" spans="1:5" x14ac:dyDescent="0.3">
      <c r="A143" s="4">
        <v>1171</v>
      </c>
      <c r="B143" s="25" t="str">
        <f>VLOOKUP(TABLA_STOCK_LISTBOX[[#This Row],[Codigo]],LISTADO_PRODUCTOS[#All],4)</f>
        <v>Lapices de colores Pastel Mooving Dulce pastel x 10</v>
      </c>
      <c r="C143" s="25" t="str">
        <f>VLOOKUP(TABLA_STOCK_LISTBOX[[#This Row],[Codigo]],LISTADO_PRODUCTOS[#All],5)</f>
        <v>N/A</v>
      </c>
      <c r="D143" s="25">
        <f>VLOOKUP(TABLA_STOCK_LISTBOX[[#This Row],[Codigo]],TABLA_STOCK[#All],6)</f>
        <v>2</v>
      </c>
      <c r="E143" s="25">
        <f>VLOOKUP(TABLA_STOCK_LISTBOX[[#This Row],[Codigo]],TABLA_STOCK[#All],7)</f>
        <v>25</v>
      </c>
    </row>
    <row r="144" spans="1:5" x14ac:dyDescent="0.3">
      <c r="A144" s="4">
        <v>1173</v>
      </c>
      <c r="B144" s="25" t="str">
        <f>VLOOKUP(TABLA_STOCK_LISTBOX[[#This Row],[Codigo]],LISTADO_PRODUCTOS[#All],4)</f>
        <v>Lapices de colores Paper mate x 15u incluye 3 NEON</v>
      </c>
      <c r="C144" s="25" t="str">
        <f>VLOOKUP(TABLA_STOCK_LISTBOX[[#This Row],[Codigo]],LISTADO_PRODUCTOS[#All],5)</f>
        <v>N/A</v>
      </c>
      <c r="D144" s="25">
        <f>VLOOKUP(TABLA_STOCK_LISTBOX[[#This Row],[Codigo]],TABLA_STOCK[#All],6)</f>
        <v>2</v>
      </c>
      <c r="E144" s="25">
        <f>VLOOKUP(TABLA_STOCK_LISTBOX[[#This Row],[Codigo]],TABLA_STOCK[#All],7)</f>
        <v>32</v>
      </c>
    </row>
    <row r="145" spans="1:5" x14ac:dyDescent="0.3">
      <c r="A145" s="4">
        <v>1174</v>
      </c>
      <c r="B145" s="25" t="str">
        <f>VLOOKUP(TABLA_STOCK_LISTBOX[[#This Row],[Codigo]],LISTADO_PRODUCTOS[#All],4)</f>
        <v xml:space="preserve">Colores Faber castell x24 </v>
      </c>
      <c r="C145" s="25" t="str">
        <f>VLOOKUP(TABLA_STOCK_LISTBOX[[#This Row],[Codigo]],LISTADO_PRODUCTOS[#All],5)</f>
        <v>N/A</v>
      </c>
      <c r="D145" s="25">
        <f>VLOOKUP(TABLA_STOCK_LISTBOX[[#This Row],[Codigo]],TABLA_STOCK[#All],6)</f>
        <v>10</v>
      </c>
      <c r="E145" s="25">
        <f>VLOOKUP(TABLA_STOCK_LISTBOX[[#This Row],[Codigo]],TABLA_STOCK[#All],7)</f>
        <v>150</v>
      </c>
    </row>
    <row r="146" spans="1:5" x14ac:dyDescent="0.3">
      <c r="A146" s="4">
        <v>1175</v>
      </c>
      <c r="B146" s="25" t="str">
        <f>VLOOKUP(TABLA_STOCK_LISTBOX[[#This Row],[Codigo]],LISTADO_PRODUCTOS[#All],4)</f>
        <v xml:space="preserve">Colores Faber Castell x12 +2N </v>
      </c>
      <c r="C146" s="25" t="str">
        <f>VLOOKUP(TABLA_STOCK_LISTBOX[[#This Row],[Codigo]],LISTADO_PRODUCTOS[#All],5)</f>
        <v>N/A</v>
      </c>
      <c r="D146" s="25">
        <f>VLOOKUP(TABLA_STOCK_LISTBOX[[#This Row],[Codigo]],TABLA_STOCK[#All],6)</f>
        <v>20</v>
      </c>
      <c r="E146" s="25">
        <f>VLOOKUP(TABLA_STOCK_LISTBOX[[#This Row],[Codigo]],TABLA_STOCK[#All],7)</f>
        <v>20</v>
      </c>
    </row>
    <row r="147" spans="1:5" x14ac:dyDescent="0.3">
      <c r="A147" s="4">
        <v>1176</v>
      </c>
      <c r="B147" s="25" t="str">
        <f>VLOOKUP(TABLA_STOCK_LISTBOX[[#This Row],[Codigo]],LISTADO_PRODUCTOS[#All],4)</f>
        <v>Marcadores escolares Skycolor x 10</v>
      </c>
      <c r="C147" s="25" t="str">
        <f>VLOOKUP(TABLA_STOCK_LISTBOX[[#This Row],[Codigo]],LISTADO_PRODUCTOS[#All],5)</f>
        <v>N/A</v>
      </c>
      <c r="D147" s="25">
        <f>VLOOKUP(TABLA_STOCK_LISTBOX[[#This Row],[Codigo]],TABLA_STOCK[#All],6)</f>
        <v>5</v>
      </c>
      <c r="E147" s="25">
        <f>VLOOKUP(TABLA_STOCK_LISTBOX[[#This Row],[Codigo]],TABLA_STOCK[#All],7)</f>
        <v>19</v>
      </c>
    </row>
    <row r="148" spans="1:5" x14ac:dyDescent="0.3">
      <c r="A148" s="4">
        <v>1180</v>
      </c>
      <c r="B148" s="25" t="str">
        <f>VLOOKUP(TABLA_STOCK_LISTBOX[[#This Row],[Codigo]],LISTADO_PRODUCTOS[#All],4)</f>
        <v>Marcadores Maped Long Life punta conica</v>
      </c>
      <c r="C148" s="25" t="str">
        <f>VLOOKUP(TABLA_STOCK_LISTBOX[[#This Row],[Codigo]],LISTADO_PRODUCTOS[#All],5)</f>
        <v>N/A</v>
      </c>
      <c r="D148" s="25">
        <f>VLOOKUP(TABLA_STOCK_LISTBOX[[#This Row],[Codigo]],TABLA_STOCK[#All],6)</f>
        <v>1</v>
      </c>
      <c r="E148" s="25">
        <f>VLOOKUP(TABLA_STOCK_LISTBOX[[#This Row],[Codigo]],TABLA_STOCK[#All],7)</f>
        <v>6</v>
      </c>
    </row>
    <row r="149" spans="1:5" x14ac:dyDescent="0.3">
      <c r="A149" s="4">
        <v>1181</v>
      </c>
      <c r="B149" s="25" t="str">
        <f>VLOOKUP(TABLA_STOCK_LISTBOX[[#This Row],[Codigo]],LISTADO_PRODUCTOS[#All],4)</f>
        <v>Cuaderno America T/Flex 48h</v>
      </c>
      <c r="C149" s="25" t="str">
        <f>VLOOKUP(TABLA_STOCK_LISTBOX[[#This Row],[Codigo]],LISTADO_PRODUCTOS[#All],5)</f>
        <v>N/A</v>
      </c>
      <c r="D149" s="25">
        <f>VLOOKUP(TABLA_STOCK_LISTBOX[[#This Row],[Codigo]],TABLA_STOCK[#All],6)</f>
        <v>5</v>
      </c>
      <c r="E149" s="25">
        <f>VLOOKUP(TABLA_STOCK_LISTBOX[[#This Row],[Codigo]],TABLA_STOCK[#All],7)</f>
        <v>5</v>
      </c>
    </row>
    <row r="150" spans="1:5" x14ac:dyDescent="0.3">
      <c r="A150" s="4">
        <v>1183</v>
      </c>
      <c r="B150" s="25" t="str">
        <f>VLOOKUP(TABLA_STOCK_LISTBOX[[#This Row],[Codigo]],LISTADO_PRODUCTOS[#All],4)</f>
        <v>Marcadores Deli Sketch triangular Doble punta Box x 12u</v>
      </c>
      <c r="C150" s="25" t="str">
        <f>VLOOKUP(TABLA_STOCK_LISTBOX[[#This Row],[Codigo]],LISTADO_PRODUCTOS[#All],5)</f>
        <v>N/A</v>
      </c>
      <c r="D150" s="25">
        <f>VLOOKUP(TABLA_STOCK_LISTBOX[[#This Row],[Codigo]],TABLA_STOCK[#All],6)</f>
        <v>2</v>
      </c>
      <c r="E150" s="25">
        <f>VLOOKUP(TABLA_STOCK_LISTBOX[[#This Row],[Codigo]],TABLA_STOCK[#All],7)</f>
        <v>52</v>
      </c>
    </row>
    <row r="151" spans="1:5" x14ac:dyDescent="0.3">
      <c r="A151" s="4">
        <v>1186</v>
      </c>
      <c r="B151" s="25" t="str">
        <f>VLOOKUP(TABLA_STOCK_LISTBOX[[#This Row],[Codigo]],LISTADO_PRODUCTOS[#All],4)</f>
        <v>Marcador Trabí Art Brush Pastel x 6u</v>
      </c>
      <c r="C151" s="25" t="str">
        <f>VLOOKUP(TABLA_STOCK_LISTBOX[[#This Row],[Codigo]],LISTADO_PRODUCTOS[#All],5)</f>
        <v>N/A</v>
      </c>
      <c r="D151" s="25">
        <f>VLOOKUP(TABLA_STOCK_LISTBOX[[#This Row],[Codigo]],TABLA_STOCK[#All],6)</f>
        <v>2</v>
      </c>
      <c r="E151" s="25">
        <f>VLOOKUP(TABLA_STOCK_LISTBOX[[#This Row],[Codigo]],TABLA_STOCK[#All],7)</f>
        <v>32</v>
      </c>
    </row>
    <row r="152" spans="1:5" x14ac:dyDescent="0.3">
      <c r="A152" s="4">
        <v>1187</v>
      </c>
      <c r="B152" s="25" t="str">
        <f>VLOOKUP(TABLA_STOCK_LISTBOX[[#This Row],[Codigo]],LISTADO_PRODUCTOS[#All],4)</f>
        <v>Tijera Maped Advanced 21cm Asim Try Me</v>
      </c>
      <c r="C152" s="25" t="str">
        <f>VLOOKUP(TABLA_STOCK_LISTBOX[[#This Row],[Codigo]],LISTADO_PRODUCTOS[#All],5)</f>
        <v>N/A</v>
      </c>
      <c r="D152" s="25">
        <f>VLOOKUP(TABLA_STOCK_LISTBOX[[#This Row],[Codigo]],TABLA_STOCK[#All],6)</f>
        <v>10</v>
      </c>
      <c r="E152" s="25">
        <f>VLOOKUP(TABLA_STOCK_LISTBOX[[#This Row],[Codigo]],TABLA_STOCK[#All],7)</f>
        <v>56</v>
      </c>
    </row>
    <row r="153" spans="1:5" x14ac:dyDescent="0.3">
      <c r="A153" s="4">
        <v>1188</v>
      </c>
      <c r="B153" s="25" t="str">
        <f>VLOOKUP(TABLA_STOCK_LISTBOX[[#This Row],[Codigo]],LISTADO_PRODUCTOS[#All],4)</f>
        <v>Portaminas Micro Executive 0,7</v>
      </c>
      <c r="C153" s="25" t="str">
        <f>VLOOKUP(TABLA_STOCK_LISTBOX[[#This Row],[Codigo]],LISTADO_PRODUCTOS[#All],5)</f>
        <v>N/A</v>
      </c>
      <c r="D153" s="25">
        <f>VLOOKUP(TABLA_STOCK_LISTBOX[[#This Row],[Codigo]],TABLA_STOCK[#All],6)</f>
        <v>20</v>
      </c>
      <c r="E153" s="25">
        <f>VLOOKUP(TABLA_STOCK_LISTBOX[[#This Row],[Codigo]],TABLA_STOCK[#All],7)</f>
        <v>107</v>
      </c>
    </row>
    <row r="154" spans="1:5" x14ac:dyDescent="0.3">
      <c r="A154" s="4">
        <v>1189</v>
      </c>
      <c r="B154" s="25" t="str">
        <f>VLOOKUP(TABLA_STOCK_LISTBOX[[#This Row],[Codigo]],LISTADO_PRODUCTOS[#All],4)</f>
        <v>Adhesivo Sintetico Pizzini x 30ml</v>
      </c>
      <c r="C154" s="25" t="str">
        <f>VLOOKUP(TABLA_STOCK_LISTBOX[[#This Row],[Codigo]],LISTADO_PRODUCTOS[#All],5)</f>
        <v>N/A</v>
      </c>
      <c r="D154" s="25">
        <f>VLOOKUP(TABLA_STOCK_LISTBOX[[#This Row],[Codigo]],TABLA_STOCK[#All],6)</f>
        <v>5</v>
      </c>
      <c r="E154" s="25">
        <f>VLOOKUP(TABLA_STOCK_LISTBOX[[#This Row],[Codigo]],TABLA_STOCK[#All],7)</f>
        <v>25</v>
      </c>
    </row>
    <row r="155" spans="1:5" x14ac:dyDescent="0.3">
      <c r="A155" s="4">
        <v>1190</v>
      </c>
      <c r="B155" s="25" t="str">
        <f>VLOOKUP(TABLA_STOCK_LISTBOX[[#This Row],[Codigo]],LISTADO_PRODUCTOS[#All],4)</f>
        <v>Adhesivo Sintetico Voligoma x 30ml</v>
      </c>
      <c r="C155" s="25" t="str">
        <f>VLOOKUP(TABLA_STOCK_LISTBOX[[#This Row],[Codigo]],LISTADO_PRODUCTOS[#All],5)</f>
        <v>N/A</v>
      </c>
      <c r="D155" s="25">
        <f>VLOOKUP(TABLA_STOCK_LISTBOX[[#This Row],[Codigo]],TABLA_STOCK[#All],6)</f>
        <v>1</v>
      </c>
      <c r="E155" s="25">
        <f>VLOOKUP(TABLA_STOCK_LISTBOX[[#This Row],[Codigo]],TABLA_STOCK[#All],7)</f>
        <v>32</v>
      </c>
    </row>
    <row r="156" spans="1:5" x14ac:dyDescent="0.3">
      <c r="A156" s="4">
        <v>1191</v>
      </c>
      <c r="B156" s="25" t="str">
        <f>VLOOKUP(TABLA_STOCK_LISTBOX[[#This Row],[Codigo]],LISTADO_PRODUCTOS[#All],4)</f>
        <v>Adhesivo Sintetico Voligoma x 50ml</v>
      </c>
      <c r="C156" s="25" t="str">
        <f>VLOOKUP(TABLA_STOCK_LISTBOX[[#This Row],[Codigo]],LISTADO_PRODUCTOS[#All],5)</f>
        <v>N/A</v>
      </c>
      <c r="D156" s="25">
        <f>VLOOKUP(TABLA_STOCK_LISTBOX[[#This Row],[Codigo]],TABLA_STOCK[#All],6)</f>
        <v>5</v>
      </c>
      <c r="E156" s="25">
        <f>VLOOKUP(TABLA_STOCK_LISTBOX[[#This Row],[Codigo]],TABLA_STOCK[#All],7)</f>
        <v>150</v>
      </c>
    </row>
    <row r="157" spans="1:5" x14ac:dyDescent="0.3">
      <c r="A157" s="4">
        <v>1192</v>
      </c>
      <c r="B157" s="25" t="str">
        <f>VLOOKUP(TABLA_STOCK_LISTBOX[[#This Row],[Codigo]],LISTADO_PRODUCTOS[#All],4)</f>
        <v>Silicona liquida Pritt 105gr</v>
      </c>
      <c r="C157" s="25" t="str">
        <f>VLOOKUP(TABLA_STOCK_LISTBOX[[#This Row],[Codigo]],LISTADO_PRODUCTOS[#All],5)</f>
        <v>N/A</v>
      </c>
      <c r="D157" s="25">
        <f>VLOOKUP(TABLA_STOCK_LISTBOX[[#This Row],[Codigo]],TABLA_STOCK[#All],6)</f>
        <v>2</v>
      </c>
      <c r="E157" s="25">
        <f>VLOOKUP(TABLA_STOCK_LISTBOX[[#This Row],[Codigo]],TABLA_STOCK[#All],7)</f>
        <v>20</v>
      </c>
    </row>
    <row r="158" spans="1:5" x14ac:dyDescent="0.3">
      <c r="A158" s="4">
        <v>1194</v>
      </c>
      <c r="B158" s="25" t="str">
        <f>VLOOKUP(TABLA_STOCK_LISTBOX[[#This Row],[Codigo]],LISTADO_PRODUCTOS[#All],4)</f>
        <v>Adhesivo vinilico Señorita x 1Kg</v>
      </c>
      <c r="C158" s="25" t="str">
        <f>VLOOKUP(TABLA_STOCK_LISTBOX[[#This Row],[Codigo]],LISTADO_PRODUCTOS[#All],5)</f>
        <v>N/A</v>
      </c>
      <c r="D158" s="25">
        <f>VLOOKUP(TABLA_STOCK_LISTBOX[[#This Row],[Codigo]],TABLA_STOCK[#All],6)</f>
        <v>2</v>
      </c>
      <c r="E158" s="25">
        <f>VLOOKUP(TABLA_STOCK_LISTBOX[[#This Row],[Codigo]],TABLA_STOCK[#All],7)</f>
        <v>19</v>
      </c>
    </row>
    <row r="159" spans="1:5" x14ac:dyDescent="0.3">
      <c r="A159" s="4">
        <v>1195</v>
      </c>
      <c r="B159" s="25" t="str">
        <f>VLOOKUP(TABLA_STOCK_LISTBOX[[#This Row],[Codigo]],LISTADO_PRODUCTOS[#All],4)</f>
        <v>Adhesivo vinilico Señorita/Maped x 500gr</v>
      </c>
      <c r="C159" s="25" t="str">
        <f>VLOOKUP(TABLA_STOCK_LISTBOX[[#This Row],[Codigo]],LISTADO_PRODUCTOS[#All],5)</f>
        <v>N/A</v>
      </c>
      <c r="D159" s="25">
        <f>VLOOKUP(TABLA_STOCK_LISTBOX[[#This Row],[Codigo]],TABLA_STOCK[#All],6)</f>
        <v>10</v>
      </c>
      <c r="E159" s="25">
        <f>VLOOKUP(TABLA_STOCK_LISTBOX[[#This Row],[Codigo]],TABLA_STOCK[#All],7)</f>
        <v>6</v>
      </c>
    </row>
    <row r="160" spans="1:5" x14ac:dyDescent="0.3">
      <c r="A160" s="4">
        <v>1196</v>
      </c>
      <c r="B160" s="25" t="str">
        <f>VLOOKUP(TABLA_STOCK_LISTBOX[[#This Row],[Codigo]],LISTADO_PRODUCTOS[#All],4)</f>
        <v>Adhesivo vinilico Señorita/Maped x 250gr</v>
      </c>
      <c r="C160" s="25" t="str">
        <f>VLOOKUP(TABLA_STOCK_LISTBOX[[#This Row],[Codigo]],LISTADO_PRODUCTOS[#All],5)</f>
        <v>N/A</v>
      </c>
      <c r="D160" s="25">
        <f>VLOOKUP(TABLA_STOCK_LISTBOX[[#This Row],[Codigo]],TABLA_STOCK[#All],6)</f>
        <v>20</v>
      </c>
      <c r="E160" s="25">
        <f>VLOOKUP(TABLA_STOCK_LISTBOX[[#This Row],[Codigo]],TABLA_STOCK[#All],7)</f>
        <v>5</v>
      </c>
    </row>
    <row r="161" spans="1:5" x14ac:dyDescent="0.3">
      <c r="A161" s="4">
        <v>1197</v>
      </c>
      <c r="B161" s="25" t="str">
        <f>VLOOKUP(TABLA_STOCK_LISTBOX[[#This Row],[Codigo]],LISTADO_PRODUCTOS[#All],4)</f>
        <v>Adhesivo vinilico Señorita/Maped x 100gr/125gr</v>
      </c>
      <c r="C161" s="25" t="str">
        <f>VLOOKUP(TABLA_STOCK_LISTBOX[[#This Row],[Codigo]],LISTADO_PRODUCTOS[#All],5)</f>
        <v>N/A</v>
      </c>
      <c r="D161" s="25">
        <f>VLOOKUP(TABLA_STOCK_LISTBOX[[#This Row],[Codigo]],TABLA_STOCK[#All],6)</f>
        <v>5</v>
      </c>
      <c r="E161" s="25">
        <f>VLOOKUP(TABLA_STOCK_LISTBOX[[#This Row],[Codigo]],TABLA_STOCK[#All],7)</f>
        <v>52</v>
      </c>
    </row>
    <row r="162" spans="1:5" x14ac:dyDescent="0.3">
      <c r="A162" s="4">
        <v>1199</v>
      </c>
      <c r="B162" s="25" t="str">
        <f>VLOOKUP(TABLA_STOCK_LISTBOX[[#This Row],[Codigo]],LISTADO_PRODUCTOS[#All],4)</f>
        <v>Goma de borrar Maped Technic</v>
      </c>
      <c r="C162" s="25" t="str">
        <f>VLOOKUP(TABLA_STOCK_LISTBOX[[#This Row],[Codigo]],LISTADO_PRODUCTOS[#All],5)</f>
        <v>N/A</v>
      </c>
      <c r="D162" s="25">
        <f>VLOOKUP(TABLA_STOCK_LISTBOX[[#This Row],[Codigo]],TABLA_STOCK[#All],6)</f>
        <v>1</v>
      </c>
      <c r="E162" s="25">
        <f>VLOOKUP(TABLA_STOCK_LISTBOX[[#This Row],[Codigo]],TABLA_STOCK[#All],7)</f>
        <v>32</v>
      </c>
    </row>
    <row r="163" spans="1:5" x14ac:dyDescent="0.3">
      <c r="A163" s="4">
        <v>1205</v>
      </c>
      <c r="B163" s="25" t="str">
        <f>VLOOKUP(TABLA_STOCK_LISTBOX[[#This Row],[Codigo]],LISTADO_PRODUCTOS[#All],4)</f>
        <v xml:space="preserve">Papel Glace Lustre </v>
      </c>
      <c r="C163" s="25" t="str">
        <f>VLOOKUP(TABLA_STOCK_LISTBOX[[#This Row],[Codigo]],LISTADO_PRODUCTOS[#All],5)</f>
        <v>N/A</v>
      </c>
      <c r="D163" s="25">
        <f>VLOOKUP(TABLA_STOCK_LISTBOX[[#This Row],[Codigo]],TABLA_STOCK[#All],6)</f>
        <v>5</v>
      </c>
      <c r="E163" s="25">
        <f>VLOOKUP(TABLA_STOCK_LISTBOX[[#This Row],[Codigo]],TABLA_STOCK[#All],7)</f>
        <v>56</v>
      </c>
    </row>
    <row r="164" spans="1:5" x14ac:dyDescent="0.3">
      <c r="A164" s="4">
        <v>1206</v>
      </c>
      <c r="B164" s="25" t="str">
        <f>VLOOKUP(TABLA_STOCK_LISTBOX[[#This Row],[Codigo]],LISTADO_PRODUCTOS[#All],4)</f>
        <v xml:space="preserve">Papel Glace Fluo - </v>
      </c>
      <c r="C164" s="25" t="str">
        <f>VLOOKUP(TABLA_STOCK_LISTBOX[[#This Row],[Codigo]],LISTADO_PRODUCTOS[#All],5)</f>
        <v>N/A</v>
      </c>
      <c r="D164" s="25">
        <f>VLOOKUP(TABLA_STOCK_LISTBOX[[#This Row],[Codigo]],TABLA_STOCK[#All],6)</f>
        <v>2</v>
      </c>
      <c r="E164" s="25">
        <f>VLOOKUP(TABLA_STOCK_LISTBOX[[#This Row],[Codigo]],TABLA_STOCK[#All],7)</f>
        <v>107</v>
      </c>
    </row>
    <row r="165" spans="1:5" x14ac:dyDescent="0.3">
      <c r="A165" s="4">
        <v>1207</v>
      </c>
      <c r="B165" s="25" t="str">
        <f>VLOOKUP(TABLA_STOCK_LISTBOX[[#This Row],[Codigo]],LISTADO_PRODUCTOS[#All],4)</f>
        <v>Papel Glace metalizado -</v>
      </c>
      <c r="C165" s="25" t="str">
        <f>VLOOKUP(TABLA_STOCK_LISTBOX[[#This Row],[Codigo]],LISTADO_PRODUCTOS[#All],5)</f>
        <v>N/A</v>
      </c>
      <c r="D165" s="25">
        <f>VLOOKUP(TABLA_STOCK_LISTBOX[[#This Row],[Codigo]],TABLA_STOCK[#All],6)</f>
        <v>10</v>
      </c>
      <c r="E165" s="25">
        <f>VLOOKUP(TABLA_STOCK_LISTBOX[[#This Row],[Codigo]],TABLA_STOCK[#All],7)</f>
        <v>25</v>
      </c>
    </row>
    <row r="166" spans="1:5" x14ac:dyDescent="0.3">
      <c r="A166" s="4">
        <v>1208</v>
      </c>
      <c r="B166" s="25" t="str">
        <f>VLOOKUP(TABLA_STOCK_LISTBOX[[#This Row],[Codigo]],LISTADO_PRODUCTOS[#All],4)</f>
        <v>Sacapuntas Maped Vivo</v>
      </c>
      <c r="C166" s="25" t="str">
        <f>VLOOKUP(TABLA_STOCK_LISTBOX[[#This Row],[Codigo]],LISTADO_PRODUCTOS[#All],5)</f>
        <v>N/A</v>
      </c>
      <c r="D166" s="25">
        <f>VLOOKUP(TABLA_STOCK_LISTBOX[[#This Row],[Codigo]],TABLA_STOCK[#All],6)</f>
        <v>20</v>
      </c>
      <c r="E166" s="25">
        <f>VLOOKUP(TABLA_STOCK_LISTBOX[[#This Row],[Codigo]],TABLA_STOCK[#All],7)</f>
        <v>32</v>
      </c>
    </row>
    <row r="167" spans="1:5" x14ac:dyDescent="0.3">
      <c r="A167" s="4">
        <v>1209</v>
      </c>
      <c r="B167" s="25" t="str">
        <f>VLOOKUP(TABLA_STOCK_LISTBOX[[#This Row],[Codigo]],LISTADO_PRODUCTOS[#All],4)</f>
        <v>Sacapuntas Maped monstruito</v>
      </c>
      <c r="C167" s="25" t="str">
        <f>VLOOKUP(TABLA_STOCK_LISTBOX[[#This Row],[Codigo]],LISTADO_PRODUCTOS[#All],5)</f>
        <v>N/A</v>
      </c>
      <c r="D167" s="25">
        <f>VLOOKUP(TABLA_STOCK_LISTBOX[[#This Row],[Codigo]],TABLA_STOCK[#All],6)</f>
        <v>5</v>
      </c>
      <c r="E167" s="25">
        <f>VLOOKUP(TABLA_STOCK_LISTBOX[[#This Row],[Codigo]],TABLA_STOCK[#All],7)</f>
        <v>150</v>
      </c>
    </row>
    <row r="168" spans="1:5" x14ac:dyDescent="0.3">
      <c r="A168" s="4">
        <v>1210</v>
      </c>
      <c r="B168" s="25" t="str">
        <f>VLOOKUP(TABLA_STOCK_LISTBOX[[#This Row],[Codigo]],LISTADO_PRODUCTOS[#All],4)</f>
        <v>Sacapuntas Metal</v>
      </c>
      <c r="C168" s="25" t="str">
        <f>VLOOKUP(TABLA_STOCK_LISTBOX[[#This Row],[Codigo]],LISTADO_PRODUCTOS[#All],5)</f>
        <v>N/A</v>
      </c>
      <c r="D168" s="25">
        <f>VLOOKUP(TABLA_STOCK_LISTBOX[[#This Row],[Codigo]],TABLA_STOCK[#All],6)</f>
        <v>1</v>
      </c>
      <c r="E168" s="25">
        <f>VLOOKUP(TABLA_STOCK_LISTBOX[[#This Row],[Codigo]],TABLA_STOCK[#All],7)</f>
        <v>20</v>
      </c>
    </row>
    <row r="169" spans="1:5" x14ac:dyDescent="0.3">
      <c r="A169" s="4">
        <v>1211</v>
      </c>
      <c r="B169" s="25" t="str">
        <f>VLOOKUP(TABLA_STOCK_LISTBOX[[#This Row],[Codigo]],LISTADO_PRODUCTOS[#All],4)</f>
        <v>Lapiz Negro Filgo Pinto</v>
      </c>
      <c r="C169" s="25" t="str">
        <f>VLOOKUP(TABLA_STOCK_LISTBOX[[#This Row],[Codigo]],LISTADO_PRODUCTOS[#All],5)</f>
        <v>N/A</v>
      </c>
      <c r="D169" s="25">
        <f>VLOOKUP(TABLA_STOCK_LISTBOX[[#This Row],[Codigo]],TABLA_STOCK[#All],6)</f>
        <v>5</v>
      </c>
      <c r="E169" s="25">
        <f>VLOOKUP(TABLA_STOCK_LISTBOX[[#This Row],[Codigo]],TABLA_STOCK[#All],7)</f>
        <v>19</v>
      </c>
    </row>
    <row r="170" spans="1:5" x14ac:dyDescent="0.3">
      <c r="A170" s="4">
        <v>1212</v>
      </c>
      <c r="B170" s="25" t="str">
        <f>VLOOKUP(TABLA_STOCK_LISTBOX[[#This Row],[Codigo]],LISTADO_PRODUCTOS[#All],4)</f>
        <v>Lapiz Negro Bic Evolution</v>
      </c>
      <c r="C170" s="25" t="str">
        <f>VLOOKUP(TABLA_STOCK_LISTBOX[[#This Row],[Codigo]],LISTADO_PRODUCTOS[#All],5)</f>
        <v>N/A</v>
      </c>
      <c r="D170" s="25">
        <f>VLOOKUP(TABLA_STOCK_LISTBOX[[#This Row],[Codigo]],TABLA_STOCK[#All],6)</f>
        <v>2</v>
      </c>
      <c r="E170" s="25">
        <f>VLOOKUP(TABLA_STOCK_LISTBOX[[#This Row],[Codigo]],TABLA_STOCK[#All],7)</f>
        <v>6</v>
      </c>
    </row>
    <row r="171" spans="1:5" x14ac:dyDescent="0.3">
      <c r="A171" s="4">
        <v>1213</v>
      </c>
      <c r="B171" s="25" t="str">
        <f>VLOOKUP(TABLA_STOCK_LISTBOX[[#This Row],[Codigo]],LISTADO_PRODUCTOS[#All],4)</f>
        <v xml:space="preserve">Lapiz Negro Skycolor </v>
      </c>
      <c r="C171" s="25" t="str">
        <f>VLOOKUP(TABLA_STOCK_LISTBOX[[#This Row],[Codigo]],LISTADO_PRODUCTOS[#All],5)</f>
        <v>N/A</v>
      </c>
      <c r="D171" s="25">
        <f>VLOOKUP(TABLA_STOCK_LISTBOX[[#This Row],[Codigo]],TABLA_STOCK[#All],6)</f>
        <v>2</v>
      </c>
      <c r="E171" s="25">
        <f>VLOOKUP(TABLA_STOCK_LISTBOX[[#This Row],[Codigo]],TABLA_STOCK[#All],7)</f>
        <v>5</v>
      </c>
    </row>
    <row r="172" spans="1:5" x14ac:dyDescent="0.3">
      <c r="A172" s="4">
        <v>1215</v>
      </c>
      <c r="B172" s="25" t="str">
        <f>VLOOKUP(TABLA_STOCK_LISTBOX[[#This Row],[Codigo]],LISTADO_PRODUCTOS[#All],4)</f>
        <v>Regla Pizzini 20cm Art. 1702 - 170268</v>
      </c>
      <c r="C172" s="25" t="str">
        <f>VLOOKUP(TABLA_STOCK_LISTBOX[[#This Row],[Codigo]],LISTADO_PRODUCTOS[#All],5)</f>
        <v>N/A</v>
      </c>
      <c r="D172" s="25">
        <f>VLOOKUP(TABLA_STOCK_LISTBOX[[#This Row],[Codigo]],TABLA_STOCK[#All],6)</f>
        <v>10</v>
      </c>
      <c r="E172" s="25">
        <f>VLOOKUP(TABLA_STOCK_LISTBOX[[#This Row],[Codigo]],TABLA_STOCK[#All],7)</f>
        <v>52</v>
      </c>
    </row>
    <row r="173" spans="1:5" x14ac:dyDescent="0.3">
      <c r="A173" s="4">
        <v>1216</v>
      </c>
      <c r="B173" s="25" t="str">
        <f>VLOOKUP(TABLA_STOCK_LISTBOX[[#This Row],[Codigo]],LISTADO_PRODUCTOS[#All],4)</f>
        <v>Regla Pizzini 30cm Art. 170230 - 7793198170275</v>
      </c>
      <c r="C173" s="25" t="str">
        <f>VLOOKUP(TABLA_STOCK_LISTBOX[[#This Row],[Codigo]],LISTADO_PRODUCTOS[#All],5)</f>
        <v>N/A</v>
      </c>
      <c r="D173" s="25">
        <f>VLOOKUP(TABLA_STOCK_LISTBOX[[#This Row],[Codigo]],TABLA_STOCK[#All],6)</f>
        <v>20</v>
      </c>
      <c r="E173" s="25">
        <f>VLOOKUP(TABLA_STOCK_LISTBOX[[#This Row],[Codigo]],TABLA_STOCK[#All],7)</f>
        <v>32</v>
      </c>
    </row>
    <row r="174" spans="1:5" x14ac:dyDescent="0.3">
      <c r="A174" s="4">
        <v>1219</v>
      </c>
      <c r="B174" s="25" t="str">
        <f>VLOOKUP(TABLA_STOCK_LISTBOX[[#This Row],[Codigo]],LISTADO_PRODUCTOS[#All],4)</f>
        <v>Set de Geometria Pizzini Mi mundo Pastel</v>
      </c>
      <c r="C174" s="25" t="str">
        <f>VLOOKUP(TABLA_STOCK_LISTBOX[[#This Row],[Codigo]],LISTADO_PRODUCTOS[#All],5)</f>
        <v>N/A</v>
      </c>
      <c r="D174" s="25">
        <f>VLOOKUP(TABLA_STOCK_LISTBOX[[#This Row],[Codigo]],TABLA_STOCK[#All],6)</f>
        <v>5</v>
      </c>
      <c r="E174" s="25">
        <f>VLOOKUP(TABLA_STOCK_LISTBOX[[#This Row],[Codigo]],TABLA_STOCK[#All],7)</f>
        <v>56</v>
      </c>
    </row>
    <row r="175" spans="1:5" x14ac:dyDescent="0.3">
      <c r="A175" s="4">
        <v>1223</v>
      </c>
      <c r="B175" s="25" t="str">
        <f>VLOOKUP(TABLA_STOCK_LISTBOX[[#This Row],[Codigo]],LISTADO_PRODUCTOS[#All],4)</f>
        <v>Regla Flexible x20cm Keyroad/util uno</v>
      </c>
      <c r="C175" s="25" t="str">
        <f>VLOOKUP(TABLA_STOCK_LISTBOX[[#This Row],[Codigo]],LISTADO_PRODUCTOS[#All],5)</f>
        <v>N/A</v>
      </c>
      <c r="D175" s="25">
        <f>VLOOKUP(TABLA_STOCK_LISTBOX[[#This Row],[Codigo]],TABLA_STOCK[#All],6)</f>
        <v>1</v>
      </c>
      <c r="E175" s="25">
        <f>VLOOKUP(TABLA_STOCK_LISTBOX[[#This Row],[Codigo]],TABLA_STOCK[#All],7)</f>
        <v>107</v>
      </c>
    </row>
    <row r="176" spans="1:5" x14ac:dyDescent="0.3">
      <c r="A176" s="4">
        <v>1224</v>
      </c>
      <c r="B176" s="25" t="str">
        <f>VLOOKUP(TABLA_STOCK_LISTBOX[[#This Row],[Codigo]],LISTADO_PRODUCTOS[#All],4)</f>
        <v>Regla de aluminio con porta lapiz Keyroad 20cm</v>
      </c>
      <c r="C176" s="25" t="str">
        <f>VLOOKUP(TABLA_STOCK_LISTBOX[[#This Row],[Codigo]],LISTADO_PRODUCTOS[#All],5)</f>
        <v>N/A</v>
      </c>
      <c r="D176" s="25">
        <f>VLOOKUP(TABLA_STOCK_LISTBOX[[#This Row],[Codigo]],TABLA_STOCK[#All],6)</f>
        <v>5</v>
      </c>
      <c r="E176" s="25">
        <f>VLOOKUP(TABLA_STOCK_LISTBOX[[#This Row],[Codigo]],TABLA_STOCK[#All],7)</f>
        <v>25</v>
      </c>
    </row>
    <row r="177" spans="1:5" x14ac:dyDescent="0.3">
      <c r="A177" s="4">
        <v>1227</v>
      </c>
      <c r="B177" s="25" t="str">
        <f>VLOOKUP(TABLA_STOCK_LISTBOX[[#This Row],[Codigo]],LISTADO_PRODUCTOS[#All],4)</f>
        <v>Escuadra 45º Pizzini 20cm</v>
      </c>
      <c r="C177" s="25" t="str">
        <f>VLOOKUP(TABLA_STOCK_LISTBOX[[#This Row],[Codigo]],LISTADO_PRODUCTOS[#All],5)</f>
        <v>N/A</v>
      </c>
      <c r="D177" s="25">
        <f>VLOOKUP(TABLA_STOCK_LISTBOX[[#This Row],[Codigo]],TABLA_STOCK[#All],6)</f>
        <v>2</v>
      </c>
      <c r="E177" s="25">
        <f>VLOOKUP(TABLA_STOCK_LISTBOX[[#This Row],[Codigo]],TABLA_STOCK[#All],7)</f>
        <v>32</v>
      </c>
    </row>
    <row r="178" spans="1:5" x14ac:dyDescent="0.3">
      <c r="A178" s="4">
        <v>1228</v>
      </c>
      <c r="B178" s="25" t="str">
        <f>VLOOKUP(TABLA_STOCK_LISTBOX[[#This Row],[Codigo]],LISTADO_PRODUCTOS[#All],4)</f>
        <v>Escuadra 30º Pizzini 20cm</v>
      </c>
      <c r="C178" s="25" t="str">
        <f>VLOOKUP(TABLA_STOCK_LISTBOX[[#This Row],[Codigo]],LISTADO_PRODUCTOS[#All],5)</f>
        <v>N/A</v>
      </c>
      <c r="D178" s="25">
        <f>VLOOKUP(TABLA_STOCK_LISTBOX[[#This Row],[Codigo]],TABLA_STOCK[#All],6)</f>
        <v>2</v>
      </c>
      <c r="E178" s="25">
        <f>VLOOKUP(TABLA_STOCK_LISTBOX[[#This Row],[Codigo]],TABLA_STOCK[#All],7)</f>
        <v>150</v>
      </c>
    </row>
    <row r="179" spans="1:5" x14ac:dyDescent="0.3">
      <c r="A179" s="4">
        <v>1430</v>
      </c>
      <c r="B179" s="25" t="str">
        <f>VLOOKUP(TABLA_STOCK_LISTBOX[[#This Row],[Codigo]],LISTADO_PRODUCTOS[#All],4)</f>
        <v>Set de Resaltadores NUWA x5u en dispenser</v>
      </c>
      <c r="C179" s="25" t="str">
        <f>VLOOKUP(TABLA_STOCK_LISTBOX[[#This Row],[Codigo]],LISTADO_PRODUCTOS[#All],5)</f>
        <v>N/A</v>
      </c>
      <c r="D179" s="25">
        <f>VLOOKUP(TABLA_STOCK_LISTBOX[[#This Row],[Codigo]],TABLA_STOCK[#All],6)</f>
        <v>5</v>
      </c>
      <c r="E179" s="25">
        <f>VLOOKUP(TABLA_STOCK_LISTBOX[[#This Row],[Codigo]],TABLA_STOCK[#All],7)</f>
        <v>32</v>
      </c>
    </row>
    <row r="180" spans="1:5" x14ac:dyDescent="0.3">
      <c r="A180" s="4">
        <v>1432</v>
      </c>
      <c r="B180" s="25" t="str">
        <f>VLOOKUP(TABLA_STOCK_LISTBOX[[#This Row],[Codigo]],LISTADO_PRODUCTOS[#All],4)</f>
        <v>Set de Resaltadores NUWA x5u en dispenser</v>
      </c>
      <c r="C180" s="25" t="str">
        <f>VLOOKUP(TABLA_STOCK_LISTBOX[[#This Row],[Codigo]],LISTADO_PRODUCTOS[#All],5)</f>
        <v>N/A</v>
      </c>
      <c r="D180" s="25">
        <f>VLOOKUP(TABLA_STOCK_LISTBOX[[#This Row],[Codigo]],TABLA_STOCK[#All],6)</f>
        <v>5</v>
      </c>
      <c r="E180" s="25">
        <f>VLOOKUP(TABLA_STOCK_LISTBOX[[#This Row],[Codigo]],TABLA_STOCK[#All],7)</f>
        <v>32</v>
      </c>
    </row>
    <row r="181" spans="1:5" x14ac:dyDescent="0.3">
      <c r="A181" s="4">
        <v>1230</v>
      </c>
      <c r="B181" s="25" t="str">
        <f>VLOOKUP(TABLA_STOCK_LISTBOX[[#This Row],[Codigo]],LISTADO_PRODUCTOS[#All],4)</f>
        <v>Escuadra 30º Pizzini 20cm</v>
      </c>
      <c r="C181" s="25" t="str">
        <f>VLOOKUP(TABLA_STOCK_LISTBOX[[#This Row],[Codigo]],LISTADO_PRODUCTOS[#All],5)</f>
        <v>N/A</v>
      </c>
      <c r="D181" s="25">
        <f>VLOOKUP(TABLA_STOCK_LISTBOX[[#This Row],[Codigo]],TABLA_STOCK[#All],6)</f>
        <v>2</v>
      </c>
      <c r="E181" s="25">
        <f>VLOOKUP(TABLA_STOCK_LISTBOX[[#This Row],[Codigo]],TABLA_STOCK[#All],7)</f>
        <v>150</v>
      </c>
    </row>
    <row r="182" spans="1:5" x14ac:dyDescent="0.3">
      <c r="A182" s="4">
        <v>1231</v>
      </c>
      <c r="B182" s="25" t="str">
        <f>VLOOKUP(TABLA_STOCK_LISTBOX[[#This Row],[Codigo]],LISTADO_PRODUCTOS[#All],4)</f>
        <v>Escuadra 30º Pizzini 20cm</v>
      </c>
      <c r="C182" s="25" t="str">
        <f>VLOOKUP(TABLA_STOCK_LISTBOX[[#This Row],[Codigo]],LISTADO_PRODUCTOS[#All],5)</f>
        <v>N/A</v>
      </c>
      <c r="D182" s="25">
        <f>VLOOKUP(TABLA_STOCK_LISTBOX[[#This Row],[Codigo]],TABLA_STOCK[#All],6)</f>
        <v>2</v>
      </c>
      <c r="E182" s="25">
        <f>VLOOKUP(TABLA_STOCK_LISTBOX[[#This Row],[Codigo]],TABLA_STOCK[#All],7)</f>
        <v>150</v>
      </c>
    </row>
    <row r="183" spans="1:5" x14ac:dyDescent="0.3">
      <c r="A183" s="4">
        <v>1232</v>
      </c>
      <c r="B183" s="25" t="str">
        <f>VLOOKUP(TABLA_STOCK_LISTBOX[[#This Row],[Codigo]],LISTADO_PRODUCTOS[#All],4)</f>
        <v>Escuadra 30º Pizzini 20cm</v>
      </c>
      <c r="C183" s="25" t="str">
        <f>VLOOKUP(TABLA_STOCK_LISTBOX[[#This Row],[Codigo]],LISTADO_PRODUCTOS[#All],5)</f>
        <v>N/A</v>
      </c>
      <c r="D183" s="25">
        <f>VLOOKUP(TABLA_STOCK_LISTBOX[[#This Row],[Codigo]],TABLA_STOCK[#All],6)</f>
        <v>2</v>
      </c>
      <c r="E183" s="25">
        <f>VLOOKUP(TABLA_STOCK_LISTBOX[[#This Row],[Codigo]],TABLA_STOCK[#All],7)</f>
        <v>150</v>
      </c>
    </row>
    <row r="184" spans="1:5" x14ac:dyDescent="0.3">
      <c r="A184" s="4">
        <v>1233</v>
      </c>
      <c r="B184" s="25" t="str">
        <f>VLOOKUP(TABLA_STOCK_LISTBOX[[#This Row],[Codigo]],LISTADO_PRODUCTOS[#All],4)</f>
        <v>Escuadra 30º Pizzini 20cm</v>
      </c>
      <c r="C184" s="25" t="str">
        <f>VLOOKUP(TABLA_STOCK_LISTBOX[[#This Row],[Codigo]],LISTADO_PRODUCTOS[#All],5)</f>
        <v>N/A</v>
      </c>
      <c r="D184" s="25">
        <f>VLOOKUP(TABLA_STOCK_LISTBOX[[#This Row],[Codigo]],TABLA_STOCK[#All],6)</f>
        <v>2</v>
      </c>
      <c r="E184" s="25">
        <f>VLOOKUP(TABLA_STOCK_LISTBOX[[#This Row],[Codigo]],TABLA_STOCK[#All],7)</f>
        <v>150</v>
      </c>
    </row>
    <row r="185" spans="1:5" x14ac:dyDescent="0.3">
      <c r="A185" s="4">
        <v>1234</v>
      </c>
      <c r="B185" s="25" t="str">
        <f>VLOOKUP(TABLA_STOCK_LISTBOX[[#This Row],[Codigo]],LISTADO_PRODUCTOS[#All],4)</f>
        <v>Escuadra 30º Pizzini 20cm</v>
      </c>
      <c r="C185" s="25" t="str">
        <f>VLOOKUP(TABLA_STOCK_LISTBOX[[#This Row],[Codigo]],LISTADO_PRODUCTOS[#All],5)</f>
        <v>N/A</v>
      </c>
      <c r="D185" s="25">
        <f>VLOOKUP(TABLA_STOCK_LISTBOX[[#This Row],[Codigo]],TABLA_STOCK[#All],6)</f>
        <v>2</v>
      </c>
      <c r="E185" s="25">
        <f>VLOOKUP(TABLA_STOCK_LISTBOX[[#This Row],[Codigo]],TABLA_STOCK[#All],7)</f>
        <v>150</v>
      </c>
    </row>
    <row r="186" spans="1:5" x14ac:dyDescent="0.3">
      <c r="A186" s="4">
        <v>1236</v>
      </c>
      <c r="B186" s="25" t="str">
        <f>VLOOKUP(TABLA_STOCK_LISTBOX[[#This Row],[Codigo]],LISTADO_PRODUCTOS[#All],4)</f>
        <v>Escuadra 30º Pizzini 20cm</v>
      </c>
      <c r="C186" s="25" t="str">
        <f>VLOOKUP(TABLA_STOCK_LISTBOX[[#This Row],[Codigo]],LISTADO_PRODUCTOS[#All],5)</f>
        <v>N/A</v>
      </c>
      <c r="D186" s="25">
        <f>VLOOKUP(TABLA_STOCK_LISTBOX[[#This Row],[Codigo]],TABLA_STOCK[#All],6)</f>
        <v>2</v>
      </c>
      <c r="E186" s="25">
        <f>VLOOKUP(TABLA_STOCK_LISTBOX[[#This Row],[Codigo]],TABLA_STOCK[#All],7)</f>
        <v>150</v>
      </c>
    </row>
    <row r="187" spans="1:5" x14ac:dyDescent="0.3">
      <c r="A187" s="4">
        <v>1237</v>
      </c>
      <c r="B187" s="25" t="str">
        <f>VLOOKUP(TABLA_STOCK_LISTBOX[[#This Row],[Codigo]],LISTADO_PRODUCTOS[#All],4)</f>
        <v>Escuadra 30º Pizzini 20cm</v>
      </c>
      <c r="C187" s="25" t="str">
        <f>VLOOKUP(TABLA_STOCK_LISTBOX[[#This Row],[Codigo]],LISTADO_PRODUCTOS[#All],5)</f>
        <v>N/A</v>
      </c>
      <c r="D187" s="25">
        <f>VLOOKUP(TABLA_STOCK_LISTBOX[[#This Row],[Codigo]],TABLA_STOCK[#All],6)</f>
        <v>2</v>
      </c>
      <c r="E187" s="25">
        <f>VLOOKUP(TABLA_STOCK_LISTBOX[[#This Row],[Codigo]],TABLA_STOCK[#All],7)</f>
        <v>150</v>
      </c>
    </row>
    <row r="188" spans="1:5" x14ac:dyDescent="0.3">
      <c r="A188" s="4">
        <v>1238</v>
      </c>
      <c r="B188" s="25" t="str">
        <f>VLOOKUP(TABLA_STOCK_LISTBOX[[#This Row],[Codigo]],LISTADO_PRODUCTOS[#All],4)</f>
        <v>Escuadra 30º Pizzini 20cm</v>
      </c>
      <c r="C188" s="25" t="str">
        <f>VLOOKUP(TABLA_STOCK_LISTBOX[[#This Row],[Codigo]],LISTADO_PRODUCTOS[#All],5)</f>
        <v>N/A</v>
      </c>
      <c r="D188" s="25">
        <f>VLOOKUP(TABLA_STOCK_LISTBOX[[#This Row],[Codigo]],TABLA_STOCK[#All],6)</f>
        <v>2</v>
      </c>
      <c r="E188" s="25">
        <f>VLOOKUP(TABLA_STOCK_LISTBOX[[#This Row],[Codigo]],TABLA_STOCK[#All],7)</f>
        <v>150</v>
      </c>
    </row>
    <row r="189" spans="1:5" x14ac:dyDescent="0.3">
      <c r="A189" s="4">
        <v>1239</v>
      </c>
      <c r="B189" s="25" t="str">
        <f>VLOOKUP(TABLA_STOCK_LISTBOX[[#This Row],[Codigo]],LISTADO_PRODUCTOS[#All],4)</f>
        <v>Escuadra 30º Pizzini 20cm</v>
      </c>
      <c r="C189" s="25" t="str">
        <f>VLOOKUP(TABLA_STOCK_LISTBOX[[#This Row],[Codigo]],LISTADO_PRODUCTOS[#All],5)</f>
        <v>N/A</v>
      </c>
      <c r="D189" s="25">
        <f>VLOOKUP(TABLA_STOCK_LISTBOX[[#This Row],[Codigo]],TABLA_STOCK[#All],6)</f>
        <v>2</v>
      </c>
      <c r="E189" s="25">
        <f>VLOOKUP(TABLA_STOCK_LISTBOX[[#This Row],[Codigo]],TABLA_STOCK[#All],7)</f>
        <v>150</v>
      </c>
    </row>
    <row r="190" spans="1:5" x14ac:dyDescent="0.3">
      <c r="A190" s="4">
        <v>1241</v>
      </c>
      <c r="B190" s="25" t="str">
        <f>VLOOKUP(TABLA_STOCK_LISTBOX[[#This Row],[Codigo]],LISTADO_PRODUCTOS[#All],4)</f>
        <v>Escuadra 30º Pizzini 20cm</v>
      </c>
      <c r="C190" s="25" t="str">
        <f>VLOOKUP(TABLA_STOCK_LISTBOX[[#This Row],[Codigo]],LISTADO_PRODUCTOS[#All],5)</f>
        <v>N/A</v>
      </c>
      <c r="D190" s="25">
        <f>VLOOKUP(TABLA_STOCK_LISTBOX[[#This Row],[Codigo]],TABLA_STOCK[#All],6)</f>
        <v>2</v>
      </c>
      <c r="E190" s="25">
        <f>VLOOKUP(TABLA_STOCK_LISTBOX[[#This Row],[Codigo]],TABLA_STOCK[#All],7)</f>
        <v>150</v>
      </c>
    </row>
    <row r="191" spans="1:5" x14ac:dyDescent="0.3">
      <c r="A191" s="4">
        <v>1245</v>
      </c>
      <c r="B191" s="25" t="str">
        <f>VLOOKUP(TABLA_STOCK_LISTBOX[[#This Row],[Codigo]],LISTADO_PRODUCTOS[#All],4)</f>
        <v>Escuadra 30º Pizzini 20cm</v>
      </c>
      <c r="C191" s="25" t="str">
        <f>VLOOKUP(TABLA_STOCK_LISTBOX[[#This Row],[Codigo]],LISTADO_PRODUCTOS[#All],5)</f>
        <v>N/A</v>
      </c>
      <c r="D191" s="25">
        <f>VLOOKUP(TABLA_STOCK_LISTBOX[[#This Row],[Codigo]],TABLA_STOCK[#All],6)</f>
        <v>2</v>
      </c>
      <c r="E191" s="25">
        <f>VLOOKUP(TABLA_STOCK_LISTBOX[[#This Row],[Codigo]],TABLA_STOCK[#All],7)</f>
        <v>150</v>
      </c>
    </row>
    <row r="192" spans="1:5" x14ac:dyDescent="0.3">
      <c r="A192" s="4">
        <v>1246</v>
      </c>
      <c r="B192" s="25" t="str">
        <f>VLOOKUP(TABLA_STOCK_LISTBOX[[#This Row],[Codigo]],LISTADO_PRODUCTOS[#All],4)</f>
        <v>Escarapela Tela</v>
      </c>
      <c r="C192" s="25" t="str">
        <f>VLOOKUP(TABLA_STOCK_LISTBOX[[#This Row],[Codigo]],LISTADO_PRODUCTOS[#All],5)</f>
        <v>N/A</v>
      </c>
      <c r="D192" s="25">
        <f>VLOOKUP(TABLA_STOCK_LISTBOX[[#This Row],[Codigo]],TABLA_STOCK[#All],6)</f>
        <v>10</v>
      </c>
      <c r="E192" s="25">
        <f>VLOOKUP(TABLA_STOCK_LISTBOX[[#This Row],[Codigo]],TABLA_STOCK[#All],7)</f>
        <v>6</v>
      </c>
    </row>
    <row r="193" spans="1:5" x14ac:dyDescent="0.3">
      <c r="A193" s="4">
        <v>1300</v>
      </c>
      <c r="B193" s="25" t="str">
        <f>VLOOKUP(TABLA_STOCK_LISTBOX[[#This Row],[Codigo]],LISTADO_PRODUCTOS[#All],4)</f>
        <v>Goma Maped Technic Duo New Generation</v>
      </c>
      <c r="C193" s="25" t="str">
        <f>VLOOKUP(TABLA_STOCK_LISTBOX[[#This Row],[Codigo]],LISTADO_PRODUCTOS[#All],5)</f>
        <v>N/A</v>
      </c>
      <c r="D193" s="25">
        <f>VLOOKUP(TABLA_STOCK_LISTBOX[[#This Row],[Codigo]],TABLA_STOCK[#All],6)</f>
        <v>20</v>
      </c>
      <c r="E193" s="25">
        <f>VLOOKUP(TABLA_STOCK_LISTBOX[[#This Row],[Codigo]],TABLA_STOCK[#All],7)</f>
        <v>5</v>
      </c>
    </row>
    <row r="194" spans="1:5" x14ac:dyDescent="0.3">
      <c r="A194" s="4">
        <v>1301</v>
      </c>
      <c r="B194" s="25" t="str">
        <f>VLOOKUP(TABLA_STOCK_LISTBOX[[#This Row],[Codigo]],LISTADO_PRODUCTOS[#All],4)</f>
        <v>Boligrafo Filgo Fastrack retractil</v>
      </c>
      <c r="C194" s="25" t="str">
        <f>VLOOKUP(TABLA_STOCK_LISTBOX[[#This Row],[Codigo]],LISTADO_PRODUCTOS[#All],5)</f>
        <v>N/A</v>
      </c>
      <c r="D194" s="25">
        <f>VLOOKUP(TABLA_STOCK_LISTBOX[[#This Row],[Codigo]],TABLA_STOCK[#All],6)</f>
        <v>5</v>
      </c>
      <c r="E194" s="25">
        <f>VLOOKUP(TABLA_STOCK_LISTBOX[[#This Row],[Codigo]],TABLA_STOCK[#All],7)</f>
        <v>52</v>
      </c>
    </row>
    <row r="195" spans="1:5" x14ac:dyDescent="0.3">
      <c r="A195" s="4">
        <v>1302</v>
      </c>
      <c r="B195" s="25" t="str">
        <f>VLOOKUP(TABLA_STOCK_LISTBOX[[#This Row],[Codigo]],LISTADO_PRODUCTOS[#All],4)</f>
        <v>Tabla Periodica</v>
      </c>
      <c r="C195" s="25" t="str">
        <f>VLOOKUP(TABLA_STOCK_LISTBOX[[#This Row],[Codigo]],LISTADO_PRODUCTOS[#All],5)</f>
        <v>N/A</v>
      </c>
      <c r="D195" s="25">
        <f>VLOOKUP(TABLA_STOCK_LISTBOX[[#This Row],[Codigo]],TABLA_STOCK[#All],6)</f>
        <v>1</v>
      </c>
      <c r="E195" s="25">
        <f>VLOOKUP(TABLA_STOCK_LISTBOX[[#This Row],[Codigo]],TABLA_STOCK[#All],7)</f>
        <v>32</v>
      </c>
    </row>
    <row r="196" spans="1:5" x14ac:dyDescent="0.3">
      <c r="A196" s="4">
        <v>1304</v>
      </c>
      <c r="B196" s="25" t="str">
        <f>VLOOKUP(TABLA_STOCK_LISTBOX[[#This Row],[Codigo]],LISTADO_PRODUCTOS[#All],4)</f>
        <v>Escarapelas varias tela</v>
      </c>
      <c r="C196" s="25" t="str">
        <f>VLOOKUP(TABLA_STOCK_LISTBOX[[#This Row],[Codigo]],LISTADO_PRODUCTOS[#All],5)</f>
        <v>N/A</v>
      </c>
      <c r="D196" s="25">
        <f>VLOOKUP(TABLA_STOCK_LISTBOX[[#This Row],[Codigo]],TABLA_STOCK[#All],6)</f>
        <v>5</v>
      </c>
      <c r="E196" s="25">
        <f>VLOOKUP(TABLA_STOCK_LISTBOX[[#This Row],[Codigo]],TABLA_STOCK[#All],7)</f>
        <v>56</v>
      </c>
    </row>
    <row r="197" spans="1:5" x14ac:dyDescent="0.3">
      <c r="A197" s="4">
        <v>1305</v>
      </c>
      <c r="B197" s="25" t="str">
        <f>VLOOKUP(TABLA_STOCK_LISTBOX[[#This Row],[Codigo]],LISTADO_PRODUCTOS[#All],4)</f>
        <v>Lapiz Negro Trabí Neon por fuera y diseño C/Goma</v>
      </c>
      <c r="C197" s="25" t="str">
        <f>VLOOKUP(TABLA_STOCK_LISTBOX[[#This Row],[Codigo]],LISTADO_PRODUCTOS[#All],5)</f>
        <v>N/A</v>
      </c>
      <c r="D197" s="25">
        <f>VLOOKUP(TABLA_STOCK_LISTBOX[[#This Row],[Codigo]],TABLA_STOCK[#All],6)</f>
        <v>2</v>
      </c>
      <c r="E197" s="25">
        <f>VLOOKUP(TABLA_STOCK_LISTBOX[[#This Row],[Codigo]],TABLA_STOCK[#All],7)</f>
        <v>107</v>
      </c>
    </row>
    <row r="198" spans="1:5" x14ac:dyDescent="0.3">
      <c r="A198" s="4">
        <v>1306</v>
      </c>
      <c r="B198" s="25" t="str">
        <f>VLOOKUP(TABLA_STOCK_LISTBOX[[#This Row],[Codigo]],LISTADO_PRODUCTOS[#All],4)</f>
        <v>Blister Lapiz Negro Mooving Disney x 6u</v>
      </c>
      <c r="C198" s="25" t="str">
        <f>VLOOKUP(TABLA_STOCK_LISTBOX[[#This Row],[Codigo]],LISTADO_PRODUCTOS[#All],5)</f>
        <v>N/A</v>
      </c>
      <c r="D198" s="25">
        <f>VLOOKUP(TABLA_STOCK_LISTBOX[[#This Row],[Codigo]],TABLA_STOCK[#All],6)</f>
        <v>2</v>
      </c>
      <c r="E198" s="25">
        <f>VLOOKUP(TABLA_STOCK_LISTBOX[[#This Row],[Codigo]],TABLA_STOCK[#All],7)</f>
        <v>25</v>
      </c>
    </row>
    <row r="199" spans="1:5" x14ac:dyDescent="0.3">
      <c r="A199" s="4">
        <v>1307</v>
      </c>
      <c r="B199" s="25" t="str">
        <f>VLOOKUP(TABLA_STOCK_LISTBOX[[#This Row],[Codigo]],LISTADO_PRODUCTOS[#All],4)</f>
        <v>Roller Tinta Gel Mooving x10</v>
      </c>
      <c r="C199" s="25" t="str">
        <f>VLOOKUP(TABLA_STOCK_LISTBOX[[#This Row],[Codigo]],LISTADO_PRODUCTOS[#All],5)</f>
        <v>N/A</v>
      </c>
      <c r="D199" s="25">
        <f>VLOOKUP(TABLA_STOCK_LISTBOX[[#This Row],[Codigo]],TABLA_STOCK[#All],6)</f>
        <v>10</v>
      </c>
      <c r="E199" s="25">
        <f>VLOOKUP(TABLA_STOCK_LISTBOX[[#This Row],[Codigo]],TABLA_STOCK[#All],7)</f>
        <v>32</v>
      </c>
    </row>
    <row r="200" spans="1:5" x14ac:dyDescent="0.3">
      <c r="A200" s="4">
        <v>1308</v>
      </c>
      <c r="B200" s="25" t="str">
        <f>VLOOKUP(TABLA_STOCK_LISTBOX[[#This Row],[Codigo]],LISTADO_PRODUCTOS[#All],4)</f>
        <v>Roller Silky NEON/PASTEL Mooving x5</v>
      </c>
      <c r="C200" s="25" t="str">
        <f>VLOOKUP(TABLA_STOCK_LISTBOX[[#This Row],[Codigo]],LISTADO_PRODUCTOS[#All],5)</f>
        <v>N/A</v>
      </c>
      <c r="D200" s="25">
        <f>VLOOKUP(TABLA_STOCK_LISTBOX[[#This Row],[Codigo]],TABLA_STOCK[#All],6)</f>
        <v>20</v>
      </c>
      <c r="E200" s="25">
        <f>VLOOKUP(TABLA_STOCK_LISTBOX[[#This Row],[Codigo]],TABLA_STOCK[#All],7)</f>
        <v>150</v>
      </c>
    </row>
    <row r="201" spans="1:5" x14ac:dyDescent="0.3">
      <c r="A201" s="4">
        <v>1309</v>
      </c>
      <c r="B201" s="25" t="str">
        <f>VLOOKUP(TABLA_STOCK_LISTBOX[[#This Row],[Codigo]],LISTADO_PRODUCTOS[#All],4)</f>
        <v>Resaltadores NEON / PASTEL Dupla ideal Mooving x 4</v>
      </c>
      <c r="C201" s="25" t="str">
        <f>VLOOKUP(TABLA_STOCK_LISTBOX[[#This Row],[Codigo]],LISTADO_PRODUCTOS[#All],5)</f>
        <v>N/A</v>
      </c>
      <c r="D201" s="25">
        <f>VLOOKUP(TABLA_STOCK_LISTBOX[[#This Row],[Codigo]],TABLA_STOCK[#All],6)</f>
        <v>5</v>
      </c>
      <c r="E201" s="25">
        <f>VLOOKUP(TABLA_STOCK_LISTBOX[[#This Row],[Codigo]],TABLA_STOCK[#All],7)</f>
        <v>20</v>
      </c>
    </row>
    <row r="202" spans="1:5" x14ac:dyDescent="0.3">
      <c r="A202" s="4">
        <v>1310</v>
      </c>
      <c r="B202" s="25" t="str">
        <f>VLOOKUP(TABLA_STOCK_LISTBOX[[#This Row],[Codigo]],LISTADO_PRODUCTOS[#All],4)</f>
        <v>Resaltador NEON Colores Aroma Perfumados x 4u</v>
      </c>
      <c r="C202" s="25" t="str">
        <f>VLOOKUP(TABLA_STOCK_LISTBOX[[#This Row],[Codigo]],LISTADO_PRODUCTOS[#All],5)</f>
        <v>N/A</v>
      </c>
      <c r="D202" s="25">
        <f>VLOOKUP(TABLA_STOCK_LISTBOX[[#This Row],[Codigo]],TABLA_STOCK[#All],6)</f>
        <v>1</v>
      </c>
      <c r="E202" s="25">
        <f>VLOOKUP(TABLA_STOCK_LISTBOX[[#This Row],[Codigo]],TABLA_STOCK[#All],7)</f>
        <v>19</v>
      </c>
    </row>
    <row r="203" spans="1:5" x14ac:dyDescent="0.3">
      <c r="A203" s="4">
        <v>1311</v>
      </c>
      <c r="B203" s="25" t="str">
        <f>VLOOKUP(TABLA_STOCK_LISTBOX[[#This Row],[Codigo]],LISTADO_PRODUCTOS[#All],4)</f>
        <v>Resaltadores Glitter Mooving x4</v>
      </c>
      <c r="C203" s="25" t="str">
        <f>VLOOKUP(TABLA_STOCK_LISTBOX[[#This Row],[Codigo]],LISTADO_PRODUCTOS[#All],5)</f>
        <v>N/A</v>
      </c>
      <c r="D203" s="25">
        <f>VLOOKUP(TABLA_STOCK_LISTBOX[[#This Row],[Codigo]],TABLA_STOCK[#All],6)</f>
        <v>5</v>
      </c>
      <c r="E203" s="25">
        <f>VLOOKUP(TABLA_STOCK_LISTBOX[[#This Row],[Codigo]],TABLA_STOCK[#All],7)</f>
        <v>6</v>
      </c>
    </row>
    <row r="204" spans="1:5" x14ac:dyDescent="0.3">
      <c r="A204" s="4">
        <v>1400</v>
      </c>
      <c r="B204" s="25" t="str">
        <f>VLOOKUP(TABLA_STOCK_LISTBOX[[#This Row],[Codigo]],LISTADO_PRODUCTOS[#All],4)</f>
        <v>Libreta NAT Ledesma tapa flexible 16.21 42h</v>
      </c>
      <c r="C204" s="25" t="str">
        <f>VLOOKUP(TABLA_STOCK_LISTBOX[[#This Row],[Codigo]],LISTADO_PRODUCTOS[#All],5)</f>
        <v>N/A</v>
      </c>
      <c r="D204" s="25">
        <f>VLOOKUP(TABLA_STOCK_LISTBOX[[#This Row],[Codigo]],TABLA_STOCK[#All],6)</f>
        <v>2</v>
      </c>
      <c r="E204" s="25">
        <f>VLOOKUP(TABLA_STOCK_LISTBOX[[#This Row],[Codigo]],TABLA_STOCK[#All],7)</f>
        <v>5</v>
      </c>
    </row>
    <row r="205" spans="1:5" x14ac:dyDescent="0.3">
      <c r="A205" s="4">
        <v>1405</v>
      </c>
      <c r="B205" s="25" t="str">
        <f>VLOOKUP(TABLA_STOCK_LISTBOX[[#This Row],[Codigo]],LISTADO_PRODUCTOS[#All],4)</f>
        <v>Marcador doble punta Trabí Duplo Permanente</v>
      </c>
      <c r="C205" s="25" t="str">
        <f>VLOOKUP(TABLA_STOCK_LISTBOX[[#This Row],[Codigo]],LISTADO_PRODUCTOS[#All],5)</f>
        <v>N/A</v>
      </c>
      <c r="D205" s="25">
        <f>VLOOKUP(TABLA_STOCK_LISTBOX[[#This Row],[Codigo]],TABLA_STOCK[#All],6)</f>
        <v>2</v>
      </c>
      <c r="E205" s="25">
        <f>VLOOKUP(TABLA_STOCK_LISTBOX[[#This Row],[Codigo]],TABLA_STOCK[#All],7)</f>
        <v>52</v>
      </c>
    </row>
    <row r="206" spans="1:5" x14ac:dyDescent="0.3">
      <c r="A206" s="4">
        <v>1408</v>
      </c>
      <c r="B206" s="25" t="str">
        <f>VLOOKUP(TABLA_STOCK_LISTBOX[[#This Row],[Codigo]],LISTADO_PRODUCTOS[#All],4)</f>
        <v>Cuaderno Triunfante 16.21 T/Carton 120hs</v>
      </c>
      <c r="C206" s="25" t="str">
        <f>VLOOKUP(TABLA_STOCK_LISTBOX[[#This Row],[Codigo]],LISTADO_PRODUCTOS[#All],5)</f>
        <v>N/A</v>
      </c>
      <c r="D206" s="25">
        <f>VLOOKUP(TABLA_STOCK_LISTBOX[[#This Row],[Codigo]],TABLA_STOCK[#All],6)</f>
        <v>10</v>
      </c>
      <c r="E206" s="25">
        <f>VLOOKUP(TABLA_STOCK_LISTBOX[[#This Row],[Codigo]],TABLA_STOCK[#All],7)</f>
        <v>32</v>
      </c>
    </row>
    <row r="207" spans="1:5" x14ac:dyDescent="0.3">
      <c r="A207" s="4">
        <v>1409</v>
      </c>
      <c r="B207" s="25" t="str">
        <f>VLOOKUP(TABLA_STOCK_LISTBOX[[#This Row],[Codigo]],LISTADO_PRODUCTOS[#All],4)</f>
        <v>Repuesto Éxito NAT x288h C/Margen Reforzado N°3</v>
      </c>
      <c r="C207" s="25" t="str">
        <f>VLOOKUP(TABLA_STOCK_LISTBOX[[#This Row],[Codigo]],LISTADO_PRODUCTOS[#All],5)</f>
        <v>N/A</v>
      </c>
      <c r="D207" s="25">
        <f>VLOOKUP(TABLA_STOCK_LISTBOX[[#This Row],[Codigo]],TABLA_STOCK[#All],6)</f>
        <v>20</v>
      </c>
      <c r="E207" s="25">
        <f>VLOOKUP(TABLA_STOCK_LISTBOX[[#This Row],[Codigo]],TABLA_STOCK[#All],7)</f>
        <v>56</v>
      </c>
    </row>
    <row r="208" spans="1:5" x14ac:dyDescent="0.3">
      <c r="A208" s="4">
        <v>1411</v>
      </c>
      <c r="B208" s="25" t="str">
        <f>VLOOKUP(TABLA_STOCK_LISTBOX[[#This Row],[Codigo]],LISTADO_PRODUCTOS[#All],4)</f>
        <v>Repuesto Éxito N°3 NAT M/R x 96h</v>
      </c>
      <c r="C208" s="25" t="str">
        <f>VLOOKUP(TABLA_STOCK_LISTBOX[[#This Row],[Codigo]],LISTADO_PRODUCTOS[#All],5)</f>
        <v>N/A</v>
      </c>
      <c r="D208" s="25">
        <f>VLOOKUP(TABLA_STOCK_LISTBOX[[#This Row],[Codigo]],TABLA_STOCK[#All],6)</f>
        <v>5</v>
      </c>
      <c r="E208" s="25">
        <f>VLOOKUP(TABLA_STOCK_LISTBOX[[#This Row],[Codigo]],TABLA_STOCK[#All],7)</f>
        <v>107</v>
      </c>
    </row>
    <row r="209" spans="1:5" x14ac:dyDescent="0.3">
      <c r="A209" s="4">
        <v>1414</v>
      </c>
      <c r="B209" s="25" t="str">
        <f>VLOOKUP(TABLA_STOCK_LISTBOX[[#This Row],[Codigo]],LISTADO_PRODUCTOS[#All],4)</f>
        <v>Repuesto escolar N°3 Éxito NAT con Margen Reforzado x 96h</v>
      </c>
      <c r="C209" s="25" t="str">
        <f>VLOOKUP(TABLA_STOCK_LISTBOX[[#This Row],[Codigo]],LISTADO_PRODUCTOS[#All],5)</f>
        <v>N/A</v>
      </c>
      <c r="D209" s="25">
        <f>VLOOKUP(TABLA_STOCK_LISTBOX[[#This Row],[Codigo]],TABLA_STOCK[#All],6)</f>
        <v>1</v>
      </c>
      <c r="E209" s="25">
        <f>VLOOKUP(TABLA_STOCK_LISTBOX[[#This Row],[Codigo]],TABLA_STOCK[#All],7)</f>
        <v>25</v>
      </c>
    </row>
    <row r="210" spans="1:5" x14ac:dyDescent="0.3">
      <c r="A210" s="4">
        <v>1415</v>
      </c>
      <c r="B210" s="25" t="str">
        <f>VLOOKUP(TABLA_STOCK_LISTBOX[[#This Row],[Codigo]],LISTADO_PRODUCTOS[#All],4)</f>
        <v>Repuesto Calcar Nº5 Luma</v>
      </c>
      <c r="C210" s="25" t="str">
        <f>VLOOKUP(TABLA_STOCK_LISTBOX[[#This Row],[Codigo]],LISTADO_PRODUCTOS[#All],5)</f>
        <v>N/A</v>
      </c>
      <c r="D210" s="25">
        <f>VLOOKUP(TABLA_STOCK_LISTBOX[[#This Row],[Codigo]],TABLA_STOCK[#All],6)</f>
        <v>5</v>
      </c>
      <c r="E210" s="25">
        <f>VLOOKUP(TABLA_STOCK_LISTBOX[[#This Row],[Codigo]],TABLA_STOCK[#All],7)</f>
        <v>32</v>
      </c>
    </row>
    <row r="211" spans="1:5" x14ac:dyDescent="0.3">
      <c r="A211" s="4">
        <v>1416</v>
      </c>
      <c r="B211" s="25" t="str">
        <f>VLOOKUP(TABLA_STOCK_LISTBOX[[#This Row],[Codigo]],LISTADO_PRODUCTOS[#All],4)</f>
        <v>Repuesto Calcar Nº3 Luma</v>
      </c>
      <c r="C211" s="25" t="str">
        <f>VLOOKUP(TABLA_STOCK_LISTBOX[[#This Row],[Codigo]],LISTADO_PRODUCTOS[#All],5)</f>
        <v>N/A</v>
      </c>
      <c r="D211" s="25">
        <f>VLOOKUP(TABLA_STOCK_LISTBOX[[#This Row],[Codigo]],TABLA_STOCK[#All],6)</f>
        <v>2</v>
      </c>
      <c r="E211" s="25">
        <f>VLOOKUP(TABLA_STOCK_LISTBOX[[#This Row],[Codigo]],TABLA_STOCK[#All],7)</f>
        <v>150</v>
      </c>
    </row>
    <row r="212" spans="1:5" x14ac:dyDescent="0.3">
      <c r="A212" s="4">
        <v>1417</v>
      </c>
      <c r="B212" s="25" t="str">
        <f>VLOOKUP(TABLA_STOCK_LISTBOX[[#This Row],[Codigo]],LISTADO_PRODUCTOS[#All],4)</f>
        <v>Mapa Nº6</v>
      </c>
      <c r="C212" s="25" t="str">
        <f>VLOOKUP(TABLA_STOCK_LISTBOX[[#This Row],[Codigo]],LISTADO_PRODUCTOS[#All],5)</f>
        <v>N/A</v>
      </c>
      <c r="D212" s="25">
        <f>VLOOKUP(TABLA_STOCK_LISTBOX[[#This Row],[Codigo]],TABLA_STOCK[#All],6)</f>
        <v>2</v>
      </c>
      <c r="E212" s="25">
        <f>VLOOKUP(TABLA_STOCK_LISTBOX[[#This Row],[Codigo]],TABLA_STOCK[#All],7)</f>
        <v>20</v>
      </c>
    </row>
    <row r="213" spans="1:5" x14ac:dyDescent="0.3">
      <c r="A213" s="4">
        <v>1418</v>
      </c>
      <c r="B213" s="25" t="str">
        <f>VLOOKUP(TABLA_STOCK_LISTBOX[[#This Row],[Codigo]],LISTADO_PRODUCTOS[#All],4)</f>
        <v>Cuaderno Triunfante/Laprida Nº3 x 50h - 7792216049913</v>
      </c>
      <c r="C213" s="25" t="str">
        <f>VLOOKUP(TABLA_STOCK_LISTBOX[[#This Row],[Codigo]],LISTADO_PRODUCTOS[#All],5)</f>
        <v>N/A</v>
      </c>
      <c r="D213" s="25">
        <f>VLOOKUP(TABLA_STOCK_LISTBOX[[#This Row],[Codigo]],TABLA_STOCK[#All],6)</f>
        <v>10</v>
      </c>
      <c r="E213" s="25">
        <f>VLOOKUP(TABLA_STOCK_LISTBOX[[#This Row],[Codigo]],TABLA_STOCK[#All],7)</f>
        <v>19</v>
      </c>
    </row>
    <row r="214" spans="1:5" x14ac:dyDescent="0.3">
      <c r="A214" s="4">
        <v>1420</v>
      </c>
      <c r="B214" s="25" t="str">
        <f>VLOOKUP(TABLA_STOCK_LISTBOX[[#This Row],[Codigo]],LISTADO_PRODUCTOS[#All],4)</f>
        <v>Flauta Blester NC</v>
      </c>
      <c r="C214" s="25" t="str">
        <f>VLOOKUP(TABLA_STOCK_LISTBOX[[#This Row],[Codigo]],LISTADO_PRODUCTOS[#All],5)</f>
        <v>N/A</v>
      </c>
      <c r="D214" s="25">
        <f>VLOOKUP(TABLA_STOCK_LISTBOX[[#This Row],[Codigo]],TABLA_STOCK[#All],6)</f>
        <v>20</v>
      </c>
      <c r="E214" s="25">
        <f>VLOOKUP(TABLA_STOCK_LISTBOX[[#This Row],[Codigo]],TABLA_STOCK[#All],7)</f>
        <v>6</v>
      </c>
    </row>
    <row r="215" spans="1:5" x14ac:dyDescent="0.3">
      <c r="A215" s="4">
        <v>1421</v>
      </c>
      <c r="B215" s="25" t="str">
        <f>VLOOKUP(TABLA_STOCK_LISTBOX[[#This Row],[Codigo]],LISTADO_PRODUCTOS[#All],4)</f>
        <v>Escalimetro Maped en estuche</v>
      </c>
      <c r="C215" s="25" t="str">
        <f>VLOOKUP(TABLA_STOCK_LISTBOX[[#This Row],[Codigo]],LISTADO_PRODUCTOS[#All],5)</f>
        <v>N/A</v>
      </c>
      <c r="D215" s="25">
        <f>VLOOKUP(TABLA_STOCK_LISTBOX[[#This Row],[Codigo]],TABLA_STOCK[#All],6)</f>
        <v>5</v>
      </c>
      <c r="E215" s="25">
        <f>VLOOKUP(TABLA_STOCK_LISTBOX[[#This Row],[Codigo]],TABLA_STOCK[#All],7)</f>
        <v>5</v>
      </c>
    </row>
    <row r="216" spans="1:5" x14ac:dyDescent="0.3">
      <c r="A216" s="4">
        <v>1423</v>
      </c>
      <c r="B216" s="25" t="str">
        <f>VLOOKUP(TABLA_STOCK_LISTBOX[[#This Row],[Codigo]],LISTADO_PRODUCTOS[#All],4)</f>
        <v>Adhesivo vinilico Tintoretto/model/playcolor/Maxxum x 250gr</v>
      </c>
      <c r="C216" s="25" t="str">
        <f>VLOOKUP(TABLA_STOCK_LISTBOX[[#This Row],[Codigo]],LISTADO_PRODUCTOS[#All],5)</f>
        <v>N/A</v>
      </c>
      <c r="D216" s="25">
        <f>VLOOKUP(TABLA_STOCK_LISTBOX[[#This Row],[Codigo]],TABLA_STOCK[#All],6)</f>
        <v>1</v>
      </c>
      <c r="E216" s="25">
        <f>VLOOKUP(TABLA_STOCK_LISTBOX[[#This Row],[Codigo]],TABLA_STOCK[#All],7)</f>
        <v>52</v>
      </c>
    </row>
    <row r="217" spans="1:5" x14ac:dyDescent="0.3">
      <c r="A217" s="4">
        <v>1424</v>
      </c>
      <c r="B217" s="25" t="str">
        <f>VLOOKUP(TABLA_STOCK_LISTBOX[[#This Row],[Codigo]],LISTADO_PRODUCTOS[#All],4)</f>
        <v>Transportador Maped 10cm en bolsa</v>
      </c>
      <c r="C217" s="25" t="str">
        <f>VLOOKUP(TABLA_STOCK_LISTBOX[[#This Row],[Codigo]],LISTADO_PRODUCTOS[#All],5)</f>
        <v>N/A</v>
      </c>
      <c r="D217" s="25">
        <f>VLOOKUP(TABLA_STOCK_LISTBOX[[#This Row],[Codigo]],TABLA_STOCK[#All],6)</f>
        <v>5</v>
      </c>
      <c r="E217" s="25">
        <f>VLOOKUP(TABLA_STOCK_LISTBOX[[#This Row],[Codigo]],TABLA_STOCK[#All],7)</f>
        <v>32</v>
      </c>
    </row>
    <row r="218" spans="1:5" x14ac:dyDescent="0.3">
      <c r="A218" s="4">
        <v>1425</v>
      </c>
      <c r="B218" s="25" t="str">
        <f>VLOOKUP(TABLA_STOCK_LISTBOX[[#This Row],[Codigo]],LISTADO_PRODUCTOS[#All],4)</f>
        <v>Corrector Filgo 012 - 7795513049518</v>
      </c>
      <c r="C218" s="25" t="str">
        <f>VLOOKUP(TABLA_STOCK_LISTBOX[[#This Row],[Codigo]],LISTADO_PRODUCTOS[#All],5)</f>
        <v>N/A</v>
      </c>
      <c r="D218" s="25">
        <f>VLOOKUP(TABLA_STOCK_LISTBOX[[#This Row],[Codigo]],TABLA_STOCK[#All],6)</f>
        <v>2</v>
      </c>
      <c r="E218" s="25">
        <f>VLOOKUP(TABLA_STOCK_LISTBOX[[#This Row],[Codigo]],TABLA_STOCK[#All],7)</f>
        <v>56</v>
      </c>
    </row>
    <row r="219" spans="1:5" x14ac:dyDescent="0.3">
      <c r="A219" s="4">
        <v>1426</v>
      </c>
      <c r="B219" s="25" t="str">
        <f>VLOOKUP(TABLA_STOCK_LISTBOX[[#This Row],[Codigo]],LISTADO_PRODUCTOS[#All],4)</f>
        <v>Multibase de madera</v>
      </c>
      <c r="C219" s="25" t="str">
        <f>VLOOKUP(TABLA_STOCK_LISTBOX[[#This Row],[Codigo]],LISTADO_PRODUCTOS[#All],5)</f>
        <v>N/A</v>
      </c>
      <c r="D219" s="25">
        <f>VLOOKUP(TABLA_STOCK_LISTBOX[[#This Row],[Codigo]],TABLA_STOCK[#All],6)</f>
        <v>10</v>
      </c>
      <c r="E219" s="25">
        <f>VLOOKUP(TABLA_STOCK_LISTBOX[[#This Row],[Codigo]],TABLA_STOCK[#All],7)</f>
        <v>107</v>
      </c>
    </row>
    <row r="220" spans="1:5" x14ac:dyDescent="0.3">
      <c r="A220" s="4">
        <v>1427</v>
      </c>
      <c r="B220" s="25" t="str">
        <f>VLOOKUP(TABLA_STOCK_LISTBOX[[#This Row],[Codigo]],LISTADO_PRODUCTOS[#All],4)</f>
        <v>Resaltador en Blister Mini tubo x 6</v>
      </c>
      <c r="C220" s="25" t="str">
        <f>VLOOKUP(TABLA_STOCK_LISTBOX[[#This Row],[Codigo]],LISTADO_PRODUCTOS[#All],5)</f>
        <v>N/A</v>
      </c>
      <c r="D220" s="25">
        <f>VLOOKUP(TABLA_STOCK_LISTBOX[[#This Row],[Codigo]],TABLA_STOCK[#All],6)</f>
        <v>20</v>
      </c>
      <c r="E220" s="25">
        <f>VLOOKUP(TABLA_STOCK_LISTBOX[[#This Row],[Codigo]],TABLA_STOCK[#All],7)</f>
        <v>25</v>
      </c>
    </row>
    <row r="221" spans="1:5" x14ac:dyDescent="0.3">
      <c r="A221" s="4">
        <v>1428</v>
      </c>
      <c r="B221" s="25" t="str">
        <f>VLOOKUP(TABLA_STOCK_LISTBOX[[#This Row],[Codigo]],LISTADO_PRODUCTOS[#All],4)</f>
        <v>Set de Resaltadores NUWA x5u en dispenser</v>
      </c>
      <c r="C221" s="25" t="str">
        <f>VLOOKUP(TABLA_STOCK_LISTBOX[[#This Row],[Codigo]],LISTADO_PRODUCTOS[#All],5)</f>
        <v>N/A</v>
      </c>
      <c r="D221" s="25">
        <f>VLOOKUP(TABLA_STOCK_LISTBOX[[#This Row],[Codigo]],TABLA_STOCK[#All],6)</f>
        <v>5</v>
      </c>
      <c r="E221" s="25">
        <f>VLOOKUP(TABLA_STOCK_LISTBOX[[#This Row],[Codigo]],TABLA_STOCK[#All],7)</f>
        <v>32</v>
      </c>
    </row>
    <row r="222" spans="1:5" x14ac:dyDescent="0.3">
      <c r="A222" s="4">
        <v>1500</v>
      </c>
      <c r="B222" s="25" t="str">
        <f>VLOOKUP(TABLA_STOCK_LISTBOX[[#This Row],[Codigo]],LISTADO_PRODUCTOS[#All],4)</f>
        <v>Carpeta N°5 Kraft color</v>
      </c>
      <c r="C222" s="25" t="str">
        <f>VLOOKUP(TABLA_STOCK_LISTBOX[[#This Row],[Codigo]],LISTADO_PRODUCTOS[#All],5)</f>
        <v>N/A</v>
      </c>
      <c r="D222" s="25">
        <f>VLOOKUP(TABLA_STOCK_LISTBOX[[#This Row],[Codigo]],TABLA_STOCK[#All],6)</f>
        <v>1</v>
      </c>
      <c r="E222" s="25">
        <f>VLOOKUP(TABLA_STOCK_LISTBOX[[#This Row],[Codigo]],TABLA_STOCK[#All],7)</f>
        <v>150</v>
      </c>
    </row>
    <row r="223" spans="1:5" x14ac:dyDescent="0.3">
      <c r="A223" s="4">
        <v>1501</v>
      </c>
      <c r="B223" s="25" t="str">
        <f>VLOOKUP(TABLA_STOCK_LISTBOX[[#This Row],[Codigo]],LISTADO_PRODUCTOS[#All],4)</f>
        <v>Goma Keyroad Windmill</v>
      </c>
      <c r="C223" s="25" t="str">
        <f>VLOOKUP(TABLA_STOCK_LISTBOX[[#This Row],[Codigo]],LISTADO_PRODUCTOS[#All],5)</f>
        <v>N/A</v>
      </c>
      <c r="D223" s="25">
        <f>VLOOKUP(TABLA_STOCK_LISTBOX[[#This Row],[Codigo]],TABLA_STOCK[#All],6)</f>
        <v>5</v>
      </c>
      <c r="E223" s="25">
        <f>VLOOKUP(TABLA_STOCK_LISTBOX[[#This Row],[Codigo]],TABLA_STOCK[#All],7)</f>
        <v>20</v>
      </c>
    </row>
    <row r="224" spans="1:5" x14ac:dyDescent="0.3">
      <c r="A224" s="4">
        <v>1504</v>
      </c>
      <c r="B224" s="25" t="str">
        <f>VLOOKUP(TABLA_STOCK_LISTBOX[[#This Row],[Codigo]],LISTADO_PRODUCTOS[#All],4)</f>
        <v>Cuaderno ABC Inicial</v>
      </c>
      <c r="C224" s="25" t="str">
        <f>VLOOKUP(TABLA_STOCK_LISTBOX[[#This Row],[Codigo]],LISTADO_PRODUCTOS[#All],5)</f>
        <v>N/A</v>
      </c>
      <c r="D224" s="25">
        <f>VLOOKUP(TABLA_STOCK_LISTBOX[[#This Row],[Codigo]],TABLA_STOCK[#All],6)</f>
        <v>2</v>
      </c>
      <c r="E224" s="25">
        <f>VLOOKUP(TABLA_STOCK_LISTBOX[[#This Row],[Codigo]],TABLA_STOCK[#All],7)</f>
        <v>19</v>
      </c>
    </row>
    <row r="225" spans="1:5" x14ac:dyDescent="0.3">
      <c r="A225" s="4">
        <v>1505</v>
      </c>
      <c r="B225" s="25" t="str">
        <f>VLOOKUP(TABLA_STOCK_LISTBOX[[#This Row],[Codigo]],LISTADO_PRODUCTOS[#All],4)</f>
        <v>Bandera Argentina 1,3 x 2,5 S/sol</v>
      </c>
      <c r="C225" s="25" t="str">
        <f>VLOOKUP(TABLA_STOCK_LISTBOX[[#This Row],[Codigo]],LISTADO_PRODUCTOS[#All],5)</f>
        <v>N/A</v>
      </c>
      <c r="D225" s="25">
        <f>VLOOKUP(TABLA_STOCK_LISTBOX[[#This Row],[Codigo]],TABLA_STOCK[#All],6)</f>
        <v>2</v>
      </c>
      <c r="E225" s="25">
        <f>VLOOKUP(TABLA_STOCK_LISTBOX[[#This Row],[Codigo]],TABLA_STOCK[#All],7)</f>
        <v>6</v>
      </c>
    </row>
    <row r="226" spans="1:5" x14ac:dyDescent="0.3">
      <c r="A226" s="4">
        <v>1506</v>
      </c>
      <c r="B226" s="25" t="str">
        <f>VLOOKUP(TABLA_STOCK_LISTBOX[[#This Row],[Codigo]],LISTADO_PRODUCTOS[#All],4)</f>
        <v>Block de dibujo Muresco D/especiales x 20h Nº5</v>
      </c>
      <c r="C226" s="25" t="str">
        <f>VLOOKUP(TABLA_STOCK_LISTBOX[[#This Row],[Codigo]],LISTADO_PRODUCTOS[#All],5)</f>
        <v>N/A</v>
      </c>
      <c r="D226" s="25">
        <f>VLOOKUP(TABLA_STOCK_LISTBOX[[#This Row],[Codigo]],TABLA_STOCK[#All],6)</f>
        <v>10</v>
      </c>
      <c r="E226" s="25">
        <f>VLOOKUP(TABLA_STOCK_LISTBOX[[#This Row],[Codigo]],TABLA_STOCK[#All],7)</f>
        <v>5</v>
      </c>
    </row>
    <row r="227" spans="1:5" x14ac:dyDescent="0.3">
      <c r="A227" s="4">
        <v>1507</v>
      </c>
      <c r="B227" s="25" t="str">
        <f>VLOOKUP(TABLA_STOCK_LISTBOX[[#This Row],[Codigo]],LISTADO_PRODUCTOS[#All],4)</f>
        <v>Cartulina entretenida Muresco pre cortada formas varias presentacion A4</v>
      </c>
      <c r="C227" s="25" t="str">
        <f>VLOOKUP(TABLA_STOCK_LISTBOX[[#This Row],[Codigo]],LISTADO_PRODUCTOS[#All],5)</f>
        <v>N/A</v>
      </c>
      <c r="D227" s="25">
        <f>VLOOKUP(TABLA_STOCK_LISTBOX[[#This Row],[Codigo]],TABLA_STOCK[#All],6)</f>
        <v>20</v>
      </c>
      <c r="E227" s="25">
        <f>VLOOKUP(TABLA_STOCK_LISTBOX[[#This Row],[Codigo]],TABLA_STOCK[#All],7)</f>
        <v>52</v>
      </c>
    </row>
    <row r="228" spans="1:5" x14ac:dyDescent="0.3">
      <c r="A228" s="4">
        <v>1508</v>
      </c>
      <c r="B228" s="25" t="str">
        <f>VLOOKUP(TABLA_STOCK_LISTBOX[[#This Row],[Codigo]],LISTADO_PRODUCTOS[#All],4)</f>
        <v>Marcadores Color Peps Glitter x 10</v>
      </c>
      <c r="C228" s="25" t="str">
        <f>VLOOKUP(TABLA_STOCK_LISTBOX[[#This Row],[Codigo]],LISTADO_PRODUCTOS[#All],5)</f>
        <v>N/A</v>
      </c>
      <c r="D228" s="25">
        <f>VLOOKUP(TABLA_STOCK_LISTBOX[[#This Row],[Codigo]],TABLA_STOCK[#All],6)</f>
        <v>5</v>
      </c>
      <c r="E228" s="25">
        <f>VLOOKUP(TABLA_STOCK_LISTBOX[[#This Row],[Codigo]],TABLA_STOCK[#All],7)</f>
        <v>32</v>
      </c>
    </row>
    <row r="229" spans="1:5" x14ac:dyDescent="0.3">
      <c r="A229" s="4">
        <v>1511</v>
      </c>
      <c r="B229" s="25" t="str">
        <f>VLOOKUP(TABLA_STOCK_LISTBOX[[#This Row],[Codigo]],LISTADO_PRODUCTOS[#All],4)</f>
        <v>Adhesivo vinilico Tintoretto x 100gr</v>
      </c>
      <c r="C229" s="25" t="str">
        <f>VLOOKUP(TABLA_STOCK_LISTBOX[[#This Row],[Codigo]],LISTADO_PRODUCTOS[#All],5)</f>
        <v>N/A</v>
      </c>
      <c r="D229" s="25">
        <f>VLOOKUP(TABLA_STOCK_LISTBOX[[#This Row],[Codigo]],TABLA_STOCK[#All],6)</f>
        <v>1</v>
      </c>
      <c r="E229" s="25">
        <f>VLOOKUP(TABLA_STOCK_LISTBOX[[#This Row],[Codigo]],TABLA_STOCK[#All],7)</f>
        <v>56</v>
      </c>
    </row>
    <row r="230" spans="1:5" x14ac:dyDescent="0.3">
      <c r="A230" s="4">
        <v>1512</v>
      </c>
      <c r="B230" s="25" t="str">
        <f>VLOOKUP(TABLA_STOCK_LISTBOX[[#This Row],[Codigo]],LISTADO_PRODUCTOS[#All],4)</f>
        <v>Marcador Trabí para Pizarra blanca Recargable 450</v>
      </c>
      <c r="C230" s="25" t="str">
        <f>VLOOKUP(TABLA_STOCK_LISTBOX[[#This Row],[Codigo]],LISTADO_PRODUCTOS[#All],5)</f>
        <v>N/A</v>
      </c>
      <c r="D230" s="25">
        <f>VLOOKUP(TABLA_STOCK_LISTBOX[[#This Row],[Codigo]],TABLA_STOCK[#All],6)</f>
        <v>5</v>
      </c>
      <c r="E230" s="25">
        <f>VLOOKUP(TABLA_STOCK_LISTBOX[[#This Row],[Codigo]],TABLA_STOCK[#All],7)</f>
        <v>107</v>
      </c>
    </row>
    <row r="231" spans="1:5" x14ac:dyDescent="0.3">
      <c r="A231" s="4">
        <v>1514</v>
      </c>
      <c r="B231" s="25" t="str">
        <f>VLOOKUP(TABLA_STOCK_LISTBOX[[#This Row],[Codigo]],LISTADO_PRODUCTOS[#All],4)</f>
        <v>Block Dibujo Éxito/Luma Nº5 Blanco - 7791762319426</v>
      </c>
      <c r="C231" s="25" t="str">
        <f>VLOOKUP(TABLA_STOCK_LISTBOX[[#This Row],[Codigo]],LISTADO_PRODUCTOS[#All],5)</f>
        <v>N/A</v>
      </c>
      <c r="D231" s="25">
        <f>VLOOKUP(TABLA_STOCK_LISTBOX[[#This Row],[Codigo]],TABLA_STOCK[#All],6)</f>
        <v>2</v>
      </c>
      <c r="E231" s="25">
        <f>VLOOKUP(TABLA_STOCK_LISTBOX[[#This Row],[Codigo]],TABLA_STOCK[#All],7)</f>
        <v>25</v>
      </c>
    </row>
    <row r="232" spans="1:5" x14ac:dyDescent="0.3">
      <c r="A232" s="4">
        <v>1515</v>
      </c>
      <c r="B232" s="25" t="str">
        <f>VLOOKUP(TABLA_STOCK_LISTBOX[[#This Row],[Codigo]],LISTADO_PRODUCTOS[#All],4)</f>
        <v>Block Dibujo Éxito/Luma Nº6 Blanco</v>
      </c>
      <c r="C232" s="25" t="str">
        <f>VLOOKUP(TABLA_STOCK_LISTBOX[[#This Row],[Codigo]],LISTADO_PRODUCTOS[#All],5)</f>
        <v>N/A</v>
      </c>
      <c r="D232" s="25">
        <f>VLOOKUP(TABLA_STOCK_LISTBOX[[#This Row],[Codigo]],TABLA_STOCK[#All],6)</f>
        <v>2</v>
      </c>
      <c r="E232" s="25">
        <f>VLOOKUP(TABLA_STOCK_LISTBOX[[#This Row],[Codigo]],TABLA_STOCK[#All],7)</f>
        <v>32</v>
      </c>
    </row>
    <row r="233" spans="1:5" x14ac:dyDescent="0.3">
      <c r="A233" s="4">
        <v>1516</v>
      </c>
      <c r="B233" s="25" t="str">
        <f>VLOOKUP(TABLA_STOCK_LISTBOX[[#This Row],[Codigo]],LISTADO_PRODUCTOS[#All],4)</f>
        <v>Set de Geometria Maped x4 piezas 30cm</v>
      </c>
      <c r="C233" s="25" t="str">
        <f>VLOOKUP(TABLA_STOCK_LISTBOX[[#This Row],[Codigo]],LISTADO_PRODUCTOS[#All],5)</f>
        <v>N/A</v>
      </c>
      <c r="D233" s="25">
        <f>VLOOKUP(TABLA_STOCK_LISTBOX[[#This Row],[Codigo]],TABLA_STOCK[#All],6)</f>
        <v>10</v>
      </c>
      <c r="E233" s="25">
        <f>VLOOKUP(TABLA_STOCK_LISTBOX[[#This Row],[Codigo]],TABLA_STOCK[#All],7)</f>
        <v>150</v>
      </c>
    </row>
    <row r="234" spans="1:5" x14ac:dyDescent="0.3">
      <c r="A234" s="4">
        <v>1517</v>
      </c>
      <c r="B234" s="25" t="str">
        <f>VLOOKUP(TABLA_STOCK_LISTBOX[[#This Row],[Codigo]],LISTADO_PRODUCTOS[#All],4)</f>
        <v>Tijera para zurdos Maped</v>
      </c>
      <c r="C234" s="25" t="str">
        <f>VLOOKUP(TABLA_STOCK_LISTBOX[[#This Row],[Codigo]],LISTADO_PRODUCTOS[#All],5)</f>
        <v>N/A</v>
      </c>
      <c r="D234" s="25">
        <f>VLOOKUP(TABLA_STOCK_LISTBOX[[#This Row],[Codigo]],TABLA_STOCK[#All],6)</f>
        <v>20</v>
      </c>
      <c r="E234" s="25">
        <f>VLOOKUP(TABLA_STOCK_LISTBOX[[#This Row],[Codigo]],TABLA_STOCK[#All],7)</f>
        <v>20</v>
      </c>
    </row>
    <row r="235" spans="1:5" x14ac:dyDescent="0.3">
      <c r="A235" s="4">
        <v>1518</v>
      </c>
      <c r="B235" s="25" t="str">
        <f>VLOOKUP(TABLA_STOCK_LISTBOX[[#This Row],[Codigo]],LISTADO_PRODUCTOS[#All],4)</f>
        <v xml:space="preserve">Silicona Liquida CBX x 30ml </v>
      </c>
      <c r="C235" s="25" t="str">
        <f>VLOOKUP(TABLA_STOCK_LISTBOX[[#This Row],[Codigo]],LISTADO_PRODUCTOS[#All],5)</f>
        <v>N/A</v>
      </c>
      <c r="D235" s="25">
        <f>VLOOKUP(TABLA_STOCK_LISTBOX[[#This Row],[Codigo]],TABLA_STOCK[#All],6)</f>
        <v>5</v>
      </c>
      <c r="E235" s="25">
        <f>VLOOKUP(TABLA_STOCK_LISTBOX[[#This Row],[Codigo]],TABLA_STOCK[#All],7)</f>
        <v>19</v>
      </c>
    </row>
    <row r="236" spans="1:5" x14ac:dyDescent="0.3">
      <c r="A236" s="4">
        <v>1519</v>
      </c>
      <c r="B236" s="25" t="str">
        <f>VLOOKUP(TABLA_STOCK_LISTBOX[[#This Row],[Codigo]],LISTADO_PRODUCTOS[#All],4)</f>
        <v>Colores Simball Largo x 24 innovation</v>
      </c>
      <c r="C236" s="25" t="str">
        <f>VLOOKUP(TABLA_STOCK_LISTBOX[[#This Row],[Codigo]],LISTADO_PRODUCTOS[#All],5)</f>
        <v>N/A</v>
      </c>
      <c r="D236" s="25">
        <f>VLOOKUP(TABLA_STOCK_LISTBOX[[#This Row],[Codigo]],TABLA_STOCK[#All],6)</f>
        <v>1</v>
      </c>
      <c r="E236" s="25">
        <f>VLOOKUP(TABLA_STOCK_LISTBOX[[#This Row],[Codigo]],TABLA_STOCK[#All],7)</f>
        <v>6</v>
      </c>
    </row>
    <row r="237" spans="1:5" x14ac:dyDescent="0.3">
      <c r="A237" s="4">
        <v>1520</v>
      </c>
      <c r="B237" s="25" t="str">
        <f>VLOOKUP(TABLA_STOCK_LISTBOX[[#This Row],[Codigo]],LISTADO_PRODUCTOS[#All],4)</f>
        <v>Tijera Maped Office Advance Soft Gel 21cm</v>
      </c>
      <c r="C237" s="25" t="str">
        <f>VLOOKUP(TABLA_STOCK_LISTBOX[[#This Row],[Codigo]],LISTADO_PRODUCTOS[#All],5)</f>
        <v>N/A</v>
      </c>
      <c r="D237" s="25">
        <f>VLOOKUP(TABLA_STOCK_LISTBOX[[#This Row],[Codigo]],TABLA_STOCK[#All],6)</f>
        <v>5</v>
      </c>
      <c r="E237" s="25">
        <f>VLOOKUP(TABLA_STOCK_LISTBOX[[#This Row],[Codigo]],TABLA_STOCK[#All],7)</f>
        <v>5</v>
      </c>
    </row>
    <row r="238" spans="1:5" x14ac:dyDescent="0.3">
      <c r="A238" s="4">
        <v>1521</v>
      </c>
      <c r="B238" s="25" t="str">
        <f>VLOOKUP(TABLA_STOCK_LISTBOX[[#This Row],[Codigo]],LISTADO_PRODUCTOS[#All],4)</f>
        <v>Set de Geometria Maped x 3 piezas</v>
      </c>
      <c r="C238" s="25" t="str">
        <f>VLOOKUP(TABLA_STOCK_LISTBOX[[#This Row],[Codigo]],LISTADO_PRODUCTOS[#All],5)</f>
        <v>N/A</v>
      </c>
      <c r="D238" s="25">
        <f>VLOOKUP(TABLA_STOCK_LISTBOX[[#This Row],[Codigo]],TABLA_STOCK[#All],6)</f>
        <v>2</v>
      </c>
      <c r="E238" s="25">
        <f>VLOOKUP(TABLA_STOCK_LISTBOX[[#This Row],[Codigo]],TABLA_STOCK[#All],7)</f>
        <v>52</v>
      </c>
    </row>
    <row r="239" spans="1:5" x14ac:dyDescent="0.3">
      <c r="A239" s="4">
        <v>1522</v>
      </c>
      <c r="B239" s="25" t="str">
        <f>VLOOKUP(TABLA_STOCK_LISTBOX[[#This Row],[Codigo]],LISTADO_PRODUCTOS[#All],4)</f>
        <v>Set de Geometria Glee x 3 piezas</v>
      </c>
      <c r="C239" s="25" t="str">
        <f>VLOOKUP(TABLA_STOCK_LISTBOX[[#This Row],[Codigo]],LISTADO_PRODUCTOS[#All],5)</f>
        <v>N/A</v>
      </c>
      <c r="D239" s="25">
        <f>VLOOKUP(TABLA_STOCK_LISTBOX[[#This Row],[Codigo]],TABLA_STOCK[#All],6)</f>
        <v>2</v>
      </c>
      <c r="E239" s="25">
        <f>VLOOKUP(TABLA_STOCK_LISTBOX[[#This Row],[Codigo]],TABLA_STOCK[#All],7)</f>
        <v>32</v>
      </c>
    </row>
    <row r="240" spans="1:5" x14ac:dyDescent="0.3">
      <c r="A240" s="4">
        <v>1523</v>
      </c>
      <c r="B240" s="25" t="str">
        <f>VLOOKUP(TABLA_STOCK_LISTBOX[[#This Row],[Codigo]],LISTADO_PRODUCTOS[#All],4)</f>
        <v>Resaltador Maped Glitter Pastel</v>
      </c>
      <c r="C240" s="25" t="str">
        <f>VLOOKUP(TABLA_STOCK_LISTBOX[[#This Row],[Codigo]],LISTADO_PRODUCTOS[#All],5)</f>
        <v>N/A</v>
      </c>
      <c r="D240" s="25">
        <f>VLOOKUP(TABLA_STOCK_LISTBOX[[#This Row],[Codigo]],TABLA_STOCK[#All],6)</f>
        <v>10</v>
      </c>
      <c r="E240" s="25">
        <f>VLOOKUP(TABLA_STOCK_LISTBOX[[#This Row],[Codigo]],TABLA_STOCK[#All],7)</f>
        <v>56</v>
      </c>
    </row>
    <row r="241" spans="1:5" x14ac:dyDescent="0.3">
      <c r="A241" s="4">
        <v>1524</v>
      </c>
      <c r="B241" s="25" t="str">
        <f>VLOOKUP(TABLA_STOCK_LISTBOX[[#This Row],[Codigo]],LISTADO_PRODUCTOS[#All],4)</f>
        <v>Resaltador Maped  PASTEL</v>
      </c>
      <c r="C241" s="25" t="str">
        <f>VLOOKUP(TABLA_STOCK_LISTBOX[[#This Row],[Codigo]],LISTADO_PRODUCTOS[#All],5)</f>
        <v>N/A</v>
      </c>
      <c r="D241" s="25">
        <f>VLOOKUP(TABLA_STOCK_LISTBOX[[#This Row],[Codigo]],TABLA_STOCK[#All],6)</f>
        <v>20</v>
      </c>
      <c r="E241" s="25">
        <f>VLOOKUP(TABLA_STOCK_LISTBOX[[#This Row],[Codigo]],TABLA_STOCK[#All],7)</f>
        <v>107</v>
      </c>
    </row>
    <row r="242" spans="1:5" x14ac:dyDescent="0.3">
      <c r="A242" s="4">
        <v>1525</v>
      </c>
      <c r="B242" s="25" t="str">
        <f>VLOOKUP(TABLA_STOCK_LISTBOX[[#This Row],[Codigo]],LISTADO_PRODUCTOS[#All],4)</f>
        <v xml:space="preserve">Resaltador Maped FLUO </v>
      </c>
      <c r="C242" s="25" t="str">
        <f>VLOOKUP(TABLA_STOCK_LISTBOX[[#This Row],[Codigo]],LISTADO_PRODUCTOS[#All],5)</f>
        <v>N/A</v>
      </c>
      <c r="D242" s="25">
        <f>VLOOKUP(TABLA_STOCK_LISTBOX[[#This Row],[Codigo]],TABLA_STOCK[#All],6)</f>
        <v>5</v>
      </c>
      <c r="E242" s="25">
        <f>VLOOKUP(TABLA_STOCK_LISTBOX[[#This Row],[Codigo]],TABLA_STOCK[#All],7)</f>
        <v>25</v>
      </c>
    </row>
    <row r="243" spans="1:5" x14ac:dyDescent="0.3">
      <c r="A243" s="4">
        <v>1532</v>
      </c>
      <c r="B243" s="25" t="str">
        <f>VLOOKUP(TABLA_STOCK_LISTBOX[[#This Row],[Codigo]],LISTADO_PRODUCTOS[#All],4)</f>
        <v>Carpeta Rivadavia Nº3 con repuesto x96h ray y 48h cuad y separadores</v>
      </c>
      <c r="C243" s="25" t="str">
        <f>VLOOKUP(TABLA_STOCK_LISTBOX[[#This Row],[Codigo]],LISTADO_PRODUCTOS[#All],5)</f>
        <v>N/A</v>
      </c>
      <c r="D243" s="25">
        <f>VLOOKUP(TABLA_STOCK_LISTBOX[[#This Row],[Codigo]],TABLA_STOCK[#All],6)</f>
        <v>1</v>
      </c>
      <c r="E243" s="25">
        <f>VLOOKUP(TABLA_STOCK_LISTBOX[[#This Row],[Codigo]],TABLA_STOCK[#All],7)</f>
        <v>32</v>
      </c>
    </row>
    <row r="244" spans="1:5" x14ac:dyDescent="0.3">
      <c r="A244" s="4">
        <v>1533</v>
      </c>
      <c r="B244" s="25" t="str">
        <f>VLOOKUP(TABLA_STOCK_LISTBOX[[#This Row],[Codigo]],LISTADO_PRODUCTOS[#All],4)</f>
        <v>Marcador Trabí Mega Pinturon x 10</v>
      </c>
      <c r="C244" s="25" t="str">
        <f>VLOOKUP(TABLA_STOCK_LISTBOX[[#This Row],[Codigo]],LISTADO_PRODUCTOS[#All],5)</f>
        <v>N/A</v>
      </c>
      <c r="D244" s="25">
        <f>VLOOKUP(TABLA_STOCK_LISTBOX[[#This Row],[Codigo]],TABLA_STOCK[#All],6)</f>
        <v>5</v>
      </c>
      <c r="E244" s="25">
        <f>VLOOKUP(TABLA_STOCK_LISTBOX[[#This Row],[Codigo]],TABLA_STOCK[#All],7)</f>
        <v>150</v>
      </c>
    </row>
    <row r="245" spans="1:5" x14ac:dyDescent="0.3">
      <c r="A245" s="4">
        <v>1534</v>
      </c>
      <c r="B245" s="25" t="str">
        <f>VLOOKUP(TABLA_STOCK_LISTBOX[[#This Row],[Codigo]],LISTADO_PRODUCTOS[#All],4)</f>
        <v>MarcadorPelikan Colorella Star Jumbo x8u</v>
      </c>
      <c r="C245" s="25" t="str">
        <f>VLOOKUP(TABLA_STOCK_LISTBOX[[#This Row],[Codigo]],LISTADO_PRODUCTOS[#All],5)</f>
        <v>N/A</v>
      </c>
      <c r="D245" s="25">
        <f>VLOOKUP(TABLA_STOCK_LISTBOX[[#This Row],[Codigo]],TABLA_STOCK[#All],6)</f>
        <v>2</v>
      </c>
      <c r="E245" s="25">
        <f>VLOOKUP(TABLA_STOCK_LISTBOX[[#This Row],[Codigo]],TABLA_STOCK[#All],7)</f>
        <v>20</v>
      </c>
    </row>
    <row r="246" spans="1:5" x14ac:dyDescent="0.3">
      <c r="A246" s="4">
        <v>1535</v>
      </c>
      <c r="B246" s="25" t="str">
        <f>VLOOKUP(TABLA_STOCK_LISTBOX[[#This Row],[Codigo]],LISTADO_PRODUCTOS[#All],4)</f>
        <v>Marcador Pizzini Mio x 10 - 7793198801001</v>
      </c>
      <c r="C246" s="25" t="str">
        <f>VLOOKUP(TABLA_STOCK_LISTBOX[[#This Row],[Codigo]],LISTADO_PRODUCTOS[#All],5)</f>
        <v>N/A</v>
      </c>
      <c r="D246" s="25">
        <f>VLOOKUP(TABLA_STOCK_LISTBOX[[#This Row],[Codigo]],TABLA_STOCK[#All],6)</f>
        <v>10</v>
      </c>
      <c r="E246" s="25">
        <f>VLOOKUP(TABLA_STOCK_LISTBOX[[#This Row],[Codigo]],TABLA_STOCK[#All],7)</f>
        <v>19</v>
      </c>
    </row>
    <row r="247" spans="1:5" x14ac:dyDescent="0.3">
      <c r="A247" s="4">
        <v>1536</v>
      </c>
      <c r="B247" s="25" t="str">
        <f>VLOOKUP(TABLA_STOCK_LISTBOX[[#This Row],[Codigo]],LISTADO_PRODUCTOS[#All],4)</f>
        <v>Rompecabezas de madera</v>
      </c>
      <c r="C247" s="25" t="str">
        <f>VLOOKUP(TABLA_STOCK_LISTBOX[[#This Row],[Codigo]],LISTADO_PRODUCTOS[#All],5)</f>
        <v>N/A</v>
      </c>
      <c r="D247" s="25">
        <f>VLOOKUP(TABLA_STOCK_LISTBOX[[#This Row],[Codigo]],TABLA_STOCK[#All],6)</f>
        <v>20</v>
      </c>
      <c r="E247" s="25">
        <f>VLOOKUP(TABLA_STOCK_LISTBOX[[#This Row],[Codigo]],TABLA_STOCK[#All],7)</f>
        <v>6</v>
      </c>
    </row>
    <row r="248" spans="1:5" x14ac:dyDescent="0.3">
      <c r="A248" s="4">
        <v>1538</v>
      </c>
      <c r="B248" s="25" t="str">
        <f>VLOOKUP(TABLA_STOCK_LISTBOX[[#This Row],[Codigo]],LISTADO_PRODUCTOS[#All],4)</f>
        <v>Block Triunfante Blanco N°6</v>
      </c>
      <c r="C248" s="25" t="str">
        <f>VLOOKUP(TABLA_STOCK_LISTBOX[[#This Row],[Codigo]],LISTADO_PRODUCTOS[#All],5)</f>
        <v>N/A</v>
      </c>
      <c r="D248" s="25">
        <f>VLOOKUP(TABLA_STOCK_LISTBOX[[#This Row],[Codigo]],TABLA_STOCK[#All],6)</f>
        <v>5</v>
      </c>
      <c r="E248" s="25">
        <f>VLOOKUP(TABLA_STOCK_LISTBOX[[#This Row],[Codigo]],TABLA_STOCK[#All],7)</f>
        <v>5</v>
      </c>
    </row>
    <row r="249" spans="1:5" x14ac:dyDescent="0.3">
      <c r="A249" s="4">
        <v>1541</v>
      </c>
      <c r="B249" s="25" t="str">
        <f>VLOOKUP(TABLA_STOCK_LISTBOX[[#This Row],[Codigo]],LISTADO_PRODUCTOS[#All],4)</f>
        <v>Cuaderno de caligrafia Laprida T/Flex</v>
      </c>
      <c r="C249" s="25" t="str">
        <f>VLOOKUP(TABLA_STOCK_LISTBOX[[#This Row],[Codigo]],LISTADO_PRODUCTOS[#All],5)</f>
        <v>N/A</v>
      </c>
      <c r="D249" s="25">
        <f>VLOOKUP(TABLA_STOCK_LISTBOX[[#This Row],[Codigo]],TABLA_STOCK[#All],6)</f>
        <v>1</v>
      </c>
      <c r="E249" s="25">
        <f>VLOOKUP(TABLA_STOCK_LISTBOX[[#This Row],[Codigo]],TABLA_STOCK[#All],7)</f>
        <v>52</v>
      </c>
    </row>
    <row r="250" spans="1:5" x14ac:dyDescent="0.3">
      <c r="A250" s="4">
        <v>1544</v>
      </c>
      <c r="B250" s="25" t="str">
        <f>VLOOKUP(TABLA_STOCK_LISTBOX[[#This Row],[Codigo]],LISTADO_PRODUCTOS[#All],4)</f>
        <v>Cuaderno colegial fantasia x 60h</v>
      </c>
      <c r="C250" s="25" t="str">
        <f>VLOOKUP(TABLA_STOCK_LISTBOX[[#This Row],[Codigo]],LISTADO_PRODUCTOS[#All],5)</f>
        <v>N/A</v>
      </c>
      <c r="D250" s="25">
        <f>VLOOKUP(TABLA_STOCK_LISTBOX[[#This Row],[Codigo]],TABLA_STOCK[#All],6)</f>
        <v>5</v>
      </c>
      <c r="E250" s="25">
        <f>VLOOKUP(TABLA_STOCK_LISTBOX[[#This Row],[Codigo]],TABLA_STOCK[#All],7)</f>
        <v>32</v>
      </c>
    </row>
    <row r="251" spans="1:5" x14ac:dyDescent="0.3">
      <c r="A251" s="4">
        <v>1545</v>
      </c>
      <c r="B251" s="25" t="str">
        <f>VLOOKUP(TABLA_STOCK_LISTBOX[[#This Row],[Codigo]],LISTADO_PRODUCTOS[#All],4)</f>
        <v>Bandera Argentina 90x150 S/sol</v>
      </c>
      <c r="C251" s="25" t="str">
        <f>VLOOKUP(TABLA_STOCK_LISTBOX[[#This Row],[Codigo]],LISTADO_PRODUCTOS[#All],5)</f>
        <v>N/A</v>
      </c>
      <c r="D251" s="25">
        <f>VLOOKUP(TABLA_STOCK_LISTBOX[[#This Row],[Codigo]],TABLA_STOCK[#All],6)</f>
        <v>2</v>
      </c>
      <c r="E251" s="25">
        <f>VLOOKUP(TABLA_STOCK_LISTBOX[[#This Row],[Codigo]],TABLA_STOCK[#All],7)</f>
        <v>56</v>
      </c>
    </row>
    <row r="252" spans="1:5" x14ac:dyDescent="0.3">
      <c r="A252" s="4">
        <v>1546</v>
      </c>
      <c r="B252" s="25" t="str">
        <f>VLOOKUP(TABLA_STOCK_LISTBOX[[#This Row],[Codigo]],LISTADO_PRODUCTOS[#All],4)</f>
        <v>Bandera Argentina 50x100 S/sol</v>
      </c>
      <c r="C252" s="25" t="str">
        <f>VLOOKUP(TABLA_STOCK_LISTBOX[[#This Row],[Codigo]],LISTADO_PRODUCTOS[#All],5)</f>
        <v>N/A</v>
      </c>
      <c r="D252" s="25">
        <f>VLOOKUP(TABLA_STOCK_LISTBOX[[#This Row],[Codigo]],TABLA_STOCK[#All],6)</f>
        <v>2</v>
      </c>
      <c r="E252" s="25">
        <f>VLOOKUP(TABLA_STOCK_LISTBOX[[#This Row],[Codigo]],TABLA_STOCK[#All],7)</f>
        <v>107</v>
      </c>
    </row>
    <row r="253" spans="1:5" x14ac:dyDescent="0.3">
      <c r="A253" s="4">
        <v>1548</v>
      </c>
      <c r="B253" s="25" t="str">
        <f>VLOOKUP(TABLA_STOCK_LISTBOX[[#This Row],[Codigo]],LISTADO_PRODUCTOS[#All],4)</f>
        <v>Block Dibujo Nº6 Triunfante/Luma Color</v>
      </c>
      <c r="C253" s="25" t="str">
        <f>VLOOKUP(TABLA_STOCK_LISTBOX[[#This Row],[Codigo]],LISTADO_PRODUCTOS[#All],5)</f>
        <v>N/A</v>
      </c>
      <c r="D253" s="25">
        <f>VLOOKUP(TABLA_STOCK_LISTBOX[[#This Row],[Codigo]],TABLA_STOCK[#All],6)</f>
        <v>10</v>
      </c>
      <c r="E253" s="25">
        <f>VLOOKUP(TABLA_STOCK_LISTBOX[[#This Row],[Codigo]],TABLA_STOCK[#All],7)</f>
        <v>25</v>
      </c>
    </row>
    <row r="254" spans="1:5" x14ac:dyDescent="0.3">
      <c r="A254" s="4">
        <v>1553</v>
      </c>
      <c r="B254" s="25" t="str">
        <f>VLOOKUP(TABLA_STOCK_LISTBOX[[#This Row],[Codigo]],LISTADO_PRODUCTOS[#All],4)</f>
        <v>Fibron Trabi permanente 411</v>
      </c>
      <c r="C254" s="25" t="str">
        <f>VLOOKUP(TABLA_STOCK_LISTBOX[[#This Row],[Codigo]],LISTADO_PRODUCTOS[#All],5)</f>
        <v>N/A</v>
      </c>
      <c r="D254" s="25">
        <f>VLOOKUP(TABLA_STOCK_LISTBOX[[#This Row],[Codigo]],TABLA_STOCK[#All],6)</f>
        <v>20</v>
      </c>
      <c r="E254" s="25">
        <f>VLOOKUP(TABLA_STOCK_LISTBOX[[#This Row],[Codigo]],TABLA_STOCK[#All],7)</f>
        <v>32</v>
      </c>
    </row>
    <row r="255" spans="1:5" x14ac:dyDescent="0.3">
      <c r="A255" s="4">
        <v>1556</v>
      </c>
      <c r="B255" s="25" t="str">
        <f>VLOOKUP(TABLA_STOCK_LISTBOX[[#This Row],[Codigo]],LISTADO_PRODUCTOS[#All],4)</f>
        <v>Block art deco Alfa 20h Nº5</v>
      </c>
      <c r="C255" s="25" t="str">
        <f>VLOOKUP(TABLA_STOCK_LISTBOX[[#This Row],[Codigo]],LISTADO_PRODUCTOS[#All],5)</f>
        <v>N/A</v>
      </c>
      <c r="D255" s="25">
        <f>VLOOKUP(TABLA_STOCK_LISTBOX[[#This Row],[Codigo]],TABLA_STOCK[#All],6)</f>
        <v>5</v>
      </c>
      <c r="E255" s="25">
        <f>VLOOKUP(TABLA_STOCK_LISTBOX[[#This Row],[Codigo]],TABLA_STOCK[#All],7)</f>
        <v>150</v>
      </c>
    </row>
    <row r="256" spans="1:5" x14ac:dyDescent="0.3">
      <c r="A256" s="4">
        <v>1557</v>
      </c>
      <c r="B256" s="25" t="str">
        <f>VLOOKUP(TABLA_STOCK_LISTBOX[[#This Row],[Codigo]],LISTADO_PRODUCTOS[#All],4)</f>
        <v>Regla 50cm PIZZINI PROFESIONAL 173250 - 7793198173252</v>
      </c>
      <c r="C256" s="25" t="str">
        <f>VLOOKUP(TABLA_STOCK_LISTBOX[[#This Row],[Codigo]],LISTADO_PRODUCTOS[#All],5)</f>
        <v>N/A</v>
      </c>
      <c r="D256" s="25">
        <f>VLOOKUP(TABLA_STOCK_LISTBOX[[#This Row],[Codigo]],TABLA_STOCK[#All],6)</f>
        <v>1</v>
      </c>
      <c r="E256" s="25">
        <f>VLOOKUP(TABLA_STOCK_LISTBOX[[#This Row],[Codigo]],TABLA_STOCK[#All],7)</f>
        <v>20</v>
      </c>
    </row>
    <row r="257" spans="1:5" x14ac:dyDescent="0.3">
      <c r="A257" s="4">
        <v>1558</v>
      </c>
      <c r="B257" s="25" t="str">
        <f>VLOOKUP(TABLA_STOCK_LISTBOX[[#This Row],[Codigo]],LISTADO_PRODUCTOS[#All],4)</f>
        <v>Block Dibujo Blanco N°5 Gloria - 103602 - 7791762001154</v>
      </c>
      <c r="C257" s="25" t="str">
        <f>VLOOKUP(TABLA_STOCK_LISTBOX[[#This Row],[Codigo]],LISTADO_PRODUCTOS[#All],5)</f>
        <v>N/A</v>
      </c>
      <c r="D257" s="25">
        <f>VLOOKUP(TABLA_STOCK_LISTBOX[[#This Row],[Codigo]],TABLA_STOCK[#All],6)</f>
        <v>5</v>
      </c>
      <c r="E257" s="25">
        <f>VLOOKUP(TABLA_STOCK_LISTBOX[[#This Row],[Codigo]],TABLA_STOCK[#All],7)</f>
        <v>19</v>
      </c>
    </row>
    <row r="258" spans="1:5" x14ac:dyDescent="0.3">
      <c r="A258" s="4">
        <v>1559</v>
      </c>
      <c r="B258" s="25" t="str">
        <f>VLOOKUP(TABLA_STOCK_LISTBOX[[#This Row],[Codigo]],LISTADO_PRODUCTOS[#All],4)</f>
        <v>Lapiz de Graduacion Staedtler</v>
      </c>
      <c r="C258" s="25" t="str">
        <f>VLOOKUP(TABLA_STOCK_LISTBOX[[#This Row],[Codigo]],LISTADO_PRODUCTOS[#All],5)</f>
        <v>N/A</v>
      </c>
      <c r="D258" s="25">
        <f>VLOOKUP(TABLA_STOCK_LISTBOX[[#This Row],[Codigo]],TABLA_STOCK[#All],6)</f>
        <v>2</v>
      </c>
      <c r="E258" s="25">
        <f>VLOOKUP(TABLA_STOCK_LISTBOX[[#This Row],[Codigo]],TABLA_STOCK[#All],7)</f>
        <v>6</v>
      </c>
    </row>
    <row r="259" spans="1:5" x14ac:dyDescent="0.3">
      <c r="A259" s="4">
        <v>1560</v>
      </c>
      <c r="B259" s="25" t="str">
        <f>VLOOKUP(TABLA_STOCK_LISTBOX[[#This Row],[Codigo]],LISTADO_PRODUCTOS[#All],4)</f>
        <v>Lapiz de Graduacion Faber Castell</v>
      </c>
      <c r="C259" s="25" t="str">
        <f>VLOOKUP(TABLA_STOCK_LISTBOX[[#This Row],[Codigo]],LISTADO_PRODUCTOS[#All],5)</f>
        <v>N/A</v>
      </c>
      <c r="D259" s="25">
        <f>VLOOKUP(TABLA_STOCK_LISTBOX[[#This Row],[Codigo]],TABLA_STOCK[#All],6)</f>
        <v>2</v>
      </c>
      <c r="E259" s="25">
        <f>VLOOKUP(TABLA_STOCK_LISTBOX[[#This Row],[Codigo]],TABLA_STOCK[#All],7)</f>
        <v>5</v>
      </c>
    </row>
    <row r="260" spans="1:5" x14ac:dyDescent="0.3">
      <c r="A260" s="4">
        <v>1561</v>
      </c>
      <c r="B260" s="25" t="str">
        <f>VLOOKUP(TABLA_STOCK_LISTBOX[[#This Row],[Codigo]],LISTADO_PRODUCTOS[#All],4)</f>
        <v>Tabla periodica para carpeta</v>
      </c>
      <c r="C260" s="25" t="str">
        <f>VLOOKUP(TABLA_STOCK_LISTBOX[[#This Row],[Codigo]],LISTADO_PRODUCTOS[#All],5)</f>
        <v>N/A</v>
      </c>
      <c r="D260" s="25">
        <f>VLOOKUP(TABLA_STOCK_LISTBOX[[#This Row],[Codigo]],TABLA_STOCK[#All],6)</f>
        <v>10</v>
      </c>
      <c r="E260" s="25">
        <f>VLOOKUP(TABLA_STOCK_LISTBOX[[#This Row],[Codigo]],TABLA_STOCK[#All],7)</f>
        <v>52</v>
      </c>
    </row>
    <row r="261" spans="1:5" x14ac:dyDescent="0.3">
      <c r="A261" s="4">
        <v>1563</v>
      </c>
      <c r="B261" s="25" t="str">
        <f>VLOOKUP(TABLA_STOCK_LISTBOX[[#This Row],[Codigo]],LISTADO_PRODUCTOS[#All],4)</f>
        <v>Block Dibujo Color N°5 Gloria - 103603 - 7791762001161</v>
      </c>
      <c r="C261" s="25" t="str">
        <f>VLOOKUP(TABLA_STOCK_LISTBOX[[#This Row],[Codigo]],LISTADO_PRODUCTOS[#All],5)</f>
        <v>N/A</v>
      </c>
      <c r="D261" s="25">
        <f>VLOOKUP(TABLA_STOCK_LISTBOX[[#This Row],[Codigo]],TABLA_STOCK[#All],6)</f>
        <v>20</v>
      </c>
      <c r="E261" s="25">
        <f>VLOOKUP(TABLA_STOCK_LISTBOX[[#This Row],[Codigo]],TABLA_STOCK[#All],7)</f>
        <v>32</v>
      </c>
    </row>
    <row r="262" spans="1:5" x14ac:dyDescent="0.3">
      <c r="A262" s="4">
        <v>1565</v>
      </c>
      <c r="B262" s="25" t="str">
        <f>VLOOKUP(TABLA_STOCK_LISTBOX[[#This Row],[Codigo]],LISTADO_PRODUCTOS[#All],4)</f>
        <v>Sacapuntas Maped Ñoki</v>
      </c>
      <c r="C262" s="25" t="str">
        <f>VLOOKUP(TABLA_STOCK_LISTBOX[[#This Row],[Codigo]],LISTADO_PRODUCTOS[#All],5)</f>
        <v>N/A</v>
      </c>
      <c r="D262" s="25">
        <f>VLOOKUP(TABLA_STOCK_LISTBOX[[#This Row],[Codigo]],TABLA_STOCK[#All],6)</f>
        <v>5</v>
      </c>
      <c r="E262" s="25">
        <f>VLOOKUP(TABLA_STOCK_LISTBOX[[#This Row],[Codigo]],TABLA_STOCK[#All],7)</f>
        <v>56</v>
      </c>
    </row>
    <row r="263" spans="1:5" x14ac:dyDescent="0.3">
      <c r="A263" s="4">
        <v>1569</v>
      </c>
      <c r="B263" s="25" t="str">
        <f>VLOOKUP(TABLA_STOCK_LISTBOX[[#This Row],[Codigo]],LISTADO_PRODUCTOS[#All],4)</f>
        <v xml:space="preserve">Aro OTA Sifap 35mm c/u </v>
      </c>
      <c r="C263" s="25" t="str">
        <f>VLOOKUP(TABLA_STOCK_LISTBOX[[#This Row],[Codigo]],LISTADO_PRODUCTOS[#All],5)</f>
        <v>N/A</v>
      </c>
      <c r="D263" s="25">
        <f>VLOOKUP(TABLA_STOCK_LISTBOX[[#This Row],[Codigo]],TABLA_STOCK[#All],6)</f>
        <v>1</v>
      </c>
      <c r="E263" s="25">
        <f>VLOOKUP(TABLA_STOCK_LISTBOX[[#This Row],[Codigo]],TABLA_STOCK[#All],7)</f>
        <v>107</v>
      </c>
    </row>
    <row r="264" spans="1:5" x14ac:dyDescent="0.3">
      <c r="A264" s="4">
        <v>1570</v>
      </c>
      <c r="B264" s="25" t="str">
        <f>VLOOKUP(TABLA_STOCK_LISTBOX[[#This Row],[Codigo]],LISTADO_PRODUCTOS[#All],4)</f>
        <v>Aro OTA Sifap 40mm c/u</v>
      </c>
      <c r="C264" s="25" t="str">
        <f>VLOOKUP(TABLA_STOCK_LISTBOX[[#This Row],[Codigo]],LISTADO_PRODUCTOS[#All],5)</f>
        <v>N/A</v>
      </c>
      <c r="D264" s="25">
        <f>VLOOKUP(TABLA_STOCK_LISTBOX[[#This Row],[Codigo]],TABLA_STOCK[#All],6)</f>
        <v>5</v>
      </c>
      <c r="E264" s="25">
        <f>VLOOKUP(TABLA_STOCK_LISTBOX[[#This Row],[Codigo]],TABLA_STOCK[#All],7)</f>
        <v>25</v>
      </c>
    </row>
    <row r="265" spans="1:5" x14ac:dyDescent="0.3">
      <c r="A265" s="4">
        <v>1571</v>
      </c>
      <c r="B265" s="25" t="str">
        <f>VLOOKUP(TABLA_STOCK_LISTBOX[[#This Row],[Codigo]],LISTADO_PRODUCTOS[#All],4)</f>
        <v xml:space="preserve">Aro OTA Sifap 50mm c/u </v>
      </c>
      <c r="C265" s="25" t="str">
        <f>VLOOKUP(TABLA_STOCK_LISTBOX[[#This Row],[Codigo]],LISTADO_PRODUCTOS[#All],5)</f>
        <v>N/A</v>
      </c>
      <c r="D265" s="25">
        <f>VLOOKUP(TABLA_STOCK_LISTBOX[[#This Row],[Codigo]],TABLA_STOCK[#All],6)</f>
        <v>2</v>
      </c>
      <c r="E265" s="25">
        <f>VLOOKUP(TABLA_STOCK_LISTBOX[[#This Row],[Codigo]],TABLA_STOCK[#All],7)</f>
        <v>32</v>
      </c>
    </row>
    <row r="266" spans="1:5" x14ac:dyDescent="0.3">
      <c r="A266" s="4">
        <v>1578</v>
      </c>
      <c r="B266" s="25" t="str">
        <f>VLOOKUP(TABLA_STOCK_LISTBOX[[#This Row],[Codigo]],LISTADO_PRODUCTOS[#All],4)</f>
        <v>Tijera simball escolar Pop 12cm</v>
      </c>
      <c r="C266" s="25" t="str">
        <f>VLOOKUP(TABLA_STOCK_LISTBOX[[#This Row],[Codigo]],LISTADO_PRODUCTOS[#All],5)</f>
        <v>N/A</v>
      </c>
      <c r="D266" s="25">
        <f>VLOOKUP(TABLA_STOCK_LISTBOX[[#This Row],[Codigo]],TABLA_STOCK[#All],6)</f>
        <v>2</v>
      </c>
      <c r="E266" s="25">
        <f>VLOOKUP(TABLA_STOCK_LISTBOX[[#This Row],[Codigo]],TABLA_STOCK[#All],7)</f>
        <v>150</v>
      </c>
    </row>
    <row r="267" spans="1:5" x14ac:dyDescent="0.3">
      <c r="A267" s="4">
        <v>1579</v>
      </c>
      <c r="B267" s="25" t="str">
        <f>VLOOKUP(TABLA_STOCK_LISTBOX[[#This Row],[Codigo]],LISTADO_PRODUCTOS[#All],4)</f>
        <v>Compas Maped Portalapiz</v>
      </c>
      <c r="C267" s="25" t="str">
        <f>VLOOKUP(TABLA_STOCK_LISTBOX[[#This Row],[Codigo]],LISTADO_PRODUCTOS[#All],5)</f>
        <v>N/A</v>
      </c>
      <c r="D267" s="25">
        <f>VLOOKUP(TABLA_STOCK_LISTBOX[[#This Row],[Codigo]],TABLA_STOCK[#All],6)</f>
        <v>10</v>
      </c>
      <c r="E267" s="25">
        <f>VLOOKUP(TABLA_STOCK_LISTBOX[[#This Row],[Codigo]],TABLA_STOCK[#All],7)</f>
        <v>20</v>
      </c>
    </row>
    <row r="268" spans="1:5" x14ac:dyDescent="0.3">
      <c r="A268" s="4">
        <v>1580</v>
      </c>
      <c r="B268" s="25" t="str">
        <f>VLOOKUP(TABLA_STOCK_LISTBOX[[#This Row],[Codigo]],LISTADO_PRODUCTOS[#All],4)</f>
        <v>Colores Faber Castell x12 cortos</v>
      </c>
      <c r="C268" s="25" t="str">
        <f>VLOOKUP(TABLA_STOCK_LISTBOX[[#This Row],[Codigo]],LISTADO_PRODUCTOS[#All],5)</f>
        <v>N/A</v>
      </c>
      <c r="D268" s="25">
        <f>VLOOKUP(TABLA_STOCK_LISTBOX[[#This Row],[Codigo]],TABLA_STOCK[#All],6)</f>
        <v>20</v>
      </c>
      <c r="E268" s="25">
        <f>VLOOKUP(TABLA_STOCK_LISTBOX[[#This Row],[Codigo]],TABLA_STOCK[#All],7)</f>
        <v>19</v>
      </c>
    </row>
    <row r="269" spans="1:5" x14ac:dyDescent="0.3">
      <c r="A269" s="4">
        <v>1581</v>
      </c>
      <c r="B269" s="25" t="str">
        <f>VLOOKUP(TABLA_STOCK_LISTBOX[[#This Row],[Codigo]],LISTADO_PRODUCTOS[#All],4)</f>
        <v>Roller Simball Pöwer Gel Mix up x 10u 5 Gel + 5 Glitter</v>
      </c>
      <c r="C269" s="25" t="str">
        <f>VLOOKUP(TABLA_STOCK_LISTBOX[[#This Row],[Codigo]],LISTADO_PRODUCTOS[#All],5)</f>
        <v>N/A</v>
      </c>
      <c r="D269" s="25">
        <f>VLOOKUP(TABLA_STOCK_LISTBOX[[#This Row],[Codigo]],TABLA_STOCK[#All],6)</f>
        <v>5</v>
      </c>
      <c r="E269" s="25">
        <f>VLOOKUP(TABLA_STOCK_LISTBOX[[#This Row],[Codigo]],TABLA_STOCK[#All],7)</f>
        <v>6</v>
      </c>
    </row>
    <row r="270" spans="1:5" x14ac:dyDescent="0.3">
      <c r="A270" s="4">
        <v>1582</v>
      </c>
      <c r="B270" s="25" t="str">
        <f>VLOOKUP(TABLA_STOCK_LISTBOX[[#This Row],[Codigo]],LISTADO_PRODUCTOS[#All],4)</f>
        <v>Marcador de Pintura Trabí MarkAll</v>
      </c>
      <c r="C270" s="25" t="str">
        <f>VLOOKUP(TABLA_STOCK_LISTBOX[[#This Row],[Codigo]],LISTADO_PRODUCTOS[#All],5)</f>
        <v>N/A</v>
      </c>
      <c r="D270" s="25">
        <f>VLOOKUP(TABLA_STOCK_LISTBOX[[#This Row],[Codigo]],TABLA_STOCK[#All],6)</f>
        <v>1</v>
      </c>
      <c r="E270" s="25">
        <f>VLOOKUP(TABLA_STOCK_LISTBOX[[#This Row],[Codigo]],TABLA_STOCK[#All],7)</f>
        <v>5</v>
      </c>
    </row>
    <row r="271" spans="1:5" x14ac:dyDescent="0.3">
      <c r="A271" s="4">
        <v>1583</v>
      </c>
      <c r="B271" s="25" t="str">
        <f>VLOOKUP(TABLA_STOCK_LISTBOX[[#This Row],[Codigo]],LISTADO_PRODUCTOS[#All],4)</f>
        <v>Minas OTA para compas</v>
      </c>
      <c r="C271" s="25" t="str">
        <f>VLOOKUP(TABLA_STOCK_LISTBOX[[#This Row],[Codigo]],LISTADO_PRODUCTOS[#All],5)</f>
        <v>N/A</v>
      </c>
      <c r="D271" s="25">
        <f>VLOOKUP(TABLA_STOCK_LISTBOX[[#This Row],[Codigo]],TABLA_STOCK[#All],6)</f>
        <v>5</v>
      </c>
      <c r="E271" s="25">
        <f>VLOOKUP(TABLA_STOCK_LISTBOX[[#This Row],[Codigo]],TABLA_STOCK[#All],7)</f>
        <v>52</v>
      </c>
    </row>
    <row r="272" spans="1:5" x14ac:dyDescent="0.3">
      <c r="A272" s="4">
        <v>1584</v>
      </c>
      <c r="B272" s="25" t="str">
        <f>VLOOKUP(TABLA_STOCK_LISTBOX[[#This Row],[Codigo]],LISTADO_PRODUCTOS[#All],4)</f>
        <v>Tubo portaplano</v>
      </c>
      <c r="C272" s="25" t="str">
        <f>VLOOKUP(TABLA_STOCK_LISTBOX[[#This Row],[Codigo]],LISTADO_PRODUCTOS[#All],5)</f>
        <v>N/A</v>
      </c>
      <c r="D272" s="25">
        <f>VLOOKUP(TABLA_STOCK_LISTBOX[[#This Row],[Codigo]],TABLA_STOCK[#All],6)</f>
        <v>2</v>
      </c>
      <c r="E272" s="25">
        <f>VLOOKUP(TABLA_STOCK_LISTBOX[[#This Row],[Codigo]],TABLA_STOCK[#All],7)</f>
        <v>32</v>
      </c>
    </row>
    <row r="273" spans="1:5" x14ac:dyDescent="0.3">
      <c r="A273" s="4">
        <v>1585</v>
      </c>
      <c r="B273" s="25" t="str">
        <f>VLOOKUP(TABLA_STOCK_LISTBOX[[#This Row],[Codigo]],LISTADO_PRODUCTOS[#All],4)</f>
        <v>Boligrafo Paper mate lex Grip Ultra 1mm Retractil</v>
      </c>
      <c r="C273" s="25" t="str">
        <f>VLOOKUP(TABLA_STOCK_LISTBOX[[#This Row],[Codigo]],LISTADO_PRODUCTOS[#All],5)</f>
        <v>N/A</v>
      </c>
      <c r="D273" s="25">
        <f>VLOOKUP(TABLA_STOCK_LISTBOX[[#This Row],[Codigo]],TABLA_STOCK[#All],6)</f>
        <v>10</v>
      </c>
      <c r="E273" s="25">
        <f>VLOOKUP(TABLA_STOCK_LISTBOX[[#This Row],[Codigo]],TABLA_STOCK[#All],7)</f>
        <v>56</v>
      </c>
    </row>
    <row r="274" spans="1:5" x14ac:dyDescent="0.3">
      <c r="A274" s="4">
        <v>1587</v>
      </c>
      <c r="B274" s="25" t="str">
        <f>VLOOKUP(TABLA_STOCK_LISTBOX[[#This Row],[Codigo]],LISTADO_PRODUCTOS[#All],4)</f>
        <v>Cuaderno Laprida Tapa dura escolar 98h 90gr</v>
      </c>
      <c r="C274" s="25" t="str">
        <f>VLOOKUP(TABLA_STOCK_LISTBOX[[#This Row],[Codigo]],LISTADO_PRODUCTOS[#All],5)</f>
        <v>N/A</v>
      </c>
      <c r="D274" s="25">
        <f>VLOOKUP(TABLA_STOCK_LISTBOX[[#This Row],[Codigo]],TABLA_STOCK[#All],6)</f>
        <v>20</v>
      </c>
      <c r="E274" s="25">
        <f>VLOOKUP(TABLA_STOCK_LISTBOX[[#This Row],[Codigo]],TABLA_STOCK[#All],7)</f>
        <v>107</v>
      </c>
    </row>
    <row r="275" spans="1:5" x14ac:dyDescent="0.3">
      <c r="A275" s="4">
        <v>1588</v>
      </c>
      <c r="B275" s="25" t="str">
        <f>VLOOKUP(TABLA_STOCK_LISTBOX[[#This Row],[Codigo]],LISTADO_PRODUCTOS[#All],4)</f>
        <v>Repuesto Rescolar Rivadavia N°3 Clasico Con Rótulo Hojas Super Gruesas</v>
      </c>
      <c r="C275" s="25" t="str">
        <f>VLOOKUP(TABLA_STOCK_LISTBOX[[#This Row],[Codigo]],LISTADO_PRODUCTOS[#All],5)</f>
        <v>N/A</v>
      </c>
      <c r="D275" s="25">
        <f>VLOOKUP(TABLA_STOCK_LISTBOX[[#This Row],[Codigo]],TABLA_STOCK[#All],6)</f>
        <v>5</v>
      </c>
      <c r="E275" s="25">
        <f>VLOOKUP(TABLA_STOCK_LISTBOX[[#This Row],[Codigo]],TABLA_STOCK[#All],7)</f>
        <v>25</v>
      </c>
    </row>
    <row r="276" spans="1:5" x14ac:dyDescent="0.3">
      <c r="A276" s="4">
        <v>1589</v>
      </c>
      <c r="B276" s="25" t="str">
        <f>VLOOKUP(TABLA_STOCK_LISTBOX[[#This Row],[Codigo]],LISTADO_PRODUCTOS[#All],4)</f>
        <v>Tablero de Dibujo Tecnico 40x50 C/atril 6 POS (7753) Pizzini - 7793198775302</v>
      </c>
      <c r="C276" s="25" t="str">
        <f>VLOOKUP(TABLA_STOCK_LISTBOX[[#This Row],[Codigo]],LISTADO_PRODUCTOS[#All],5)</f>
        <v>N/A</v>
      </c>
      <c r="D276" s="25">
        <f>VLOOKUP(TABLA_STOCK_LISTBOX[[#This Row],[Codigo]],TABLA_STOCK[#All],6)</f>
        <v>1</v>
      </c>
      <c r="E276" s="25">
        <f>VLOOKUP(TABLA_STOCK_LISTBOX[[#This Row],[Codigo]],TABLA_STOCK[#All],7)</f>
        <v>32</v>
      </c>
    </row>
    <row r="277" spans="1:5" x14ac:dyDescent="0.3">
      <c r="A277" s="4">
        <v>1591</v>
      </c>
      <c r="B277" s="25" t="str">
        <f>VLOOKUP(TABLA_STOCK_LISTBOX[[#This Row],[Codigo]],LISTADO_PRODUCTOS[#All],4)</f>
        <v>Lapiz Negro de Graduacion Trabi</v>
      </c>
      <c r="C277" s="25" t="str">
        <f>VLOOKUP(TABLA_STOCK_LISTBOX[[#This Row],[Codigo]],LISTADO_PRODUCTOS[#All],5)</f>
        <v>N/A</v>
      </c>
      <c r="D277" s="25">
        <f>VLOOKUP(TABLA_STOCK_LISTBOX[[#This Row],[Codigo]],TABLA_STOCK[#All],6)</f>
        <v>5</v>
      </c>
      <c r="E277" s="25">
        <f>VLOOKUP(TABLA_STOCK_LISTBOX[[#This Row],[Codigo]],TABLA_STOCK[#All],7)</f>
        <v>150</v>
      </c>
    </row>
    <row r="278" spans="1:5" x14ac:dyDescent="0.3">
      <c r="A278" s="4">
        <v>1597</v>
      </c>
      <c r="B278" s="25" t="str">
        <f>VLOOKUP(TABLA_STOCK_LISTBOX[[#This Row],[Codigo]],LISTADO_PRODUCTOS[#All],4)</f>
        <v>Boligrafo Borrable Filgo Borrax</v>
      </c>
      <c r="C278" s="25" t="str">
        <f>VLOOKUP(TABLA_STOCK_LISTBOX[[#This Row],[Codigo]],LISTADO_PRODUCTOS[#All],5)</f>
        <v>N/A</v>
      </c>
      <c r="D278" s="25">
        <f>VLOOKUP(TABLA_STOCK_LISTBOX[[#This Row],[Codigo]],TABLA_STOCK[#All],6)</f>
        <v>2</v>
      </c>
      <c r="E278" s="25">
        <f>VLOOKUP(TABLA_STOCK_LISTBOX[[#This Row],[Codigo]],TABLA_STOCK[#All],7)</f>
        <v>20</v>
      </c>
    </row>
    <row r="279" spans="1:5" x14ac:dyDescent="0.3">
      <c r="A279" s="4">
        <v>1600</v>
      </c>
      <c r="B279" s="25" t="str">
        <f>VLOOKUP(TABLA_STOCK_LISTBOX[[#This Row],[Codigo]],LISTADO_PRODUCTOS[#All],4)</f>
        <v>Carpeta Nº6 para dibujo el nene c/repuestos</v>
      </c>
      <c r="C279" s="25" t="str">
        <f>VLOOKUP(TABLA_STOCK_LISTBOX[[#This Row],[Codigo]],LISTADO_PRODUCTOS[#All],5)</f>
        <v>N/A</v>
      </c>
      <c r="D279" s="25">
        <f>VLOOKUP(TABLA_STOCK_LISTBOX[[#This Row],[Codigo]],TABLA_STOCK[#All],6)</f>
        <v>2</v>
      </c>
      <c r="E279" s="25">
        <f>VLOOKUP(TABLA_STOCK_LISTBOX[[#This Row],[Codigo]],TABLA_STOCK[#All],7)</f>
        <v>19</v>
      </c>
    </row>
    <row r="280" spans="1:5" x14ac:dyDescent="0.3">
      <c r="A280" s="4">
        <v>1601</v>
      </c>
      <c r="B280" s="25" t="str">
        <f>VLOOKUP(TABLA_STOCK_LISTBOX[[#This Row],[Codigo]],LISTADO_PRODUCTOS[#All],4)</f>
        <v>Carpeta Nº6 para dibujo asamblea s/rep</v>
      </c>
      <c r="C280" s="25" t="str">
        <f>VLOOKUP(TABLA_STOCK_LISTBOX[[#This Row],[Codigo]],LISTADO_PRODUCTOS[#All],5)</f>
        <v>N/A</v>
      </c>
      <c r="D280" s="25">
        <f>VLOOKUP(TABLA_STOCK_LISTBOX[[#This Row],[Codigo]],TABLA_STOCK[#All],6)</f>
        <v>10</v>
      </c>
      <c r="E280" s="25">
        <f>VLOOKUP(TABLA_STOCK_LISTBOX[[#This Row],[Codigo]],TABLA_STOCK[#All],7)</f>
        <v>6</v>
      </c>
    </row>
    <row r="281" spans="1:5" x14ac:dyDescent="0.3">
      <c r="A281" s="4">
        <v>1602</v>
      </c>
      <c r="B281" s="25" t="str">
        <f>VLOOKUP(TABLA_STOCK_LISTBOX[[#This Row],[Codigo]],LISTADO_PRODUCTOS[#All],4)</f>
        <v>Sacapuntas Keyroad Rubber 2 tamaños</v>
      </c>
      <c r="C281" s="25" t="str">
        <f>VLOOKUP(TABLA_STOCK_LISTBOX[[#This Row],[Codigo]],LISTADO_PRODUCTOS[#All],5)</f>
        <v>N/A</v>
      </c>
      <c r="D281" s="25">
        <f>VLOOKUP(TABLA_STOCK_LISTBOX[[#This Row],[Codigo]],TABLA_STOCK[#All],6)</f>
        <v>20</v>
      </c>
      <c r="E281" s="25">
        <f>VLOOKUP(TABLA_STOCK_LISTBOX[[#This Row],[Codigo]],TABLA_STOCK[#All],7)</f>
        <v>5</v>
      </c>
    </row>
    <row r="282" spans="1:5" x14ac:dyDescent="0.3">
      <c r="A282" s="4">
        <v>1604</v>
      </c>
      <c r="B282" s="25" t="str">
        <f>VLOOKUP(TABLA_STOCK_LISTBOX[[#This Row],[Codigo]],LISTADO_PRODUCTOS[#All],4)</f>
        <v>Colores largos Simball FLUO x 6</v>
      </c>
      <c r="C282" s="25" t="str">
        <f>VLOOKUP(TABLA_STOCK_LISTBOX[[#This Row],[Codigo]],LISTADO_PRODUCTOS[#All],5)</f>
        <v>N/A</v>
      </c>
      <c r="D282" s="25">
        <f>VLOOKUP(TABLA_STOCK_LISTBOX[[#This Row],[Codigo]],TABLA_STOCK[#All],6)</f>
        <v>5</v>
      </c>
      <c r="E282" s="25">
        <f>VLOOKUP(TABLA_STOCK_LISTBOX[[#This Row],[Codigo]],TABLA_STOCK[#All],7)</f>
        <v>52</v>
      </c>
    </row>
    <row r="283" spans="1:5" x14ac:dyDescent="0.3">
      <c r="A283" s="4">
        <v>1607</v>
      </c>
      <c r="B283" s="25" t="str">
        <f>VLOOKUP(TABLA_STOCK_LISTBOX[[#This Row],[Codigo]],LISTADO_PRODUCTOS[#All],4)</f>
        <v>Repuesto azul borrable Borrax Filgo</v>
      </c>
      <c r="C283" s="25" t="str">
        <f>VLOOKUP(TABLA_STOCK_LISTBOX[[#This Row],[Codigo]],LISTADO_PRODUCTOS[#All],5)</f>
        <v>N/A</v>
      </c>
      <c r="D283" s="25">
        <f>VLOOKUP(TABLA_STOCK_LISTBOX[[#This Row],[Codigo]],TABLA_STOCK[#All],6)</f>
        <v>1</v>
      </c>
      <c r="E283" s="25">
        <f>VLOOKUP(TABLA_STOCK_LISTBOX[[#This Row],[Codigo]],TABLA_STOCK[#All],7)</f>
        <v>32</v>
      </c>
    </row>
    <row r="284" spans="1:5" x14ac:dyDescent="0.3">
      <c r="A284" s="4">
        <v>1608</v>
      </c>
      <c r="B284" s="25" t="str">
        <f>VLOOKUP(TABLA_STOCK_LISTBOX[[#This Row],[Codigo]],LISTADO_PRODUCTOS[#All],4)</f>
        <v>Crayon Playcolor Jumbo FLUO x 6</v>
      </c>
      <c r="C284" s="25" t="str">
        <f>VLOOKUP(TABLA_STOCK_LISTBOX[[#This Row],[Codigo]],LISTADO_PRODUCTOS[#All],5)</f>
        <v>N/A</v>
      </c>
      <c r="D284" s="25">
        <f>VLOOKUP(TABLA_STOCK_LISTBOX[[#This Row],[Codigo]],TABLA_STOCK[#All],6)</f>
        <v>5</v>
      </c>
      <c r="E284" s="25">
        <f>VLOOKUP(TABLA_STOCK_LISTBOX[[#This Row],[Codigo]],TABLA_STOCK[#All],7)</f>
        <v>56</v>
      </c>
    </row>
    <row r="285" spans="1:5" x14ac:dyDescent="0.3">
      <c r="A285" s="4">
        <v>1609</v>
      </c>
      <c r="B285" s="25" t="str">
        <f>VLOOKUP(TABLA_STOCK_LISTBOX[[#This Row],[Codigo]],LISTADO_PRODUCTOS[#All],4)</f>
        <v>Marcadores Mooving punta pincel pastel x 6u</v>
      </c>
      <c r="C285" s="25" t="str">
        <f>VLOOKUP(TABLA_STOCK_LISTBOX[[#This Row],[Codigo]],LISTADO_PRODUCTOS[#All],5)</f>
        <v>N/A</v>
      </c>
      <c r="D285" s="25">
        <f>VLOOKUP(TABLA_STOCK_LISTBOX[[#This Row],[Codigo]],TABLA_STOCK[#All],6)</f>
        <v>2</v>
      </c>
      <c r="E285" s="25">
        <f>VLOOKUP(TABLA_STOCK_LISTBOX[[#This Row],[Codigo]],TABLA_STOCK[#All],7)</f>
        <v>107</v>
      </c>
    </row>
    <row r="286" spans="1:5" x14ac:dyDescent="0.3">
      <c r="A286" s="4">
        <v>1610</v>
      </c>
      <c r="B286" s="25" t="str">
        <f>VLOOKUP(TABLA_STOCK_LISTBOX[[#This Row],[Codigo]],LISTADO_PRODUCTOS[#All],4)</f>
        <v>Pizarra DELI A4 Magnetica con imanes</v>
      </c>
      <c r="C286" s="25" t="str">
        <f>VLOOKUP(TABLA_STOCK_LISTBOX[[#This Row],[Codigo]],LISTADO_PRODUCTOS[#All],5)</f>
        <v>N/A</v>
      </c>
      <c r="D286" s="25">
        <f>VLOOKUP(TABLA_STOCK_LISTBOX[[#This Row],[Codigo]],TABLA_STOCK[#All],6)</f>
        <v>2</v>
      </c>
      <c r="E286" s="25">
        <f>VLOOKUP(TABLA_STOCK_LISTBOX[[#This Row],[Codigo]],TABLA_STOCK[#All],7)</f>
        <v>25</v>
      </c>
    </row>
    <row r="287" spans="1:5" x14ac:dyDescent="0.3">
      <c r="A287" s="4">
        <v>1611</v>
      </c>
      <c r="B287" s="25" t="str">
        <f>VLOOKUP(TABLA_STOCK_LISTBOX[[#This Row],[Codigo]],LISTADO_PRODUCTOS[#All],4)</f>
        <v>Folio Luma N°3 reforzado $25 C/u</v>
      </c>
      <c r="C287" s="25" t="str">
        <f>VLOOKUP(TABLA_STOCK_LISTBOX[[#This Row],[Codigo]],LISTADO_PRODUCTOS[#All],5)</f>
        <v>N/A</v>
      </c>
      <c r="D287" s="25">
        <f>VLOOKUP(TABLA_STOCK_LISTBOX[[#This Row],[Codigo]],TABLA_STOCK[#All],6)</f>
        <v>10</v>
      </c>
      <c r="E287" s="25">
        <f>VLOOKUP(TABLA_STOCK_LISTBOX[[#This Row],[Codigo]],TABLA_STOCK[#All],7)</f>
        <v>32</v>
      </c>
    </row>
    <row r="288" spans="1:5" x14ac:dyDescent="0.3">
      <c r="A288" s="4">
        <v>1612</v>
      </c>
      <c r="B288" s="25" t="str">
        <f>VLOOKUP(TABLA_STOCK_LISTBOX[[#This Row],[Codigo]],LISTADO_PRODUCTOS[#All],4)</f>
        <v>Cuaderno Mooving Magnifique 80h T/C</v>
      </c>
      <c r="C288" s="25" t="str">
        <f>VLOOKUP(TABLA_STOCK_LISTBOX[[#This Row],[Codigo]],LISTADO_PRODUCTOS[#All],5)</f>
        <v>N/A</v>
      </c>
      <c r="D288" s="25">
        <f>VLOOKUP(TABLA_STOCK_LISTBOX[[#This Row],[Codigo]],TABLA_STOCK[#All],6)</f>
        <v>20</v>
      </c>
      <c r="E288" s="25">
        <f>VLOOKUP(TABLA_STOCK_LISTBOX[[#This Row],[Codigo]],TABLA_STOCK[#All],7)</f>
        <v>150</v>
      </c>
    </row>
    <row r="289" spans="1:5" x14ac:dyDescent="0.3">
      <c r="A289" s="4">
        <v>1613</v>
      </c>
      <c r="B289" s="25" t="str">
        <f>VLOOKUP(TABLA_STOCK_LISTBOX[[#This Row],[Codigo]],LISTADO_PRODUCTOS[#All],4)</f>
        <v>Cuaderno Mooving Magnifique 120 Hojas Tapa Dura hojas con borde color</v>
      </c>
      <c r="C289" s="25" t="str">
        <f>VLOOKUP(TABLA_STOCK_LISTBOX[[#This Row],[Codigo]],LISTADO_PRODUCTOS[#All],5)</f>
        <v>N/A</v>
      </c>
      <c r="D289" s="25">
        <f>VLOOKUP(TABLA_STOCK_LISTBOX[[#This Row],[Codigo]],TABLA_STOCK[#All],6)</f>
        <v>5</v>
      </c>
      <c r="E289" s="25">
        <f>VLOOKUP(TABLA_STOCK_LISTBOX[[#This Row],[Codigo]],TABLA_STOCK[#All],7)</f>
        <v>20</v>
      </c>
    </row>
    <row r="290" spans="1:5" x14ac:dyDescent="0.3">
      <c r="A290" s="4">
        <v>1614</v>
      </c>
      <c r="B290" s="25" t="str">
        <f>VLOOKUP(TABLA_STOCK_LISTBOX[[#This Row],[Codigo]],LISTADO_PRODUCTOS[#All],4)</f>
        <v>Cuaderno Mooving Minnie Mouse Tapa Carton Semi Rigida 80h</v>
      </c>
      <c r="C290" s="25" t="str">
        <f>VLOOKUP(TABLA_STOCK_LISTBOX[[#This Row],[Codigo]],LISTADO_PRODUCTOS[#All],5)</f>
        <v>N/A</v>
      </c>
      <c r="D290" s="25">
        <f>VLOOKUP(TABLA_STOCK_LISTBOX[[#This Row],[Codigo]],TABLA_STOCK[#All],6)</f>
        <v>1</v>
      </c>
      <c r="E290" s="25">
        <f>VLOOKUP(TABLA_STOCK_LISTBOX[[#This Row],[Codigo]],TABLA_STOCK[#All],7)</f>
        <v>19</v>
      </c>
    </row>
    <row r="291" spans="1:5" x14ac:dyDescent="0.3">
      <c r="A291" s="4">
        <v>1615</v>
      </c>
      <c r="B291" s="25" t="str">
        <f>VLOOKUP(TABLA_STOCK_LISTBOX[[#This Row],[Codigo]],LISTADO_PRODUCTOS[#All],4)</f>
        <v xml:space="preserve">Boligrafo BIC Cristal UP 1.2mm x8col surtidos </v>
      </c>
      <c r="C291" s="25" t="str">
        <f>VLOOKUP(TABLA_STOCK_LISTBOX[[#This Row],[Codigo]],LISTADO_PRODUCTOS[#All],5)</f>
        <v>N/A</v>
      </c>
      <c r="D291" s="25">
        <f>VLOOKUP(TABLA_STOCK_LISTBOX[[#This Row],[Codigo]],TABLA_STOCK[#All],6)</f>
        <v>5</v>
      </c>
      <c r="E291" s="25">
        <f>VLOOKUP(TABLA_STOCK_LISTBOX[[#This Row],[Codigo]],TABLA_STOCK[#All],7)</f>
        <v>6</v>
      </c>
    </row>
    <row r="292" spans="1:5" x14ac:dyDescent="0.3">
      <c r="A292" s="4">
        <v>1616</v>
      </c>
      <c r="B292" s="25" t="str">
        <f>VLOOKUP(TABLA_STOCK_LISTBOX[[#This Row],[Codigo]],LISTADO_PRODUCTOS[#All],4)</f>
        <v>Blister Resaltador Filgo Text Marker FLUO</v>
      </c>
      <c r="C292" s="25" t="str">
        <f>VLOOKUP(TABLA_STOCK_LISTBOX[[#This Row],[Codigo]],LISTADO_PRODUCTOS[#All],5)</f>
        <v>N/A</v>
      </c>
      <c r="D292" s="25">
        <f>VLOOKUP(TABLA_STOCK_LISTBOX[[#This Row],[Codigo]],TABLA_STOCK[#All],6)</f>
        <v>2</v>
      </c>
      <c r="E292" s="25">
        <f>VLOOKUP(TABLA_STOCK_LISTBOX[[#This Row],[Codigo]],TABLA_STOCK[#All],7)</f>
        <v>5</v>
      </c>
    </row>
    <row r="293" spans="1:5" x14ac:dyDescent="0.3">
      <c r="A293" s="4">
        <v>1617</v>
      </c>
      <c r="B293" s="25" t="str">
        <f>VLOOKUP(TABLA_STOCK_LISTBOX[[#This Row],[Codigo]],LISTADO_PRODUCTOS[#All],4)</f>
        <v>Lapicera Punta Aguja Super Point Filgo</v>
      </c>
      <c r="C293" s="25" t="str">
        <f>VLOOKUP(TABLA_STOCK_LISTBOX[[#This Row],[Codigo]],LISTADO_PRODUCTOS[#All],5)</f>
        <v>N/A</v>
      </c>
      <c r="D293" s="25">
        <f>VLOOKUP(TABLA_STOCK_LISTBOX[[#This Row],[Codigo]],TABLA_STOCK[#All],6)</f>
        <v>2</v>
      </c>
      <c r="E293" s="25">
        <f>VLOOKUP(TABLA_STOCK_LISTBOX[[#This Row],[Codigo]],TABLA_STOCK[#All],7)</f>
        <v>52</v>
      </c>
    </row>
    <row r="294" spans="1:5" x14ac:dyDescent="0.3">
      <c r="A294" s="4">
        <v>1618</v>
      </c>
      <c r="B294" s="25" t="str">
        <f>VLOOKUP(TABLA_STOCK_LISTBOX[[#This Row],[Codigo]],LISTADO_PRODUCTOS[#All],4)</f>
        <v>Rgla de Aluminio Keyroad C/Porta Lapiz 20cm KR9</v>
      </c>
      <c r="C294" s="25" t="str">
        <f>VLOOKUP(TABLA_STOCK_LISTBOX[[#This Row],[Codigo]],LISTADO_PRODUCTOS[#All],5)</f>
        <v>N/A</v>
      </c>
      <c r="D294" s="25">
        <f>VLOOKUP(TABLA_STOCK_LISTBOX[[#This Row],[Codigo]],TABLA_STOCK[#All],6)</f>
        <v>10</v>
      </c>
      <c r="E294" s="25">
        <f>VLOOKUP(TABLA_STOCK_LISTBOX[[#This Row],[Codigo]],TABLA_STOCK[#All],7)</f>
        <v>32</v>
      </c>
    </row>
    <row r="295" spans="1:5" x14ac:dyDescent="0.3">
      <c r="A295" s="4">
        <v>1619</v>
      </c>
      <c r="B295" s="25" t="str">
        <f>VLOOKUP(TABLA_STOCK_LISTBOX[[#This Row],[Codigo]],LISTADO_PRODUCTOS[#All],4)</f>
        <v>Rgla de Aluminio Keyroad C/Porta Lapiz 30cm KR9</v>
      </c>
      <c r="C295" s="25" t="str">
        <f>VLOOKUP(TABLA_STOCK_LISTBOX[[#This Row],[Codigo]],LISTADO_PRODUCTOS[#All],5)</f>
        <v>N/A</v>
      </c>
      <c r="D295" s="25">
        <f>VLOOKUP(TABLA_STOCK_LISTBOX[[#This Row],[Codigo]],TABLA_STOCK[#All],6)</f>
        <v>20</v>
      </c>
      <c r="E295" s="25">
        <f>VLOOKUP(TABLA_STOCK_LISTBOX[[#This Row],[Codigo]],TABLA_STOCK[#All],7)</f>
        <v>56</v>
      </c>
    </row>
    <row r="296" spans="1:5" x14ac:dyDescent="0.3">
      <c r="A296" s="4">
        <v>1620</v>
      </c>
      <c r="B296" s="25" t="str">
        <f>VLOOKUP(TABLA_STOCK_LISTBOX[[#This Row],[Codigo]],LISTADO_PRODUCTOS[#All],4)</f>
        <v>Marcador permanente Edding 404 punta fina</v>
      </c>
      <c r="C296" s="25" t="str">
        <f>VLOOKUP(TABLA_STOCK_LISTBOX[[#This Row],[Codigo]],LISTADO_PRODUCTOS[#All],5)</f>
        <v>N/A</v>
      </c>
      <c r="D296" s="25">
        <f>VLOOKUP(TABLA_STOCK_LISTBOX[[#This Row],[Codigo]],TABLA_STOCK[#All],6)</f>
        <v>5</v>
      </c>
      <c r="E296" s="25">
        <f>VLOOKUP(TABLA_STOCK_LISTBOX[[#This Row],[Codigo]],TABLA_STOCK[#All],7)</f>
        <v>107</v>
      </c>
    </row>
    <row r="297" spans="1:5" x14ac:dyDescent="0.3">
      <c r="A297" s="4">
        <v>1621</v>
      </c>
      <c r="B297" s="25" t="str">
        <f>VLOOKUP(TABLA_STOCK_LISTBOX[[#This Row],[Codigo]],LISTADO_PRODUCTOS[#All],4)</f>
        <v>Roller Super Ball Filgo</v>
      </c>
      <c r="C297" s="25" t="str">
        <f>VLOOKUP(TABLA_STOCK_LISTBOX[[#This Row],[Codigo]],LISTADO_PRODUCTOS[#All],5)</f>
        <v>N/A</v>
      </c>
      <c r="D297" s="25">
        <f>VLOOKUP(TABLA_STOCK_LISTBOX[[#This Row],[Codigo]],TABLA_STOCK[#All],6)</f>
        <v>1</v>
      </c>
      <c r="E297" s="25">
        <f>VLOOKUP(TABLA_STOCK_LISTBOX[[#This Row],[Codigo]],TABLA_STOCK[#All],7)</f>
        <v>25</v>
      </c>
    </row>
    <row r="298" spans="1:5" x14ac:dyDescent="0.3">
      <c r="A298" s="4">
        <v>1624</v>
      </c>
      <c r="B298" s="25" t="str">
        <f>VLOOKUP(TABLA_STOCK_LISTBOX[[#This Row],[Codigo]],LISTADO_PRODUCTOS[#All],4)</f>
        <v>Adhesivo Glitter NEON/Pastel/Glue 21gr colores surtidos C/U</v>
      </c>
      <c r="C298" s="25" t="str">
        <f>VLOOKUP(TABLA_STOCK_LISTBOX[[#This Row],[Codigo]],LISTADO_PRODUCTOS[#All],5)</f>
        <v>N/A</v>
      </c>
      <c r="D298" s="25">
        <f>VLOOKUP(TABLA_STOCK_LISTBOX[[#This Row],[Codigo]],TABLA_STOCK[#All],6)</f>
        <v>5</v>
      </c>
      <c r="E298" s="25">
        <f>VLOOKUP(TABLA_STOCK_LISTBOX[[#This Row],[Codigo]],TABLA_STOCK[#All],7)</f>
        <v>32</v>
      </c>
    </row>
    <row r="299" spans="1:5" x14ac:dyDescent="0.3">
      <c r="A299" s="4">
        <v>1627</v>
      </c>
      <c r="B299" s="25" t="str">
        <f>VLOOKUP(TABLA_STOCK_LISTBOX[[#This Row],[Codigo]],LISTADO_PRODUCTOS[#All],4)</f>
        <v>Fibron Faber Castell al agua 56 P.Red.</v>
      </c>
      <c r="C299" s="25" t="str">
        <f>VLOOKUP(TABLA_STOCK_LISTBOX[[#This Row],[Codigo]],LISTADO_PRODUCTOS[#All],5)</f>
        <v>N/A</v>
      </c>
      <c r="D299" s="25">
        <f>VLOOKUP(TABLA_STOCK_LISTBOX[[#This Row],[Codigo]],TABLA_STOCK[#All],6)</f>
        <v>2</v>
      </c>
      <c r="E299" s="25">
        <f>VLOOKUP(TABLA_STOCK_LISTBOX[[#This Row],[Codigo]],TABLA_STOCK[#All],7)</f>
        <v>124</v>
      </c>
    </row>
    <row r="300" spans="1:5" x14ac:dyDescent="0.3">
      <c r="A300" s="4">
        <v>1628</v>
      </c>
      <c r="B300" s="25" t="str">
        <f>VLOOKUP(TABLA_STOCK_LISTBOX[[#This Row],[Codigo]],LISTADO_PRODUCTOS[#All],4)</f>
        <v>Block Cartulina entretenida Antiestress anti stress Muresco</v>
      </c>
      <c r="C300" s="25" t="str">
        <f>VLOOKUP(TABLA_STOCK_LISTBOX[[#This Row],[Codigo]],LISTADO_PRODUCTOS[#All],5)</f>
        <v>N/A</v>
      </c>
      <c r="D300" s="25">
        <f>VLOOKUP(TABLA_STOCK_LISTBOX[[#This Row],[Codigo]],TABLA_STOCK[#All],6)</f>
        <v>10</v>
      </c>
      <c r="E300" s="25">
        <f>VLOOKUP(TABLA_STOCK_LISTBOX[[#This Row],[Codigo]],TABLA_STOCK[#All],7)</f>
        <v>28</v>
      </c>
    </row>
    <row r="301" spans="1:5" x14ac:dyDescent="0.3">
      <c r="A301" s="4">
        <v>1629</v>
      </c>
      <c r="B301" s="25" t="str">
        <f>VLOOKUP(TABLA_STOCK_LISTBOX[[#This Row],[Codigo]],LISTADO_PRODUCTOS[#All],4)</f>
        <v>Block Cartulina entretenida Muresco Negra/celeste/amarillo/rosa surtida</v>
      </c>
      <c r="C301" s="25" t="str">
        <f>VLOOKUP(TABLA_STOCK_LISTBOX[[#This Row],[Codigo]],LISTADO_PRODUCTOS[#All],5)</f>
        <v>N/A</v>
      </c>
      <c r="D301" s="25">
        <f>VLOOKUP(TABLA_STOCK_LISTBOX[[#This Row],[Codigo]],TABLA_STOCK[#All],6)</f>
        <v>20</v>
      </c>
      <c r="E301" s="25">
        <f>VLOOKUP(TABLA_STOCK_LISTBOX[[#This Row],[Codigo]],TABLA_STOCK[#All],7)</f>
        <v>15</v>
      </c>
    </row>
    <row r="302" spans="1:5" x14ac:dyDescent="0.3">
      <c r="A302" s="4">
        <v>1634</v>
      </c>
      <c r="B302" s="25" t="str">
        <f>VLOOKUP(TABLA_STOCK_LISTBOX[[#This Row],[Codigo]],LISTADO_PRODUCTOS[#All],4)</f>
        <v>Fibron Pelikan Permanente Punta Redonda 441</v>
      </c>
      <c r="C302" s="25" t="str">
        <f>VLOOKUP(TABLA_STOCK_LISTBOX[[#This Row],[Codigo]],LISTADO_PRODUCTOS[#All],5)</f>
        <v>N/A</v>
      </c>
      <c r="D302" s="25">
        <f>VLOOKUP(TABLA_STOCK_LISTBOX[[#This Row],[Codigo]],TABLA_STOCK[#All],6)</f>
        <v>5</v>
      </c>
      <c r="E302" s="25">
        <f>VLOOKUP(TABLA_STOCK_LISTBOX[[#This Row],[Codigo]],TABLA_STOCK[#All],7)</f>
        <v>15</v>
      </c>
    </row>
    <row r="303" spans="1:5" x14ac:dyDescent="0.3">
      <c r="A303" s="4">
        <v>1638</v>
      </c>
      <c r="B303" s="25" t="str">
        <f>VLOOKUP(TABLA_STOCK_LISTBOX[[#This Row],[Codigo]],LISTADO_PRODUCTOS[#All],4)</f>
        <v>Block N°6 Capitolio Blanco</v>
      </c>
      <c r="C303" s="25" t="str">
        <f>VLOOKUP(TABLA_STOCK_LISTBOX[[#This Row],[Codigo]],LISTADO_PRODUCTOS[#All],5)</f>
        <v>N/A</v>
      </c>
      <c r="D303" s="25">
        <f>VLOOKUP(TABLA_STOCK_LISTBOX[[#This Row],[Codigo]],TABLA_STOCK[#All],6)</f>
        <v>1</v>
      </c>
      <c r="E303" s="25">
        <f>VLOOKUP(TABLA_STOCK_LISTBOX[[#This Row],[Codigo]],TABLA_STOCK[#All],7)</f>
        <v>3</v>
      </c>
    </row>
    <row r="304" spans="1:5" x14ac:dyDescent="0.3">
      <c r="A304" s="4">
        <v>1640</v>
      </c>
      <c r="B304" s="25" t="str">
        <f>VLOOKUP(TABLA_STOCK_LISTBOX[[#This Row],[Codigo]],LISTADO_PRODUCTOS[#All],4)</f>
        <v>Block N°5 Muresco 22 x 29.5 Afiche color x 50h colores</v>
      </c>
      <c r="C304" s="25" t="str">
        <f>VLOOKUP(TABLA_STOCK_LISTBOX[[#This Row],[Codigo]],LISTADO_PRODUCTOS[#All],5)</f>
        <v>N/A</v>
      </c>
      <c r="D304" s="25">
        <f>VLOOKUP(TABLA_STOCK_LISTBOX[[#This Row],[Codigo]],TABLA_STOCK[#All],6)</f>
        <v>5</v>
      </c>
      <c r="E304" s="25">
        <f>VLOOKUP(TABLA_STOCK_LISTBOX[[#This Row],[Codigo]],TABLA_STOCK[#All],7)</f>
        <v>51</v>
      </c>
    </row>
    <row r="305" spans="1:5" x14ac:dyDescent="0.3">
      <c r="A305" s="4">
        <v>1641</v>
      </c>
      <c r="B305" s="25" t="str">
        <f>VLOOKUP(TABLA_STOCK_LISTBOX[[#This Row],[Codigo]],LISTADO_PRODUCTOS[#All],4)</f>
        <v>Lapiz Borratinta Staedtler escobilla</v>
      </c>
      <c r="C305" s="25" t="str">
        <f>VLOOKUP(TABLA_STOCK_LISTBOX[[#This Row],[Codigo]],LISTADO_PRODUCTOS[#All],5)</f>
        <v>N/A</v>
      </c>
      <c r="D305" s="25">
        <f>VLOOKUP(TABLA_STOCK_LISTBOX[[#This Row],[Codigo]],TABLA_STOCK[#All],6)</f>
        <v>2</v>
      </c>
      <c r="E305" s="25">
        <f>VLOOKUP(TABLA_STOCK_LISTBOX[[#This Row],[Codigo]],TABLA_STOCK[#All],7)</f>
        <v>27</v>
      </c>
    </row>
    <row r="306" spans="1:5" x14ac:dyDescent="0.3">
      <c r="A306" s="4">
        <v>1643</v>
      </c>
      <c r="B306" s="25" t="str">
        <f>VLOOKUP(TABLA_STOCK_LISTBOX[[#This Row],[Codigo]],LISTADO_PRODUCTOS[#All],4)</f>
        <v>Block Capitolio Collage 20h</v>
      </c>
      <c r="C306" s="25" t="str">
        <f>VLOOKUP(TABLA_STOCK_LISTBOX[[#This Row],[Codigo]],LISTADO_PRODUCTOS[#All],5)</f>
        <v>N/A</v>
      </c>
      <c r="D306" s="25">
        <f>VLOOKUP(TABLA_STOCK_LISTBOX[[#This Row],[Codigo]],TABLA_STOCK[#All],6)</f>
        <v>2</v>
      </c>
      <c r="E306" s="25">
        <f>VLOOKUP(TABLA_STOCK_LISTBOX[[#This Row],[Codigo]],TABLA_STOCK[#All],7)</f>
        <v>56</v>
      </c>
    </row>
    <row r="307" spans="1:5" x14ac:dyDescent="0.3">
      <c r="A307" s="4">
        <v>1644</v>
      </c>
      <c r="B307" s="25" t="str">
        <f>VLOOKUP(TABLA_STOCK_LISTBOX[[#This Row],[Codigo]],LISTADO_PRODUCTOS[#All],4)</f>
        <v>Adhesivo en barra Giotto 36g</v>
      </c>
      <c r="C307" s="25" t="str">
        <f>VLOOKUP(TABLA_STOCK_LISTBOX[[#This Row],[Codigo]],LISTADO_PRODUCTOS[#All],5)</f>
        <v>N/A</v>
      </c>
      <c r="D307" s="25">
        <f>VLOOKUP(TABLA_STOCK_LISTBOX[[#This Row],[Codigo]],TABLA_STOCK[#All],6)</f>
        <v>10</v>
      </c>
      <c r="E307" s="25">
        <f>VLOOKUP(TABLA_STOCK_LISTBOX[[#This Row],[Codigo]],TABLA_STOCK[#All],7)</f>
        <v>107</v>
      </c>
    </row>
    <row r="308" spans="1:5" x14ac:dyDescent="0.3">
      <c r="A308" s="4">
        <v>1645</v>
      </c>
      <c r="B308" s="25" t="str">
        <f>VLOOKUP(TABLA_STOCK_LISTBOX[[#This Row],[Codigo]],LISTADO_PRODUCTOS[#All],4)</f>
        <v>Goma DELI Scribe Eraser H00110</v>
      </c>
      <c r="C308" s="25" t="str">
        <f>VLOOKUP(TABLA_STOCK_LISTBOX[[#This Row],[Codigo]],LISTADO_PRODUCTOS[#All],5)</f>
        <v>N/A</v>
      </c>
      <c r="D308" s="25">
        <f>VLOOKUP(TABLA_STOCK_LISTBOX[[#This Row],[Codigo]],TABLA_STOCK[#All],6)</f>
        <v>20</v>
      </c>
      <c r="E308" s="25">
        <f>VLOOKUP(TABLA_STOCK_LISTBOX[[#This Row],[Codigo]],TABLA_STOCK[#All],7)</f>
        <v>25</v>
      </c>
    </row>
    <row r="309" spans="1:5" x14ac:dyDescent="0.3">
      <c r="A309" s="4">
        <v>1648</v>
      </c>
      <c r="B309" s="25" t="str">
        <f>VLOOKUP(TABLA_STOCK_LISTBOX[[#This Row],[Codigo]],LISTADO_PRODUCTOS[#All],4)</f>
        <v>Carpeta Util-of</v>
      </c>
      <c r="C309" s="25" t="str">
        <f>VLOOKUP(TABLA_STOCK_LISTBOX[[#This Row],[Codigo]],LISTADO_PRODUCTOS[#All],5)</f>
        <v>N/A</v>
      </c>
      <c r="D309" s="25">
        <f>VLOOKUP(TABLA_STOCK_LISTBOX[[#This Row],[Codigo]],TABLA_STOCK[#All],6)</f>
        <v>5</v>
      </c>
      <c r="E309" s="25">
        <f>VLOOKUP(TABLA_STOCK_LISTBOX[[#This Row],[Codigo]],TABLA_STOCK[#All],7)</f>
        <v>32</v>
      </c>
    </row>
    <row r="310" spans="1:5" x14ac:dyDescent="0.3">
      <c r="A310" s="4">
        <v>1651</v>
      </c>
      <c r="B310" s="25" t="str">
        <f>VLOOKUP(TABLA_STOCK_LISTBOX[[#This Row],[Codigo]],LISTADO_PRODUCTOS[#All],4)</f>
        <v>Set Microfibras Filgo Liner 038 x 10</v>
      </c>
      <c r="C310" s="25" t="str">
        <f>VLOOKUP(TABLA_STOCK_LISTBOX[[#This Row],[Codigo]],LISTADO_PRODUCTOS[#All],5)</f>
        <v>N/A</v>
      </c>
      <c r="D310" s="25">
        <f>VLOOKUP(TABLA_STOCK_LISTBOX[[#This Row],[Codigo]],TABLA_STOCK[#All],6)</f>
        <v>1</v>
      </c>
      <c r="E310" s="25">
        <f>VLOOKUP(TABLA_STOCK_LISTBOX[[#This Row],[Codigo]],TABLA_STOCK[#All],7)</f>
        <v>150</v>
      </c>
    </row>
    <row r="311" spans="1:5" x14ac:dyDescent="0.3">
      <c r="A311" s="4">
        <v>1652</v>
      </c>
      <c r="B311" s="25" t="str">
        <f>VLOOKUP(TABLA_STOCK_LISTBOX[[#This Row],[Codigo]],LISTADO_PRODUCTOS[#All],4)</f>
        <v>Boligrafo Borrable Trabí Fantastic Tinta azul</v>
      </c>
      <c r="C311" s="25" t="str">
        <f>VLOOKUP(TABLA_STOCK_LISTBOX[[#This Row],[Codigo]],LISTADO_PRODUCTOS[#All],5)</f>
        <v>N/A</v>
      </c>
      <c r="D311" s="25">
        <f>VLOOKUP(TABLA_STOCK_LISTBOX[[#This Row],[Codigo]],TABLA_STOCK[#All],6)</f>
        <v>5</v>
      </c>
      <c r="E311" s="25">
        <f>VLOOKUP(TABLA_STOCK_LISTBOX[[#This Row],[Codigo]],TABLA_STOCK[#All],7)</f>
        <v>20</v>
      </c>
    </row>
    <row r="312" spans="1:5" x14ac:dyDescent="0.3">
      <c r="A312" s="4">
        <v>1661</v>
      </c>
      <c r="B312" s="25" t="str">
        <f>VLOOKUP(TABLA_STOCK_LISTBOX[[#This Row],[Codigo]],LISTADO_PRODUCTOS[#All],4)</f>
        <v xml:space="preserve">Repuesto Roller borrable Trabí </v>
      </c>
      <c r="C312" s="25" t="str">
        <f>VLOOKUP(TABLA_STOCK_LISTBOX[[#This Row],[Codigo]],LISTADO_PRODUCTOS[#All],5)</f>
        <v>N/A</v>
      </c>
      <c r="D312" s="25">
        <f>VLOOKUP(TABLA_STOCK_LISTBOX[[#This Row],[Codigo]],TABLA_STOCK[#All],6)</f>
        <v>2</v>
      </c>
      <c r="E312" s="25">
        <f>VLOOKUP(TABLA_STOCK_LISTBOX[[#This Row],[Codigo]],TABLA_STOCK[#All],7)</f>
        <v>19</v>
      </c>
    </row>
    <row r="313" spans="1:5" x14ac:dyDescent="0.3">
      <c r="A313" s="4">
        <v>1662</v>
      </c>
      <c r="B313" s="25" t="str">
        <f>VLOOKUP(TABLA_STOCK_LISTBOX[[#This Row],[Codigo]],LISTADO_PRODUCTOS[#All],4)</f>
        <v>Microfibra Filgo yo amo mis colores FLUO x 5 liner 038 - 7795513075296</v>
      </c>
      <c r="C313" s="25" t="str">
        <f>VLOOKUP(TABLA_STOCK_LISTBOX[[#This Row],[Codigo]],LISTADO_PRODUCTOS[#All],5)</f>
        <v>N/A</v>
      </c>
      <c r="D313" s="25">
        <f>VLOOKUP(TABLA_STOCK_LISTBOX[[#This Row],[Codigo]],TABLA_STOCK[#All],6)</f>
        <v>2</v>
      </c>
      <c r="E313" s="25">
        <f>VLOOKUP(TABLA_STOCK_LISTBOX[[#This Row],[Codigo]],TABLA_STOCK[#All],7)</f>
        <v>6</v>
      </c>
    </row>
    <row r="314" spans="1:5" x14ac:dyDescent="0.3">
      <c r="A314" s="4">
        <v>1666</v>
      </c>
      <c r="B314" s="25" t="str">
        <f>VLOOKUP(TABLA_STOCK_LISTBOX[[#This Row],[Codigo]],LISTADO_PRODUCTOS[#All],4)</f>
        <v xml:space="preserve">Portaminas BIC AI con grip 0.5 en presentacion </v>
      </c>
      <c r="C314" s="25" t="str">
        <f>VLOOKUP(TABLA_STOCK_LISTBOX[[#This Row],[Codigo]],LISTADO_PRODUCTOS[#All],5)</f>
        <v>N/A</v>
      </c>
      <c r="D314" s="25">
        <f>VLOOKUP(TABLA_STOCK_LISTBOX[[#This Row],[Codigo]],TABLA_STOCK[#All],6)</f>
        <v>10</v>
      </c>
      <c r="E314" s="25">
        <f>VLOOKUP(TABLA_STOCK_LISTBOX[[#This Row],[Codigo]],TABLA_STOCK[#All],7)</f>
        <v>5</v>
      </c>
    </row>
    <row r="315" spans="1:5" x14ac:dyDescent="0.3">
      <c r="A315" s="4">
        <v>1670</v>
      </c>
      <c r="B315" s="25" t="str">
        <f>VLOOKUP(TABLA_STOCK_LISTBOX[[#This Row],[Codigo]],LISTADO_PRODUCTOS[#All],4)</f>
        <v xml:space="preserve">Cuaderno LAPRIDA AB7 tradicional 21x27 100h Ray </v>
      </c>
      <c r="C315" s="25" t="str">
        <f>VLOOKUP(TABLA_STOCK_LISTBOX[[#This Row],[Codigo]],LISTADO_PRODUCTOS[#All],5)</f>
        <v>N/A</v>
      </c>
      <c r="D315" s="25">
        <f>VLOOKUP(TABLA_STOCK_LISTBOX[[#This Row],[Codigo]],TABLA_STOCK[#All],6)</f>
        <v>20</v>
      </c>
      <c r="E315" s="25">
        <f>VLOOKUP(TABLA_STOCK_LISTBOX[[#This Row],[Codigo]],TABLA_STOCK[#All],7)</f>
        <v>52</v>
      </c>
    </row>
    <row r="316" spans="1:5" x14ac:dyDescent="0.3">
      <c r="A316" s="4">
        <v>1671</v>
      </c>
      <c r="B316" s="25" t="str">
        <f>VLOOKUP(TABLA_STOCK_LISTBOX[[#This Row],[Codigo]],LISTADO_PRODUCTOS[#All],4)</f>
        <v>Block Muresco Kraft x 30h Muresco</v>
      </c>
      <c r="C316" s="25" t="str">
        <f>VLOOKUP(TABLA_STOCK_LISTBOX[[#This Row],[Codigo]],LISTADO_PRODUCTOS[#All],5)</f>
        <v>N/A</v>
      </c>
      <c r="D316" s="25">
        <f>VLOOKUP(TABLA_STOCK_LISTBOX[[#This Row],[Codigo]],TABLA_STOCK[#All],6)</f>
        <v>5</v>
      </c>
      <c r="E316" s="25">
        <f>VLOOKUP(TABLA_STOCK_LISTBOX[[#This Row],[Codigo]],TABLA_STOCK[#All],7)</f>
        <v>32</v>
      </c>
    </row>
    <row r="317" spans="1:5" x14ac:dyDescent="0.3">
      <c r="A317" s="4">
        <v>1672</v>
      </c>
      <c r="B317" s="25" t="str">
        <f>VLOOKUP(TABLA_STOCK_LISTBOX[[#This Row],[Codigo]],LISTADO_PRODUCTOS[#All],4)</f>
        <v>Marcadores Mooving Resaltador PWR Chic cuerpo triangular</v>
      </c>
      <c r="C317" s="25" t="str">
        <f>VLOOKUP(TABLA_STOCK_LISTBOX[[#This Row],[Codigo]],LISTADO_PRODUCTOS[#All],5)</f>
        <v>N/A</v>
      </c>
      <c r="D317" s="25">
        <f>VLOOKUP(TABLA_STOCK_LISTBOX[[#This Row],[Codigo]],TABLA_STOCK[#All],6)</f>
        <v>1</v>
      </c>
      <c r="E317" s="25">
        <f>VLOOKUP(TABLA_STOCK_LISTBOX[[#This Row],[Codigo]],TABLA_STOCK[#All],7)</f>
        <v>56</v>
      </c>
    </row>
    <row r="318" spans="1:5" x14ac:dyDescent="0.3">
      <c r="A318" s="4">
        <v>1674</v>
      </c>
      <c r="B318" s="25" t="str">
        <f>VLOOKUP(TABLA_STOCK_LISTBOX[[#This Row],[Codigo]],LISTADO_PRODUCTOS[#All],4)</f>
        <v>Microfibra Mooving punta metalica 0.4mm estuche x 10u</v>
      </c>
      <c r="C318" s="25" t="str">
        <f>VLOOKUP(TABLA_STOCK_LISTBOX[[#This Row],[Codigo]],LISTADO_PRODUCTOS[#All],5)</f>
        <v>N/A</v>
      </c>
      <c r="D318" s="25">
        <f>VLOOKUP(TABLA_STOCK_LISTBOX[[#This Row],[Codigo]],TABLA_STOCK[#All],6)</f>
        <v>5</v>
      </c>
      <c r="E318" s="25">
        <f>VLOOKUP(TABLA_STOCK_LISTBOX[[#This Row],[Codigo]],TABLA_STOCK[#All],7)</f>
        <v>107</v>
      </c>
    </row>
    <row r="319" spans="1:5" x14ac:dyDescent="0.3">
      <c r="A319" s="4">
        <v>1675</v>
      </c>
      <c r="B319" s="25" t="str">
        <f>VLOOKUP(TABLA_STOCK_LISTBOX[[#This Row],[Codigo]],LISTADO_PRODUCTOS[#All],4)</f>
        <v>Marcador Pizzini para vidrio x 9 colores</v>
      </c>
      <c r="C319" s="25" t="str">
        <f>VLOOKUP(TABLA_STOCK_LISTBOX[[#This Row],[Codigo]],LISTADO_PRODUCTOS[#All],5)</f>
        <v>N/A</v>
      </c>
      <c r="D319" s="25">
        <f>VLOOKUP(TABLA_STOCK_LISTBOX[[#This Row],[Codigo]],TABLA_STOCK[#All],6)</f>
        <v>2</v>
      </c>
      <c r="E319" s="25">
        <f>VLOOKUP(TABLA_STOCK_LISTBOX[[#This Row],[Codigo]],TABLA_STOCK[#All],7)</f>
        <v>25</v>
      </c>
    </row>
    <row r="320" spans="1:5" x14ac:dyDescent="0.3">
      <c r="A320" s="4">
        <v>1676</v>
      </c>
      <c r="B320" s="25" t="str">
        <f>VLOOKUP(TABLA_STOCK_LISTBOX[[#This Row],[Codigo]],LISTADO_PRODUCTOS[#All],4)</f>
        <v xml:space="preserve">Marcador Maped Window Color Peps para vidrio </v>
      </c>
      <c r="C320" s="25" t="str">
        <f>VLOOKUP(TABLA_STOCK_LISTBOX[[#This Row],[Codigo]],LISTADO_PRODUCTOS[#All],5)</f>
        <v>N/A</v>
      </c>
      <c r="D320" s="25">
        <f>VLOOKUP(TABLA_STOCK_LISTBOX[[#This Row],[Codigo]],TABLA_STOCK[#All],6)</f>
        <v>2</v>
      </c>
      <c r="E320" s="25">
        <f>VLOOKUP(TABLA_STOCK_LISTBOX[[#This Row],[Codigo]],TABLA_STOCK[#All],7)</f>
        <v>32</v>
      </c>
    </row>
    <row r="321" spans="1:5" x14ac:dyDescent="0.3">
      <c r="A321" s="4">
        <v>1678</v>
      </c>
      <c r="B321" s="25" t="str">
        <f>VLOOKUP(TABLA_STOCK_LISTBOX[[#This Row],[Codigo]],LISTADO_PRODUCTOS[#All],4)</f>
        <v>Goma de Borrar Dos Banderas 3036/ Minigoma Giotto Pastel</v>
      </c>
      <c r="C321" s="25" t="str">
        <f>VLOOKUP(TABLA_STOCK_LISTBOX[[#This Row],[Codigo]],LISTADO_PRODUCTOS[#All],5)</f>
        <v>N/A</v>
      </c>
      <c r="D321" s="25">
        <f>VLOOKUP(TABLA_STOCK_LISTBOX[[#This Row],[Codigo]],TABLA_STOCK[#All],6)</f>
        <v>10</v>
      </c>
      <c r="E321" s="25">
        <f>VLOOKUP(TABLA_STOCK_LISTBOX[[#This Row],[Codigo]],TABLA_STOCK[#All],7)</f>
        <v>150</v>
      </c>
    </row>
    <row r="322" spans="1:5" x14ac:dyDescent="0.3">
      <c r="A322" s="4">
        <v>1681</v>
      </c>
      <c r="B322" s="25" t="str">
        <f>VLOOKUP(TABLA_STOCK_LISTBOX[[#This Row],[Codigo]],LISTADO_PRODUCTOS[#All],4)</f>
        <v>Boligrafo Paper mate kilometrico economico</v>
      </c>
      <c r="C322" s="25" t="str">
        <f>VLOOKUP(TABLA_STOCK_LISTBOX[[#This Row],[Codigo]],LISTADO_PRODUCTOS[#All],5)</f>
        <v>N/A</v>
      </c>
      <c r="D322" s="25">
        <f>VLOOKUP(TABLA_STOCK_LISTBOX[[#This Row],[Codigo]],TABLA_STOCK[#All],6)</f>
        <v>20</v>
      </c>
      <c r="E322" s="25">
        <f>VLOOKUP(TABLA_STOCK_LISTBOX[[#This Row],[Codigo]],TABLA_STOCK[#All],7)</f>
        <v>20</v>
      </c>
    </row>
    <row r="323" spans="1:5" x14ac:dyDescent="0.3">
      <c r="A323" s="4">
        <v>1684</v>
      </c>
      <c r="B323" s="25" t="str">
        <f>VLOOKUP(TABLA_STOCK_LISTBOX[[#This Row],[Codigo]],LISTADO_PRODUCTOS[#All],4)</f>
        <v>Regla Flexible DELI 20cm</v>
      </c>
      <c r="C323" s="25" t="str">
        <f>VLOOKUP(TABLA_STOCK_LISTBOX[[#This Row],[Codigo]],LISTADO_PRODUCTOS[#All],5)</f>
        <v>N/A</v>
      </c>
      <c r="D323" s="25">
        <f>VLOOKUP(TABLA_STOCK_LISTBOX[[#This Row],[Codigo]],TABLA_STOCK[#All],6)</f>
        <v>5</v>
      </c>
      <c r="E323" s="25">
        <f>VLOOKUP(TABLA_STOCK_LISTBOX[[#This Row],[Codigo]],TABLA_STOCK[#All],7)</f>
        <v>19</v>
      </c>
    </row>
    <row r="324" spans="1:5" x14ac:dyDescent="0.3">
      <c r="A324" s="4">
        <v>1685</v>
      </c>
      <c r="B324" s="25" t="str">
        <f>VLOOKUP(TABLA_STOCK_LISTBOX[[#This Row],[Codigo]],LISTADO_PRODUCTOS[#All],4)</f>
        <v>Boligrafo Maped Visio Pen p/zurdos</v>
      </c>
      <c r="C324" s="25" t="str">
        <f>VLOOKUP(TABLA_STOCK_LISTBOX[[#This Row],[Codigo]],LISTADO_PRODUCTOS[#All],5)</f>
        <v>N/A</v>
      </c>
      <c r="D324" s="25">
        <f>VLOOKUP(TABLA_STOCK_LISTBOX[[#This Row],[Codigo]],TABLA_STOCK[#All],6)</f>
        <v>1</v>
      </c>
      <c r="E324" s="25">
        <f>VLOOKUP(TABLA_STOCK_LISTBOX[[#This Row],[Codigo]],TABLA_STOCK[#All],7)</f>
        <v>6</v>
      </c>
    </row>
    <row r="325" spans="1:5" x14ac:dyDescent="0.3">
      <c r="A325" s="4">
        <v>1686</v>
      </c>
      <c r="B325" s="25" t="str">
        <f>VLOOKUP(TABLA_STOCK_LISTBOX[[#This Row],[Codigo]],LISTADO_PRODUCTOS[#All],4)</f>
        <v>Lapices de colores Mooving Inseparables x 12 Doble punta (24 colore)</v>
      </c>
      <c r="C325" s="25" t="str">
        <f>VLOOKUP(TABLA_STOCK_LISTBOX[[#This Row],[Codigo]],LISTADO_PRODUCTOS[#All],5)</f>
        <v>N/A</v>
      </c>
      <c r="D325" s="25">
        <f>VLOOKUP(TABLA_STOCK_LISTBOX[[#This Row],[Codigo]],TABLA_STOCK[#All],6)</f>
        <v>5</v>
      </c>
      <c r="E325" s="25">
        <f>VLOOKUP(TABLA_STOCK_LISTBOX[[#This Row],[Codigo]],TABLA_STOCK[#All],7)</f>
        <v>5</v>
      </c>
    </row>
    <row r="326" spans="1:5" x14ac:dyDescent="0.3">
      <c r="A326" s="4">
        <v>1687</v>
      </c>
      <c r="B326" s="25" t="str">
        <f>VLOOKUP(TABLA_STOCK_LISTBOX[[#This Row],[Codigo]],LISTADO_PRODUCTOS[#All],4)</f>
        <v xml:space="preserve">Goma Maped Technic Duo  </v>
      </c>
      <c r="C326" s="25" t="str">
        <f>VLOOKUP(TABLA_STOCK_LISTBOX[[#This Row],[Codigo]],LISTADO_PRODUCTOS[#All],5)</f>
        <v>N/A</v>
      </c>
      <c r="D326" s="25">
        <f>VLOOKUP(TABLA_STOCK_LISTBOX[[#This Row],[Codigo]],TABLA_STOCK[#All],6)</f>
        <v>2</v>
      </c>
      <c r="E326" s="25">
        <f>VLOOKUP(TABLA_STOCK_LISTBOX[[#This Row],[Codigo]],TABLA_STOCK[#All],7)</f>
        <v>52</v>
      </c>
    </row>
    <row r="327" spans="1:5" x14ac:dyDescent="0.3">
      <c r="A327" s="4">
        <v>1688</v>
      </c>
      <c r="B327" s="25" t="str">
        <f>VLOOKUP(TABLA_STOCK_LISTBOX[[#This Row],[Codigo]],LISTADO_PRODUCTOS[#All],4)</f>
        <v>Cuaderno rivadavia  60h Tapa semi rigida metalizada ABC 21x27</v>
      </c>
      <c r="C327" s="25" t="str">
        <f>VLOOKUP(TABLA_STOCK_LISTBOX[[#This Row],[Codigo]],LISTADO_PRODUCTOS[#All],5)</f>
        <v>N/A</v>
      </c>
      <c r="D327" s="25">
        <f>VLOOKUP(TABLA_STOCK_LISTBOX[[#This Row],[Codigo]],TABLA_STOCK[#All],6)</f>
        <v>10</v>
      </c>
      <c r="E327" s="25">
        <f>VLOOKUP(TABLA_STOCK_LISTBOX[[#This Row],[Codigo]],TABLA_STOCK[#All],7)</f>
        <v>32</v>
      </c>
    </row>
    <row r="328" spans="1:5" x14ac:dyDescent="0.3">
      <c r="A328" s="4">
        <v>1689</v>
      </c>
      <c r="B328" s="25" t="str">
        <f>VLOOKUP(TABLA_STOCK_LISTBOX[[#This Row],[Codigo]],LISTADO_PRODUCTOS[#All],4)</f>
        <v>Set de Microfibras Maped Graph peps x 4u</v>
      </c>
      <c r="C328" s="25" t="str">
        <f>VLOOKUP(TABLA_STOCK_LISTBOX[[#This Row],[Codigo]],LISTADO_PRODUCTOS[#All],5)</f>
        <v>N/A</v>
      </c>
      <c r="D328" s="25">
        <f>VLOOKUP(TABLA_STOCK_LISTBOX[[#This Row],[Codigo]],TABLA_STOCK[#All],6)</f>
        <v>20</v>
      </c>
      <c r="E328" s="25">
        <f>VLOOKUP(TABLA_STOCK_LISTBOX[[#This Row],[Codigo]],TABLA_STOCK[#All],7)</f>
        <v>56</v>
      </c>
    </row>
    <row r="329" spans="1:5" x14ac:dyDescent="0.3">
      <c r="A329" s="4">
        <v>1691</v>
      </c>
      <c r="B329" s="25" t="str">
        <f>VLOOKUP(TABLA_STOCK_LISTBOX[[#This Row],[Codigo]],LISTADO_PRODUCTOS[#All],4)</f>
        <v>Boligrafo Paper Mate Kilometrico 100 3 x $300</v>
      </c>
      <c r="C329" s="25" t="str">
        <f>VLOOKUP(TABLA_STOCK_LISTBOX[[#This Row],[Codigo]],LISTADO_PRODUCTOS[#All],5)</f>
        <v>N/A</v>
      </c>
      <c r="D329" s="25">
        <f>VLOOKUP(TABLA_STOCK_LISTBOX[[#This Row],[Codigo]],TABLA_STOCK[#All],6)</f>
        <v>5</v>
      </c>
      <c r="E329" s="25">
        <f>VLOOKUP(TABLA_STOCK_LISTBOX[[#This Row],[Codigo]],TABLA_STOCK[#All],7)</f>
        <v>107</v>
      </c>
    </row>
    <row r="330" spans="1:5" x14ac:dyDescent="0.3">
      <c r="A330" s="4">
        <v>1692</v>
      </c>
      <c r="B330" s="25" t="str">
        <f>VLOOKUP(TABLA_STOCK_LISTBOX[[#This Row],[Codigo]],LISTADO_PRODUCTOS[#All],4)</f>
        <v>Microfibra Maped Graph Peps fine 0.4</v>
      </c>
      <c r="C330" s="25" t="str">
        <f>VLOOKUP(TABLA_STOCK_LISTBOX[[#This Row],[Codigo]],LISTADO_PRODUCTOS[#All],5)</f>
        <v>N/A</v>
      </c>
      <c r="D330" s="25">
        <f>VLOOKUP(TABLA_STOCK_LISTBOX[[#This Row],[Codigo]],TABLA_STOCK[#All],6)</f>
        <v>1</v>
      </c>
      <c r="E330" s="25">
        <f>VLOOKUP(TABLA_STOCK_LISTBOX[[#This Row],[Codigo]],TABLA_STOCK[#All],7)</f>
        <v>25</v>
      </c>
    </row>
    <row r="331" spans="1:5" x14ac:dyDescent="0.3">
      <c r="A331" s="4">
        <v>1693</v>
      </c>
      <c r="B331" s="25" t="str">
        <f>VLOOKUP(TABLA_STOCK_LISTBOX[[#This Row],[Codigo]],LISTADO_PRODUCTOS[#All],4)</f>
        <v>Block N°6 Luma Blanco</v>
      </c>
      <c r="C331" s="25" t="str">
        <f>VLOOKUP(TABLA_STOCK_LISTBOX[[#This Row],[Codigo]],LISTADO_PRODUCTOS[#All],5)</f>
        <v>N/A</v>
      </c>
      <c r="D331" s="25">
        <f>VLOOKUP(TABLA_STOCK_LISTBOX[[#This Row],[Codigo]],TABLA_STOCK[#All],6)</f>
        <v>5</v>
      </c>
      <c r="E331" s="25">
        <f>VLOOKUP(TABLA_STOCK_LISTBOX[[#This Row],[Codigo]],TABLA_STOCK[#All],7)</f>
        <v>32</v>
      </c>
    </row>
    <row r="332" spans="1:5" x14ac:dyDescent="0.3">
      <c r="A332" s="4">
        <v>1694</v>
      </c>
      <c r="B332" s="25" t="str">
        <f>VLOOKUP(TABLA_STOCK_LISTBOX[[#This Row],[Codigo]],LISTADO_PRODUCTOS[#All],4)</f>
        <v>Microfibra Maped Graph Peps Colores vivos x 4</v>
      </c>
      <c r="C332" s="25" t="str">
        <f>VLOOKUP(TABLA_STOCK_LISTBOX[[#This Row],[Codigo]],LISTADO_PRODUCTOS[#All],5)</f>
        <v>N/A</v>
      </c>
      <c r="D332" s="25">
        <f>VLOOKUP(TABLA_STOCK_LISTBOX[[#This Row],[Codigo]],TABLA_STOCK[#All],6)</f>
        <v>2</v>
      </c>
      <c r="E332" s="25">
        <f>VLOOKUP(TABLA_STOCK_LISTBOX[[#This Row],[Codigo]],TABLA_STOCK[#All],7)</f>
        <v>150</v>
      </c>
    </row>
    <row r="333" spans="1:5" x14ac:dyDescent="0.3">
      <c r="A333" s="4">
        <v>1698</v>
      </c>
      <c r="B333" s="25" t="str">
        <f>VLOOKUP(TABLA_STOCK_LISTBOX[[#This Row],[Codigo]],LISTADO_PRODUCTOS[#All],4)</f>
        <v>Lupa Maped ergo logic 75mm</v>
      </c>
      <c r="C333" s="25" t="str">
        <f>VLOOKUP(TABLA_STOCK_LISTBOX[[#This Row],[Codigo]],LISTADO_PRODUCTOS[#All],5)</f>
        <v>N/A</v>
      </c>
      <c r="D333" s="25">
        <f>VLOOKUP(TABLA_STOCK_LISTBOX[[#This Row],[Codigo]],TABLA_STOCK[#All],6)</f>
        <v>2</v>
      </c>
      <c r="E333" s="25">
        <f>VLOOKUP(TABLA_STOCK_LISTBOX[[#This Row],[Codigo]],TABLA_STOCK[#All],7)</f>
        <v>20</v>
      </c>
    </row>
    <row r="334" spans="1:5" x14ac:dyDescent="0.3">
      <c r="A334" s="4">
        <v>1701</v>
      </c>
      <c r="B334" s="25" t="str">
        <f>VLOOKUP(TABLA_STOCK_LISTBOX[[#This Row],[Codigo]],LISTADO_PRODUCTOS[#All],4)</f>
        <v>Canopla Mooving estilo Trend Pastel 1522210</v>
      </c>
      <c r="C334" s="25" t="str">
        <f>VLOOKUP(TABLA_STOCK_LISTBOX[[#This Row],[Codigo]],LISTADO_PRODUCTOS[#All],5)</f>
        <v>N/A</v>
      </c>
      <c r="D334" s="25">
        <f>VLOOKUP(TABLA_STOCK_LISTBOX[[#This Row],[Codigo]],TABLA_STOCK[#All],6)</f>
        <v>10</v>
      </c>
      <c r="E334" s="25">
        <f>VLOOKUP(TABLA_STOCK_LISTBOX[[#This Row],[Codigo]],TABLA_STOCK[#All],7)</f>
        <v>19</v>
      </c>
    </row>
    <row r="335" spans="1:5" x14ac:dyDescent="0.3">
      <c r="A335" s="4">
        <v>1709</v>
      </c>
      <c r="B335" s="25" t="str">
        <f>VLOOKUP(TABLA_STOCK_LISTBOX[[#This Row],[Codigo]],LISTADO_PRODUCTOS[#All],4)</f>
        <v>Folio Reforzado Borde color Luma N°3</v>
      </c>
      <c r="C335" s="25" t="str">
        <f>VLOOKUP(TABLA_STOCK_LISTBOX[[#This Row],[Codigo]],LISTADO_PRODUCTOS[#All],5)</f>
        <v>N/A</v>
      </c>
      <c r="D335" s="25">
        <f>VLOOKUP(TABLA_STOCK_LISTBOX[[#This Row],[Codigo]],TABLA_STOCK[#All],6)</f>
        <v>20</v>
      </c>
      <c r="E335" s="25">
        <f>VLOOKUP(TABLA_STOCK_LISTBOX[[#This Row],[Codigo]],TABLA_STOCK[#All],7)</f>
        <v>6</v>
      </c>
    </row>
    <row r="336" spans="1:5" x14ac:dyDescent="0.3">
      <c r="A336" s="4">
        <v>1713</v>
      </c>
      <c r="B336" s="25" t="str">
        <f>VLOOKUP(TABLA_STOCK_LISTBOX[[#This Row],[Codigo]],LISTADO_PRODUCTOS[#All],4)</f>
        <v>Carpeta para aros Ota Lama A4 Carpeta N°4</v>
      </c>
      <c r="C336" s="25" t="str">
        <f>VLOOKUP(TABLA_STOCK_LISTBOX[[#This Row],[Codigo]],LISTADO_PRODUCTOS[#All],5)</f>
        <v>N/A</v>
      </c>
      <c r="D336" s="25">
        <f>VLOOKUP(TABLA_STOCK_LISTBOX[[#This Row],[Codigo]],TABLA_STOCK[#All],6)</f>
        <v>5</v>
      </c>
      <c r="E336" s="25">
        <f>VLOOKUP(TABLA_STOCK_LISTBOX[[#This Row],[Codigo]],TABLA_STOCK[#All],7)</f>
        <v>5</v>
      </c>
    </row>
    <row r="337" spans="1:5" x14ac:dyDescent="0.3">
      <c r="A337" s="4">
        <v>1717</v>
      </c>
      <c r="B337" s="25" t="str">
        <f>VLOOKUP(TABLA_STOCK_LISTBOX[[#This Row],[Codigo]],LISTADO_PRODUCTOS[#All],4)</f>
        <v>Marcador doble punta Filgo Permanente 042</v>
      </c>
      <c r="C337" s="25" t="str">
        <f>VLOOKUP(TABLA_STOCK_LISTBOX[[#This Row],[Codigo]],LISTADO_PRODUCTOS[#All],5)</f>
        <v>N/A</v>
      </c>
      <c r="D337" s="25">
        <f>VLOOKUP(TABLA_STOCK_LISTBOX[[#This Row],[Codigo]],TABLA_STOCK[#All],6)</f>
        <v>1</v>
      </c>
      <c r="E337" s="25">
        <f>VLOOKUP(TABLA_STOCK_LISTBOX[[#This Row],[Codigo]],TABLA_STOCK[#All],7)</f>
        <v>52</v>
      </c>
    </row>
    <row r="338" spans="1:5" x14ac:dyDescent="0.3">
      <c r="A338" s="4">
        <v>1718</v>
      </c>
      <c r="B338" s="25" t="str">
        <f>VLOOKUP(TABLA_STOCK_LISTBOX[[#This Row],[Codigo]],LISTADO_PRODUCTOS[#All],4)</f>
        <v>Cuaderno Tapa dura A4 AB7 Laprida 21x27 60h</v>
      </c>
      <c r="C338" s="25" t="str">
        <f>VLOOKUP(TABLA_STOCK_LISTBOX[[#This Row],[Codigo]],LISTADO_PRODUCTOS[#All],5)</f>
        <v>N/A</v>
      </c>
      <c r="D338" s="25">
        <f>VLOOKUP(TABLA_STOCK_LISTBOX[[#This Row],[Codigo]],TABLA_STOCK[#All],6)</f>
        <v>5</v>
      </c>
      <c r="E338" s="25">
        <f>VLOOKUP(TABLA_STOCK_LISTBOX[[#This Row],[Codigo]],TABLA_STOCK[#All],7)</f>
        <v>32</v>
      </c>
    </row>
    <row r="339" spans="1:5" x14ac:dyDescent="0.3">
      <c r="A339" s="4">
        <v>1719</v>
      </c>
      <c r="B339" s="25" t="str">
        <f>VLOOKUP(TABLA_STOCK_LISTBOX[[#This Row],[Codigo]],LISTADO_PRODUCTOS[#All],4)</f>
        <v>Roller Mooving tinta Gel Silky Glitter x5</v>
      </c>
      <c r="C339" s="25" t="str">
        <f>VLOOKUP(TABLA_STOCK_LISTBOX[[#This Row],[Codigo]],LISTADO_PRODUCTOS[#All],5)</f>
        <v>N/A</v>
      </c>
      <c r="D339" s="25">
        <f>VLOOKUP(TABLA_STOCK_LISTBOX[[#This Row],[Codigo]],TABLA_STOCK[#All],6)</f>
        <v>2</v>
      </c>
      <c r="E339" s="25">
        <f>VLOOKUP(TABLA_STOCK_LISTBOX[[#This Row],[Codigo]],TABLA_STOCK[#All],7)</f>
        <v>56</v>
      </c>
    </row>
    <row r="340" spans="1:5" x14ac:dyDescent="0.3">
      <c r="A340" s="4">
        <v>1720</v>
      </c>
      <c r="B340" s="25" t="str">
        <f>VLOOKUP(TABLA_STOCK_LISTBOX[[#This Row],[Codigo]],LISTADO_PRODUCTOS[#All],4)</f>
        <v>Boligrafo Gel Glitter Simball x 5u</v>
      </c>
      <c r="C340" s="25" t="str">
        <f>VLOOKUP(TABLA_STOCK_LISTBOX[[#This Row],[Codigo]],LISTADO_PRODUCTOS[#All],5)</f>
        <v>N/A</v>
      </c>
      <c r="D340" s="25">
        <f>VLOOKUP(TABLA_STOCK_LISTBOX[[#This Row],[Codigo]],TABLA_STOCK[#All],6)</f>
        <v>2</v>
      </c>
      <c r="E340" s="25">
        <f>VLOOKUP(TABLA_STOCK_LISTBOX[[#This Row],[Codigo]],TABLA_STOCK[#All],7)</f>
        <v>107</v>
      </c>
    </row>
    <row r="341" spans="1:5" x14ac:dyDescent="0.3">
      <c r="A341" s="4">
        <v>1721</v>
      </c>
      <c r="B341" s="25" t="str">
        <f>VLOOKUP(TABLA_STOCK_LISTBOX[[#This Row],[Codigo]],LISTADO_PRODUCTOS[#All],4)</f>
        <v>Señaladore Deli Index Tab 100x4</v>
      </c>
      <c r="C341" s="25" t="str">
        <f>VLOOKUP(TABLA_STOCK_LISTBOX[[#This Row],[Codigo]],LISTADO_PRODUCTOS[#All],5)</f>
        <v>N/A</v>
      </c>
      <c r="D341" s="25">
        <f>VLOOKUP(TABLA_STOCK_LISTBOX[[#This Row],[Codigo]],TABLA_STOCK[#All],6)</f>
        <v>10</v>
      </c>
      <c r="E341" s="25">
        <f>VLOOKUP(TABLA_STOCK_LISTBOX[[#This Row],[Codigo]],TABLA_STOCK[#All],7)</f>
        <v>25</v>
      </c>
    </row>
    <row r="342" spans="1:5" x14ac:dyDescent="0.3">
      <c r="A342" s="4">
        <v>1722</v>
      </c>
      <c r="B342" s="25" t="str">
        <f>VLOOKUP(TABLA_STOCK_LISTBOX[[#This Row],[Codigo]],LISTADO_PRODUCTOS[#All],4)</f>
        <v>Blister boligrafo Paper mate Ink Joy x8u</v>
      </c>
      <c r="C342" s="25" t="str">
        <f>VLOOKUP(TABLA_STOCK_LISTBOX[[#This Row],[Codigo]],LISTADO_PRODUCTOS[#All],5)</f>
        <v>N/A</v>
      </c>
      <c r="D342" s="25">
        <f>VLOOKUP(TABLA_STOCK_LISTBOX[[#This Row],[Codigo]],TABLA_STOCK[#All],6)</f>
        <v>20</v>
      </c>
      <c r="E342" s="25">
        <f>VLOOKUP(TABLA_STOCK_LISTBOX[[#This Row],[Codigo]],TABLA_STOCK[#All],7)</f>
        <v>32</v>
      </c>
    </row>
    <row r="343" spans="1:5" x14ac:dyDescent="0.3">
      <c r="A343" s="4">
        <v>1723</v>
      </c>
      <c r="B343" s="25" t="str">
        <f>VLOOKUP(TABLA_STOCK_LISTBOX[[#This Row],[Codigo]],LISTADO_PRODUCTOS[#All],4)</f>
        <v>Pizarra blanca 30x40 Marco metal</v>
      </c>
      <c r="C343" s="25" t="str">
        <f>VLOOKUP(TABLA_STOCK_LISTBOX[[#This Row],[Codigo]],LISTADO_PRODUCTOS[#All],5)</f>
        <v>N/A</v>
      </c>
      <c r="D343" s="25">
        <f>VLOOKUP(TABLA_STOCK_LISTBOX[[#This Row],[Codigo]],TABLA_STOCK[#All],6)</f>
        <v>5</v>
      </c>
      <c r="E343" s="25">
        <f>VLOOKUP(TABLA_STOCK_LISTBOX[[#This Row],[Codigo]],TABLA_STOCK[#All],7)</f>
        <v>150</v>
      </c>
    </row>
    <row r="344" spans="1:5" x14ac:dyDescent="0.3">
      <c r="A344" s="4">
        <v>2000</v>
      </c>
      <c r="B344" s="25" t="str">
        <f>VLOOKUP(TABLA_STOCK_LISTBOX[[#This Row],[Codigo]],LISTADO_PRODUCTOS[#All],4)</f>
        <v xml:space="preserve">Resma A4 Autor 75g </v>
      </c>
      <c r="C344" s="25" t="str">
        <f>VLOOKUP(TABLA_STOCK_LISTBOX[[#This Row],[Codigo]],LISTADO_PRODUCTOS[#All],5)</f>
        <v>N/A</v>
      </c>
      <c r="D344" s="25">
        <f>VLOOKUP(TABLA_STOCK_LISTBOX[[#This Row],[Codigo]],TABLA_STOCK[#All],6)</f>
        <v>1</v>
      </c>
      <c r="E344" s="25">
        <f>VLOOKUP(TABLA_STOCK_LISTBOX[[#This Row],[Codigo]],TABLA_STOCK[#All],7)</f>
        <v>20</v>
      </c>
    </row>
    <row r="345" spans="1:5" x14ac:dyDescent="0.3">
      <c r="A345" s="4">
        <v>2001</v>
      </c>
      <c r="B345" s="25" t="str">
        <f>VLOOKUP(TABLA_STOCK_LISTBOX[[#This Row],[Codigo]],LISTADO_PRODUCTOS[#All],4)</f>
        <v>Resma A4 Autor 80g</v>
      </c>
      <c r="C345" s="25" t="str">
        <f>VLOOKUP(TABLA_STOCK_LISTBOX[[#This Row],[Codigo]],LISTADO_PRODUCTOS[#All],5)</f>
        <v>N/A</v>
      </c>
      <c r="D345" s="25">
        <f>VLOOKUP(TABLA_STOCK_LISTBOX[[#This Row],[Codigo]],TABLA_STOCK[#All],6)</f>
        <v>5</v>
      </c>
      <c r="E345" s="25">
        <f>VLOOKUP(TABLA_STOCK_LISTBOX[[#This Row],[Codigo]],TABLA_STOCK[#All],7)</f>
        <v>19</v>
      </c>
    </row>
    <row r="346" spans="1:5" x14ac:dyDescent="0.3">
      <c r="A346" s="4">
        <v>2002</v>
      </c>
      <c r="B346" s="25" t="str">
        <f>VLOOKUP(TABLA_STOCK_LISTBOX[[#This Row],[Codigo]],LISTADO_PRODUCTOS[#All],4)</f>
        <v>Resma A4 Autor 90g</v>
      </c>
      <c r="C346" s="25" t="str">
        <f>VLOOKUP(TABLA_STOCK_LISTBOX[[#This Row],[Codigo]],LISTADO_PRODUCTOS[#All],5)</f>
        <v>N/A</v>
      </c>
      <c r="D346" s="25">
        <f>VLOOKUP(TABLA_STOCK_LISTBOX[[#This Row],[Codigo]],TABLA_STOCK[#All],6)</f>
        <v>2</v>
      </c>
      <c r="E346" s="25">
        <f>VLOOKUP(TABLA_STOCK_LISTBOX[[#This Row],[Codigo]],TABLA_STOCK[#All],7)</f>
        <v>6</v>
      </c>
    </row>
    <row r="347" spans="1:5" x14ac:dyDescent="0.3">
      <c r="A347" s="4">
        <v>2003</v>
      </c>
      <c r="B347" s="25" t="str">
        <f>VLOOKUP(TABLA_STOCK_LISTBOX[[#This Row],[Codigo]],LISTADO_PRODUCTOS[#All],4)</f>
        <v>Resma Oficio Autor 75g</v>
      </c>
      <c r="C347" s="25" t="str">
        <f>VLOOKUP(TABLA_STOCK_LISTBOX[[#This Row],[Codigo]],LISTADO_PRODUCTOS[#All],5)</f>
        <v>N/A</v>
      </c>
      <c r="D347" s="25">
        <f>VLOOKUP(TABLA_STOCK_LISTBOX[[#This Row],[Codigo]],TABLA_STOCK[#All],6)</f>
        <v>2</v>
      </c>
      <c r="E347" s="25">
        <f>VLOOKUP(TABLA_STOCK_LISTBOX[[#This Row],[Codigo]],TABLA_STOCK[#All],7)</f>
        <v>5</v>
      </c>
    </row>
    <row r="348" spans="1:5" x14ac:dyDescent="0.3">
      <c r="A348" s="4">
        <v>2004</v>
      </c>
      <c r="B348" s="25" t="str">
        <f>VLOOKUP(TABLA_STOCK_LISTBOX[[#This Row],[Codigo]],LISTADO_PRODUCTOS[#All],4)</f>
        <v>Resma Oficio Autor 80g</v>
      </c>
      <c r="C348" s="25" t="str">
        <f>VLOOKUP(TABLA_STOCK_LISTBOX[[#This Row],[Codigo]],LISTADO_PRODUCTOS[#All],5)</f>
        <v>N/A</v>
      </c>
      <c r="D348" s="25">
        <f>VLOOKUP(TABLA_STOCK_LISTBOX[[#This Row],[Codigo]],TABLA_STOCK[#All],6)</f>
        <v>10</v>
      </c>
      <c r="E348" s="25">
        <f>VLOOKUP(TABLA_STOCK_LISTBOX[[#This Row],[Codigo]],TABLA_STOCK[#All],7)</f>
        <v>52</v>
      </c>
    </row>
    <row r="349" spans="1:5" x14ac:dyDescent="0.3">
      <c r="A349" s="4">
        <v>2005</v>
      </c>
      <c r="B349" s="25" t="str">
        <f>VLOOKUP(TABLA_STOCK_LISTBOX[[#This Row],[Codigo]],LISTADO_PRODUCTOS[#All],4)</f>
        <v>Resma A4 Chamex 75gr</v>
      </c>
      <c r="C349" s="25" t="str">
        <f>VLOOKUP(TABLA_STOCK_LISTBOX[[#This Row],[Codigo]],LISTADO_PRODUCTOS[#All],5)</f>
        <v>N/A</v>
      </c>
      <c r="D349" s="25">
        <f>VLOOKUP(TABLA_STOCK_LISTBOX[[#This Row],[Codigo]],TABLA_STOCK[#All],6)</f>
        <v>20</v>
      </c>
      <c r="E349" s="25">
        <f>VLOOKUP(TABLA_STOCK_LISTBOX[[#This Row],[Codigo]],TABLA_STOCK[#All],7)</f>
        <v>32</v>
      </c>
    </row>
    <row r="350" spans="1:5" x14ac:dyDescent="0.3">
      <c r="A350" s="4">
        <v>2006</v>
      </c>
      <c r="B350" s="25" t="str">
        <f>VLOOKUP(TABLA_STOCK_LISTBOX[[#This Row],[Codigo]],LISTADO_PRODUCTOS[#All],4)</f>
        <v>Resma Ledesma NAT A4</v>
      </c>
      <c r="C350" s="25" t="str">
        <f>VLOOKUP(TABLA_STOCK_LISTBOX[[#This Row],[Codigo]],LISTADO_PRODUCTOS[#All],5)</f>
        <v>N/A</v>
      </c>
      <c r="D350" s="25">
        <f>VLOOKUP(TABLA_STOCK_LISTBOX[[#This Row],[Codigo]],TABLA_STOCK[#All],6)</f>
        <v>5</v>
      </c>
      <c r="E350" s="25">
        <f>VLOOKUP(TABLA_STOCK_LISTBOX[[#This Row],[Codigo]],TABLA_STOCK[#All],7)</f>
        <v>56</v>
      </c>
    </row>
    <row r="351" spans="1:5" x14ac:dyDescent="0.3">
      <c r="A351" s="4">
        <v>2007</v>
      </c>
      <c r="B351" s="25" t="str">
        <f>VLOOKUP(TABLA_STOCK_LISTBOX[[#This Row],[Codigo]],LISTADO_PRODUCTOS[#All],4)</f>
        <v>Resma A4 color autor  x 250h</v>
      </c>
      <c r="C351" s="25" t="str">
        <f>VLOOKUP(TABLA_STOCK_LISTBOX[[#This Row],[Codigo]],LISTADO_PRODUCTOS[#All],5)</f>
        <v>N/A</v>
      </c>
      <c r="D351" s="25">
        <f>VLOOKUP(TABLA_STOCK_LISTBOX[[#This Row],[Codigo]],TABLA_STOCK[#All],6)</f>
        <v>1</v>
      </c>
      <c r="E351" s="25">
        <f>VLOOKUP(TABLA_STOCK_LISTBOX[[#This Row],[Codigo]],TABLA_STOCK[#All],7)</f>
        <v>107</v>
      </c>
    </row>
    <row r="352" spans="1:5" x14ac:dyDescent="0.3">
      <c r="A352" s="4">
        <v>2008</v>
      </c>
      <c r="B352" s="25" t="str">
        <f>VLOOKUP(TABLA_STOCK_LISTBOX[[#This Row],[Codigo]],LISTADO_PRODUCTOS[#All],4)</f>
        <v>Resma Oficio Autor Color</v>
      </c>
      <c r="C352" s="25" t="str">
        <f>VLOOKUP(TABLA_STOCK_LISTBOX[[#This Row],[Codigo]],LISTADO_PRODUCTOS[#All],5)</f>
        <v>N/A</v>
      </c>
      <c r="D352" s="25">
        <f>VLOOKUP(TABLA_STOCK_LISTBOX[[#This Row],[Codigo]],TABLA_STOCK[#All],6)</f>
        <v>5</v>
      </c>
      <c r="E352" s="25">
        <f>VLOOKUP(TABLA_STOCK_LISTBOX[[#This Row],[Codigo]],TABLA_STOCK[#All],7)</f>
        <v>25</v>
      </c>
    </row>
    <row r="353" spans="1:5" x14ac:dyDescent="0.3">
      <c r="A353" s="4">
        <v>2010</v>
      </c>
      <c r="B353" s="25" t="str">
        <f>VLOOKUP(TABLA_STOCK_LISTBOX[[#This Row],[Codigo]],LISTADO_PRODUCTOS[#All],4)</f>
        <v>Resma A4 Husares Fluo colores surtido x 20h</v>
      </c>
      <c r="C353" s="25" t="str">
        <f>VLOOKUP(TABLA_STOCK_LISTBOX[[#This Row],[Codigo]],LISTADO_PRODUCTOS[#All],5)</f>
        <v>N/A</v>
      </c>
      <c r="D353" s="25">
        <f>VLOOKUP(TABLA_STOCK_LISTBOX[[#This Row],[Codigo]],TABLA_STOCK[#All],6)</f>
        <v>2</v>
      </c>
      <c r="E353" s="25">
        <f>VLOOKUP(TABLA_STOCK_LISTBOX[[#This Row],[Codigo]],TABLA_STOCK[#All],7)</f>
        <v>32</v>
      </c>
    </row>
    <row r="354" spans="1:5" x14ac:dyDescent="0.3">
      <c r="A354" s="4">
        <v>2011</v>
      </c>
      <c r="B354" s="25" t="str">
        <f>VLOOKUP(TABLA_STOCK_LISTBOX[[#This Row],[Codigo]],LISTADO_PRODUCTOS[#All],4)</f>
        <v>Palitos Brochet cortos 15cm</v>
      </c>
      <c r="C354" s="25" t="str">
        <f>VLOOKUP(TABLA_STOCK_LISTBOX[[#This Row],[Codigo]],LISTADO_PRODUCTOS[#All],5)</f>
        <v>N/A</v>
      </c>
      <c r="D354" s="25">
        <f>VLOOKUP(TABLA_STOCK_LISTBOX[[#This Row],[Codigo]],TABLA_STOCK[#All],6)</f>
        <v>10</v>
      </c>
      <c r="E354" s="25">
        <f>VLOOKUP(TABLA_STOCK_LISTBOX[[#This Row],[Codigo]],TABLA_STOCK[#All],7)</f>
        <v>150</v>
      </c>
    </row>
    <row r="355" spans="1:5" x14ac:dyDescent="0.3">
      <c r="A355" s="4">
        <v>2012</v>
      </c>
      <c r="B355" s="25" t="str">
        <f>VLOOKUP(TABLA_STOCK_LISTBOX[[#This Row],[Codigo]],LISTADO_PRODUCTOS[#All],4)</f>
        <v>Palito de brochet largo 25cm</v>
      </c>
      <c r="C355" s="25" t="str">
        <f>VLOOKUP(TABLA_STOCK_LISTBOX[[#This Row],[Codigo]],LISTADO_PRODUCTOS[#All],5)</f>
        <v>N/A</v>
      </c>
      <c r="D355" s="25">
        <f>VLOOKUP(TABLA_STOCK_LISTBOX[[#This Row],[Codigo]],TABLA_STOCK[#All],6)</f>
        <v>20</v>
      </c>
      <c r="E355" s="25">
        <f>VLOOKUP(TABLA_STOCK_LISTBOX[[#This Row],[Codigo]],TABLA_STOCK[#All],7)</f>
        <v>20</v>
      </c>
    </row>
    <row r="356" spans="1:5" x14ac:dyDescent="0.3">
      <c r="A356" s="4">
        <v>2013</v>
      </c>
      <c r="B356" s="25" t="str">
        <f>VLOOKUP(TABLA_STOCK_LISTBOX[[#This Row],[Codigo]],LISTADO_PRODUCTOS[#All],4)</f>
        <v>Plastificado en Frio BinderPlus 200gr</v>
      </c>
      <c r="C356" s="25" t="str">
        <f>VLOOKUP(TABLA_STOCK_LISTBOX[[#This Row],[Codigo]],LISTADO_PRODUCTOS[#All],5)</f>
        <v>N/A</v>
      </c>
      <c r="D356" s="25">
        <f>VLOOKUP(TABLA_STOCK_LISTBOX[[#This Row],[Codigo]],TABLA_STOCK[#All],6)</f>
        <v>5</v>
      </c>
      <c r="E356" s="25">
        <f>VLOOKUP(TABLA_STOCK_LISTBOX[[#This Row],[Codigo]],TABLA_STOCK[#All],7)</f>
        <v>19</v>
      </c>
    </row>
    <row r="357" spans="1:5" x14ac:dyDescent="0.3">
      <c r="A357" s="4">
        <v>2014</v>
      </c>
      <c r="B357" s="25" t="str">
        <f>VLOOKUP(TABLA_STOCK_LISTBOX[[#This Row],[Codigo]],LISTADO_PRODUCTOS[#All],4)</f>
        <v xml:space="preserve">Plastificado en Frio LAMA </v>
      </c>
      <c r="C357" s="25" t="str">
        <f>VLOOKUP(TABLA_STOCK_LISTBOX[[#This Row],[Codigo]],LISTADO_PRODUCTOS[#All],5)</f>
        <v>N/A</v>
      </c>
      <c r="D357" s="25">
        <f>VLOOKUP(TABLA_STOCK_LISTBOX[[#This Row],[Codigo]],TABLA_STOCK[#All],6)</f>
        <v>1</v>
      </c>
      <c r="E357" s="25">
        <f>VLOOKUP(TABLA_STOCK_LISTBOX[[#This Row],[Codigo]],TABLA_STOCK[#All],7)</f>
        <v>6</v>
      </c>
    </row>
    <row r="358" spans="1:5" x14ac:dyDescent="0.3">
      <c r="A358" s="4">
        <v>2018</v>
      </c>
      <c r="B358" s="25" t="str">
        <f>VLOOKUP(TABLA_STOCK_LISTBOX[[#This Row],[Codigo]],LISTADO_PRODUCTOS[#All],4)</f>
        <v>Resma Chamex A4 x 500h color</v>
      </c>
      <c r="C358" s="25" t="str">
        <f>VLOOKUP(TABLA_STOCK_LISTBOX[[#This Row],[Codigo]],LISTADO_PRODUCTOS[#All],5)</f>
        <v>N/A</v>
      </c>
      <c r="D358" s="25">
        <f>VLOOKUP(TABLA_STOCK_LISTBOX[[#This Row],[Codigo]],TABLA_STOCK[#All],6)</f>
        <v>5</v>
      </c>
      <c r="E358" s="25">
        <f>VLOOKUP(TABLA_STOCK_LISTBOX[[#This Row],[Codigo]],TABLA_STOCK[#All],7)</f>
        <v>5</v>
      </c>
    </row>
    <row r="359" spans="1:5" x14ac:dyDescent="0.3">
      <c r="A359" s="4">
        <v>2019</v>
      </c>
      <c r="B359" s="25" t="str">
        <f>VLOOKUP(TABLA_STOCK_LISTBOX[[#This Row],[Codigo]],LISTADO_PRODUCTOS[#All],4)</f>
        <v>Papel celofan</v>
      </c>
      <c r="C359" s="25" t="str">
        <f>VLOOKUP(TABLA_STOCK_LISTBOX[[#This Row],[Codigo]],LISTADO_PRODUCTOS[#All],5)</f>
        <v>N/A</v>
      </c>
      <c r="D359" s="25">
        <f>VLOOKUP(TABLA_STOCK_LISTBOX[[#This Row],[Codigo]],TABLA_STOCK[#All],6)</f>
        <v>2</v>
      </c>
      <c r="E359" s="25">
        <f>VLOOKUP(TABLA_STOCK_LISTBOX[[#This Row],[Codigo]],TABLA_STOCK[#All],7)</f>
        <v>52</v>
      </c>
    </row>
    <row r="360" spans="1:5" x14ac:dyDescent="0.3">
      <c r="A360" s="4">
        <v>2020</v>
      </c>
      <c r="B360" s="25" t="str">
        <f>VLOOKUP(TABLA_STOCK_LISTBOX[[#This Row],[Codigo]],LISTADO_PRODUCTOS[#All],4)</f>
        <v>Resma A3 150gr x240h Husares $60 c/u o 4 x $200</v>
      </c>
      <c r="C360" s="25" t="str">
        <f>VLOOKUP(TABLA_STOCK_LISTBOX[[#This Row],[Codigo]],LISTADO_PRODUCTOS[#All],5)</f>
        <v>N/A</v>
      </c>
      <c r="D360" s="25">
        <f>VLOOKUP(TABLA_STOCK_LISTBOX[[#This Row],[Codigo]],TABLA_STOCK[#All],6)</f>
        <v>2</v>
      </c>
      <c r="E360" s="25">
        <f>VLOOKUP(TABLA_STOCK_LISTBOX[[#This Row],[Codigo]],TABLA_STOCK[#All],7)</f>
        <v>32</v>
      </c>
    </row>
    <row r="361" spans="1:5" x14ac:dyDescent="0.3">
      <c r="A361" s="4">
        <v>2024</v>
      </c>
      <c r="B361" s="25" t="str">
        <f>VLOOKUP(TABLA_STOCK_LISTBOX[[#This Row],[Codigo]],LISTADO_PRODUCTOS[#All],4)</f>
        <v xml:space="preserve">Brillantina x5u Fluo </v>
      </c>
      <c r="C361" s="25" t="str">
        <f>VLOOKUP(TABLA_STOCK_LISTBOX[[#This Row],[Codigo]],LISTADO_PRODUCTOS[#All],5)</f>
        <v>N/A</v>
      </c>
      <c r="D361" s="25">
        <f>VLOOKUP(TABLA_STOCK_LISTBOX[[#This Row],[Codigo]],TABLA_STOCK[#All],6)</f>
        <v>10</v>
      </c>
      <c r="E361" s="25">
        <f>VLOOKUP(TABLA_STOCK_LISTBOX[[#This Row],[Codigo]],TABLA_STOCK[#All],7)</f>
        <v>56</v>
      </c>
    </row>
    <row r="362" spans="1:5" x14ac:dyDescent="0.3">
      <c r="A362" s="4">
        <v>2025</v>
      </c>
      <c r="B362" s="25" t="str">
        <f>VLOOKUP(TABLA_STOCK_LISTBOX[[#This Row],[Codigo]],LISTADO_PRODUCTOS[#All],4)</f>
        <v>Brillantina x 5u</v>
      </c>
      <c r="C362" s="25" t="str">
        <f>VLOOKUP(TABLA_STOCK_LISTBOX[[#This Row],[Codigo]],LISTADO_PRODUCTOS[#All],5)</f>
        <v>N/A</v>
      </c>
      <c r="D362" s="25">
        <f>VLOOKUP(TABLA_STOCK_LISTBOX[[#This Row],[Codigo]],TABLA_STOCK[#All],6)</f>
        <v>20</v>
      </c>
      <c r="E362" s="25">
        <f>VLOOKUP(TABLA_STOCK_LISTBOX[[#This Row],[Codigo]],TABLA_STOCK[#All],7)</f>
        <v>107</v>
      </c>
    </row>
    <row r="363" spans="1:5" x14ac:dyDescent="0.3">
      <c r="A363" s="4">
        <v>2026</v>
      </c>
      <c r="B363" s="25" t="str">
        <f>VLOOKUP(TABLA_STOCK_LISTBOX[[#This Row],[Codigo]],LISTADO_PRODUCTOS[#All],4)</f>
        <v xml:space="preserve">Papel madera </v>
      </c>
      <c r="C363" s="25" t="str">
        <f>VLOOKUP(TABLA_STOCK_LISTBOX[[#This Row],[Codigo]],LISTADO_PRODUCTOS[#All],5)</f>
        <v>N/A</v>
      </c>
      <c r="D363" s="25">
        <f>VLOOKUP(TABLA_STOCK_LISTBOX[[#This Row],[Codigo]],TABLA_STOCK[#All],6)</f>
        <v>5</v>
      </c>
      <c r="E363" s="25">
        <f>VLOOKUP(TABLA_STOCK_LISTBOX[[#This Row],[Codigo]],TABLA_STOCK[#All],7)</f>
        <v>25</v>
      </c>
    </row>
    <row r="364" spans="1:5" x14ac:dyDescent="0.3">
      <c r="A364" s="4">
        <v>2027</v>
      </c>
      <c r="B364" s="25" t="str">
        <f>VLOOKUP(TABLA_STOCK_LISTBOX[[#This Row],[Codigo]],LISTADO_PRODUCTOS[#All],4)</f>
        <v xml:space="preserve">Cartulina Comun </v>
      </c>
      <c r="C364" s="25" t="str">
        <f>VLOOKUP(TABLA_STOCK_LISTBOX[[#This Row],[Codigo]],LISTADO_PRODUCTOS[#All],5)</f>
        <v>N/A</v>
      </c>
      <c r="D364" s="25">
        <f>VLOOKUP(TABLA_STOCK_LISTBOX[[#This Row],[Codigo]],TABLA_STOCK[#All],6)</f>
        <v>1</v>
      </c>
      <c r="E364" s="25">
        <f>VLOOKUP(TABLA_STOCK_LISTBOX[[#This Row],[Codigo]],TABLA_STOCK[#All],7)</f>
        <v>32</v>
      </c>
    </row>
    <row r="365" spans="1:5" x14ac:dyDescent="0.3">
      <c r="A365" s="4">
        <v>2028</v>
      </c>
      <c r="B365" s="25" t="str">
        <f>VLOOKUP(TABLA_STOCK_LISTBOX[[#This Row],[Codigo]],LISTADO_PRODUCTOS[#All],4)</f>
        <v xml:space="preserve">Cartulina Fluo </v>
      </c>
      <c r="C365" s="25" t="str">
        <f>VLOOKUP(TABLA_STOCK_LISTBOX[[#This Row],[Codigo]],LISTADO_PRODUCTOS[#All],5)</f>
        <v>N/A</v>
      </c>
      <c r="D365" s="25">
        <f>VLOOKUP(TABLA_STOCK_LISTBOX[[#This Row],[Codigo]],TABLA_STOCK[#All],6)</f>
        <v>5</v>
      </c>
      <c r="E365" s="25">
        <f>VLOOKUP(TABLA_STOCK_LISTBOX[[#This Row],[Codigo]],TABLA_STOCK[#All],7)</f>
        <v>150</v>
      </c>
    </row>
    <row r="366" spans="1:5" x14ac:dyDescent="0.3">
      <c r="A366" s="4">
        <v>2029</v>
      </c>
      <c r="B366" s="25" t="str">
        <f>VLOOKUP(TABLA_STOCK_LISTBOX[[#This Row],[Codigo]],LISTADO_PRODUCTOS[#All],4)</f>
        <v>Cartulina Metalizada</v>
      </c>
      <c r="C366" s="25" t="str">
        <f>VLOOKUP(TABLA_STOCK_LISTBOX[[#This Row],[Codigo]],LISTADO_PRODUCTOS[#All],5)</f>
        <v>N/A</v>
      </c>
      <c r="D366" s="25">
        <f>VLOOKUP(TABLA_STOCK_LISTBOX[[#This Row],[Codigo]],TABLA_STOCK[#All],6)</f>
        <v>2</v>
      </c>
      <c r="E366" s="25">
        <f>VLOOKUP(TABLA_STOCK_LISTBOX[[#This Row],[Codigo]],TABLA_STOCK[#All],7)</f>
        <v>20</v>
      </c>
    </row>
    <row r="367" spans="1:5" x14ac:dyDescent="0.3">
      <c r="A367" s="4">
        <v>2030</v>
      </c>
      <c r="B367" s="25" t="str">
        <f>VLOOKUP(TABLA_STOCK_LISTBOX[[#This Row],[Codigo]],LISTADO_PRODUCTOS[#All],4)</f>
        <v xml:space="preserve">Cartulina con Motivos </v>
      </c>
      <c r="C367" s="25" t="str">
        <f>VLOOKUP(TABLA_STOCK_LISTBOX[[#This Row],[Codigo]],LISTADO_PRODUCTOS[#All],5)</f>
        <v>N/A</v>
      </c>
      <c r="D367" s="25">
        <f>VLOOKUP(TABLA_STOCK_LISTBOX[[#This Row],[Codigo]],TABLA_STOCK[#All],6)</f>
        <v>2</v>
      </c>
      <c r="E367" s="25">
        <f>VLOOKUP(TABLA_STOCK_LISTBOX[[#This Row],[Codigo]],TABLA_STOCK[#All],7)</f>
        <v>19</v>
      </c>
    </row>
    <row r="368" spans="1:5" x14ac:dyDescent="0.3">
      <c r="A368" s="4">
        <v>2031</v>
      </c>
      <c r="B368" s="25" t="str">
        <f>VLOOKUP(TABLA_STOCK_LISTBOX[[#This Row],[Codigo]],LISTADO_PRODUCTOS[#All],4)</f>
        <v>Cartulina Entretenida</v>
      </c>
      <c r="C368" s="25" t="str">
        <f>VLOOKUP(TABLA_STOCK_LISTBOX[[#This Row],[Codigo]],LISTADO_PRODUCTOS[#All],5)</f>
        <v>N/A</v>
      </c>
      <c r="D368" s="25">
        <f>VLOOKUP(TABLA_STOCK_LISTBOX[[#This Row],[Codigo]],TABLA_STOCK[#All],6)</f>
        <v>10</v>
      </c>
      <c r="E368" s="25">
        <f>VLOOKUP(TABLA_STOCK_LISTBOX[[#This Row],[Codigo]],TABLA_STOCK[#All],7)</f>
        <v>6</v>
      </c>
    </row>
    <row r="369" spans="1:5" x14ac:dyDescent="0.3">
      <c r="A369" s="4">
        <v>2032</v>
      </c>
      <c r="B369" s="25" t="str">
        <f>VLOOKUP(TABLA_STOCK_LISTBOX[[#This Row],[Codigo]],LISTADO_PRODUCTOS[#All],4)</f>
        <v>Afiche</v>
      </c>
      <c r="C369" s="25" t="str">
        <f>VLOOKUP(TABLA_STOCK_LISTBOX[[#This Row],[Codigo]],LISTADO_PRODUCTOS[#All],5)</f>
        <v>N/A</v>
      </c>
      <c r="D369" s="25">
        <f>VLOOKUP(TABLA_STOCK_LISTBOX[[#This Row],[Codigo]],TABLA_STOCK[#All],6)</f>
        <v>20</v>
      </c>
      <c r="E369" s="25">
        <f>VLOOKUP(TABLA_STOCK_LISTBOX[[#This Row],[Codigo]],TABLA_STOCK[#All],7)</f>
        <v>5</v>
      </c>
    </row>
    <row r="370" spans="1:5" x14ac:dyDescent="0.3">
      <c r="A370" s="4">
        <v>2033</v>
      </c>
      <c r="B370" s="25" t="str">
        <f>VLOOKUP(TABLA_STOCK_LISTBOX[[#This Row],[Codigo]],LISTADO_PRODUCTOS[#All],4)</f>
        <v>Papel Crepe Comun</v>
      </c>
      <c r="C370" s="25" t="str">
        <f>VLOOKUP(TABLA_STOCK_LISTBOX[[#This Row],[Codigo]],LISTADO_PRODUCTOS[#All],5)</f>
        <v>N/A</v>
      </c>
      <c r="D370" s="25">
        <f>VLOOKUP(TABLA_STOCK_LISTBOX[[#This Row],[Codigo]],TABLA_STOCK[#All],6)</f>
        <v>5</v>
      </c>
      <c r="E370" s="25">
        <f>VLOOKUP(TABLA_STOCK_LISTBOX[[#This Row],[Codigo]],TABLA_STOCK[#All],7)</f>
        <v>52</v>
      </c>
    </row>
    <row r="371" spans="1:5" x14ac:dyDescent="0.3">
      <c r="A371" s="4">
        <v>2034</v>
      </c>
      <c r="B371" s="25" t="str">
        <f>VLOOKUP(TABLA_STOCK_LISTBOX[[#This Row],[Codigo]],LISTADO_PRODUCTOS[#All],4)</f>
        <v>Papel Crepe Perlado</v>
      </c>
      <c r="C371" s="25" t="str">
        <f>VLOOKUP(TABLA_STOCK_LISTBOX[[#This Row],[Codigo]],LISTADO_PRODUCTOS[#All],5)</f>
        <v>N/A</v>
      </c>
      <c r="D371" s="25">
        <f>VLOOKUP(TABLA_STOCK_LISTBOX[[#This Row],[Codigo]],TABLA_STOCK[#All],6)</f>
        <v>1</v>
      </c>
      <c r="E371" s="25">
        <f>VLOOKUP(TABLA_STOCK_LISTBOX[[#This Row],[Codigo]],TABLA_STOCK[#All],7)</f>
        <v>32</v>
      </c>
    </row>
    <row r="372" spans="1:5" x14ac:dyDescent="0.3">
      <c r="A372" s="4">
        <v>2035</v>
      </c>
      <c r="B372" s="25" t="str">
        <f>VLOOKUP(TABLA_STOCK_LISTBOX[[#This Row],[Codigo]],LISTADO_PRODUCTOS[#All],4)</f>
        <v>Papel Crepe Fluo</v>
      </c>
      <c r="C372" s="25" t="str">
        <f>VLOOKUP(TABLA_STOCK_LISTBOX[[#This Row],[Codigo]],LISTADO_PRODUCTOS[#All],5)</f>
        <v>N/A</v>
      </c>
      <c r="D372" s="25">
        <f>VLOOKUP(TABLA_STOCK_LISTBOX[[#This Row],[Codigo]],TABLA_STOCK[#All],6)</f>
        <v>5</v>
      </c>
      <c r="E372" s="25">
        <f>VLOOKUP(TABLA_STOCK_LISTBOX[[#This Row],[Codigo]],TABLA_STOCK[#All],7)</f>
        <v>56</v>
      </c>
    </row>
    <row r="373" spans="1:5" x14ac:dyDescent="0.3">
      <c r="A373" s="4">
        <v>2036</v>
      </c>
      <c r="B373" s="25" t="str">
        <f>VLOOKUP(TABLA_STOCK_LISTBOX[[#This Row],[Codigo]],LISTADO_PRODUCTOS[#All],4)</f>
        <v>Papel Crepe c/Motivos</v>
      </c>
      <c r="C373" s="25" t="str">
        <f>VLOOKUP(TABLA_STOCK_LISTBOX[[#This Row],[Codigo]],LISTADO_PRODUCTOS[#All],5)</f>
        <v>N/A</v>
      </c>
      <c r="D373" s="25">
        <f>VLOOKUP(TABLA_STOCK_LISTBOX[[#This Row],[Codigo]],TABLA_STOCK[#All],6)</f>
        <v>2</v>
      </c>
      <c r="E373" s="25">
        <f>VLOOKUP(TABLA_STOCK_LISTBOX[[#This Row],[Codigo]],TABLA_STOCK[#All],7)</f>
        <v>107</v>
      </c>
    </row>
    <row r="374" spans="1:5" x14ac:dyDescent="0.3">
      <c r="A374" s="4">
        <v>2037</v>
      </c>
      <c r="B374" s="25" t="str">
        <f>VLOOKUP(TABLA_STOCK_LISTBOX[[#This Row],[Codigo]],LISTADO_PRODUCTOS[#All],4)</f>
        <v>Papel Crepe Bandera Argentina</v>
      </c>
      <c r="C374" s="25" t="str">
        <f>VLOOKUP(TABLA_STOCK_LISTBOX[[#This Row],[Codigo]],LISTADO_PRODUCTOS[#All],5)</f>
        <v>N/A</v>
      </c>
      <c r="D374" s="25">
        <f>VLOOKUP(TABLA_STOCK_LISTBOX[[#This Row],[Codigo]],TABLA_STOCK[#All],6)</f>
        <v>2</v>
      </c>
      <c r="E374" s="25">
        <f>VLOOKUP(TABLA_STOCK_LISTBOX[[#This Row],[Codigo]],TABLA_STOCK[#All],7)</f>
        <v>25</v>
      </c>
    </row>
    <row r="375" spans="1:5" x14ac:dyDescent="0.3">
      <c r="A375" s="4">
        <v>2038</v>
      </c>
      <c r="B375" s="25" t="str">
        <f>VLOOKUP(TABLA_STOCK_LISTBOX[[#This Row],[Codigo]],LISTADO_PRODUCTOS[#All],4)</f>
        <v>Papel de Forrar Muresco</v>
      </c>
      <c r="C375" s="25" t="str">
        <f>VLOOKUP(TABLA_STOCK_LISTBOX[[#This Row],[Codigo]],LISTADO_PRODUCTOS[#All],5)</f>
        <v>N/A</v>
      </c>
      <c r="D375" s="25">
        <f>VLOOKUP(TABLA_STOCK_LISTBOX[[#This Row],[Codigo]],TABLA_STOCK[#All],6)</f>
        <v>10</v>
      </c>
      <c r="E375" s="25">
        <f>VLOOKUP(TABLA_STOCK_LISTBOX[[#This Row],[Codigo]],TABLA_STOCK[#All],7)</f>
        <v>32</v>
      </c>
    </row>
    <row r="376" spans="1:5" x14ac:dyDescent="0.3">
      <c r="A376" s="4">
        <v>2039</v>
      </c>
      <c r="B376" s="25" t="str">
        <f>VLOOKUP(TABLA_STOCK_LISTBOX[[#This Row],[Codigo]],LISTADO_PRODUCTOS[#All],4)</f>
        <v>Papel de Forrar Comun</v>
      </c>
      <c r="C376" s="25" t="str">
        <f>VLOOKUP(TABLA_STOCK_LISTBOX[[#This Row],[Codigo]],LISTADO_PRODUCTOS[#All],5)</f>
        <v>N/A</v>
      </c>
      <c r="D376" s="25">
        <f>VLOOKUP(TABLA_STOCK_LISTBOX[[#This Row],[Codigo]],TABLA_STOCK[#All],6)</f>
        <v>20</v>
      </c>
      <c r="E376" s="25">
        <f>VLOOKUP(TABLA_STOCK_LISTBOX[[#This Row],[Codigo]],TABLA_STOCK[#All],7)</f>
        <v>150</v>
      </c>
    </row>
    <row r="377" spans="1:5" x14ac:dyDescent="0.3">
      <c r="A377" s="4">
        <v>2040</v>
      </c>
      <c r="B377" s="25" t="str">
        <f>VLOOKUP(TABLA_STOCK_LISTBOX[[#This Row],[Codigo]],LISTADO_PRODUCTOS[#All],4)</f>
        <v>Marcador UNI ORO P. MEDIANA</v>
      </c>
      <c r="C377" s="25" t="str">
        <f>VLOOKUP(TABLA_STOCK_LISTBOX[[#This Row],[Codigo]],LISTADO_PRODUCTOS[#All],5)</f>
        <v>N/A</v>
      </c>
      <c r="D377" s="25">
        <f>VLOOKUP(TABLA_STOCK_LISTBOX[[#This Row],[Codigo]],TABLA_STOCK[#All],6)</f>
        <v>5</v>
      </c>
      <c r="E377" s="25">
        <f>VLOOKUP(TABLA_STOCK_LISTBOX[[#This Row],[Codigo]],TABLA_STOCK[#All],7)</f>
        <v>20</v>
      </c>
    </row>
    <row r="378" spans="1:5" x14ac:dyDescent="0.3">
      <c r="A378" s="4">
        <v>2041</v>
      </c>
      <c r="B378" s="25" t="str">
        <f>VLOOKUP(TABLA_STOCK_LISTBOX[[#This Row],[Codigo]],LISTADO_PRODUCTOS[#All],4)</f>
        <v>Pinceleta Nª1</v>
      </c>
      <c r="C378" s="25" t="str">
        <f>VLOOKUP(TABLA_STOCK_LISTBOX[[#This Row],[Codigo]],LISTADO_PRODUCTOS[#All],5)</f>
        <v>N/A</v>
      </c>
      <c r="D378" s="25">
        <f>VLOOKUP(TABLA_STOCK_LISTBOX[[#This Row],[Codigo]],TABLA_STOCK[#All],6)</f>
        <v>1</v>
      </c>
      <c r="E378" s="25">
        <f>VLOOKUP(TABLA_STOCK_LISTBOX[[#This Row],[Codigo]],TABLA_STOCK[#All],7)</f>
        <v>19</v>
      </c>
    </row>
    <row r="379" spans="1:5" x14ac:dyDescent="0.3">
      <c r="A379" s="4">
        <v>2042</v>
      </c>
      <c r="B379" s="25" t="str">
        <f>VLOOKUP(TABLA_STOCK_LISTBOX[[#This Row],[Codigo]],LISTADO_PRODUCTOS[#All],4)</f>
        <v>Pinceleta Nª2</v>
      </c>
      <c r="C379" s="25" t="str">
        <f>VLOOKUP(TABLA_STOCK_LISTBOX[[#This Row],[Codigo]],LISTADO_PRODUCTOS[#All],5)</f>
        <v>N/A</v>
      </c>
      <c r="D379" s="25">
        <f>VLOOKUP(TABLA_STOCK_LISTBOX[[#This Row],[Codigo]],TABLA_STOCK[#All],6)</f>
        <v>5</v>
      </c>
      <c r="E379" s="25">
        <f>VLOOKUP(TABLA_STOCK_LISTBOX[[#This Row],[Codigo]],TABLA_STOCK[#All],7)</f>
        <v>6</v>
      </c>
    </row>
    <row r="380" spans="1:5" x14ac:dyDescent="0.3">
      <c r="A380" s="4">
        <v>2043</v>
      </c>
      <c r="B380" s="25" t="str">
        <f>VLOOKUP(TABLA_STOCK_LISTBOX[[#This Row],[Codigo]],LISTADO_PRODUCTOS[#All],4)</f>
        <v>Pinceleta Nª3</v>
      </c>
      <c r="C380" s="25" t="str">
        <f>VLOOKUP(TABLA_STOCK_LISTBOX[[#This Row],[Codigo]],LISTADO_PRODUCTOS[#All],5)</f>
        <v>N/A</v>
      </c>
      <c r="D380" s="25">
        <f>VLOOKUP(TABLA_STOCK_LISTBOX[[#This Row],[Codigo]],TABLA_STOCK[#All],6)</f>
        <v>2</v>
      </c>
      <c r="E380" s="25">
        <f>VLOOKUP(TABLA_STOCK_LISTBOX[[#This Row],[Codigo]],TABLA_STOCK[#All],7)</f>
        <v>5</v>
      </c>
    </row>
    <row r="381" spans="1:5" x14ac:dyDescent="0.3">
      <c r="A381" s="4">
        <v>2044</v>
      </c>
      <c r="B381" s="25" t="str">
        <f>VLOOKUP(TABLA_STOCK_LISTBOX[[#This Row],[Codigo]],LISTADO_PRODUCTOS[#All],4)</f>
        <v>Pinceleta Nª4</v>
      </c>
      <c r="C381" s="25" t="str">
        <f>VLOOKUP(TABLA_STOCK_LISTBOX[[#This Row],[Codigo]],LISTADO_PRODUCTOS[#All],5)</f>
        <v>N/A</v>
      </c>
      <c r="D381" s="25">
        <f>VLOOKUP(TABLA_STOCK_LISTBOX[[#This Row],[Codigo]],TABLA_STOCK[#All],6)</f>
        <v>10</v>
      </c>
      <c r="E381" s="25">
        <f>VLOOKUP(TABLA_STOCK_LISTBOX[[#This Row],[Codigo]],TABLA_STOCK[#All],7)</f>
        <v>52</v>
      </c>
    </row>
    <row r="382" spans="1:5" x14ac:dyDescent="0.3">
      <c r="A382" s="4">
        <v>2045</v>
      </c>
      <c r="B382" s="25" t="str">
        <f>VLOOKUP(TABLA_STOCK_LISTBOX[[#This Row],[Codigo]],LISTADO_PRODUCTOS[#All],4)</f>
        <v>Pinceleta Nº5</v>
      </c>
      <c r="C382" s="25" t="str">
        <f>VLOOKUP(TABLA_STOCK_LISTBOX[[#This Row],[Codigo]],LISTADO_PRODUCTOS[#All],5)</f>
        <v>N/A</v>
      </c>
      <c r="D382" s="25">
        <f>VLOOKUP(TABLA_STOCK_LISTBOX[[#This Row],[Codigo]],TABLA_STOCK[#All],6)</f>
        <v>20</v>
      </c>
      <c r="E382" s="25">
        <f>VLOOKUP(TABLA_STOCK_LISTBOX[[#This Row],[Codigo]],TABLA_STOCK[#All],7)</f>
        <v>32</v>
      </c>
    </row>
    <row r="383" spans="1:5" x14ac:dyDescent="0.3">
      <c r="A383" s="4">
        <v>2046</v>
      </c>
      <c r="B383" s="25" t="str">
        <f>VLOOKUP(TABLA_STOCK_LISTBOX[[#This Row],[Codigo]],LISTADO_PRODUCTOS[#All],4)</f>
        <v>Pinceleta Nº6</v>
      </c>
      <c r="C383" s="25" t="str">
        <f>VLOOKUP(TABLA_STOCK_LISTBOX[[#This Row],[Codigo]],LISTADO_PRODUCTOS[#All],5)</f>
        <v>N/A</v>
      </c>
      <c r="D383" s="25">
        <f>VLOOKUP(TABLA_STOCK_LISTBOX[[#This Row],[Codigo]],TABLA_STOCK[#All],6)</f>
        <v>5</v>
      </c>
      <c r="E383" s="25">
        <f>VLOOKUP(TABLA_STOCK_LISTBOX[[#This Row],[Codigo]],TABLA_STOCK[#All],7)</f>
        <v>56</v>
      </c>
    </row>
    <row r="384" spans="1:5" x14ac:dyDescent="0.3">
      <c r="A384" s="4">
        <v>2047</v>
      </c>
      <c r="B384" s="25" t="str">
        <f>VLOOKUP(TABLA_STOCK_LISTBOX[[#This Row],[Codigo]],LISTADO_PRODUCTOS[#All],4)</f>
        <v>Pinceleta Nº7</v>
      </c>
      <c r="C384" s="25" t="str">
        <f>VLOOKUP(TABLA_STOCK_LISTBOX[[#This Row],[Codigo]],LISTADO_PRODUCTOS[#All],5)</f>
        <v>N/A</v>
      </c>
      <c r="D384" s="25">
        <f>VLOOKUP(TABLA_STOCK_LISTBOX[[#This Row],[Codigo]],TABLA_STOCK[#All],6)</f>
        <v>1</v>
      </c>
      <c r="E384" s="25">
        <f>VLOOKUP(TABLA_STOCK_LISTBOX[[#This Row],[Codigo]],TABLA_STOCK[#All],7)</f>
        <v>107</v>
      </c>
    </row>
    <row r="385" spans="1:5" x14ac:dyDescent="0.3">
      <c r="A385" s="4">
        <v>2048</v>
      </c>
      <c r="B385" s="25" t="str">
        <f>VLOOKUP(TABLA_STOCK_LISTBOX[[#This Row],[Codigo]],LISTADO_PRODUCTOS[#All],4)</f>
        <v>Broches CBX madera natural 45mm x 35u</v>
      </c>
      <c r="C385" s="25" t="str">
        <f>VLOOKUP(TABLA_STOCK_LISTBOX[[#This Row],[Codigo]],LISTADO_PRODUCTOS[#All],5)</f>
        <v>N/A</v>
      </c>
      <c r="D385" s="25">
        <f>VLOOKUP(TABLA_STOCK_LISTBOX[[#This Row],[Codigo]],TABLA_STOCK[#All],6)</f>
        <v>5</v>
      </c>
      <c r="E385" s="25">
        <f>VLOOKUP(TABLA_STOCK_LISTBOX[[#This Row],[Codigo]],TABLA_STOCK[#All],7)</f>
        <v>25</v>
      </c>
    </row>
    <row r="386" spans="1:5" x14ac:dyDescent="0.3">
      <c r="A386" s="4">
        <v>2049</v>
      </c>
      <c r="B386" s="25" t="str">
        <f>VLOOKUP(TABLA_STOCK_LISTBOX[[#This Row],[Codigo]],LISTADO_PRODUCTOS[#All],4)</f>
        <v>Goma eva color comun</v>
      </c>
      <c r="C386" s="25" t="str">
        <f>VLOOKUP(TABLA_STOCK_LISTBOX[[#This Row],[Codigo]],LISTADO_PRODUCTOS[#All],5)</f>
        <v>N/A</v>
      </c>
      <c r="D386" s="25">
        <f>VLOOKUP(TABLA_STOCK_LISTBOX[[#This Row],[Codigo]],TABLA_STOCK[#All],6)</f>
        <v>2</v>
      </c>
      <c r="E386" s="25">
        <f>VLOOKUP(TABLA_STOCK_LISTBOX[[#This Row],[Codigo]],TABLA_STOCK[#All],7)</f>
        <v>32</v>
      </c>
    </row>
    <row r="387" spans="1:5" x14ac:dyDescent="0.3">
      <c r="A387" s="4">
        <v>2050</v>
      </c>
      <c r="B387" s="25" t="str">
        <f>VLOOKUP(TABLA_STOCK_LISTBOX[[#This Row],[Codigo]],LISTADO_PRODUCTOS[#All],4)</f>
        <v>Goma eva corrugada</v>
      </c>
      <c r="C387" s="25" t="str">
        <f>VLOOKUP(TABLA_STOCK_LISTBOX[[#This Row],[Codigo]],LISTADO_PRODUCTOS[#All],5)</f>
        <v>N/A</v>
      </c>
      <c r="D387" s="25">
        <f>VLOOKUP(TABLA_STOCK_LISTBOX[[#This Row],[Codigo]],TABLA_STOCK[#All],6)</f>
        <v>2</v>
      </c>
      <c r="E387" s="25">
        <f>VLOOKUP(TABLA_STOCK_LISTBOX[[#This Row],[Codigo]],TABLA_STOCK[#All],7)</f>
        <v>150</v>
      </c>
    </row>
    <row r="388" spans="1:5" x14ac:dyDescent="0.3">
      <c r="A388" s="4">
        <v>2051</v>
      </c>
      <c r="B388" s="25" t="str">
        <f>VLOOKUP(TABLA_STOCK_LISTBOX[[#This Row],[Codigo]],LISTADO_PRODUCTOS[#All],4)</f>
        <v>Goma Eva Super Glitter</v>
      </c>
      <c r="C388" s="25" t="str">
        <f>VLOOKUP(TABLA_STOCK_LISTBOX[[#This Row],[Codigo]],LISTADO_PRODUCTOS[#All],5)</f>
        <v>N/A</v>
      </c>
      <c r="D388" s="25">
        <f>VLOOKUP(TABLA_STOCK_LISTBOX[[#This Row],[Codigo]],TABLA_STOCK[#All],6)</f>
        <v>10</v>
      </c>
      <c r="E388" s="25">
        <f>VLOOKUP(TABLA_STOCK_LISTBOX[[#This Row],[Codigo]],TABLA_STOCK[#All],7)</f>
        <v>20</v>
      </c>
    </row>
    <row r="389" spans="1:5" x14ac:dyDescent="0.3">
      <c r="A389" s="4">
        <v>2052</v>
      </c>
      <c r="B389" s="25" t="str">
        <f>VLOOKUP(TABLA_STOCK_LISTBOX[[#This Row],[Codigo]],LISTADO_PRODUCTOS[#All],4)</f>
        <v>Resma A3 Autor 80gr</v>
      </c>
      <c r="C389" s="25" t="str">
        <f>VLOOKUP(TABLA_STOCK_LISTBOX[[#This Row],[Codigo]],LISTADO_PRODUCTOS[#All],5)</f>
        <v>N/A</v>
      </c>
      <c r="D389" s="25">
        <f>VLOOKUP(TABLA_STOCK_LISTBOX[[#This Row],[Codigo]],TABLA_STOCK[#All],6)</f>
        <v>20</v>
      </c>
      <c r="E389" s="25">
        <f>VLOOKUP(TABLA_STOCK_LISTBOX[[#This Row],[Codigo]],TABLA_STOCK[#All],7)</f>
        <v>9</v>
      </c>
    </row>
    <row r="390" spans="1:5" x14ac:dyDescent="0.3">
      <c r="A390" s="4">
        <v>2054</v>
      </c>
      <c r="B390" s="25" t="str">
        <f>VLOOKUP(TABLA_STOCK_LISTBOX[[#This Row],[Codigo]],LISTADO_PRODUCTOS[#All],4)</f>
        <v xml:space="preserve">Carton Corrugado Colores </v>
      </c>
      <c r="C390" s="25" t="str">
        <f>VLOOKUP(TABLA_STOCK_LISTBOX[[#This Row],[Codigo]],LISTADO_PRODUCTOS[#All],5)</f>
        <v>N/A</v>
      </c>
      <c r="D390" s="25">
        <f>VLOOKUP(TABLA_STOCK_LISTBOX[[#This Row],[Codigo]],TABLA_STOCK[#All],6)</f>
        <v>5</v>
      </c>
      <c r="E390" s="25">
        <f>VLOOKUP(TABLA_STOCK_LISTBOX[[#This Row],[Codigo]],TABLA_STOCK[#All],7)</f>
        <v>6</v>
      </c>
    </row>
    <row r="391" spans="1:5" x14ac:dyDescent="0.3">
      <c r="A391" s="4">
        <v>2055</v>
      </c>
      <c r="B391" s="25" t="str">
        <f>VLOOKUP(TABLA_STOCK_LISTBOX[[#This Row],[Codigo]],LISTADO_PRODUCTOS[#All],4)</f>
        <v>Carton Corrugado Kraft</v>
      </c>
      <c r="C391" s="25" t="str">
        <f>VLOOKUP(TABLA_STOCK_LISTBOX[[#This Row],[Codigo]],LISTADO_PRODUCTOS[#All],5)</f>
        <v>N/A</v>
      </c>
      <c r="D391" s="25">
        <f>VLOOKUP(TABLA_STOCK_LISTBOX[[#This Row],[Codigo]],TABLA_STOCK[#All],6)</f>
        <v>1</v>
      </c>
      <c r="E391" s="25">
        <f>VLOOKUP(TABLA_STOCK_LISTBOX[[#This Row],[Codigo]],TABLA_STOCK[#All],7)</f>
        <v>5</v>
      </c>
    </row>
    <row r="392" spans="1:5" x14ac:dyDescent="0.3">
      <c r="A392" s="4">
        <v>2058</v>
      </c>
      <c r="B392" s="25" t="str">
        <f>VLOOKUP(TABLA_STOCK_LISTBOX[[#This Row],[Codigo]],LISTADO_PRODUCTOS[#All],4)</f>
        <v>Cartulina Hologlitter x plancha</v>
      </c>
      <c r="C392" s="25" t="str">
        <f>VLOOKUP(TABLA_STOCK_LISTBOX[[#This Row],[Codigo]],LISTADO_PRODUCTOS[#All],5)</f>
        <v>N/A</v>
      </c>
      <c r="D392" s="25">
        <f>VLOOKUP(TABLA_STOCK_LISTBOX[[#This Row],[Codigo]],TABLA_STOCK[#All],6)</f>
        <v>5</v>
      </c>
      <c r="E392" s="25">
        <f>VLOOKUP(TABLA_STOCK_LISTBOX[[#This Row],[Codigo]],TABLA_STOCK[#All],7)</f>
        <v>52</v>
      </c>
    </row>
    <row r="393" spans="1:5" x14ac:dyDescent="0.3">
      <c r="A393" s="4">
        <v>2059</v>
      </c>
      <c r="B393" s="25" t="str">
        <f>VLOOKUP(TABLA_STOCK_LISTBOX[[#This Row],[Codigo]],LISTADO_PRODUCTOS[#All],4)</f>
        <v>Papel Barrilete</v>
      </c>
      <c r="C393" s="25" t="str">
        <f>VLOOKUP(TABLA_STOCK_LISTBOX[[#This Row],[Codigo]],LISTADO_PRODUCTOS[#All],5)</f>
        <v>N/A</v>
      </c>
      <c r="D393" s="25">
        <f>VLOOKUP(TABLA_STOCK_LISTBOX[[#This Row],[Codigo]],TABLA_STOCK[#All],6)</f>
        <v>2</v>
      </c>
      <c r="E393" s="25">
        <f>VLOOKUP(TABLA_STOCK_LISTBOX[[#This Row],[Codigo]],TABLA_STOCK[#All],7)</f>
        <v>32</v>
      </c>
    </row>
    <row r="394" spans="1:5" x14ac:dyDescent="0.3">
      <c r="A394" s="4">
        <v>2060</v>
      </c>
      <c r="B394" s="25" t="str">
        <f>VLOOKUP(TABLA_STOCK_LISTBOX[[#This Row],[Codigo]],LISTADO_PRODUCTOS[#All],4)</f>
        <v>Papel Barrilete</v>
      </c>
      <c r="C394" s="25" t="str">
        <f>VLOOKUP(TABLA_STOCK_LISTBOX[[#This Row],[Codigo]],LISTADO_PRODUCTOS[#All],5)</f>
        <v>N/A</v>
      </c>
      <c r="D394" s="25">
        <f>VLOOKUP(TABLA_STOCK_LISTBOX[[#This Row],[Codigo]],TABLA_STOCK[#All],6)</f>
        <v>2</v>
      </c>
      <c r="E394" s="25">
        <f>VLOOKUP(TABLA_STOCK_LISTBOX[[#This Row],[Codigo]],TABLA_STOCK[#All],7)</f>
        <v>56</v>
      </c>
    </row>
    <row r="395" spans="1:5" x14ac:dyDescent="0.3">
      <c r="A395" s="4">
        <v>2062</v>
      </c>
      <c r="B395" s="25" t="str">
        <f>VLOOKUP(TABLA_STOCK_LISTBOX[[#This Row],[Codigo]],LISTADO_PRODUCTOS[#All],4)</f>
        <v>Papel de regalo Muresco</v>
      </c>
      <c r="C395" s="25" t="str">
        <f>VLOOKUP(TABLA_STOCK_LISTBOX[[#This Row],[Codigo]],LISTADO_PRODUCTOS[#All],5)</f>
        <v>N/A</v>
      </c>
      <c r="D395" s="25">
        <f>VLOOKUP(TABLA_STOCK_LISTBOX[[#This Row],[Codigo]],TABLA_STOCK[#All],6)</f>
        <v>10</v>
      </c>
      <c r="E395" s="25">
        <f>VLOOKUP(TABLA_STOCK_LISTBOX[[#This Row],[Codigo]],TABLA_STOCK[#All],7)</f>
        <v>107</v>
      </c>
    </row>
    <row r="396" spans="1:5" x14ac:dyDescent="0.3">
      <c r="A396" s="4">
        <v>2064</v>
      </c>
      <c r="B396" s="25" t="str">
        <f>VLOOKUP(TABLA_STOCK_LISTBOX[[#This Row],[Codigo]],LISTADO_PRODUCTOS[#All],4)</f>
        <v>Cinta Scotch 12 mm x 30mt Cablefix</v>
      </c>
      <c r="C396" s="25" t="str">
        <f>VLOOKUP(TABLA_STOCK_LISTBOX[[#This Row],[Codigo]],LISTADO_PRODUCTOS[#All],5)</f>
        <v>N/A</v>
      </c>
      <c r="D396" s="25">
        <f>VLOOKUP(TABLA_STOCK_LISTBOX[[#This Row],[Codigo]],TABLA_STOCK[#All],6)</f>
        <v>20</v>
      </c>
      <c r="E396" s="25">
        <f>VLOOKUP(TABLA_STOCK_LISTBOX[[#This Row],[Codigo]],TABLA_STOCK[#All],7)</f>
        <v>25</v>
      </c>
    </row>
    <row r="397" spans="1:5" x14ac:dyDescent="0.3">
      <c r="A397" s="4">
        <v>2065</v>
      </c>
      <c r="B397" s="25" t="str">
        <f>VLOOKUP(TABLA_STOCK_LISTBOX[[#This Row],[Codigo]],LISTADO_PRODUCTOS[#All],4)</f>
        <v>Banditas elasticas  caja x 250gr</v>
      </c>
      <c r="C397" s="25" t="str">
        <f>VLOOKUP(TABLA_STOCK_LISTBOX[[#This Row],[Codigo]],LISTADO_PRODUCTOS[#All],5)</f>
        <v>N/A</v>
      </c>
      <c r="D397" s="25">
        <f>VLOOKUP(TABLA_STOCK_LISTBOX[[#This Row],[Codigo]],TABLA_STOCK[#All],6)</f>
        <v>5</v>
      </c>
      <c r="E397" s="25">
        <f>VLOOKUP(TABLA_STOCK_LISTBOX[[#This Row],[Codigo]],TABLA_STOCK[#All],7)</f>
        <v>32</v>
      </c>
    </row>
    <row r="398" spans="1:5" x14ac:dyDescent="0.3">
      <c r="A398" s="4">
        <v>2066</v>
      </c>
      <c r="B398" s="25" t="str">
        <f>VLOOKUP(TABLA_STOCK_LISTBOX[[#This Row],[Codigo]],LISTADO_PRODUCTOS[#All],4)</f>
        <v>Banditas elasticas caja x 50gr</v>
      </c>
      <c r="C398" s="25" t="str">
        <f>VLOOKUP(TABLA_STOCK_LISTBOX[[#This Row],[Codigo]],LISTADO_PRODUCTOS[#All],5)</f>
        <v>N/A</v>
      </c>
      <c r="D398" s="25">
        <f>VLOOKUP(TABLA_STOCK_LISTBOX[[#This Row],[Codigo]],TABLA_STOCK[#All],6)</f>
        <v>1</v>
      </c>
      <c r="E398" s="25">
        <f>VLOOKUP(TABLA_STOCK_LISTBOX[[#This Row],[Codigo]],TABLA_STOCK[#All],7)</f>
        <v>150</v>
      </c>
    </row>
    <row r="399" spans="1:5" x14ac:dyDescent="0.3">
      <c r="A399" s="4">
        <v>2067</v>
      </c>
      <c r="B399" s="25" t="str">
        <f>VLOOKUP(TABLA_STOCK_LISTBOX[[#This Row],[Codigo]],LISTADO_PRODUCTOS[#All],4)</f>
        <v>Broche metalizado madera CBX m35mm x 25u</v>
      </c>
      <c r="C399" s="25" t="str">
        <f>VLOOKUP(TABLA_STOCK_LISTBOX[[#This Row],[Codigo]],LISTADO_PRODUCTOS[#All],5)</f>
        <v>N/A</v>
      </c>
      <c r="D399" s="25">
        <f>VLOOKUP(TABLA_STOCK_LISTBOX[[#This Row],[Codigo]],TABLA_STOCK[#All],6)</f>
        <v>5</v>
      </c>
      <c r="E399" s="25">
        <f>VLOOKUP(TABLA_STOCK_LISTBOX[[#This Row],[Codigo]],TABLA_STOCK[#All],7)</f>
        <v>20</v>
      </c>
    </row>
    <row r="400" spans="1:5" x14ac:dyDescent="0.3">
      <c r="A400" s="4">
        <v>2072</v>
      </c>
      <c r="B400" s="25" t="str">
        <f>VLOOKUP(TABLA_STOCK_LISTBOX[[#This Row],[Codigo]],LISTADO_PRODUCTOS[#All],4)</f>
        <v>Plastilina Tintoretto x 10u</v>
      </c>
      <c r="C400" s="25" t="str">
        <f>VLOOKUP(TABLA_STOCK_LISTBOX[[#This Row],[Codigo]],LISTADO_PRODUCTOS[#All],5)</f>
        <v>N/A</v>
      </c>
      <c r="D400" s="25">
        <f>VLOOKUP(TABLA_STOCK_LISTBOX[[#This Row],[Codigo]],TABLA_STOCK[#All],6)</f>
        <v>2</v>
      </c>
      <c r="E400" s="25">
        <f>VLOOKUP(TABLA_STOCK_LISTBOX[[#This Row],[Codigo]],TABLA_STOCK[#All],7)</f>
        <v>19</v>
      </c>
    </row>
    <row r="401" spans="1:5" x14ac:dyDescent="0.3">
      <c r="A401" s="4">
        <v>2075</v>
      </c>
      <c r="B401" s="25" t="str">
        <f>VLOOKUP(TABLA_STOCK_LISTBOX[[#This Row],[Codigo]],LISTADO_PRODUCTOS[#All],4)</f>
        <v>Plastilina Maped x 6u</v>
      </c>
      <c r="C401" s="25" t="str">
        <f>VLOOKUP(TABLA_STOCK_LISTBOX[[#This Row],[Codigo]],LISTADO_PRODUCTOS[#All],5)</f>
        <v>N/A</v>
      </c>
      <c r="D401" s="25">
        <f>VLOOKUP(TABLA_STOCK_LISTBOX[[#This Row],[Codigo]],TABLA_STOCK[#All],6)</f>
        <v>2</v>
      </c>
      <c r="E401" s="25">
        <f>VLOOKUP(TABLA_STOCK_LISTBOX[[#This Row],[Codigo]],TABLA_STOCK[#All],7)</f>
        <v>6</v>
      </c>
    </row>
    <row r="402" spans="1:5" x14ac:dyDescent="0.3">
      <c r="A402" s="4">
        <v>2076</v>
      </c>
      <c r="B402" s="25" t="str">
        <f>VLOOKUP(TABLA_STOCK_LISTBOX[[#This Row],[Codigo]],LISTADO_PRODUCTOS[#All],4)</f>
        <v>Tempera Alba magic/Playcolor x10u</v>
      </c>
      <c r="C402" s="25" t="str">
        <f>VLOOKUP(TABLA_STOCK_LISTBOX[[#This Row],[Codigo]],LISTADO_PRODUCTOS[#All],5)</f>
        <v>N/A</v>
      </c>
      <c r="D402" s="25">
        <f>VLOOKUP(TABLA_STOCK_LISTBOX[[#This Row],[Codigo]],TABLA_STOCK[#All],6)</f>
        <v>10</v>
      </c>
      <c r="E402" s="25">
        <f>VLOOKUP(TABLA_STOCK_LISTBOX[[#This Row],[Codigo]],TABLA_STOCK[#All],7)</f>
        <v>5</v>
      </c>
    </row>
    <row r="403" spans="1:5" x14ac:dyDescent="0.3">
      <c r="A403" s="4">
        <v>2079</v>
      </c>
      <c r="B403" s="25" t="str">
        <f>VLOOKUP(TABLA_STOCK_LISTBOX[[#This Row],[Codigo]],LISTADO_PRODUCTOS[#All],4)</f>
        <v>Tempera Alba x170gr</v>
      </c>
      <c r="C403" s="25" t="str">
        <f>VLOOKUP(TABLA_STOCK_LISTBOX[[#This Row],[Codigo]],LISTADO_PRODUCTOS[#All],5)</f>
        <v>N/A</v>
      </c>
      <c r="D403" s="25">
        <f>VLOOKUP(TABLA_STOCK_LISTBOX[[#This Row],[Codigo]],TABLA_STOCK[#All],6)</f>
        <v>20</v>
      </c>
      <c r="E403" s="25">
        <f>VLOOKUP(TABLA_STOCK_LISTBOX[[#This Row],[Codigo]],TABLA_STOCK[#All],7)</f>
        <v>52</v>
      </c>
    </row>
    <row r="404" spans="1:5" x14ac:dyDescent="0.3">
      <c r="A404" s="4">
        <v>2089</v>
      </c>
      <c r="B404" s="25" t="str">
        <f>VLOOKUP(TABLA_STOCK_LISTBOX[[#This Row],[Codigo]],LISTADO_PRODUCTOS[#All],4)</f>
        <v>Pistolita de silicona Liggo garnde barra gruesa 40w</v>
      </c>
      <c r="C404" s="25" t="str">
        <f>VLOOKUP(TABLA_STOCK_LISTBOX[[#This Row],[Codigo]],LISTADO_PRODUCTOS[#All],5)</f>
        <v>N/A</v>
      </c>
      <c r="D404" s="25">
        <f>VLOOKUP(TABLA_STOCK_LISTBOX[[#This Row],[Codigo]],TABLA_STOCK[#All],6)</f>
        <v>5</v>
      </c>
      <c r="E404" s="25">
        <f>VLOOKUP(TABLA_STOCK_LISTBOX[[#This Row],[Codigo]],TABLA_STOCK[#All],7)</f>
        <v>32</v>
      </c>
    </row>
    <row r="405" spans="1:5" x14ac:dyDescent="0.3">
      <c r="A405" s="4">
        <v>2091</v>
      </c>
      <c r="B405" s="25" t="str">
        <f>VLOOKUP(TABLA_STOCK_LISTBOX[[#This Row],[Codigo]],LISTADO_PRODUCTOS[#All],4)</f>
        <v>Pistolita encoladora chica 7mm LIGGO 10W</v>
      </c>
      <c r="C405" s="25" t="str">
        <f>VLOOKUP(TABLA_STOCK_LISTBOX[[#This Row],[Codigo]],LISTADO_PRODUCTOS[#All],5)</f>
        <v>N/A</v>
      </c>
      <c r="D405" s="25">
        <f>VLOOKUP(TABLA_STOCK_LISTBOX[[#This Row],[Codigo]],TABLA_STOCK[#All],6)</f>
        <v>1</v>
      </c>
      <c r="E405" s="25">
        <f>VLOOKUP(TABLA_STOCK_LISTBOX[[#This Row],[Codigo]],TABLA_STOCK[#All],7)</f>
        <v>56</v>
      </c>
    </row>
    <row r="406" spans="1:5" x14ac:dyDescent="0.3">
      <c r="A406" s="4">
        <v>2093</v>
      </c>
      <c r="B406" s="25" t="str">
        <f>VLOOKUP(TABLA_STOCK_LISTBOX[[#This Row],[Codigo]],LISTADO_PRODUCTOS[#All],4)</f>
        <v>Pintura p/Tela</v>
      </c>
      <c r="C406" s="25" t="str">
        <f>VLOOKUP(TABLA_STOCK_LISTBOX[[#This Row],[Codigo]],LISTADO_PRODUCTOS[#All],5)</f>
        <v>N/A</v>
      </c>
      <c r="D406" s="25">
        <f>VLOOKUP(TABLA_STOCK_LISTBOX[[#This Row],[Codigo]],TABLA_STOCK[#All],6)</f>
        <v>5</v>
      </c>
      <c r="E406" s="25">
        <f>VLOOKUP(TABLA_STOCK_LISTBOX[[#This Row],[Codigo]],TABLA_STOCK[#All],7)</f>
        <v>107</v>
      </c>
    </row>
    <row r="407" spans="1:5" x14ac:dyDescent="0.3">
      <c r="A407" s="4">
        <v>2094</v>
      </c>
      <c r="B407" s="25" t="str">
        <f>VLOOKUP(TABLA_STOCK_LISTBOX[[#This Row],[Codigo]],LISTADO_PRODUCTOS[#All],4)</f>
        <v>Acrilico EQ Arte 50cc</v>
      </c>
      <c r="C407" s="25" t="str">
        <f>VLOOKUP(TABLA_STOCK_LISTBOX[[#This Row],[Codigo]],LISTADO_PRODUCTOS[#All],5)</f>
        <v>N/A</v>
      </c>
      <c r="D407" s="25">
        <f>VLOOKUP(TABLA_STOCK_LISTBOX[[#This Row],[Codigo]],TABLA_STOCK[#All],6)</f>
        <v>2</v>
      </c>
      <c r="E407" s="25">
        <f>VLOOKUP(TABLA_STOCK_LISTBOX[[#This Row],[Codigo]],TABLA_STOCK[#All],7)</f>
        <v>25</v>
      </c>
    </row>
    <row r="408" spans="1:5" x14ac:dyDescent="0.3">
      <c r="A408" s="4">
        <v>2096</v>
      </c>
      <c r="B408" s="25" t="str">
        <f>VLOOKUP(TABLA_STOCK_LISTBOX[[#This Row],[Codigo]],LISTADO_PRODUCTOS[#All],4)</f>
        <v>Brillo en tarro Sifap 25gr</v>
      </c>
      <c r="C408" s="25" t="str">
        <f>VLOOKUP(TABLA_STOCK_LISTBOX[[#This Row],[Codigo]],LISTADO_PRODUCTOS[#All],5)</f>
        <v>N/A</v>
      </c>
      <c r="D408" s="25">
        <f>VLOOKUP(TABLA_STOCK_LISTBOX[[#This Row],[Codigo]],TABLA_STOCK[#All],6)</f>
        <v>10</v>
      </c>
      <c r="E408" s="25">
        <f>VLOOKUP(TABLA_STOCK_LISTBOX[[#This Row],[Codigo]],TABLA_STOCK[#All],7)</f>
        <v>32</v>
      </c>
    </row>
    <row r="409" spans="1:5" x14ac:dyDescent="0.3">
      <c r="A409" s="4">
        <v>2097</v>
      </c>
      <c r="B409" s="25" t="str">
        <f>VLOOKUP(TABLA_STOCK_LISTBOX[[#This Row],[Codigo]],LISTADO_PRODUCTOS[#All],4)</f>
        <v>Arcilla natural (color gris) Sifap x 300gr</v>
      </c>
      <c r="C409" s="25" t="str">
        <f>VLOOKUP(TABLA_STOCK_LISTBOX[[#This Row],[Codigo]],LISTADO_PRODUCTOS[#All],5)</f>
        <v>N/A</v>
      </c>
      <c r="D409" s="25">
        <f>VLOOKUP(TABLA_STOCK_LISTBOX[[#This Row],[Codigo]],TABLA_STOCK[#All],6)</f>
        <v>20</v>
      </c>
      <c r="E409" s="25">
        <f>VLOOKUP(TABLA_STOCK_LISTBOX[[#This Row],[Codigo]],TABLA_STOCK[#All],7)</f>
        <v>150</v>
      </c>
    </row>
    <row r="410" spans="1:5" x14ac:dyDescent="0.3">
      <c r="A410" s="4">
        <v>2262</v>
      </c>
      <c r="B410" s="25" t="str">
        <f>VLOOKUP(TABLA_STOCK_LISTBOX[[#This Row],[Codigo]],LISTADO_PRODUCTOS[#All],4)</f>
        <v>Acuarela Filgo x 12u</v>
      </c>
      <c r="C410" s="25" t="str">
        <f>VLOOKUP(TABLA_STOCK_LISTBOX[[#This Row],[Codigo]],LISTADO_PRODUCTOS[#All],5)</f>
        <v>N/A</v>
      </c>
      <c r="D410" s="25">
        <f>VLOOKUP(TABLA_STOCK_LISTBOX[[#This Row],[Codigo]],TABLA_STOCK[#All],6)</f>
        <v>2</v>
      </c>
      <c r="E410" s="25">
        <f>VLOOKUP(TABLA_STOCK_LISTBOX[[#This Row],[Codigo]],TABLA_STOCK[#All],7)</f>
        <v>32</v>
      </c>
    </row>
    <row r="411" spans="1:5" x14ac:dyDescent="0.3">
      <c r="A411" s="4">
        <v>2102</v>
      </c>
      <c r="B411" s="25" t="str">
        <f>VLOOKUP(TABLA_STOCK_LISTBOX[[#This Row],[Codigo]],LISTADO_PRODUCTOS[#All],4)</f>
        <v>Arcilla natural (color gris) Sifap x 300gr</v>
      </c>
      <c r="C411" s="25" t="str">
        <f>VLOOKUP(TABLA_STOCK_LISTBOX[[#This Row],[Codigo]],LISTADO_PRODUCTOS[#All],5)</f>
        <v>N/A</v>
      </c>
      <c r="D411" s="25">
        <f>VLOOKUP(TABLA_STOCK_LISTBOX[[#This Row],[Codigo]],TABLA_STOCK[#All],6)</f>
        <v>20</v>
      </c>
      <c r="E411" s="25">
        <f>VLOOKUP(TABLA_STOCK_LISTBOX[[#This Row],[Codigo]],TABLA_STOCK[#All],7)</f>
        <v>150</v>
      </c>
    </row>
    <row r="412" spans="1:5" x14ac:dyDescent="0.3">
      <c r="A412" s="4">
        <v>2103</v>
      </c>
      <c r="B412" s="25" t="str">
        <f>VLOOKUP(TABLA_STOCK_LISTBOX[[#This Row],[Codigo]],LISTADO_PRODUCTOS[#All],4)</f>
        <v>Pistola para silicona fina Suprabond Hx-100 diseños especiales</v>
      </c>
      <c r="C412" s="25" t="str">
        <f>VLOOKUP(TABLA_STOCK_LISTBOX[[#This Row],[Codigo]],LISTADO_PRODUCTOS[#All],5)</f>
        <v>N/A</v>
      </c>
      <c r="D412" s="25">
        <f>VLOOKUP(TABLA_STOCK_LISTBOX[[#This Row],[Codigo]],TABLA_STOCK[#All],6)</f>
        <v>5</v>
      </c>
      <c r="E412" s="25">
        <f>VLOOKUP(TABLA_STOCK_LISTBOX[[#This Row],[Codigo]],TABLA_STOCK[#All],7)</f>
        <v>6</v>
      </c>
    </row>
    <row r="413" spans="1:5" x14ac:dyDescent="0.3">
      <c r="A413" s="4">
        <v>2104</v>
      </c>
      <c r="B413" s="25" t="str">
        <f>VLOOKUP(TABLA_STOCK_LISTBOX[[#This Row],[Codigo]],LISTADO_PRODUCTOS[#All],4)</f>
        <v>Pistola para silicona gruesa Suprabond</v>
      </c>
      <c r="C413" s="25" t="str">
        <f>VLOOKUP(TABLA_STOCK_LISTBOX[[#This Row],[Codigo]],LISTADO_PRODUCTOS[#All],5)</f>
        <v>N/A</v>
      </c>
      <c r="D413" s="25">
        <f>VLOOKUP(TABLA_STOCK_LISTBOX[[#This Row],[Codigo]],TABLA_STOCK[#All],6)</f>
        <v>2</v>
      </c>
      <c r="E413" s="25">
        <f>VLOOKUP(TABLA_STOCK_LISTBOX[[#This Row],[Codigo]],TABLA_STOCK[#All],7)</f>
        <v>5</v>
      </c>
    </row>
    <row r="414" spans="1:5" x14ac:dyDescent="0.3">
      <c r="A414" s="4">
        <v>2105</v>
      </c>
      <c r="B414" s="25" t="str">
        <f>VLOOKUP(TABLA_STOCK_LISTBOX[[#This Row],[Codigo]],LISTADO_PRODUCTOS[#All],4)</f>
        <v>Yeso Paris</v>
      </c>
      <c r="C414" s="25" t="str">
        <f>VLOOKUP(TABLA_STOCK_LISTBOX[[#This Row],[Codigo]],LISTADO_PRODUCTOS[#All],5)</f>
        <v>N/A</v>
      </c>
      <c r="D414" s="25">
        <f>VLOOKUP(TABLA_STOCK_LISTBOX[[#This Row],[Codigo]],TABLA_STOCK[#All],6)</f>
        <v>2</v>
      </c>
      <c r="E414" s="25">
        <f>VLOOKUP(TABLA_STOCK_LISTBOX[[#This Row],[Codigo]],TABLA_STOCK[#All],7)</f>
        <v>52</v>
      </c>
    </row>
    <row r="415" spans="1:5" x14ac:dyDescent="0.3">
      <c r="A415" s="4">
        <v>2106</v>
      </c>
      <c r="B415" s="25" t="str">
        <f>VLOOKUP(TABLA_STOCK_LISTBOX[[#This Row],[Codigo]],LISTADO_PRODUCTOS[#All],4)</f>
        <v>Silicona Liquida Unipox ge 24ml</v>
      </c>
      <c r="C415" s="25" t="str">
        <f>VLOOKUP(TABLA_STOCK_LISTBOX[[#This Row],[Codigo]],LISTADO_PRODUCTOS[#All],5)</f>
        <v>N/A</v>
      </c>
      <c r="D415" s="25">
        <f>VLOOKUP(TABLA_STOCK_LISTBOX[[#This Row],[Codigo]],TABLA_STOCK[#All],6)</f>
        <v>10</v>
      </c>
      <c r="E415" s="25">
        <f>VLOOKUP(TABLA_STOCK_LISTBOX[[#This Row],[Codigo]],TABLA_STOCK[#All],7)</f>
        <v>32</v>
      </c>
    </row>
    <row r="416" spans="1:5" x14ac:dyDescent="0.3">
      <c r="A416" s="4">
        <v>2108</v>
      </c>
      <c r="B416" s="25" t="str">
        <f>VLOOKUP(TABLA_STOCK_LISTBOX[[#This Row],[Codigo]],LISTADO_PRODUCTOS[#All],4)</f>
        <v>Brillantina Gibre Sifap blister x 5u</v>
      </c>
      <c r="C416" s="25" t="str">
        <f>VLOOKUP(TABLA_STOCK_LISTBOX[[#This Row],[Codigo]],LISTADO_PRODUCTOS[#All],5)</f>
        <v>N/A</v>
      </c>
      <c r="D416" s="25">
        <f>VLOOKUP(TABLA_STOCK_LISTBOX[[#This Row],[Codigo]],TABLA_STOCK[#All],6)</f>
        <v>20</v>
      </c>
      <c r="E416" s="25">
        <f>VLOOKUP(TABLA_STOCK_LISTBOX[[#This Row],[Codigo]],TABLA_STOCK[#All],7)</f>
        <v>56</v>
      </c>
    </row>
    <row r="417" spans="1:5" x14ac:dyDescent="0.3">
      <c r="A417" s="4">
        <v>2109</v>
      </c>
      <c r="B417" s="25" t="str">
        <f>VLOOKUP(TABLA_STOCK_LISTBOX[[#This Row],[Codigo]],LISTADO_PRODUCTOS[#All],4)</f>
        <v>Chinche Forrada Sifap x 80u</v>
      </c>
      <c r="C417" s="25" t="str">
        <f>VLOOKUP(TABLA_STOCK_LISTBOX[[#This Row],[Codigo]],LISTADO_PRODUCTOS[#All],5)</f>
        <v>N/A</v>
      </c>
      <c r="D417" s="25">
        <f>VLOOKUP(TABLA_STOCK_LISTBOX[[#This Row],[Codigo]],TABLA_STOCK[#All],6)</f>
        <v>5</v>
      </c>
      <c r="E417" s="25">
        <f>VLOOKUP(TABLA_STOCK_LISTBOX[[#This Row],[Codigo]],TABLA_STOCK[#All],7)</f>
        <v>107</v>
      </c>
    </row>
    <row r="418" spans="1:5" x14ac:dyDescent="0.3">
      <c r="A418" s="4">
        <v>2111</v>
      </c>
      <c r="B418" s="25" t="str">
        <f>VLOOKUP(TABLA_STOCK_LISTBOX[[#This Row],[Codigo]],LISTADO_PRODUCTOS[#All],4)</f>
        <v>Sobre carta chico blanco</v>
      </c>
      <c r="C418" s="25" t="str">
        <f>VLOOKUP(TABLA_STOCK_LISTBOX[[#This Row],[Codigo]],LISTADO_PRODUCTOS[#All],5)</f>
        <v>N/A</v>
      </c>
      <c r="D418" s="25">
        <f>VLOOKUP(TABLA_STOCK_LISTBOX[[#This Row],[Codigo]],TABLA_STOCK[#All],6)</f>
        <v>1</v>
      </c>
      <c r="E418" s="25">
        <f>VLOOKUP(TABLA_STOCK_LISTBOX[[#This Row],[Codigo]],TABLA_STOCK[#All],7)</f>
        <v>25</v>
      </c>
    </row>
    <row r="419" spans="1:5" x14ac:dyDescent="0.3">
      <c r="A419" s="4">
        <v>2113</v>
      </c>
      <c r="B419" s="25" t="str">
        <f>VLOOKUP(TABLA_STOCK_LISTBOX[[#This Row],[Codigo]],LISTADO_PRODUCTOS[#All],4)</f>
        <v>Sobre Oficio ingles Blanco</v>
      </c>
      <c r="C419" s="25" t="str">
        <f>VLOOKUP(TABLA_STOCK_LISTBOX[[#This Row],[Codigo]],LISTADO_PRODUCTOS[#All],5)</f>
        <v>N/A</v>
      </c>
      <c r="D419" s="25">
        <f>VLOOKUP(TABLA_STOCK_LISTBOX[[#This Row],[Codigo]],TABLA_STOCK[#All],6)</f>
        <v>5</v>
      </c>
      <c r="E419" s="25">
        <f>VLOOKUP(TABLA_STOCK_LISTBOX[[#This Row],[Codigo]],TABLA_STOCK[#All],7)</f>
        <v>32</v>
      </c>
    </row>
    <row r="420" spans="1:5" x14ac:dyDescent="0.3">
      <c r="A420" s="4">
        <v>2114</v>
      </c>
      <c r="B420" s="25" t="str">
        <f>VLOOKUP(TABLA_STOCK_LISTBOX[[#This Row],[Codigo]],LISTADO_PRODUCTOS[#All],4)</f>
        <v>Cinta de embalar 48mm x 100mts</v>
      </c>
      <c r="C420" s="25" t="str">
        <f>VLOOKUP(TABLA_STOCK_LISTBOX[[#This Row],[Codigo]],LISTADO_PRODUCTOS[#All],5)</f>
        <v>N/A</v>
      </c>
      <c r="D420" s="25">
        <f>VLOOKUP(TABLA_STOCK_LISTBOX[[#This Row],[Codigo]],TABLA_STOCK[#All],6)</f>
        <v>2</v>
      </c>
      <c r="E420" s="25">
        <f>VLOOKUP(TABLA_STOCK_LISTBOX[[#This Row],[Codigo]],TABLA_STOCK[#All],7)</f>
        <v>150</v>
      </c>
    </row>
    <row r="421" spans="1:5" x14ac:dyDescent="0.3">
      <c r="A421" s="4">
        <v>2115</v>
      </c>
      <c r="B421" s="25" t="str">
        <f>VLOOKUP(TABLA_STOCK_LISTBOX[[#This Row],[Codigo]],LISTADO_PRODUCTOS[#All],4)</f>
        <v>Imanes Flexibles autoadhesivos A4 Sifap x plancha</v>
      </c>
      <c r="C421" s="25" t="str">
        <f>VLOOKUP(TABLA_STOCK_LISTBOX[[#This Row],[Codigo]],LISTADO_PRODUCTOS[#All],5)</f>
        <v>N/A</v>
      </c>
      <c r="D421" s="25">
        <f>VLOOKUP(TABLA_STOCK_LISTBOX[[#This Row],[Codigo]],TABLA_STOCK[#All],6)</f>
        <v>2</v>
      </c>
      <c r="E421" s="25">
        <f>VLOOKUP(TABLA_STOCK_LISTBOX[[#This Row],[Codigo]],TABLA_STOCK[#All],7)</f>
        <v>20</v>
      </c>
    </row>
    <row r="422" spans="1:5" x14ac:dyDescent="0.3">
      <c r="A422" s="4">
        <v>2119</v>
      </c>
      <c r="B422" s="25" t="str">
        <f>VLOOKUP(TABLA_STOCK_LISTBOX[[#This Row],[Codigo]],LISTADO_PRODUCTOS[#All],4)</f>
        <v>Adhesivo en barra Ezco 21grs</v>
      </c>
      <c r="C422" s="25" t="str">
        <f>VLOOKUP(TABLA_STOCK_LISTBOX[[#This Row],[Codigo]],LISTADO_PRODUCTOS[#All],5)</f>
        <v>N/A</v>
      </c>
      <c r="D422" s="25">
        <f>VLOOKUP(TABLA_STOCK_LISTBOX[[#This Row],[Codigo]],TABLA_STOCK[#All],6)</f>
        <v>10</v>
      </c>
      <c r="E422" s="25">
        <f>VLOOKUP(TABLA_STOCK_LISTBOX[[#This Row],[Codigo]],TABLA_STOCK[#All],7)</f>
        <v>19</v>
      </c>
    </row>
    <row r="423" spans="1:5" x14ac:dyDescent="0.3">
      <c r="A423" s="4">
        <v>2120</v>
      </c>
      <c r="B423" s="25" t="str">
        <f>VLOOKUP(TABLA_STOCK_LISTBOX[[#This Row],[Codigo]],LISTADO_PRODUCTOS[#All],4)</f>
        <v>Adhesivo en barra Giotto 36g</v>
      </c>
      <c r="C423" s="25" t="str">
        <f>VLOOKUP(TABLA_STOCK_LISTBOX[[#This Row],[Codigo]],LISTADO_PRODUCTOS[#All],5)</f>
        <v>N/A</v>
      </c>
      <c r="D423" s="25">
        <f>VLOOKUP(TABLA_STOCK_LISTBOX[[#This Row],[Codigo]],TABLA_STOCK[#All],6)</f>
        <v>20</v>
      </c>
      <c r="E423" s="25">
        <f>VLOOKUP(TABLA_STOCK_LISTBOX[[#This Row],[Codigo]],TABLA_STOCK[#All],7)</f>
        <v>6</v>
      </c>
    </row>
    <row r="424" spans="1:5" x14ac:dyDescent="0.3">
      <c r="A424" s="4">
        <v>2200</v>
      </c>
      <c r="B424" s="25" t="str">
        <f>VLOOKUP(TABLA_STOCK_LISTBOX[[#This Row],[Codigo]],LISTADO_PRODUCTOS[#All],4)</f>
        <v>Cinta scotch transparente 18mm x 25mt</v>
      </c>
      <c r="C424" s="25" t="str">
        <f>VLOOKUP(TABLA_STOCK_LISTBOX[[#This Row],[Codigo]],LISTADO_PRODUCTOS[#All],5)</f>
        <v>N/A</v>
      </c>
      <c r="D424" s="25">
        <f>VLOOKUP(TABLA_STOCK_LISTBOX[[#This Row],[Codigo]],TABLA_STOCK[#All],6)</f>
        <v>5</v>
      </c>
      <c r="E424" s="25">
        <f>VLOOKUP(TABLA_STOCK_LISTBOX[[#This Row],[Codigo]],TABLA_STOCK[#All],7)</f>
        <v>5</v>
      </c>
    </row>
    <row r="425" spans="1:5" x14ac:dyDescent="0.3">
      <c r="A425" s="4">
        <v>2220</v>
      </c>
      <c r="B425" s="25" t="str">
        <f>VLOOKUP(TABLA_STOCK_LISTBOX[[#This Row],[Codigo]],LISTADO_PRODUCTOS[#All],4)</f>
        <v>Cinta Scotch 18mm x 30m</v>
      </c>
      <c r="C425" s="25" t="str">
        <f>VLOOKUP(TABLA_STOCK_LISTBOX[[#This Row],[Codigo]],LISTADO_PRODUCTOS[#All],5)</f>
        <v>N/A</v>
      </c>
      <c r="D425" s="25">
        <f>VLOOKUP(TABLA_STOCK_LISTBOX[[#This Row],[Codigo]],TABLA_STOCK[#All],6)</f>
        <v>1</v>
      </c>
      <c r="E425" s="25">
        <f>VLOOKUP(TABLA_STOCK_LISTBOX[[#This Row],[Codigo]],TABLA_STOCK[#All],7)</f>
        <v>52</v>
      </c>
    </row>
    <row r="426" spans="1:5" x14ac:dyDescent="0.3">
      <c r="A426" s="4">
        <v>2221</v>
      </c>
      <c r="B426" s="25" t="str">
        <f>VLOOKUP(TABLA_STOCK_LISTBOX[[#This Row],[Codigo]],LISTADO_PRODUCTOS[#All],4)</f>
        <v>Cinta confitera</v>
      </c>
      <c r="C426" s="25" t="str">
        <f>VLOOKUP(TABLA_STOCK_LISTBOX[[#This Row],[Codigo]],LISTADO_PRODUCTOS[#All],5)</f>
        <v>N/A</v>
      </c>
      <c r="D426" s="25">
        <f>VLOOKUP(TABLA_STOCK_LISTBOX[[#This Row],[Codigo]],TABLA_STOCK[#All],6)</f>
        <v>5</v>
      </c>
      <c r="E426" s="25">
        <f>VLOOKUP(TABLA_STOCK_LISTBOX[[#This Row],[Codigo]],TABLA_STOCK[#All],7)</f>
        <v>32</v>
      </c>
    </row>
    <row r="427" spans="1:5" x14ac:dyDescent="0.3">
      <c r="A427" s="4">
        <v>2222</v>
      </c>
      <c r="B427" s="25" t="str">
        <f>VLOOKUP(TABLA_STOCK_LISTBOX[[#This Row],[Codigo]],LISTADO_PRODUCTOS[#All],4)</f>
        <v>Cinta embalar 48mm x 50m Stiko</v>
      </c>
      <c r="C427" s="25" t="str">
        <f>VLOOKUP(TABLA_STOCK_LISTBOX[[#This Row],[Codigo]],LISTADO_PRODUCTOS[#All],5)</f>
        <v>N/A</v>
      </c>
      <c r="D427" s="25">
        <f>VLOOKUP(TABLA_STOCK_LISTBOX[[#This Row],[Codigo]],TABLA_STOCK[#All],6)</f>
        <v>2</v>
      </c>
      <c r="E427" s="25">
        <f>VLOOKUP(TABLA_STOCK_LISTBOX[[#This Row],[Codigo]],TABLA_STOCK[#All],7)</f>
        <v>56</v>
      </c>
    </row>
    <row r="428" spans="1:5" x14ac:dyDescent="0.3">
      <c r="A428" s="4">
        <v>2113</v>
      </c>
      <c r="B428" s="25" t="str">
        <f>VLOOKUP(TABLA_STOCK_LISTBOX[[#This Row],[Codigo]],LISTADO_PRODUCTOS[#All],4)</f>
        <v>Sobre Oficio ingles Blanco</v>
      </c>
      <c r="C428" s="25" t="str">
        <f>VLOOKUP(TABLA_STOCK_LISTBOX[[#This Row],[Codigo]],LISTADO_PRODUCTOS[#All],5)</f>
        <v>N/A</v>
      </c>
      <c r="D428" s="25">
        <f>VLOOKUP(TABLA_STOCK_LISTBOX[[#This Row],[Codigo]],TABLA_STOCK[#All],6)</f>
        <v>5</v>
      </c>
      <c r="E428" s="25">
        <f>VLOOKUP(TABLA_STOCK_LISTBOX[[#This Row],[Codigo]],TABLA_STOCK[#All],7)</f>
        <v>32</v>
      </c>
    </row>
    <row r="429" spans="1:5" x14ac:dyDescent="0.3">
      <c r="A429" s="4">
        <v>2119</v>
      </c>
      <c r="B429" s="25" t="str">
        <f>VLOOKUP(TABLA_STOCK_LISTBOX[[#This Row],[Codigo]],LISTADO_PRODUCTOS[#All],4)</f>
        <v>Adhesivo en barra Ezco 21grs</v>
      </c>
      <c r="C429" s="25" t="str">
        <f>VLOOKUP(TABLA_STOCK_LISTBOX[[#This Row],[Codigo]],LISTADO_PRODUCTOS[#All],5)</f>
        <v>N/A</v>
      </c>
      <c r="D429" s="25">
        <f>VLOOKUP(TABLA_STOCK_LISTBOX[[#This Row],[Codigo]],TABLA_STOCK[#All],6)</f>
        <v>10</v>
      </c>
      <c r="E429" s="25">
        <f>VLOOKUP(TABLA_STOCK_LISTBOX[[#This Row],[Codigo]],TABLA_STOCK[#All],7)</f>
        <v>19</v>
      </c>
    </row>
    <row r="430" spans="1:5" x14ac:dyDescent="0.3">
      <c r="A430" s="4">
        <v>2120</v>
      </c>
      <c r="B430" s="25" t="str">
        <f>VLOOKUP(TABLA_STOCK_LISTBOX[[#This Row],[Codigo]],LISTADO_PRODUCTOS[#All],4)</f>
        <v>Adhesivo en barra Giotto 36g</v>
      </c>
      <c r="C430" s="25" t="str">
        <f>VLOOKUP(TABLA_STOCK_LISTBOX[[#This Row],[Codigo]],LISTADO_PRODUCTOS[#All],5)</f>
        <v>N/A</v>
      </c>
      <c r="D430" s="25">
        <f>VLOOKUP(TABLA_STOCK_LISTBOX[[#This Row],[Codigo]],TABLA_STOCK[#All],6)</f>
        <v>20</v>
      </c>
      <c r="E430" s="25">
        <f>VLOOKUP(TABLA_STOCK_LISTBOX[[#This Row],[Codigo]],TABLA_STOCK[#All],7)</f>
        <v>6</v>
      </c>
    </row>
    <row r="431" spans="1:5" x14ac:dyDescent="0.3">
      <c r="A431" s="4">
        <v>2127</v>
      </c>
      <c r="B431" s="25" t="str">
        <f>VLOOKUP(TABLA_STOCK_LISTBOX[[#This Row],[Codigo]],LISTADO_PRODUCTOS[#All],4)</f>
        <v>Adhesivo en barra Giotto 36g</v>
      </c>
      <c r="C431" s="25" t="str">
        <f>VLOOKUP(TABLA_STOCK_LISTBOX[[#This Row],[Codigo]],LISTADO_PRODUCTOS[#All],5)</f>
        <v>N/A</v>
      </c>
      <c r="D431" s="25">
        <f>VLOOKUP(TABLA_STOCK_LISTBOX[[#This Row],[Codigo]],TABLA_STOCK[#All],6)</f>
        <v>20</v>
      </c>
      <c r="E431" s="25">
        <f>VLOOKUP(TABLA_STOCK_LISTBOX[[#This Row],[Codigo]],TABLA_STOCK[#All],7)</f>
        <v>6</v>
      </c>
    </row>
    <row r="432" spans="1:5" x14ac:dyDescent="0.3">
      <c r="A432" s="4">
        <v>2125</v>
      </c>
      <c r="B432" s="25" t="str">
        <f>VLOOKUP(TABLA_STOCK_LISTBOX[[#This Row],[Codigo]],LISTADO_PRODUCTOS[#All],4)</f>
        <v>Adhesivo en barra Giotto 36g</v>
      </c>
      <c r="C432" s="25" t="str">
        <f>VLOOKUP(TABLA_STOCK_LISTBOX[[#This Row],[Codigo]],LISTADO_PRODUCTOS[#All],5)</f>
        <v>N/A</v>
      </c>
      <c r="D432" s="25">
        <f>VLOOKUP(TABLA_STOCK_LISTBOX[[#This Row],[Codigo]],TABLA_STOCK[#All],6)</f>
        <v>20</v>
      </c>
      <c r="E432" s="25">
        <f>VLOOKUP(TABLA_STOCK_LISTBOX[[#This Row],[Codigo]],TABLA_STOCK[#All],7)</f>
        <v>6</v>
      </c>
    </row>
    <row r="433" spans="1:5" x14ac:dyDescent="0.3">
      <c r="A433" s="4">
        <v>2226</v>
      </c>
      <c r="B433" s="25" t="str">
        <f>VLOOKUP(TABLA_STOCK_LISTBOX[[#This Row],[Codigo]],LISTADO_PRODUCTOS[#All],4)</f>
        <v>Tiza Giotto Color x 10</v>
      </c>
      <c r="C433" s="25" t="str">
        <f>VLOOKUP(TABLA_STOCK_LISTBOX[[#This Row],[Codigo]],LISTADO_PRODUCTOS[#All],5)</f>
        <v>N/A</v>
      </c>
      <c r="D433" s="25">
        <f>VLOOKUP(TABLA_STOCK_LISTBOX[[#This Row],[Codigo]],TABLA_STOCK[#All],6)</f>
        <v>5</v>
      </c>
      <c r="E433" s="25">
        <f>VLOOKUP(TABLA_STOCK_LISTBOX[[#This Row],[Codigo]],TABLA_STOCK[#All],7)</f>
        <v>19</v>
      </c>
    </row>
    <row r="434" spans="1:5" x14ac:dyDescent="0.3">
      <c r="A434" s="4">
        <v>2227</v>
      </c>
      <c r="B434" s="25" t="str">
        <f>VLOOKUP(TABLA_STOCK_LISTBOX[[#This Row],[Codigo]],LISTADO_PRODUCTOS[#All],4)</f>
        <v>Tiza Playcolor/Giotto Blanca x 12</v>
      </c>
      <c r="C434" s="25" t="str">
        <f>VLOOKUP(TABLA_STOCK_LISTBOX[[#This Row],[Codigo]],LISTADO_PRODUCTOS[#All],5)</f>
        <v>N/A</v>
      </c>
      <c r="D434" s="25">
        <f>VLOOKUP(TABLA_STOCK_LISTBOX[[#This Row],[Codigo]],TABLA_STOCK[#All],6)</f>
        <v>2</v>
      </c>
      <c r="E434" s="25">
        <f>VLOOKUP(TABLA_STOCK_LISTBOX[[#This Row],[Codigo]],TABLA_STOCK[#All],7)</f>
        <v>6</v>
      </c>
    </row>
    <row r="435" spans="1:5" x14ac:dyDescent="0.3">
      <c r="A435" s="4">
        <v>2228</v>
      </c>
      <c r="B435" s="25" t="str">
        <f>VLOOKUP(TABLA_STOCK_LISTBOX[[#This Row],[Codigo]],LISTADO_PRODUCTOS[#All],4)</f>
        <v>Palitos de helado natural x 50</v>
      </c>
      <c r="C435" s="25" t="str">
        <f>VLOOKUP(TABLA_STOCK_LISTBOX[[#This Row],[Codigo]],LISTADO_PRODUCTOS[#All],5)</f>
        <v>N/A</v>
      </c>
      <c r="D435" s="25">
        <f>VLOOKUP(TABLA_STOCK_LISTBOX[[#This Row],[Codigo]],TABLA_STOCK[#All],6)</f>
        <v>10</v>
      </c>
      <c r="E435" s="25">
        <f>VLOOKUP(TABLA_STOCK_LISTBOX[[#This Row],[Codigo]],TABLA_STOCK[#All],7)</f>
        <v>5</v>
      </c>
    </row>
    <row r="436" spans="1:5" x14ac:dyDescent="0.3">
      <c r="A436" s="4">
        <v>2233</v>
      </c>
      <c r="B436" s="25" t="str">
        <f>VLOOKUP(TABLA_STOCK_LISTBOX[[#This Row],[Codigo]],LISTADO_PRODUCTOS[#All],4)</f>
        <v>Tiza Blanca Giotto x 100</v>
      </c>
      <c r="C436" s="25" t="str">
        <f>VLOOKUP(TABLA_STOCK_LISTBOX[[#This Row],[Codigo]],LISTADO_PRODUCTOS[#All],5)</f>
        <v>N/A</v>
      </c>
      <c r="D436" s="25">
        <f>VLOOKUP(TABLA_STOCK_LISTBOX[[#This Row],[Codigo]],TABLA_STOCK[#All],6)</f>
        <v>20</v>
      </c>
      <c r="E436" s="25">
        <f>VLOOKUP(TABLA_STOCK_LISTBOX[[#This Row],[Codigo]],TABLA_STOCK[#All],7)</f>
        <v>52</v>
      </c>
    </row>
    <row r="437" spans="1:5" x14ac:dyDescent="0.3">
      <c r="A437" s="4">
        <v>2237</v>
      </c>
      <c r="B437" s="25" t="str">
        <f>VLOOKUP(TABLA_STOCK_LISTBOX[[#This Row],[Codigo]],LISTADO_PRODUCTOS[#All],4)</f>
        <v>Diamantina Maped</v>
      </c>
      <c r="C437" s="25" t="str">
        <f>VLOOKUP(TABLA_STOCK_LISTBOX[[#This Row],[Codigo]],LISTADO_PRODUCTOS[#All],5)</f>
        <v>N/A</v>
      </c>
      <c r="D437" s="25">
        <f>VLOOKUP(TABLA_STOCK_LISTBOX[[#This Row],[Codigo]],TABLA_STOCK[#All],6)</f>
        <v>5</v>
      </c>
      <c r="E437" s="25">
        <f>VLOOKUP(TABLA_STOCK_LISTBOX[[#This Row],[Codigo]],TABLA_STOCK[#All],7)</f>
        <v>32</v>
      </c>
    </row>
    <row r="438" spans="1:5" x14ac:dyDescent="0.3">
      <c r="A438" s="4">
        <v>2238</v>
      </c>
      <c r="B438" s="25" t="str">
        <f>VLOOKUP(TABLA_STOCK_LISTBOX[[#This Row],[Codigo]],LISTADO_PRODUCTOS[#All],4)</f>
        <v>Tempera Señorita Comun x 250ml</v>
      </c>
      <c r="C438" s="25" t="str">
        <f>VLOOKUP(TABLA_STOCK_LISTBOX[[#This Row],[Codigo]],LISTADO_PRODUCTOS[#All],5)</f>
        <v>N/A</v>
      </c>
      <c r="D438" s="25">
        <f>VLOOKUP(TABLA_STOCK_LISTBOX[[#This Row],[Codigo]],TABLA_STOCK[#All],6)</f>
        <v>1</v>
      </c>
      <c r="E438" s="25">
        <f>VLOOKUP(TABLA_STOCK_LISTBOX[[#This Row],[Codigo]],TABLA_STOCK[#All],7)</f>
        <v>56</v>
      </c>
    </row>
    <row r="439" spans="1:5" x14ac:dyDescent="0.3">
      <c r="A439" s="4">
        <v>2239</v>
      </c>
      <c r="B439" s="25" t="str">
        <f>VLOOKUP(TABLA_STOCK_LISTBOX[[#This Row],[Codigo]],LISTADO_PRODUCTOS[#All],4)</f>
        <v>Tempera Señorita FLUO x 250ml</v>
      </c>
      <c r="C439" s="25" t="str">
        <f>VLOOKUP(TABLA_STOCK_LISTBOX[[#This Row],[Codigo]],LISTADO_PRODUCTOS[#All],5)</f>
        <v>N/A</v>
      </c>
      <c r="D439" s="25">
        <f>VLOOKUP(TABLA_STOCK_LISTBOX[[#This Row],[Codigo]],TABLA_STOCK[#All],6)</f>
        <v>5</v>
      </c>
      <c r="E439" s="25">
        <f>VLOOKUP(TABLA_STOCK_LISTBOX[[#This Row],[Codigo]],TABLA_STOCK[#All],7)</f>
        <v>107</v>
      </c>
    </row>
    <row r="440" spans="1:5" x14ac:dyDescent="0.3">
      <c r="A440" s="4">
        <v>2240</v>
      </c>
      <c r="B440" s="25" t="str">
        <f>VLOOKUP(TABLA_STOCK_LISTBOX[[#This Row],[Codigo]],LISTADO_PRODUCTOS[#All],4)</f>
        <v>Tempera Señorita Metalizado x 250ml</v>
      </c>
      <c r="C440" s="25" t="str">
        <f>VLOOKUP(TABLA_STOCK_LISTBOX[[#This Row],[Codigo]],LISTADO_PRODUCTOS[#All],5)</f>
        <v>N/A</v>
      </c>
      <c r="D440" s="25">
        <f>VLOOKUP(TABLA_STOCK_LISTBOX[[#This Row],[Codigo]],TABLA_STOCK[#All],6)</f>
        <v>2</v>
      </c>
      <c r="E440" s="25">
        <f>VLOOKUP(TABLA_STOCK_LISTBOX[[#This Row],[Codigo]],TABLA_STOCK[#All],7)</f>
        <v>25</v>
      </c>
    </row>
    <row r="441" spans="1:5" x14ac:dyDescent="0.3">
      <c r="A441" s="4">
        <v>2255</v>
      </c>
      <c r="B441" s="25" t="str">
        <f>VLOOKUP(TABLA_STOCK_LISTBOX[[#This Row],[Codigo]],LISTADO_PRODUCTOS[#All],4)</f>
        <v>Acuarela Filgo x 12u</v>
      </c>
      <c r="C441" s="25" t="str">
        <f>VLOOKUP(TABLA_STOCK_LISTBOX[[#This Row],[Codigo]],LISTADO_PRODUCTOS[#All],5)</f>
        <v>N/A</v>
      </c>
      <c r="D441" s="25">
        <f>VLOOKUP(TABLA_STOCK_LISTBOX[[#This Row],[Codigo]],TABLA_STOCK[#All],6)</f>
        <v>2</v>
      </c>
      <c r="E441" s="25">
        <f>VLOOKUP(TABLA_STOCK_LISTBOX[[#This Row],[Codigo]],TABLA_STOCK[#All],7)</f>
        <v>32</v>
      </c>
    </row>
    <row r="442" spans="1:5" x14ac:dyDescent="0.3">
      <c r="A442" s="4">
        <v>2311</v>
      </c>
      <c r="B442" s="25" t="str">
        <f>VLOOKUP(TABLA_STOCK_LISTBOX[[#This Row],[Codigo]],LISTADO_PRODUCTOS[#All],4)</f>
        <v>Lentejuelas sifap x9 surt</v>
      </c>
      <c r="C442" s="25" t="str">
        <f>VLOOKUP(TABLA_STOCK_LISTBOX[[#This Row],[Codigo]],LISTADO_PRODUCTOS[#All],5)</f>
        <v>N/A</v>
      </c>
      <c r="D442" s="25">
        <f>VLOOKUP(TABLA_STOCK_LISTBOX[[#This Row],[Codigo]],TABLA_STOCK[#All],6)</f>
        <v>10</v>
      </c>
      <c r="E442" s="25">
        <f>VLOOKUP(TABLA_STOCK_LISTBOX[[#This Row],[Codigo]],TABLA_STOCK[#All],7)</f>
        <v>150</v>
      </c>
    </row>
    <row r="443" spans="1:5" x14ac:dyDescent="0.3">
      <c r="A443" s="4">
        <v>2315</v>
      </c>
      <c r="B443" s="25" t="str">
        <f>VLOOKUP(TABLA_STOCK_LISTBOX[[#This Row],[Codigo]],LISTADO_PRODUCTOS[#All],4)</f>
        <v xml:space="preserve">Pintura dimensional eterna colores </v>
      </c>
      <c r="C443" s="25" t="str">
        <f>VLOOKUP(TABLA_STOCK_LISTBOX[[#This Row],[Codigo]],LISTADO_PRODUCTOS[#All],5)</f>
        <v>N/A</v>
      </c>
      <c r="D443" s="25">
        <f>VLOOKUP(TABLA_STOCK_LISTBOX[[#This Row],[Codigo]],TABLA_STOCK[#All],6)</f>
        <v>20</v>
      </c>
      <c r="E443" s="25">
        <f>VLOOKUP(TABLA_STOCK_LISTBOX[[#This Row],[Codigo]],TABLA_STOCK[#All],7)</f>
        <v>20</v>
      </c>
    </row>
    <row r="444" spans="1:5" x14ac:dyDescent="0.3">
      <c r="A444" s="4">
        <v>2317</v>
      </c>
      <c r="B444" s="25" t="str">
        <f>VLOOKUP(TABLA_STOCK_LISTBOX[[#This Row],[Codigo]],LISTADO_PRODUCTOS[#All],4)</f>
        <v>Anilina Yacolor</v>
      </c>
      <c r="C444" s="25" t="str">
        <f>VLOOKUP(TABLA_STOCK_LISTBOX[[#This Row],[Codigo]],LISTADO_PRODUCTOS[#All],5)</f>
        <v>N/A</v>
      </c>
      <c r="D444" s="25">
        <f>VLOOKUP(TABLA_STOCK_LISTBOX[[#This Row],[Codigo]],TABLA_STOCK[#All],6)</f>
        <v>5</v>
      </c>
      <c r="E444" s="25">
        <f>VLOOKUP(TABLA_STOCK_LISTBOX[[#This Row],[Codigo]],TABLA_STOCK[#All],7)</f>
        <v>19</v>
      </c>
    </row>
    <row r="445" spans="1:5" x14ac:dyDescent="0.3">
      <c r="A445" s="4">
        <v>2318</v>
      </c>
      <c r="B445" s="25" t="str">
        <f>VLOOKUP(TABLA_STOCK_LISTBOX[[#This Row],[Codigo]],LISTADO_PRODUCTOS[#All],4)</f>
        <v>Block Nº6 Capitolio Fluo x 16h</v>
      </c>
      <c r="C445" s="25" t="str">
        <f>VLOOKUP(TABLA_STOCK_LISTBOX[[#This Row],[Codigo]],LISTADO_PRODUCTOS[#All],5)</f>
        <v>N/A</v>
      </c>
      <c r="D445" s="25">
        <f>VLOOKUP(TABLA_STOCK_LISTBOX[[#This Row],[Codigo]],TABLA_STOCK[#All],6)</f>
        <v>1</v>
      </c>
      <c r="E445" s="25">
        <f>VLOOKUP(TABLA_STOCK_LISTBOX[[#This Row],[Codigo]],TABLA_STOCK[#All],7)</f>
        <v>6</v>
      </c>
    </row>
    <row r="446" spans="1:5" x14ac:dyDescent="0.3">
      <c r="A446" s="4">
        <v>2320</v>
      </c>
      <c r="B446" s="25" t="str">
        <f>VLOOKUP(TABLA_STOCK_LISTBOX[[#This Row],[Codigo]],LISTADO_PRODUCTOS[#All],4)</f>
        <v>Cutter Olami 18mm Mango de goma</v>
      </c>
      <c r="C446" s="25" t="str">
        <f>VLOOKUP(TABLA_STOCK_LISTBOX[[#This Row],[Codigo]],LISTADO_PRODUCTOS[#All],5)</f>
        <v>N/A</v>
      </c>
      <c r="D446" s="25">
        <f>VLOOKUP(TABLA_STOCK_LISTBOX[[#This Row],[Codigo]],TABLA_STOCK[#All],6)</f>
        <v>5</v>
      </c>
      <c r="E446" s="25">
        <f>VLOOKUP(TABLA_STOCK_LISTBOX[[#This Row],[Codigo]],TABLA_STOCK[#All],7)</f>
        <v>5</v>
      </c>
    </row>
    <row r="447" spans="1:5" x14ac:dyDescent="0.3">
      <c r="A447" s="4">
        <v>2321</v>
      </c>
      <c r="B447" s="25" t="str">
        <f>VLOOKUP(TABLA_STOCK_LISTBOX[[#This Row],[Codigo]],LISTADO_PRODUCTOS[#All],4)</f>
        <v>Cutter Olami 9mm Guia metal Mango de Goma</v>
      </c>
      <c r="C447" s="25" t="str">
        <f>VLOOKUP(TABLA_STOCK_LISTBOX[[#This Row],[Codigo]],LISTADO_PRODUCTOS[#All],5)</f>
        <v>N/A</v>
      </c>
      <c r="D447" s="25">
        <f>VLOOKUP(TABLA_STOCK_LISTBOX[[#This Row],[Codigo]],TABLA_STOCK[#All],6)</f>
        <v>2</v>
      </c>
      <c r="E447" s="25">
        <f>VLOOKUP(TABLA_STOCK_LISTBOX[[#This Row],[Codigo]],TABLA_STOCK[#All],7)</f>
        <v>52</v>
      </c>
    </row>
    <row r="448" spans="1:5" x14ac:dyDescent="0.3">
      <c r="A448" s="4">
        <v>2326</v>
      </c>
      <c r="B448" s="25" t="str">
        <f>VLOOKUP(TABLA_STOCK_LISTBOX[[#This Row],[Codigo]],LISTADO_PRODUCTOS[#All],4)</f>
        <v xml:space="preserve">Barrita de silicona fina Suprabond </v>
      </c>
      <c r="C448" s="25" t="str">
        <f>VLOOKUP(TABLA_STOCK_LISTBOX[[#This Row],[Codigo]],LISTADO_PRODUCTOS[#All],5)</f>
        <v>N/A</v>
      </c>
      <c r="D448" s="25">
        <f>VLOOKUP(TABLA_STOCK_LISTBOX[[#This Row],[Codigo]],TABLA_STOCK[#All],6)</f>
        <v>2</v>
      </c>
      <c r="E448" s="25">
        <f>VLOOKUP(TABLA_STOCK_LISTBOX[[#This Row],[Codigo]],TABLA_STOCK[#All],7)</f>
        <v>32</v>
      </c>
    </row>
    <row r="449" spans="1:5" x14ac:dyDescent="0.3">
      <c r="A449" s="4">
        <v>2327</v>
      </c>
      <c r="B449" s="25" t="str">
        <f>VLOOKUP(TABLA_STOCK_LISTBOX[[#This Row],[Codigo]],LISTADO_PRODUCTOS[#All],4)</f>
        <v xml:space="preserve">Barrita de silicona Gruesa Suprabond </v>
      </c>
      <c r="C449" s="25" t="str">
        <f>VLOOKUP(TABLA_STOCK_LISTBOX[[#This Row],[Codigo]],LISTADO_PRODUCTOS[#All],5)</f>
        <v>N/A</v>
      </c>
      <c r="D449" s="25">
        <f>VLOOKUP(TABLA_STOCK_LISTBOX[[#This Row],[Codigo]],TABLA_STOCK[#All],6)</f>
        <v>10</v>
      </c>
      <c r="E449" s="25">
        <f>VLOOKUP(TABLA_STOCK_LISTBOX[[#This Row],[Codigo]],TABLA_STOCK[#All],7)</f>
        <v>56</v>
      </c>
    </row>
    <row r="450" spans="1:5" x14ac:dyDescent="0.3">
      <c r="A450" s="4">
        <v>2330</v>
      </c>
      <c r="B450" s="25" t="str">
        <f>VLOOKUP(TABLA_STOCK_LISTBOX[[#This Row],[Codigo]],LISTADO_PRODUCTOS[#All],4)</f>
        <v>Palitos de helado colores surtidos x 50u</v>
      </c>
      <c r="C450" s="25" t="str">
        <f>VLOOKUP(TABLA_STOCK_LISTBOX[[#This Row],[Codigo]],LISTADO_PRODUCTOS[#All],5)</f>
        <v>N/A</v>
      </c>
      <c r="D450" s="25">
        <f>VLOOKUP(TABLA_STOCK_LISTBOX[[#This Row],[Codigo]],TABLA_STOCK[#All],6)</f>
        <v>20</v>
      </c>
      <c r="E450" s="25">
        <f>VLOOKUP(TABLA_STOCK_LISTBOX[[#This Row],[Codigo]],TABLA_STOCK[#All],7)</f>
        <v>107</v>
      </c>
    </row>
    <row r="451" spans="1:5" x14ac:dyDescent="0.3">
      <c r="A451" s="4">
        <v>2332</v>
      </c>
      <c r="B451" s="25" t="str">
        <f>VLOOKUP(TABLA_STOCK_LISTBOX[[#This Row],[Codigo]],LISTADO_PRODUCTOS[#All],4)</f>
        <v>Block Origami El Nene x 24h bicolor</v>
      </c>
      <c r="C451" s="25" t="str">
        <f>VLOOKUP(TABLA_STOCK_LISTBOX[[#This Row],[Codigo]],LISTADO_PRODUCTOS[#All],5)</f>
        <v>N/A</v>
      </c>
      <c r="D451" s="25">
        <f>VLOOKUP(TABLA_STOCK_LISTBOX[[#This Row],[Codigo]],TABLA_STOCK[#All],6)</f>
        <v>5</v>
      </c>
      <c r="E451" s="25">
        <f>VLOOKUP(TABLA_STOCK_LISTBOX[[#This Row],[Codigo]],TABLA_STOCK[#All],7)</f>
        <v>25</v>
      </c>
    </row>
    <row r="452" spans="1:5" x14ac:dyDescent="0.3">
      <c r="A452" s="4">
        <v>2336</v>
      </c>
      <c r="B452" s="25" t="str">
        <f>VLOOKUP(TABLA_STOCK_LISTBOX[[#This Row],[Codigo]],LISTADO_PRODUCTOS[#All],4)</f>
        <v>Palito de helado paleta/jumbo colores x 50u</v>
      </c>
      <c r="C452" s="25" t="str">
        <f>VLOOKUP(TABLA_STOCK_LISTBOX[[#This Row],[Codigo]],LISTADO_PRODUCTOS[#All],5)</f>
        <v>N/A</v>
      </c>
      <c r="D452" s="25">
        <f>VLOOKUP(TABLA_STOCK_LISTBOX[[#This Row],[Codigo]],TABLA_STOCK[#All],6)</f>
        <v>1</v>
      </c>
      <c r="E452" s="25">
        <f>VLOOKUP(TABLA_STOCK_LISTBOX[[#This Row],[Codigo]],TABLA_STOCK[#All],7)</f>
        <v>32</v>
      </c>
    </row>
    <row r="453" spans="1:5" x14ac:dyDescent="0.3">
      <c r="A453" s="4">
        <v>2338</v>
      </c>
      <c r="B453" s="25" t="str">
        <f>VLOOKUP(TABLA_STOCK_LISTBOX[[#This Row],[Codigo]],LISTADO_PRODUCTOS[#All],4)</f>
        <v>Marcador Edding 4200 P/Porcelana x6u</v>
      </c>
      <c r="C453" s="25" t="str">
        <f>VLOOKUP(TABLA_STOCK_LISTBOX[[#This Row],[Codigo]],LISTADO_PRODUCTOS[#All],5)</f>
        <v>N/A</v>
      </c>
      <c r="D453" s="25">
        <f>VLOOKUP(TABLA_STOCK_LISTBOX[[#This Row],[Codigo]],TABLA_STOCK[#All],6)</f>
        <v>5</v>
      </c>
      <c r="E453" s="25">
        <f>VLOOKUP(TABLA_STOCK_LISTBOX[[#This Row],[Codigo]],TABLA_STOCK[#All],7)</f>
        <v>150</v>
      </c>
    </row>
    <row r="454" spans="1:5" x14ac:dyDescent="0.3">
      <c r="A454" s="4">
        <v>2348</v>
      </c>
      <c r="B454" s="25" t="str">
        <f>VLOOKUP(TABLA_STOCK_LISTBOX[[#This Row],[Codigo]],LISTADO_PRODUCTOS[#All],4)</f>
        <v>Cutter Maped 9mm</v>
      </c>
      <c r="C454" s="25" t="str">
        <f>VLOOKUP(TABLA_STOCK_LISTBOX[[#This Row],[Codigo]],LISTADO_PRODUCTOS[#All],5)</f>
        <v>N/A</v>
      </c>
      <c r="D454" s="25">
        <f>VLOOKUP(TABLA_STOCK_LISTBOX[[#This Row],[Codigo]],TABLA_STOCK[#All],6)</f>
        <v>2</v>
      </c>
      <c r="E454" s="25">
        <f>VLOOKUP(TABLA_STOCK_LISTBOX[[#This Row],[Codigo]],TABLA_STOCK[#All],7)</f>
        <v>20</v>
      </c>
    </row>
    <row r="455" spans="1:5" x14ac:dyDescent="0.3">
      <c r="A455" s="4">
        <v>2356</v>
      </c>
      <c r="B455" s="25" t="str">
        <f>VLOOKUP(TABLA_STOCK_LISTBOX[[#This Row],[Codigo]],LISTADO_PRODUCTOS[#All],4)</f>
        <v>Cutter Olami plastico en bolsa Hoja ancha</v>
      </c>
      <c r="C455" s="25" t="str">
        <f>VLOOKUP(TABLA_STOCK_LISTBOX[[#This Row],[Codigo]],LISTADO_PRODUCTOS[#All],5)</f>
        <v>N/A</v>
      </c>
      <c r="D455" s="25">
        <f>VLOOKUP(TABLA_STOCK_LISTBOX[[#This Row],[Codigo]],TABLA_STOCK[#All],6)</f>
        <v>2</v>
      </c>
      <c r="E455" s="25">
        <f>VLOOKUP(TABLA_STOCK_LISTBOX[[#This Row],[Codigo]],TABLA_STOCK[#All],7)</f>
        <v>19</v>
      </c>
    </row>
    <row r="456" spans="1:5" x14ac:dyDescent="0.3">
      <c r="A456" s="4">
        <v>2357</v>
      </c>
      <c r="B456" s="25" t="str">
        <f>VLOOKUP(TABLA_STOCK_LISTBOX[[#This Row],[Codigo]],LISTADO_PRODUCTOS[#All],4)</f>
        <v>Cutter Olami c/freno plastico en bolsa hoja fina</v>
      </c>
      <c r="C456" s="25" t="str">
        <f>VLOOKUP(TABLA_STOCK_LISTBOX[[#This Row],[Codigo]],LISTADO_PRODUCTOS[#All],5)</f>
        <v>N/A</v>
      </c>
      <c r="D456" s="25">
        <f>VLOOKUP(TABLA_STOCK_LISTBOX[[#This Row],[Codigo]],TABLA_STOCK[#All],6)</f>
        <v>10</v>
      </c>
      <c r="E456" s="25">
        <f>VLOOKUP(TABLA_STOCK_LISTBOX[[#This Row],[Codigo]],TABLA_STOCK[#All],7)</f>
        <v>6</v>
      </c>
    </row>
    <row r="457" spans="1:5" x14ac:dyDescent="0.3">
      <c r="A457" s="4">
        <v>2364</v>
      </c>
      <c r="B457" s="25" t="str">
        <f>VLOOKUP(TABLA_STOCK_LISTBOX[[#This Row],[Codigo]],LISTADO_PRODUCTOS[#All],4)</f>
        <v>Brillantina Stick/con formitas Sifap</v>
      </c>
      <c r="C457" s="25" t="str">
        <f>VLOOKUP(TABLA_STOCK_LISTBOX[[#This Row],[Codigo]],LISTADO_PRODUCTOS[#All],5)</f>
        <v>N/A</v>
      </c>
      <c r="D457" s="25">
        <f>VLOOKUP(TABLA_STOCK_LISTBOX[[#This Row],[Codigo]],TABLA_STOCK[#All],6)</f>
        <v>20</v>
      </c>
      <c r="E457" s="25">
        <f>VLOOKUP(TABLA_STOCK_LISTBOX[[#This Row],[Codigo]],TABLA_STOCK[#All],7)</f>
        <v>5</v>
      </c>
    </row>
    <row r="458" spans="1:5" x14ac:dyDescent="0.3">
      <c r="A458" s="4">
        <v>2374</v>
      </c>
      <c r="B458" s="25" t="str">
        <f>VLOOKUP(TABLA_STOCK_LISTBOX[[#This Row],[Codigo]],LISTADO_PRODUCTOS[#All],4)</f>
        <v>Cinta Ribbonete lisa 11mm x 50m Azul/rosa/lila/verde/naranja</v>
      </c>
      <c r="C458" s="25" t="str">
        <f>VLOOKUP(TABLA_STOCK_LISTBOX[[#This Row],[Codigo]],LISTADO_PRODUCTOS[#All],5)</f>
        <v>N/A</v>
      </c>
      <c r="D458" s="25">
        <f>VLOOKUP(TABLA_STOCK_LISTBOX[[#This Row],[Codigo]],TABLA_STOCK[#All],6)</f>
        <v>5</v>
      </c>
      <c r="E458" s="25">
        <f>VLOOKUP(TABLA_STOCK_LISTBOX[[#This Row],[Codigo]],TABLA_STOCK[#All],7)</f>
        <v>52</v>
      </c>
    </row>
    <row r="459" spans="1:5" x14ac:dyDescent="0.3">
      <c r="A459" s="4">
        <v>2380</v>
      </c>
      <c r="B459" s="25" t="str">
        <f>VLOOKUP(TABLA_STOCK_LISTBOX[[#This Row],[Codigo]],LISTADO_PRODUCTOS[#All],4)</f>
        <v>PVC contact Glitter x mt</v>
      </c>
      <c r="C459" s="25" t="str">
        <f>VLOOKUP(TABLA_STOCK_LISTBOX[[#This Row],[Codigo]],LISTADO_PRODUCTOS[#All],5)</f>
        <v>N/A</v>
      </c>
      <c r="D459" s="25">
        <f>VLOOKUP(TABLA_STOCK_LISTBOX[[#This Row],[Codigo]],TABLA_STOCK[#All],6)</f>
        <v>1</v>
      </c>
      <c r="E459" s="25">
        <f>VLOOKUP(TABLA_STOCK_LISTBOX[[#This Row],[Codigo]],TABLA_STOCK[#All],7)</f>
        <v>32</v>
      </c>
    </row>
    <row r="460" spans="1:5" x14ac:dyDescent="0.3">
      <c r="A460" s="4">
        <v>2381</v>
      </c>
      <c r="B460" s="25" t="str">
        <f>VLOOKUP(TABLA_STOCK_LISTBOX[[#This Row],[Codigo]],LISTADO_PRODUCTOS[#All],4)</f>
        <v>PVC contact transparente x mt</v>
      </c>
      <c r="C460" s="25" t="str">
        <f>VLOOKUP(TABLA_STOCK_LISTBOX[[#This Row],[Codigo]],LISTADO_PRODUCTOS[#All],5)</f>
        <v>N/A</v>
      </c>
      <c r="D460" s="25">
        <f>VLOOKUP(TABLA_STOCK_LISTBOX[[#This Row],[Codigo]],TABLA_STOCK[#All],6)</f>
        <v>5</v>
      </c>
      <c r="E460" s="25">
        <f>VLOOKUP(TABLA_STOCK_LISTBOX[[#This Row],[Codigo]],TABLA_STOCK[#All],7)</f>
        <v>56</v>
      </c>
    </row>
    <row r="461" spans="1:5" x14ac:dyDescent="0.3">
      <c r="A461" s="4">
        <v>2382</v>
      </c>
      <c r="B461" s="25" t="str">
        <f>VLOOKUP(TABLA_STOCK_LISTBOX[[#This Row],[Codigo]],LISTADO_PRODUCTOS[#All],4)</f>
        <v>PVC contact madera x mt</v>
      </c>
      <c r="C461" s="25" t="str">
        <f>VLOOKUP(TABLA_STOCK_LISTBOX[[#This Row],[Codigo]],LISTADO_PRODUCTOS[#All],5)</f>
        <v>N/A</v>
      </c>
      <c r="D461" s="25">
        <f>VLOOKUP(TABLA_STOCK_LISTBOX[[#This Row],[Codigo]],TABLA_STOCK[#All],6)</f>
        <v>2</v>
      </c>
      <c r="E461" s="25">
        <f>VLOOKUP(TABLA_STOCK_LISTBOX[[#This Row],[Codigo]],TABLA_STOCK[#All],7)</f>
        <v>107</v>
      </c>
    </row>
    <row r="462" spans="1:5" x14ac:dyDescent="0.3">
      <c r="A462" s="4">
        <v>2383</v>
      </c>
      <c r="B462" s="25" t="str">
        <f>VLOOKUP(TABLA_STOCK_LISTBOX[[#This Row],[Codigo]],LISTADO_PRODUCTOS[#All],4)</f>
        <v>PVC contact color x mt</v>
      </c>
      <c r="C462" s="25" t="str">
        <f>VLOOKUP(TABLA_STOCK_LISTBOX[[#This Row],[Codigo]],LISTADO_PRODUCTOS[#All],5)</f>
        <v>N/A</v>
      </c>
      <c r="D462" s="25">
        <f>VLOOKUP(TABLA_STOCK_LISTBOX[[#This Row],[Codigo]],TABLA_STOCK[#All],6)</f>
        <v>10</v>
      </c>
      <c r="E462" s="25">
        <f>VLOOKUP(TABLA_STOCK_LISTBOX[[#This Row],[Codigo]],TABLA_STOCK[#All],7)</f>
        <v>25</v>
      </c>
    </row>
    <row r="463" spans="1:5" x14ac:dyDescent="0.3">
      <c r="A463" s="4">
        <v>2384</v>
      </c>
      <c r="B463" s="25" t="str">
        <f>VLOOKUP(TABLA_STOCK_LISTBOX[[#This Row],[Codigo]],LISTADO_PRODUCTOS[#All],4)</f>
        <v>PVC holografiado x mt</v>
      </c>
      <c r="C463" s="25" t="str">
        <f>VLOOKUP(TABLA_STOCK_LISTBOX[[#This Row],[Codigo]],LISTADO_PRODUCTOS[#All],5)</f>
        <v>N/A</v>
      </c>
      <c r="D463" s="25">
        <f>VLOOKUP(TABLA_STOCK_LISTBOX[[#This Row],[Codigo]],TABLA_STOCK[#All],6)</f>
        <v>20</v>
      </c>
      <c r="E463" s="25">
        <f>VLOOKUP(TABLA_STOCK_LISTBOX[[#This Row],[Codigo]],TABLA_STOCK[#All],7)</f>
        <v>32</v>
      </c>
    </row>
    <row r="464" spans="1:5" x14ac:dyDescent="0.3">
      <c r="A464" s="4">
        <v>2385</v>
      </c>
      <c r="B464" s="25" t="str">
        <f>VLOOKUP(TABLA_STOCK_LISTBOX[[#This Row],[Codigo]],LISTADO_PRODUCTOS[#All],4)</f>
        <v>PVC traslucido x mt</v>
      </c>
      <c r="C464" s="25" t="str">
        <f>VLOOKUP(TABLA_STOCK_LISTBOX[[#This Row],[Codigo]],LISTADO_PRODUCTOS[#All],5)</f>
        <v>N/A</v>
      </c>
      <c r="D464" s="25">
        <f>VLOOKUP(TABLA_STOCK_LISTBOX[[#This Row],[Codigo]],TABLA_STOCK[#All],6)</f>
        <v>5</v>
      </c>
      <c r="E464" s="25">
        <f>VLOOKUP(TABLA_STOCK_LISTBOX[[#This Row],[Codigo]],TABLA_STOCK[#All],7)</f>
        <v>150</v>
      </c>
    </row>
    <row r="465" spans="1:5" x14ac:dyDescent="0.3">
      <c r="A465" s="4">
        <v>2386</v>
      </c>
      <c r="B465" s="25" t="str">
        <f>VLOOKUP(TABLA_STOCK_LISTBOX[[#This Row],[Codigo]],LISTADO_PRODUCTOS[#All],4)</f>
        <v>PVC contact ORO/PLATA x mt</v>
      </c>
      <c r="C465" s="25" t="str">
        <f>VLOOKUP(TABLA_STOCK_LISTBOX[[#This Row],[Codigo]],LISTADO_PRODUCTOS[#All],5)</f>
        <v>N/A</v>
      </c>
      <c r="D465" s="25">
        <f>VLOOKUP(TABLA_STOCK_LISTBOX[[#This Row],[Codigo]],TABLA_STOCK[#All],6)</f>
        <v>1</v>
      </c>
      <c r="E465" s="25">
        <f>VLOOKUP(TABLA_STOCK_LISTBOX[[#This Row],[Codigo]],TABLA_STOCK[#All],7)</f>
        <v>20</v>
      </c>
    </row>
    <row r="466" spans="1:5" x14ac:dyDescent="0.3">
      <c r="A466" s="4">
        <v>2387</v>
      </c>
      <c r="B466" s="25" t="str">
        <f>VLOOKUP(TABLA_STOCK_LISTBOX[[#This Row],[Codigo]],LISTADO_PRODUCTOS[#All],4)</f>
        <v>PVC contact dibujos x mt</v>
      </c>
      <c r="C466" s="25" t="str">
        <f>VLOOKUP(TABLA_STOCK_LISTBOX[[#This Row],[Codigo]],LISTADO_PRODUCTOS[#All],5)</f>
        <v>N/A</v>
      </c>
      <c r="D466" s="25">
        <f>VLOOKUP(TABLA_STOCK_LISTBOX[[#This Row],[Codigo]],TABLA_STOCK[#All],6)</f>
        <v>5</v>
      </c>
      <c r="E466" s="25">
        <f>VLOOKUP(TABLA_STOCK_LISTBOX[[#This Row],[Codigo]],TABLA_STOCK[#All],7)</f>
        <v>19</v>
      </c>
    </row>
    <row r="467" spans="1:5" x14ac:dyDescent="0.3">
      <c r="A467" s="4">
        <v>2388</v>
      </c>
      <c r="B467" s="25" t="str">
        <f>VLOOKUP(TABLA_STOCK_LISTBOX[[#This Row],[Codigo]],LISTADO_PRODUCTOS[#All],4)</f>
        <v>Cinta papel New-Tape 48mm x 40mts</v>
      </c>
      <c r="C467" s="25" t="str">
        <f>VLOOKUP(TABLA_STOCK_LISTBOX[[#This Row],[Codigo]],LISTADO_PRODUCTOS[#All],5)</f>
        <v>N/A</v>
      </c>
      <c r="D467" s="25">
        <f>VLOOKUP(TABLA_STOCK_LISTBOX[[#This Row],[Codigo]],TABLA_STOCK[#All],6)</f>
        <v>2</v>
      </c>
      <c r="E467" s="25">
        <f>VLOOKUP(TABLA_STOCK_LISTBOX[[#This Row],[Codigo]],TABLA_STOCK[#All],7)</f>
        <v>6</v>
      </c>
    </row>
    <row r="468" spans="1:5" x14ac:dyDescent="0.3">
      <c r="A468" s="4">
        <v>2389</v>
      </c>
      <c r="B468" s="25" t="str">
        <f>VLOOKUP(TABLA_STOCK_LISTBOX[[#This Row],[Codigo]],LISTADO_PRODUCTOS[#All],4)</f>
        <v>Cinta Papel New-Tape/Stioko 36mm x 40mts</v>
      </c>
      <c r="C468" s="25" t="str">
        <f>VLOOKUP(TABLA_STOCK_LISTBOX[[#This Row],[Codigo]],LISTADO_PRODUCTOS[#All],5)</f>
        <v>N/A</v>
      </c>
      <c r="D468" s="25">
        <f>VLOOKUP(TABLA_STOCK_LISTBOX[[#This Row],[Codigo]],TABLA_STOCK[#All],6)</f>
        <v>2</v>
      </c>
      <c r="E468" s="25">
        <f>VLOOKUP(TABLA_STOCK_LISTBOX[[#This Row],[Codigo]],TABLA_STOCK[#All],7)</f>
        <v>5</v>
      </c>
    </row>
    <row r="469" spans="1:5" x14ac:dyDescent="0.3">
      <c r="A469" s="4">
        <v>2390</v>
      </c>
      <c r="B469" s="25" t="str">
        <f>VLOOKUP(TABLA_STOCK_LISTBOX[[#This Row],[Codigo]],LISTADO_PRODUCTOS[#All],4)</f>
        <v>Cinta Papel New-Tape/Fijapel 24mm x 40mts</v>
      </c>
      <c r="C469" s="25" t="str">
        <f>VLOOKUP(TABLA_STOCK_LISTBOX[[#This Row],[Codigo]],LISTADO_PRODUCTOS[#All],5)</f>
        <v>N/A</v>
      </c>
      <c r="D469" s="25">
        <f>VLOOKUP(TABLA_STOCK_LISTBOX[[#This Row],[Codigo]],TABLA_STOCK[#All],6)</f>
        <v>10</v>
      </c>
      <c r="E469" s="25">
        <f>VLOOKUP(TABLA_STOCK_LISTBOX[[#This Row],[Codigo]],TABLA_STOCK[#All],7)</f>
        <v>52</v>
      </c>
    </row>
    <row r="470" spans="1:5" x14ac:dyDescent="0.3">
      <c r="A470" s="4">
        <v>2391</v>
      </c>
      <c r="B470" s="25" t="str">
        <f>VLOOKUP(TABLA_STOCK_LISTBOX[[#This Row],[Codigo]],LISTADO_PRODUCTOS[#All],4)</f>
        <v>Sticker perritos goma eva</v>
      </c>
      <c r="C470" s="25" t="str">
        <f>VLOOKUP(TABLA_STOCK_LISTBOX[[#This Row],[Codigo]],LISTADO_PRODUCTOS[#All],5)</f>
        <v>N/A</v>
      </c>
      <c r="D470" s="25">
        <f>VLOOKUP(TABLA_STOCK_LISTBOX[[#This Row],[Codigo]],TABLA_STOCK[#All],6)</f>
        <v>20</v>
      </c>
      <c r="E470" s="25">
        <f>VLOOKUP(TABLA_STOCK_LISTBOX[[#This Row],[Codigo]],TABLA_STOCK[#All],7)</f>
        <v>32</v>
      </c>
    </row>
    <row r="471" spans="1:5" x14ac:dyDescent="0.3">
      <c r="A471" s="4">
        <v>2394</v>
      </c>
      <c r="B471" s="25" t="str">
        <f>VLOOKUP(TABLA_STOCK_LISTBOX[[#This Row],[Codigo]],LISTADO_PRODUCTOS[#All],4)</f>
        <v>Repuesto cuchilla Cutter comun 18mm cuchilla ancha x10u $50 x u</v>
      </c>
      <c r="C471" s="25" t="str">
        <f>VLOOKUP(TABLA_STOCK_LISTBOX[[#This Row],[Codigo]],LISTADO_PRODUCTOS[#All],5)</f>
        <v>N/A</v>
      </c>
      <c r="D471" s="25">
        <f>VLOOKUP(TABLA_STOCK_LISTBOX[[#This Row],[Codigo]],TABLA_STOCK[#All],6)</f>
        <v>5</v>
      </c>
      <c r="E471" s="25">
        <f>VLOOKUP(TABLA_STOCK_LISTBOX[[#This Row],[Codigo]],TABLA_STOCK[#All],7)</f>
        <v>56</v>
      </c>
    </row>
    <row r="472" spans="1:5" x14ac:dyDescent="0.3">
      <c r="A472" s="4">
        <v>2395</v>
      </c>
      <c r="B472" s="25" t="str">
        <f>VLOOKUP(TABLA_STOCK_LISTBOX[[#This Row],[Codigo]],LISTADO_PRODUCTOS[#All],4)</f>
        <v>Repuesto Cutter cuchilla SDI 18mm ancha x10u (la grande) $150 x u</v>
      </c>
      <c r="C472" s="25" t="str">
        <f>VLOOKUP(TABLA_STOCK_LISTBOX[[#This Row],[Codigo]],LISTADO_PRODUCTOS[#All],5)</f>
        <v>N/A</v>
      </c>
      <c r="D472" s="25">
        <f>VLOOKUP(TABLA_STOCK_LISTBOX[[#This Row],[Codigo]],TABLA_STOCK[#All],6)</f>
        <v>1</v>
      </c>
      <c r="E472" s="25">
        <f>VLOOKUP(TABLA_STOCK_LISTBOX[[#This Row],[Codigo]],TABLA_STOCK[#All],7)</f>
        <v>107</v>
      </c>
    </row>
    <row r="473" spans="1:5" x14ac:dyDescent="0.3">
      <c r="A473" s="4">
        <v>2396</v>
      </c>
      <c r="B473" s="25" t="str">
        <f>VLOOKUP(TABLA_STOCK_LISTBOX[[#This Row],[Codigo]],LISTADO_PRODUCTOS[#All],4)</f>
        <v>Repuesto cuchilla Cutter x hoha 9mm (la chica) $50 x u</v>
      </c>
      <c r="C473" s="25" t="str">
        <f>VLOOKUP(TABLA_STOCK_LISTBOX[[#This Row],[Codigo]],LISTADO_PRODUCTOS[#All],5)</f>
        <v>N/A</v>
      </c>
      <c r="D473" s="25">
        <f>VLOOKUP(TABLA_STOCK_LISTBOX[[#This Row],[Codigo]],TABLA_STOCK[#All],6)</f>
        <v>5</v>
      </c>
      <c r="E473" s="25">
        <f>VLOOKUP(TABLA_STOCK_LISTBOX[[#This Row],[Codigo]],TABLA_STOCK[#All],7)</f>
        <v>25</v>
      </c>
    </row>
    <row r="474" spans="1:5" x14ac:dyDescent="0.3">
      <c r="A474" s="4">
        <v>2398</v>
      </c>
      <c r="B474" s="25" t="str">
        <f>VLOOKUP(TABLA_STOCK_LISTBOX[[#This Row],[Codigo]],LISTADO_PRODUCTOS[#All],4)</f>
        <v>Pvc Contac Transparente x 2mt</v>
      </c>
      <c r="C474" s="25" t="str">
        <f>VLOOKUP(TABLA_STOCK_LISTBOX[[#This Row],[Codigo]],LISTADO_PRODUCTOS[#All],5)</f>
        <v>N/A</v>
      </c>
      <c r="D474" s="25">
        <f>VLOOKUP(TABLA_STOCK_LISTBOX[[#This Row],[Codigo]],TABLA_STOCK[#All],6)</f>
        <v>2</v>
      </c>
      <c r="E474" s="25">
        <f>VLOOKUP(TABLA_STOCK_LISTBOX[[#This Row],[Codigo]],TABLA_STOCK[#All],7)</f>
        <v>32</v>
      </c>
    </row>
    <row r="475" spans="1:5" x14ac:dyDescent="0.3">
      <c r="A475" s="4">
        <v>2399</v>
      </c>
      <c r="B475" s="25" t="str">
        <f>VLOOKUP(TABLA_STOCK_LISTBOX[[#This Row],[Codigo]],LISTADO_PRODUCTOS[#All],4)</f>
        <v>Barrita de silicona Fina Liggo (85 x bolsa)</v>
      </c>
      <c r="C475" s="25" t="str">
        <f>VLOOKUP(TABLA_STOCK_LISTBOX[[#This Row],[Codigo]],LISTADO_PRODUCTOS[#All],5)</f>
        <v>N/A</v>
      </c>
      <c r="D475" s="25">
        <f>VLOOKUP(TABLA_STOCK_LISTBOX[[#This Row],[Codigo]],TABLA_STOCK[#All],6)</f>
        <v>2</v>
      </c>
      <c r="E475" s="25">
        <f>VLOOKUP(TABLA_STOCK_LISTBOX[[#This Row],[Codigo]],TABLA_STOCK[#All],7)</f>
        <v>150</v>
      </c>
    </row>
    <row r="476" spans="1:5" x14ac:dyDescent="0.3">
      <c r="A476" s="4">
        <v>2400</v>
      </c>
      <c r="B476" s="25" t="str">
        <f>VLOOKUP(TABLA_STOCK_LISTBOX[[#This Row],[Codigo]],LISTADO_PRODUCTOS[#All],4)</f>
        <v xml:space="preserve">Barrita de silicona Gruesa Liggo </v>
      </c>
      <c r="C476" s="25" t="str">
        <f>VLOOKUP(TABLA_STOCK_LISTBOX[[#This Row],[Codigo]],LISTADO_PRODUCTOS[#All],5)</f>
        <v>N/A</v>
      </c>
      <c r="D476" s="25">
        <f>VLOOKUP(TABLA_STOCK_LISTBOX[[#This Row],[Codigo]],TABLA_STOCK[#All],6)</f>
        <v>10</v>
      </c>
      <c r="E476" s="25">
        <f>VLOOKUP(TABLA_STOCK_LISTBOX[[#This Row],[Codigo]],TABLA_STOCK[#All],7)</f>
        <v>20</v>
      </c>
    </row>
    <row r="477" spans="1:5" x14ac:dyDescent="0.3">
      <c r="A477" s="4">
        <v>2401</v>
      </c>
      <c r="B477" s="25" t="str">
        <f>VLOOKUP(TABLA_STOCK_LISTBOX[[#This Row],[Codigo]],LISTADO_PRODUCTOS[#All],4)</f>
        <v>Tijera Maped Crea Cut 5 cortes</v>
      </c>
      <c r="C477" s="25" t="str">
        <f>VLOOKUP(TABLA_STOCK_LISTBOX[[#This Row],[Codigo]],LISTADO_PRODUCTOS[#All],5)</f>
        <v>N/A</v>
      </c>
      <c r="D477" s="25">
        <f>VLOOKUP(TABLA_STOCK_LISTBOX[[#This Row],[Codigo]],TABLA_STOCK[#All],6)</f>
        <v>20</v>
      </c>
      <c r="E477" s="25">
        <f>VLOOKUP(TABLA_STOCK_LISTBOX[[#This Row],[Codigo]],TABLA_STOCK[#All],7)</f>
        <v>19</v>
      </c>
    </row>
    <row r="478" spans="1:5" x14ac:dyDescent="0.3">
      <c r="A478" s="4">
        <v>2402</v>
      </c>
      <c r="B478" s="25" t="str">
        <f>VLOOKUP(TABLA_STOCK_LISTBOX[[#This Row],[Codigo]],LISTADO_PRODUCTOS[#All],4)</f>
        <v>Tubo lanza papel</v>
      </c>
      <c r="C478" s="25" t="str">
        <f>VLOOKUP(TABLA_STOCK_LISTBOX[[#This Row],[Codigo]],LISTADO_PRODUCTOS[#All],5)</f>
        <v>N/A</v>
      </c>
      <c r="D478" s="25">
        <f>VLOOKUP(TABLA_STOCK_LISTBOX[[#This Row],[Codigo]],TABLA_STOCK[#All],6)</f>
        <v>5</v>
      </c>
      <c r="E478" s="25">
        <f>VLOOKUP(TABLA_STOCK_LISTBOX[[#This Row],[Codigo]],TABLA_STOCK[#All],7)</f>
        <v>6</v>
      </c>
    </row>
    <row r="479" spans="1:5" x14ac:dyDescent="0.3">
      <c r="A479" s="4">
        <v>2405</v>
      </c>
      <c r="B479" s="25" t="str">
        <f>VLOOKUP(TABLA_STOCK_LISTBOX[[#This Row],[Codigo]],LISTADO_PRODUCTOS[#All],4)</f>
        <v>Tijera Ibi Craft corte con Formas</v>
      </c>
      <c r="C479" s="25" t="str">
        <f>VLOOKUP(TABLA_STOCK_LISTBOX[[#This Row],[Codigo]],LISTADO_PRODUCTOS[#All],5)</f>
        <v>N/A</v>
      </c>
      <c r="D479" s="25">
        <f>VLOOKUP(TABLA_STOCK_LISTBOX[[#This Row],[Codigo]],TABLA_STOCK[#All],6)</f>
        <v>1</v>
      </c>
      <c r="E479" s="25">
        <f>VLOOKUP(TABLA_STOCK_LISTBOX[[#This Row],[Codigo]],TABLA_STOCK[#All],7)</f>
        <v>5</v>
      </c>
    </row>
    <row r="480" spans="1:5" x14ac:dyDescent="0.3">
      <c r="A480" s="4">
        <v>2421</v>
      </c>
      <c r="B480" s="25" t="str">
        <f>VLOOKUP(TABLA_STOCK_LISTBOX[[#This Row],[Codigo]],LISTADO_PRODUCTOS[#All],4)</f>
        <v>Cinta papel Enmascarar Stiko escolar Rollo chico 18mm x 20m</v>
      </c>
      <c r="C480" s="25" t="str">
        <f>VLOOKUP(TABLA_STOCK_LISTBOX[[#This Row],[Codigo]],LISTADO_PRODUCTOS[#All],5)</f>
        <v>N/A</v>
      </c>
      <c r="D480" s="25">
        <f>VLOOKUP(TABLA_STOCK_LISTBOX[[#This Row],[Codigo]],TABLA_STOCK[#All],6)</f>
        <v>5</v>
      </c>
      <c r="E480" s="25">
        <f>VLOOKUP(TABLA_STOCK_LISTBOX[[#This Row],[Codigo]],TABLA_STOCK[#All],7)</f>
        <v>52</v>
      </c>
    </row>
    <row r="481" spans="1:5" x14ac:dyDescent="0.3">
      <c r="A481" s="4">
        <v>2422</v>
      </c>
      <c r="B481" s="25" t="str">
        <f>VLOOKUP(TABLA_STOCK_LISTBOX[[#This Row],[Codigo]],LISTADO_PRODUCTOS[#All],4)</f>
        <v>Stiker bien grande</v>
      </c>
      <c r="C481" s="25" t="str">
        <f>VLOOKUP(TABLA_STOCK_LISTBOX[[#This Row],[Codigo]],LISTADO_PRODUCTOS[#All],5)</f>
        <v>N/A</v>
      </c>
      <c r="D481" s="25">
        <f>VLOOKUP(TABLA_STOCK_LISTBOX[[#This Row],[Codigo]],TABLA_STOCK[#All],6)</f>
        <v>2</v>
      </c>
      <c r="E481" s="25">
        <f>VLOOKUP(TABLA_STOCK_LISTBOX[[#This Row],[Codigo]],TABLA_STOCK[#All],7)</f>
        <v>32</v>
      </c>
    </row>
    <row r="482" spans="1:5" x14ac:dyDescent="0.3">
      <c r="A482" s="4">
        <v>2424</v>
      </c>
      <c r="B482" s="25" t="str">
        <f>VLOOKUP(TABLA_STOCK_LISTBOX[[#This Row],[Codigo]],LISTADO_PRODUCTOS[#All],4)</f>
        <v>Repuesto America x96h M/Ref. Rayado</v>
      </c>
      <c r="C482" s="25" t="str">
        <f>VLOOKUP(TABLA_STOCK_LISTBOX[[#This Row],[Codigo]],LISTADO_PRODUCTOS[#All],5)</f>
        <v>N/A</v>
      </c>
      <c r="D482" s="25">
        <f>VLOOKUP(TABLA_STOCK_LISTBOX[[#This Row],[Codigo]],TABLA_STOCK[#All],6)</f>
        <v>2</v>
      </c>
      <c r="E482" s="25">
        <f>VLOOKUP(TABLA_STOCK_LISTBOX[[#This Row],[Codigo]],TABLA_STOCK[#All],7)</f>
        <v>56</v>
      </c>
    </row>
    <row r="483" spans="1:5" x14ac:dyDescent="0.3">
      <c r="A483" s="4">
        <v>2427</v>
      </c>
      <c r="B483" s="25" t="str">
        <f>VLOOKUP(TABLA_STOCK_LISTBOX[[#This Row],[Codigo]],LISTADO_PRODUCTOS[#All],4)</f>
        <v>Cinta New-tape enmascarar papel 18mm x 40mts</v>
      </c>
      <c r="C483" s="25" t="str">
        <f>VLOOKUP(TABLA_STOCK_LISTBOX[[#This Row],[Codigo]],LISTADO_PRODUCTOS[#All],5)</f>
        <v>N/A</v>
      </c>
      <c r="D483" s="25">
        <f>VLOOKUP(TABLA_STOCK_LISTBOX[[#This Row],[Codigo]],TABLA_STOCK[#All],6)</f>
        <v>10</v>
      </c>
      <c r="E483" s="25">
        <f>VLOOKUP(TABLA_STOCK_LISTBOX[[#This Row],[Codigo]],TABLA_STOCK[#All],7)</f>
        <v>107</v>
      </c>
    </row>
    <row r="484" spans="1:5" x14ac:dyDescent="0.3">
      <c r="A484" s="4">
        <v>2428</v>
      </c>
      <c r="B484" s="25" t="str">
        <f>VLOOKUP(TABLA_STOCK_LISTBOX[[#This Row],[Codigo]],LISTADO_PRODUCTOS[#All],4)</f>
        <v>Cinta New-tape enmascarar papel 12mm x 40mts</v>
      </c>
      <c r="C484" s="25" t="str">
        <f>VLOOKUP(TABLA_STOCK_LISTBOX[[#This Row],[Codigo]],LISTADO_PRODUCTOS[#All],5)</f>
        <v>N/A</v>
      </c>
      <c r="D484" s="25">
        <f>VLOOKUP(TABLA_STOCK_LISTBOX[[#This Row],[Codigo]],TABLA_STOCK[#All],6)</f>
        <v>20</v>
      </c>
      <c r="E484" s="25">
        <f>VLOOKUP(TABLA_STOCK_LISTBOX[[#This Row],[Codigo]],TABLA_STOCK[#All],7)</f>
        <v>25</v>
      </c>
    </row>
    <row r="485" spans="1:5" x14ac:dyDescent="0.3">
      <c r="A485" s="4">
        <v>2429</v>
      </c>
      <c r="B485" s="25" t="str">
        <f>VLOOKUP(TABLA_STOCK_LISTBOX[[#This Row],[Codigo]],LISTADO_PRODUCTOS[#All],4)</f>
        <v>Block/resma  A4 color Luma 100h 4 colores</v>
      </c>
      <c r="C485" s="25" t="str">
        <f>VLOOKUP(TABLA_STOCK_LISTBOX[[#This Row],[Codigo]],LISTADO_PRODUCTOS[#All],5)</f>
        <v>N/A</v>
      </c>
      <c r="D485" s="25">
        <f>VLOOKUP(TABLA_STOCK_LISTBOX[[#This Row],[Codigo]],TABLA_STOCK[#All],6)</f>
        <v>5</v>
      </c>
      <c r="E485" s="25">
        <f>VLOOKUP(TABLA_STOCK_LISTBOX[[#This Row],[Codigo]],TABLA_STOCK[#All],7)</f>
        <v>32</v>
      </c>
    </row>
    <row r="486" spans="1:5" x14ac:dyDescent="0.3">
      <c r="A486" s="4">
        <v>2443</v>
      </c>
      <c r="B486" s="25" t="str">
        <f>VLOOKUP(TABLA_STOCK_LISTBOX[[#This Row],[Codigo]],LISTADO_PRODUCTOS[#All],4)</f>
        <v>Pinceleta N°4</v>
      </c>
      <c r="C486" s="25" t="str">
        <f>VLOOKUP(TABLA_STOCK_LISTBOX[[#This Row],[Codigo]],LISTADO_PRODUCTOS[#All],5)</f>
        <v>N/A</v>
      </c>
      <c r="D486" s="25">
        <f>VLOOKUP(TABLA_STOCK_LISTBOX[[#This Row],[Codigo]],TABLA_STOCK[#All],6)</f>
        <v>1</v>
      </c>
      <c r="E486" s="25">
        <f>VLOOKUP(TABLA_STOCK_LISTBOX[[#This Row],[Codigo]],TABLA_STOCK[#All],7)</f>
        <v>150</v>
      </c>
    </row>
    <row r="487" spans="1:5" x14ac:dyDescent="0.3">
      <c r="A487" s="4">
        <v>2444</v>
      </c>
      <c r="B487" s="25" t="str">
        <f>VLOOKUP(TABLA_STOCK_LISTBOX[[#This Row],[Codigo]],LISTADO_PRODUCTOS[#All],4)</f>
        <v>Acuarela Trazos en caja plastica x12 + pincel</v>
      </c>
      <c r="C487" s="25" t="str">
        <f>VLOOKUP(TABLA_STOCK_LISTBOX[[#This Row],[Codigo]],LISTADO_PRODUCTOS[#All],5)</f>
        <v>N/A</v>
      </c>
      <c r="D487" s="25">
        <f>VLOOKUP(TABLA_STOCK_LISTBOX[[#This Row],[Codigo]],TABLA_STOCK[#All],6)</f>
        <v>5</v>
      </c>
      <c r="E487" s="25">
        <f>VLOOKUP(TABLA_STOCK_LISTBOX[[#This Row],[Codigo]],TABLA_STOCK[#All],7)</f>
        <v>20</v>
      </c>
    </row>
    <row r="488" spans="1:5" x14ac:dyDescent="0.3">
      <c r="A488" s="4">
        <v>2451</v>
      </c>
      <c r="B488" s="25" t="str">
        <f>VLOOKUP(TABLA_STOCK_LISTBOX[[#This Row],[Codigo]],LISTADO_PRODUCTOS[#All],4)</f>
        <v xml:space="preserve">Porcelana Fria Nicronx 500gr </v>
      </c>
      <c r="C488" s="25" t="str">
        <f>VLOOKUP(TABLA_STOCK_LISTBOX[[#This Row],[Codigo]],LISTADO_PRODUCTOS[#All],5)</f>
        <v>N/A</v>
      </c>
      <c r="D488" s="25">
        <f>VLOOKUP(TABLA_STOCK_LISTBOX[[#This Row],[Codigo]],TABLA_STOCK[#All],6)</f>
        <v>2</v>
      </c>
      <c r="E488" s="25">
        <f>VLOOKUP(TABLA_STOCK_LISTBOX[[#This Row],[Codigo]],TABLA_STOCK[#All],7)</f>
        <v>19</v>
      </c>
    </row>
    <row r="489" spans="1:5" x14ac:dyDescent="0.3">
      <c r="A489" s="4">
        <v>2458</v>
      </c>
      <c r="B489" s="25" t="str">
        <f>VLOOKUP(TABLA_STOCK_LISTBOX[[#This Row],[Codigo]],LISTADO_PRODUCTOS[#All],4)</f>
        <v>Tubo Pulceras luminicentes</v>
      </c>
      <c r="C489" s="25" t="str">
        <f>VLOOKUP(TABLA_STOCK_LISTBOX[[#This Row],[Codigo]],LISTADO_PRODUCTOS[#All],5)</f>
        <v>N/A</v>
      </c>
      <c r="D489" s="25">
        <f>VLOOKUP(TABLA_STOCK_LISTBOX[[#This Row],[Codigo]],TABLA_STOCK[#All],6)</f>
        <v>10</v>
      </c>
      <c r="E489" s="25">
        <f>VLOOKUP(TABLA_STOCK_LISTBOX[[#This Row],[Codigo]],TABLA_STOCK[#All],7)</f>
        <v>6</v>
      </c>
    </row>
    <row r="490" spans="1:5" x14ac:dyDescent="0.3">
      <c r="A490" s="4">
        <v>2466</v>
      </c>
      <c r="B490" s="25" t="str">
        <f>VLOOKUP(TABLA_STOCK_LISTBOX[[#This Row],[Codigo]],LISTADO_PRODUCTOS[#All],4)</f>
        <v>Sobre polietileno grueso porta credencial</v>
      </c>
      <c r="C490" s="25" t="str">
        <f>VLOOKUP(TABLA_STOCK_LISTBOX[[#This Row],[Codigo]],LISTADO_PRODUCTOS[#All],5)</f>
        <v>N/A</v>
      </c>
      <c r="D490" s="25">
        <f>VLOOKUP(TABLA_STOCK_LISTBOX[[#This Row],[Codigo]],TABLA_STOCK[#All],6)</f>
        <v>20</v>
      </c>
      <c r="E490" s="25">
        <f>VLOOKUP(TABLA_STOCK_LISTBOX[[#This Row],[Codigo]],TABLA_STOCK[#All],7)</f>
        <v>5</v>
      </c>
    </row>
    <row r="491" spans="1:5" x14ac:dyDescent="0.3">
      <c r="A491" s="4">
        <v>2468</v>
      </c>
      <c r="B491" s="25" t="str">
        <f>VLOOKUP(TABLA_STOCK_LISTBOX[[#This Row],[Codigo]],LISTADO_PRODUCTOS[#All],4)</f>
        <v>Papel metalizado Luma 5 mt X40cm / SE VENDE X METRO</v>
      </c>
      <c r="C491" s="25" t="str">
        <f>VLOOKUP(TABLA_STOCK_LISTBOX[[#This Row],[Codigo]],LISTADO_PRODUCTOS[#All],5)</f>
        <v>N/A</v>
      </c>
      <c r="D491" s="25">
        <f>VLOOKUP(TABLA_STOCK_LISTBOX[[#This Row],[Codigo]],TABLA_STOCK[#All],6)</f>
        <v>5</v>
      </c>
      <c r="E491" s="25">
        <f>VLOOKUP(TABLA_STOCK_LISTBOX[[#This Row],[Codigo]],TABLA_STOCK[#All],7)</f>
        <v>52</v>
      </c>
    </row>
    <row r="492" spans="1:5" x14ac:dyDescent="0.3">
      <c r="A492" s="4">
        <v>2471</v>
      </c>
      <c r="B492" s="25" t="str">
        <f>VLOOKUP(TABLA_STOCK_LISTBOX[[#This Row],[Codigo]],LISTADO_PRODUCTOS[#All],4)</f>
        <v>Tempera Maped color peps x 12u</v>
      </c>
      <c r="C492" s="25" t="str">
        <f>VLOOKUP(TABLA_STOCK_LISTBOX[[#This Row],[Codigo]],LISTADO_PRODUCTOS[#All],5)</f>
        <v>N/A</v>
      </c>
      <c r="D492" s="25">
        <f>VLOOKUP(TABLA_STOCK_LISTBOX[[#This Row],[Codigo]],TABLA_STOCK[#All],6)</f>
        <v>1</v>
      </c>
      <c r="E492" s="25">
        <f>VLOOKUP(TABLA_STOCK_LISTBOX[[#This Row],[Codigo]],TABLA_STOCK[#All],7)</f>
        <v>32</v>
      </c>
    </row>
    <row r="493" spans="1:5" x14ac:dyDescent="0.3">
      <c r="A493" s="4">
        <v>2472</v>
      </c>
      <c r="B493" s="25" t="str">
        <f>VLOOKUP(TABLA_STOCK_LISTBOX[[#This Row],[Codigo]],LISTADO_PRODUCTOS[#All],4)</f>
        <v>Hilo YUTE Natural ovillo x 20mts 2807</v>
      </c>
      <c r="C493" s="25" t="str">
        <f>VLOOKUP(TABLA_STOCK_LISTBOX[[#This Row],[Codigo]],LISTADO_PRODUCTOS[#All],5)</f>
        <v>N/A</v>
      </c>
      <c r="D493" s="25">
        <f>VLOOKUP(TABLA_STOCK_LISTBOX[[#This Row],[Codigo]],TABLA_STOCK[#All],6)</f>
        <v>5</v>
      </c>
      <c r="E493" s="25">
        <f>VLOOKUP(TABLA_STOCK_LISTBOX[[#This Row],[Codigo]],TABLA_STOCK[#All],7)</f>
        <v>56</v>
      </c>
    </row>
    <row r="494" spans="1:5" x14ac:dyDescent="0.3">
      <c r="A494" s="4">
        <v>2477</v>
      </c>
      <c r="B494" s="25" t="str">
        <f>VLOOKUP(TABLA_STOCK_LISTBOX[[#This Row],[Codigo]],LISTADO_PRODUCTOS[#All],4)</f>
        <v>Pintura a la tiza 200cc EQ ARTE</v>
      </c>
      <c r="C494" s="25" t="str">
        <f>VLOOKUP(TABLA_STOCK_LISTBOX[[#This Row],[Codigo]],LISTADO_PRODUCTOS[#All],5)</f>
        <v>N/A</v>
      </c>
      <c r="D494" s="25">
        <f>VLOOKUP(TABLA_STOCK_LISTBOX[[#This Row],[Codigo]],TABLA_STOCK[#All],6)</f>
        <v>2</v>
      </c>
      <c r="E494" s="25">
        <f>VLOOKUP(TABLA_STOCK_LISTBOX[[#This Row],[Codigo]],TABLA_STOCK[#All],7)</f>
        <v>107</v>
      </c>
    </row>
    <row r="495" spans="1:5" x14ac:dyDescent="0.3">
      <c r="A495" s="4">
        <v>2484</v>
      </c>
      <c r="B495" s="25" t="str">
        <f>VLOOKUP(TABLA_STOCK_LISTBOX[[#This Row],[Codigo]],LISTADO_PRODUCTOS[#All],4)</f>
        <v xml:space="preserve">Cinta regalo rollo (tipo ribbonete) 2cm x 50mt </v>
      </c>
      <c r="C495" s="25" t="str">
        <f>VLOOKUP(TABLA_STOCK_LISTBOX[[#This Row],[Codigo]],LISTADO_PRODUCTOS[#All],5)</f>
        <v>N/A</v>
      </c>
      <c r="D495" s="25">
        <f>VLOOKUP(TABLA_STOCK_LISTBOX[[#This Row],[Codigo]],TABLA_STOCK[#All],6)</f>
        <v>2</v>
      </c>
      <c r="E495" s="25">
        <f>VLOOKUP(TABLA_STOCK_LISTBOX[[#This Row],[Codigo]],TABLA_STOCK[#All],7)</f>
        <v>25</v>
      </c>
    </row>
    <row r="496" spans="1:5" x14ac:dyDescent="0.3">
      <c r="A496" s="4">
        <v>2487</v>
      </c>
      <c r="B496" s="25" t="str">
        <f>VLOOKUP(TABLA_STOCK_LISTBOX[[#This Row],[Codigo]],LISTADO_PRODUCTOS[#All],4)</f>
        <v>Cinta Doble faz Motex 12mm x 10m</v>
      </c>
      <c r="C496" s="25" t="str">
        <f>VLOOKUP(TABLA_STOCK_LISTBOX[[#This Row],[Codigo]],LISTADO_PRODUCTOS[#All],5)</f>
        <v>N/A</v>
      </c>
      <c r="D496" s="25">
        <f>VLOOKUP(TABLA_STOCK_LISTBOX[[#This Row],[Codigo]],TABLA_STOCK[#All],6)</f>
        <v>10</v>
      </c>
      <c r="E496" s="25">
        <f>VLOOKUP(TABLA_STOCK_LISTBOX[[#This Row],[Codigo]],TABLA_STOCK[#All],7)</f>
        <v>32</v>
      </c>
    </row>
    <row r="497" spans="1:5" x14ac:dyDescent="0.3">
      <c r="A497" s="4">
        <v>2488</v>
      </c>
      <c r="B497" s="25" t="str">
        <f>VLOOKUP(TABLA_STOCK_LISTBOX[[#This Row],[Codigo]],LISTADO_PRODUCTOS[#All],4)</f>
        <v>Broche Aprieta papel Sifap niquelado N°50 x unidad</v>
      </c>
      <c r="C497" s="25" t="str">
        <f>VLOOKUP(TABLA_STOCK_LISTBOX[[#This Row],[Codigo]],LISTADO_PRODUCTOS[#All],5)</f>
        <v>N/A</v>
      </c>
      <c r="D497" s="25">
        <f>VLOOKUP(TABLA_STOCK_LISTBOX[[#This Row],[Codigo]],TABLA_STOCK[#All],6)</f>
        <v>20</v>
      </c>
      <c r="E497" s="25">
        <f>VLOOKUP(TABLA_STOCK_LISTBOX[[#This Row],[Codigo]],TABLA_STOCK[#All],7)</f>
        <v>150</v>
      </c>
    </row>
    <row r="498" spans="1:5" x14ac:dyDescent="0.3">
      <c r="A498" s="4">
        <v>2489</v>
      </c>
      <c r="B498" s="25" t="str">
        <f>VLOOKUP(TABLA_STOCK_LISTBOX[[#This Row],[Codigo]],LISTADO_PRODUCTOS[#All],4)</f>
        <v>Broche Aprieta papel N°75 niquelado Sifap x unidad</v>
      </c>
      <c r="C498" s="25" t="str">
        <f>VLOOKUP(TABLA_STOCK_LISTBOX[[#This Row],[Codigo]],LISTADO_PRODUCTOS[#All],5)</f>
        <v>N/A</v>
      </c>
      <c r="D498" s="25">
        <f>VLOOKUP(TABLA_STOCK_LISTBOX[[#This Row],[Codigo]],TABLA_STOCK[#All],6)</f>
        <v>5</v>
      </c>
      <c r="E498" s="25">
        <f>VLOOKUP(TABLA_STOCK_LISTBOX[[#This Row],[Codigo]],TABLA_STOCK[#All],7)</f>
        <v>20</v>
      </c>
    </row>
    <row r="499" spans="1:5" x14ac:dyDescent="0.3">
      <c r="A499" s="4">
        <v>2495</v>
      </c>
      <c r="B499" s="25" t="str">
        <f>VLOOKUP(TABLA_STOCK_LISTBOX[[#This Row],[Codigo]],LISTADO_PRODUCTOS[#All],4)</f>
        <v>Plastilina Playcolor pastel x 6u</v>
      </c>
      <c r="C499" s="25" t="str">
        <f>VLOOKUP(TABLA_STOCK_LISTBOX[[#This Row],[Codigo]],LISTADO_PRODUCTOS[#All],5)</f>
        <v>N/A</v>
      </c>
      <c r="D499" s="25">
        <f>VLOOKUP(TABLA_STOCK_LISTBOX[[#This Row],[Codigo]],TABLA_STOCK[#All],6)</f>
        <v>1</v>
      </c>
      <c r="E499" s="25">
        <f>VLOOKUP(TABLA_STOCK_LISTBOX[[#This Row],[Codigo]],TABLA_STOCK[#All],7)</f>
        <v>19</v>
      </c>
    </row>
    <row r="500" spans="1:5" x14ac:dyDescent="0.3">
      <c r="A500" s="4">
        <v>2498</v>
      </c>
      <c r="B500" s="25" t="str">
        <f>VLOOKUP(TABLA_STOCK_LISTBOX[[#This Row],[Codigo]],LISTADO_PRODUCTOS[#All],4)</f>
        <v>Tempera Playcolor Fluo x 6u</v>
      </c>
      <c r="C500" s="25" t="str">
        <f>VLOOKUP(TABLA_STOCK_LISTBOX[[#This Row],[Codigo]],LISTADO_PRODUCTOS[#All],5)</f>
        <v>N/A</v>
      </c>
      <c r="D500" s="25">
        <f>VLOOKUP(TABLA_STOCK_LISTBOX[[#This Row],[Codigo]],TABLA_STOCK[#All],6)</f>
        <v>5</v>
      </c>
      <c r="E500" s="25">
        <f>VLOOKUP(TABLA_STOCK_LISTBOX[[#This Row],[Codigo]],TABLA_STOCK[#All],7)</f>
        <v>6</v>
      </c>
    </row>
    <row r="501" spans="1:5" x14ac:dyDescent="0.3">
      <c r="A501" s="4">
        <v>2499</v>
      </c>
      <c r="B501" s="25" t="str">
        <f>VLOOKUP(TABLA_STOCK_LISTBOX[[#This Row],[Codigo]],LISTADO_PRODUCTOS[#All],4)</f>
        <v>Cintas IBI CRAFT Glitter</v>
      </c>
      <c r="C501" s="25" t="str">
        <f>VLOOKUP(TABLA_STOCK_LISTBOX[[#This Row],[Codigo]],LISTADO_PRODUCTOS[#All],5)</f>
        <v>N/A</v>
      </c>
      <c r="D501" s="25">
        <f>VLOOKUP(TABLA_STOCK_LISTBOX[[#This Row],[Codigo]],TABLA_STOCK[#All],6)</f>
        <v>2</v>
      </c>
      <c r="E501" s="25">
        <f>VLOOKUP(TABLA_STOCK_LISTBOX[[#This Row],[Codigo]],TABLA_STOCK[#All],7)</f>
        <v>5</v>
      </c>
    </row>
    <row r="502" spans="1:5" x14ac:dyDescent="0.3">
      <c r="A502" s="4">
        <v>2500</v>
      </c>
      <c r="B502" s="25" t="str">
        <f>VLOOKUP(TABLA_STOCK_LISTBOX[[#This Row],[Codigo]],LISTADO_PRODUCTOS[#All],4)</f>
        <v>Barrita de silicona fina c/brillo</v>
      </c>
      <c r="C502" s="25" t="str">
        <f>VLOOKUP(TABLA_STOCK_LISTBOX[[#This Row],[Codigo]],LISTADO_PRODUCTOS[#All],5)</f>
        <v>N/A</v>
      </c>
      <c r="D502" s="25">
        <f>VLOOKUP(TABLA_STOCK_LISTBOX[[#This Row],[Codigo]],TABLA_STOCK[#All],6)</f>
        <v>2</v>
      </c>
      <c r="E502" s="25">
        <f>VLOOKUP(TABLA_STOCK_LISTBOX[[#This Row],[Codigo]],TABLA_STOCK[#All],7)</f>
        <v>52</v>
      </c>
    </row>
    <row r="503" spans="1:5" x14ac:dyDescent="0.3">
      <c r="A503" s="4">
        <v>2502</v>
      </c>
      <c r="B503" s="25" t="str">
        <f>VLOOKUP(TABLA_STOCK_LISTBOX[[#This Row],[Codigo]],LISTADO_PRODUCTOS[#All],4)</f>
        <v>Blister Pinceles Olami colores x 4</v>
      </c>
      <c r="C503" s="25" t="str">
        <f>VLOOKUP(TABLA_STOCK_LISTBOX[[#This Row],[Codigo]],LISTADO_PRODUCTOS[#All],5)</f>
        <v>N/A</v>
      </c>
      <c r="D503" s="25">
        <f>VLOOKUP(TABLA_STOCK_LISTBOX[[#This Row],[Codigo]],TABLA_STOCK[#All],6)</f>
        <v>10</v>
      </c>
      <c r="E503" s="25">
        <f>VLOOKUP(TABLA_STOCK_LISTBOX[[#This Row],[Codigo]],TABLA_STOCK[#All],7)</f>
        <v>32</v>
      </c>
    </row>
    <row r="504" spans="1:5" x14ac:dyDescent="0.3">
      <c r="A504" s="4">
        <v>2503</v>
      </c>
      <c r="B504" s="25" t="str">
        <f>VLOOKUP(TABLA_STOCK_LISTBOX[[#This Row],[Codigo]],LISTADO_PRODUCTOS[#All],4)</f>
        <v>Papel Kraft x hoja</v>
      </c>
      <c r="C504" s="25" t="str">
        <f>VLOOKUP(TABLA_STOCK_LISTBOX[[#This Row],[Codigo]],LISTADO_PRODUCTOS[#All],5)</f>
        <v>N/A</v>
      </c>
      <c r="D504" s="25">
        <f>VLOOKUP(TABLA_STOCK_LISTBOX[[#This Row],[Codigo]],TABLA_STOCK[#All],6)</f>
        <v>20</v>
      </c>
      <c r="E504" s="25">
        <f>VLOOKUP(TABLA_STOCK_LISTBOX[[#This Row],[Codigo]],TABLA_STOCK[#All],7)</f>
        <v>56</v>
      </c>
    </row>
    <row r="505" spans="1:5" x14ac:dyDescent="0.3">
      <c r="A505" s="4">
        <v>2504</v>
      </c>
      <c r="B505" s="25" t="str">
        <f>VLOOKUP(TABLA_STOCK_LISTBOX[[#This Row],[Codigo]],LISTADO_PRODUCTOS[#All],4)</f>
        <v>Alambre de aluminio CBX colores 1mm x 5mt</v>
      </c>
      <c r="C505" s="25" t="str">
        <f>VLOOKUP(TABLA_STOCK_LISTBOX[[#This Row],[Codigo]],LISTADO_PRODUCTOS[#All],5)</f>
        <v>N/A</v>
      </c>
      <c r="D505" s="25">
        <f>VLOOKUP(TABLA_STOCK_LISTBOX[[#This Row],[Codigo]],TABLA_STOCK[#All],6)</f>
        <v>5</v>
      </c>
      <c r="E505" s="25">
        <f>VLOOKUP(TABLA_STOCK_LISTBOX[[#This Row],[Codigo]],TABLA_STOCK[#All],7)</f>
        <v>107</v>
      </c>
    </row>
    <row r="506" spans="1:5" x14ac:dyDescent="0.3">
      <c r="A506" s="4">
        <v>3000</v>
      </c>
      <c r="B506" s="25" t="str">
        <f>VLOOKUP(TABLA_STOCK_LISTBOX[[#This Row],[Codigo]],LISTADO_PRODUCTOS[#All],4)</f>
        <v>Canopla cartuchera Mooving Como quieres que te quiera 1510136</v>
      </c>
      <c r="C506" s="25" t="str">
        <f>VLOOKUP(TABLA_STOCK_LISTBOX[[#This Row],[Codigo]],LISTADO_PRODUCTOS[#All],5)</f>
        <v>N/A</v>
      </c>
      <c r="D506" s="25">
        <f>VLOOKUP(TABLA_STOCK_LISTBOX[[#This Row],[Codigo]],TABLA_STOCK[#All],6)</f>
        <v>1</v>
      </c>
      <c r="E506" s="25">
        <f>VLOOKUP(TABLA_STOCK_LISTBOX[[#This Row],[Codigo]],TABLA_STOCK[#All],7)</f>
        <v>25</v>
      </c>
    </row>
    <row r="507" spans="1:5" x14ac:dyDescent="0.3">
      <c r="A507" s="4">
        <v>3001</v>
      </c>
      <c r="B507" s="25" t="str">
        <f>VLOOKUP(TABLA_STOCK_LISTBOX[[#This Row],[Codigo]],LISTADO_PRODUCTOS[#All],4)</f>
        <v>CANOPLA ALGAMA DOBLE CIERRE BRILLO/cuerina</v>
      </c>
      <c r="C507" s="25" t="str">
        <f>VLOOKUP(TABLA_STOCK_LISTBOX[[#This Row],[Codigo]],LISTADO_PRODUCTOS[#All],5)</f>
        <v>N/A</v>
      </c>
      <c r="D507" s="25">
        <f>VLOOKUP(TABLA_STOCK_LISTBOX[[#This Row],[Codigo]],TABLA_STOCK[#All],6)</f>
        <v>5</v>
      </c>
      <c r="E507" s="25">
        <f>VLOOKUP(TABLA_STOCK_LISTBOX[[#This Row],[Codigo]],TABLA_STOCK[#All],7)</f>
        <v>32</v>
      </c>
    </row>
    <row r="508" spans="1:5" x14ac:dyDescent="0.3">
      <c r="A508" s="4">
        <v>3005</v>
      </c>
      <c r="B508" s="25" t="str">
        <f>VLOOKUP(TABLA_STOCK_LISTBOX[[#This Row],[Codigo]],LISTADO_PRODUCTOS[#All],4)</f>
        <v>Mochila Fast Racing Art. No. 59060</v>
      </c>
      <c r="C508" s="25" t="str">
        <f>VLOOKUP(TABLA_STOCK_LISTBOX[[#This Row],[Codigo]],LISTADO_PRODUCTOS[#All],5)</f>
        <v>N/A</v>
      </c>
      <c r="D508" s="25">
        <f>VLOOKUP(TABLA_STOCK_LISTBOX[[#This Row],[Codigo]],TABLA_STOCK[#All],6)</f>
        <v>2</v>
      </c>
      <c r="E508" s="25">
        <f>VLOOKUP(TABLA_STOCK_LISTBOX[[#This Row],[Codigo]],TABLA_STOCK[#All],7)</f>
        <v>150</v>
      </c>
    </row>
    <row r="509" spans="1:5" x14ac:dyDescent="0.3">
      <c r="A509" s="4">
        <v>3026</v>
      </c>
      <c r="B509" s="25" t="str">
        <f>VLOOKUP(TABLA_STOCK_LISTBOX[[#This Row],[Codigo]],LISTADO_PRODUCTOS[#All],4)</f>
        <v>Canopla cartuchera FW con peluche organizador Fun Velvet</v>
      </c>
      <c r="C509" s="25" t="str">
        <f>VLOOKUP(TABLA_STOCK_LISTBOX[[#This Row],[Codigo]],LISTADO_PRODUCTOS[#All],5)</f>
        <v>N/A</v>
      </c>
      <c r="D509" s="25">
        <f>VLOOKUP(TABLA_STOCK_LISTBOX[[#This Row],[Codigo]],TABLA_STOCK[#All],6)</f>
        <v>2</v>
      </c>
      <c r="E509" s="25">
        <f>VLOOKUP(TABLA_STOCK_LISTBOX[[#This Row],[Codigo]],TABLA_STOCK[#All],7)</f>
        <v>20</v>
      </c>
    </row>
    <row r="510" spans="1:5" x14ac:dyDescent="0.3">
      <c r="A510" s="4">
        <v>3038</v>
      </c>
      <c r="B510" s="25" t="str">
        <f>VLOOKUP(TABLA_STOCK_LISTBOX[[#This Row],[Codigo]],LISTADO_PRODUCTOS[#All],4)</f>
        <v>Canopla Tubo LSyD dos cierres 97.3007.3</v>
      </c>
      <c r="C510" s="25" t="str">
        <f>VLOOKUP(TABLA_STOCK_LISTBOX[[#This Row],[Codigo]],LISTADO_PRODUCTOS[#All],5)</f>
        <v>N/A</v>
      </c>
      <c r="D510" s="25">
        <f>VLOOKUP(TABLA_STOCK_LISTBOX[[#This Row],[Codigo]],TABLA_STOCK[#All],6)</f>
        <v>10</v>
      </c>
      <c r="E510" s="25">
        <f>VLOOKUP(TABLA_STOCK_LISTBOX[[#This Row],[Codigo]],TABLA_STOCK[#All],7)</f>
        <v>19</v>
      </c>
    </row>
    <row r="511" spans="1:5" x14ac:dyDescent="0.3">
      <c r="A511" s="4">
        <v>3077</v>
      </c>
      <c r="B511" s="25" t="str">
        <f>VLOOKUP(TABLA_STOCK_LISTBOX[[#This Row],[Codigo]],LISTADO_PRODUCTOS[#All],4)</f>
        <v>Mochila LSyD Water War Art. No. 91.17800</v>
      </c>
      <c r="C511" s="25" t="str">
        <f>VLOOKUP(TABLA_STOCK_LISTBOX[[#This Row],[Codigo]],LISTADO_PRODUCTOS[#All],5)</f>
        <v>N/A</v>
      </c>
      <c r="D511" s="25">
        <f>VLOOKUP(TABLA_STOCK_LISTBOX[[#This Row],[Codigo]],TABLA_STOCK[#All],6)</f>
        <v>20</v>
      </c>
      <c r="E511" s="25">
        <f>VLOOKUP(TABLA_STOCK_LISTBOX[[#This Row],[Codigo]],TABLA_STOCK[#All],7)</f>
        <v>6</v>
      </c>
    </row>
    <row r="512" spans="1:5" x14ac:dyDescent="0.3">
      <c r="A512" s="4">
        <v>3078</v>
      </c>
      <c r="B512" s="25" t="str">
        <f>VLOOKUP(TABLA_STOCK_LISTBOX[[#This Row],[Codigo]],LISTADO_PRODUCTOS[#All],4)</f>
        <v>Mochila Disney Junior de Cresko</v>
      </c>
      <c r="C512" s="25" t="str">
        <f>VLOOKUP(TABLA_STOCK_LISTBOX[[#This Row],[Codigo]],LISTADO_PRODUCTOS[#All],5)</f>
        <v>N/A</v>
      </c>
      <c r="D512" s="25">
        <f>VLOOKUP(TABLA_STOCK_LISTBOX[[#This Row],[Codigo]],TABLA_STOCK[#All],6)</f>
        <v>5</v>
      </c>
      <c r="E512" s="25">
        <f>VLOOKUP(TABLA_STOCK_LISTBOX[[#This Row],[Codigo]],TABLA_STOCK[#All],7)</f>
        <v>5</v>
      </c>
    </row>
    <row r="513" spans="1:5" x14ac:dyDescent="0.3">
      <c r="A513" s="4">
        <v>3211</v>
      </c>
      <c r="B513" s="25" t="str">
        <f>VLOOKUP(TABLA_STOCK_LISTBOX[[#This Row],[Codigo]],LISTADO_PRODUCTOS[#All],4)</f>
        <v>Mochila IN Influencer Lesedife 68.3003</v>
      </c>
      <c r="C513" s="25" t="str">
        <f>VLOOKUP(TABLA_STOCK_LISTBOX[[#This Row],[Codigo]],LISTADO_PRODUCTOS[#All],5)</f>
        <v>N/A</v>
      </c>
      <c r="D513" s="25">
        <f>VLOOKUP(TABLA_STOCK_LISTBOX[[#This Row],[Codigo]],TABLA_STOCK[#All],6)</f>
        <v>1</v>
      </c>
      <c r="E513" s="25">
        <f>VLOOKUP(TABLA_STOCK_LISTBOX[[#This Row],[Codigo]],TABLA_STOCK[#All],7)</f>
        <v>52</v>
      </c>
    </row>
    <row r="514" spans="1:5" x14ac:dyDescent="0.3">
      <c r="A514" s="4">
        <v>3212</v>
      </c>
      <c r="B514" s="25" t="str">
        <f>VLOOKUP(TABLA_STOCK_LISTBOX[[#This Row],[Codigo]],LISTADO_PRODUCTOS[#All],4)</f>
        <v>Mochila LSyD BOMB Art. No. 91.1404</v>
      </c>
      <c r="C514" s="25" t="str">
        <f>VLOOKUP(TABLA_STOCK_LISTBOX[[#This Row],[Codigo]],LISTADO_PRODUCTOS[#All],5)</f>
        <v>N/A</v>
      </c>
      <c r="D514" s="25">
        <f>VLOOKUP(TABLA_STOCK_LISTBOX[[#This Row],[Codigo]],TABLA_STOCK[#All],6)</f>
        <v>5</v>
      </c>
      <c r="E514" s="25">
        <f>VLOOKUP(TABLA_STOCK_LISTBOX[[#This Row],[Codigo]],TABLA_STOCK[#All],7)</f>
        <v>32</v>
      </c>
    </row>
    <row r="515" spans="1:5" x14ac:dyDescent="0.3">
      <c r="A515" s="4">
        <v>3214</v>
      </c>
      <c r="B515" s="25" t="str">
        <f>VLOOKUP(TABLA_STOCK_LISTBOX[[#This Row],[Codigo]],LISTADO_PRODUCTOS[#All],4)</f>
        <v>Mochila LSyD Street Wear Art. No. 91.2805</v>
      </c>
      <c r="C515" s="25" t="str">
        <f>VLOOKUP(TABLA_STOCK_LISTBOX[[#This Row],[Codigo]],LISTADO_PRODUCTOS[#All],5)</f>
        <v>N/A</v>
      </c>
      <c r="D515" s="25">
        <f>VLOOKUP(TABLA_STOCK_LISTBOX[[#This Row],[Codigo]],TABLA_STOCK[#All],6)</f>
        <v>2</v>
      </c>
      <c r="E515" s="25">
        <f>VLOOKUP(TABLA_STOCK_LISTBOX[[#This Row],[Codigo]],TABLA_STOCK[#All],7)</f>
        <v>56</v>
      </c>
    </row>
    <row r="516" spans="1:5" x14ac:dyDescent="0.3">
      <c r="A516" s="4">
        <v>4000</v>
      </c>
      <c r="B516" s="25" t="str">
        <f>VLOOKUP(TABLA_STOCK_LISTBOX[[#This Row],[Codigo]],LISTADO_PRODUCTOS[#All],4)</f>
        <v>Borrador Sifap Goma eva</v>
      </c>
      <c r="C516" s="25" t="str">
        <f>VLOOKUP(TABLA_STOCK_LISTBOX[[#This Row],[Codigo]],LISTADO_PRODUCTOS[#All],5)</f>
        <v>N/A</v>
      </c>
      <c r="D516" s="25">
        <f>VLOOKUP(TABLA_STOCK_LISTBOX[[#This Row],[Codigo]],TABLA_STOCK[#All],6)</f>
        <v>10</v>
      </c>
      <c r="E516" s="25">
        <f>VLOOKUP(TABLA_STOCK_LISTBOX[[#This Row],[Codigo]],TABLA_STOCK[#All],7)</f>
        <v>107</v>
      </c>
    </row>
    <row r="517" spans="1:5" x14ac:dyDescent="0.3">
      <c r="A517" s="4">
        <v>4001</v>
      </c>
      <c r="B517" s="25" t="str">
        <f>VLOOKUP(TABLA_STOCK_LISTBOX[[#This Row],[Codigo]],LISTADO_PRODUCTOS[#All],4)</f>
        <v>Blister marcador de pizarra Filgo x 6u</v>
      </c>
      <c r="C517" s="25" t="str">
        <f>VLOOKUP(TABLA_STOCK_LISTBOX[[#This Row],[Codigo]],LISTADO_PRODUCTOS[#All],5)</f>
        <v>N/A</v>
      </c>
      <c r="D517" s="25">
        <f>VLOOKUP(TABLA_STOCK_LISTBOX[[#This Row],[Codigo]],TABLA_STOCK[#All],6)</f>
        <v>20</v>
      </c>
      <c r="E517" s="25">
        <f>VLOOKUP(TABLA_STOCK_LISTBOX[[#This Row],[Codigo]],TABLA_STOCK[#All],7)</f>
        <v>25</v>
      </c>
    </row>
    <row r="518" spans="1:5" x14ac:dyDescent="0.3">
      <c r="A518" s="4">
        <v>4006</v>
      </c>
      <c r="B518" s="25" t="str">
        <f>VLOOKUP(TABLA_STOCK_LISTBOX[[#This Row],[Codigo]],LISTADO_PRODUCTOS[#All],4)</f>
        <v>Repuesto Parker</v>
      </c>
      <c r="C518" s="25" t="str">
        <f>VLOOKUP(TABLA_STOCK_LISTBOX[[#This Row],[Codigo]],LISTADO_PRODUCTOS[#All],5)</f>
        <v>N/A</v>
      </c>
      <c r="D518" s="25">
        <f>VLOOKUP(TABLA_STOCK_LISTBOX[[#This Row],[Codigo]],TABLA_STOCK[#All],6)</f>
        <v>5</v>
      </c>
      <c r="E518" s="25">
        <f>VLOOKUP(TABLA_STOCK_LISTBOX[[#This Row],[Codigo]],TABLA_STOCK[#All],7)</f>
        <v>32</v>
      </c>
    </row>
    <row r="519" spans="1:5" x14ac:dyDescent="0.3">
      <c r="A519" s="4">
        <v>4007</v>
      </c>
      <c r="B519" s="25" t="str">
        <f>VLOOKUP(TABLA_STOCK_LISTBOX[[#This Row],[Codigo]],LISTADO_PRODUCTOS[#All],4)</f>
        <v>Abrochadora Maped Vivo Nº10</v>
      </c>
      <c r="C519" s="25" t="str">
        <f>VLOOKUP(TABLA_STOCK_LISTBOX[[#This Row],[Codigo]],LISTADO_PRODUCTOS[#All],5)</f>
        <v>N/A</v>
      </c>
      <c r="D519" s="25">
        <f>VLOOKUP(TABLA_STOCK_LISTBOX[[#This Row],[Codigo]],TABLA_STOCK[#All],6)</f>
        <v>1</v>
      </c>
      <c r="E519" s="25">
        <f>VLOOKUP(TABLA_STOCK_LISTBOX[[#This Row],[Codigo]],TABLA_STOCK[#All],7)</f>
        <v>150</v>
      </c>
    </row>
    <row r="520" spans="1:5" x14ac:dyDescent="0.3">
      <c r="A520" s="4">
        <v>4008</v>
      </c>
      <c r="B520" s="25" t="str">
        <f>VLOOKUP(TABLA_STOCK_LISTBOX[[#This Row],[Codigo]],LISTADO_PRODUCTOS[#All],4)</f>
        <v>Abrochadora General Office de bolsillo N°10 str-2102</v>
      </c>
      <c r="C520" s="25" t="str">
        <f>VLOOKUP(TABLA_STOCK_LISTBOX[[#This Row],[Codigo]],LISTADO_PRODUCTOS[#All],5)</f>
        <v>N/A</v>
      </c>
      <c r="D520" s="25">
        <f>VLOOKUP(TABLA_STOCK_LISTBOX[[#This Row],[Codigo]],TABLA_STOCK[#All],6)</f>
        <v>5</v>
      </c>
      <c r="E520" s="25">
        <f>VLOOKUP(TABLA_STOCK_LISTBOX[[#This Row],[Codigo]],TABLA_STOCK[#All],7)</f>
        <v>20</v>
      </c>
    </row>
    <row r="521" spans="1:5" x14ac:dyDescent="0.3">
      <c r="A521" s="4">
        <v>4010</v>
      </c>
      <c r="B521" s="25" t="str">
        <f>VLOOKUP(TABLA_STOCK_LISTBOX[[#This Row],[Codigo]],LISTADO_PRODUCTOS[#All],4)</f>
        <v>Abrochadora Maped Mini Office Nº10 metal</v>
      </c>
      <c r="C521" s="25" t="str">
        <f>VLOOKUP(TABLA_STOCK_LISTBOX[[#This Row],[Codigo]],LISTADO_PRODUCTOS[#All],5)</f>
        <v>N/A</v>
      </c>
      <c r="D521" s="25">
        <f>VLOOKUP(TABLA_STOCK_LISTBOX[[#This Row],[Codigo]],TABLA_STOCK[#All],6)</f>
        <v>2</v>
      </c>
      <c r="E521" s="25">
        <f>VLOOKUP(TABLA_STOCK_LISTBOX[[#This Row],[Codigo]],TABLA_STOCK[#All],7)</f>
        <v>19</v>
      </c>
    </row>
    <row r="522" spans="1:5" x14ac:dyDescent="0.3">
      <c r="A522" s="4">
        <v>4014</v>
      </c>
      <c r="B522" s="25" t="str">
        <f>VLOOKUP(TABLA_STOCK_LISTBOX[[#This Row],[Codigo]],LISTADO_PRODUCTOS[#All],4)</f>
        <v>Perforadora Kangaroo one hole</v>
      </c>
      <c r="C522" s="25" t="str">
        <f>VLOOKUP(TABLA_STOCK_LISTBOX[[#This Row],[Codigo]],LISTADO_PRODUCTOS[#All],5)</f>
        <v>N/A</v>
      </c>
      <c r="D522" s="25">
        <f>VLOOKUP(TABLA_STOCK_LISTBOX[[#This Row],[Codigo]],TABLA_STOCK[#All],6)</f>
        <v>2</v>
      </c>
      <c r="E522" s="25">
        <f>VLOOKUP(TABLA_STOCK_LISTBOX[[#This Row],[Codigo]],TABLA_STOCK[#All],7)</f>
        <v>6</v>
      </c>
    </row>
    <row r="523" spans="1:5" x14ac:dyDescent="0.3">
      <c r="A523" s="4">
        <v>4017</v>
      </c>
      <c r="B523" s="25" t="str">
        <f>VLOOKUP(TABLA_STOCK_LISTBOX[[#This Row],[Codigo]],LISTADO_PRODUCTOS[#All],4)</f>
        <v>Portarrollo Dispensador de cinta 30/60mm Olami MT903</v>
      </c>
      <c r="C523" s="25" t="str">
        <f>VLOOKUP(TABLA_STOCK_LISTBOX[[#This Row],[Codigo]],LISTADO_PRODUCTOS[#All],5)</f>
        <v>N/A</v>
      </c>
      <c r="D523" s="25">
        <f>VLOOKUP(TABLA_STOCK_LISTBOX[[#This Row],[Codigo]],TABLA_STOCK[#All],6)</f>
        <v>10</v>
      </c>
      <c r="E523" s="25">
        <f>VLOOKUP(TABLA_STOCK_LISTBOX[[#This Row],[Codigo]],TABLA_STOCK[#All],7)</f>
        <v>5</v>
      </c>
    </row>
    <row r="524" spans="1:5" x14ac:dyDescent="0.3">
      <c r="A524" s="4">
        <v>4018</v>
      </c>
      <c r="B524" s="25" t="str">
        <f>VLOOKUP(TABLA_STOCK_LISTBOX[[#This Row],[Codigo]],LISTADO_PRODUCTOS[#All],4)</f>
        <v>Tinta para sellos Negro Eureka</v>
      </c>
      <c r="C524" s="25" t="str">
        <f>VLOOKUP(TABLA_STOCK_LISTBOX[[#This Row],[Codigo]],LISTADO_PRODUCTOS[#All],5)</f>
        <v>N/A</v>
      </c>
      <c r="D524" s="25">
        <f>VLOOKUP(TABLA_STOCK_LISTBOX[[#This Row],[Codigo]],TABLA_STOCK[#All],6)</f>
        <v>20</v>
      </c>
      <c r="E524" s="25">
        <f>VLOOKUP(TABLA_STOCK_LISTBOX[[#This Row],[Codigo]],TABLA_STOCK[#All],7)</f>
        <v>52</v>
      </c>
    </row>
    <row r="525" spans="1:5" x14ac:dyDescent="0.3">
      <c r="A525" s="4">
        <v>4020</v>
      </c>
      <c r="B525" s="25" t="str">
        <f>VLOOKUP(TABLA_STOCK_LISTBOX[[#This Row],[Codigo]],LISTADO_PRODUCTOS[#All],4)</f>
        <v>Libro indice corona 2 manos</v>
      </c>
      <c r="C525" s="25" t="str">
        <f>VLOOKUP(TABLA_STOCK_LISTBOX[[#This Row],[Codigo]],LISTADO_PRODUCTOS[#All],5)</f>
        <v>N/A</v>
      </c>
      <c r="D525" s="25">
        <f>VLOOKUP(TABLA_STOCK_LISTBOX[[#This Row],[Codigo]],TABLA_STOCK[#All],6)</f>
        <v>5</v>
      </c>
      <c r="E525" s="25">
        <f>VLOOKUP(TABLA_STOCK_LISTBOX[[#This Row],[Codigo]],TABLA_STOCK[#All],7)</f>
        <v>32</v>
      </c>
    </row>
    <row r="526" spans="1:5" x14ac:dyDescent="0.3">
      <c r="A526" s="4">
        <v>4021</v>
      </c>
      <c r="B526" s="25" t="str">
        <f>VLOOKUP(TABLA_STOCK_LISTBOX[[#This Row],[Codigo]],LISTADO_PRODUCTOS[#All],4)</f>
        <v>Ficha Congreso- TRIUNFANTE x100 Nº3</v>
      </c>
      <c r="C526" s="25" t="str">
        <f>VLOOKUP(TABLA_STOCK_LISTBOX[[#This Row],[Codigo]],LISTADO_PRODUCTOS[#All],5)</f>
        <v>N/A</v>
      </c>
      <c r="D526" s="25">
        <f>VLOOKUP(TABLA_STOCK_LISTBOX[[#This Row],[Codigo]],TABLA_STOCK[#All],6)</f>
        <v>1</v>
      </c>
      <c r="E526" s="25">
        <f>VLOOKUP(TABLA_STOCK_LISTBOX[[#This Row],[Codigo]],TABLA_STOCK[#All],7)</f>
        <v>56</v>
      </c>
    </row>
    <row r="527" spans="1:5" x14ac:dyDescent="0.3">
      <c r="A527" s="4">
        <v>4022</v>
      </c>
      <c r="B527" s="25" t="str">
        <f>VLOOKUP(TABLA_STOCK_LISTBOX[[#This Row],[Codigo]],LISTADO_PRODUCTOS[#All],4)</f>
        <v>Ficha Triunfante x100 Nº2 - 7796569076114</v>
      </c>
      <c r="C527" s="25" t="str">
        <f>VLOOKUP(TABLA_STOCK_LISTBOX[[#This Row],[Codigo]],LISTADO_PRODUCTOS[#All],5)</f>
        <v>N/A</v>
      </c>
      <c r="D527" s="25">
        <f>VLOOKUP(TABLA_STOCK_LISTBOX[[#This Row],[Codigo]],TABLA_STOCK[#All],6)</f>
        <v>5</v>
      </c>
      <c r="E527" s="25">
        <f>VLOOKUP(TABLA_STOCK_LISTBOX[[#This Row],[Codigo]],TABLA_STOCK[#All],7)</f>
        <v>107</v>
      </c>
    </row>
    <row r="528" spans="1:5" x14ac:dyDescent="0.3">
      <c r="A528" s="4">
        <v>4024</v>
      </c>
      <c r="B528" s="25" t="str">
        <f>VLOOKUP(TABLA_STOCK_LISTBOX[[#This Row],[Codigo]],LISTADO_PRODUCTOS[#All],4)</f>
        <v>Pagare sin protesto Igneo pesos</v>
      </c>
      <c r="C528" s="25" t="str">
        <f>VLOOKUP(TABLA_STOCK_LISTBOX[[#This Row],[Codigo]],LISTADO_PRODUCTOS[#All],5)</f>
        <v>N/A</v>
      </c>
      <c r="D528" s="25">
        <f>VLOOKUP(TABLA_STOCK_LISTBOX[[#This Row],[Codigo]],TABLA_STOCK[#All],6)</f>
        <v>2</v>
      </c>
      <c r="E528" s="25">
        <f>VLOOKUP(TABLA_STOCK_LISTBOX[[#This Row],[Codigo]],TABLA_STOCK[#All],7)</f>
        <v>25</v>
      </c>
    </row>
    <row r="529" spans="1:5" x14ac:dyDescent="0.3">
      <c r="A529" s="4">
        <v>4025</v>
      </c>
      <c r="B529" s="25" t="str">
        <f>VLOOKUP(TABLA_STOCK_LISTBOX[[#This Row],[Codigo]],LISTADO_PRODUCTOS[#All],4)</f>
        <v>Recibo Husares Duplicado quimico</v>
      </c>
      <c r="C529" s="25" t="str">
        <f>VLOOKUP(TABLA_STOCK_LISTBOX[[#This Row],[Codigo]],LISTADO_PRODUCTOS[#All],5)</f>
        <v>N/A</v>
      </c>
      <c r="D529" s="25">
        <f>VLOOKUP(TABLA_STOCK_LISTBOX[[#This Row],[Codigo]],TABLA_STOCK[#All],6)</f>
        <v>2</v>
      </c>
      <c r="E529" s="25">
        <f>VLOOKUP(TABLA_STOCK_LISTBOX[[#This Row],[Codigo]],TABLA_STOCK[#All],7)</f>
        <v>32</v>
      </c>
    </row>
    <row r="530" spans="1:5" x14ac:dyDescent="0.3">
      <c r="A530" s="4">
        <v>4027</v>
      </c>
      <c r="B530" s="25" t="str">
        <f>VLOOKUP(TABLA_STOCK_LISTBOX[[#This Row],[Codigo]],LISTADO_PRODUCTOS[#All],4)</f>
        <v>Perforadora Kangaroo DP-280 - 376224</v>
      </c>
      <c r="C530" s="25" t="str">
        <f>VLOOKUP(TABLA_STOCK_LISTBOX[[#This Row],[Codigo]],LISTADO_PRODUCTOS[#All],5)</f>
        <v>N/A</v>
      </c>
      <c r="D530" s="25">
        <f>VLOOKUP(TABLA_STOCK_LISTBOX[[#This Row],[Codigo]],TABLA_STOCK[#All],6)</f>
        <v>10</v>
      </c>
      <c r="E530" s="25">
        <f>VLOOKUP(TABLA_STOCK_LISTBOX[[#This Row],[Codigo]],TABLA_STOCK[#All],7)</f>
        <v>150</v>
      </c>
    </row>
    <row r="531" spans="1:5" x14ac:dyDescent="0.3">
      <c r="A531" s="4">
        <v>4028</v>
      </c>
      <c r="B531" s="25" t="str">
        <f>VLOOKUP(TABLA_STOCK_LISTBOX[[#This Row],[Codigo]],LISTADO_PRODUCTOS[#All],4)</f>
        <v>Racionador de cinta de empaque metalico Liggo</v>
      </c>
      <c r="C531" s="25" t="str">
        <f>VLOOKUP(TABLA_STOCK_LISTBOX[[#This Row],[Codigo]],LISTADO_PRODUCTOS[#All],5)</f>
        <v>N/A</v>
      </c>
      <c r="D531" s="25">
        <f>VLOOKUP(TABLA_STOCK_LISTBOX[[#This Row],[Codigo]],TABLA_STOCK[#All],6)</f>
        <v>20</v>
      </c>
      <c r="E531" s="25">
        <f>VLOOKUP(TABLA_STOCK_LISTBOX[[#This Row],[Codigo]],TABLA_STOCK[#All],7)</f>
        <v>20</v>
      </c>
    </row>
    <row r="532" spans="1:5" x14ac:dyDescent="0.3">
      <c r="A532" s="4">
        <v>4030</v>
      </c>
      <c r="B532" s="25" t="str">
        <f>VLOOKUP(TABLA_STOCK_LISTBOX[[#This Row],[Codigo]],LISTADO_PRODUCTOS[#All],4)</f>
        <v>Chinche para dibujo  3 puntas Sifap 50u</v>
      </c>
      <c r="C532" s="25" t="str">
        <f>VLOOKUP(TABLA_STOCK_LISTBOX[[#This Row],[Codigo]],LISTADO_PRODUCTOS[#All],5)</f>
        <v>N/A</v>
      </c>
      <c r="D532" s="25">
        <f>VLOOKUP(TABLA_STOCK_LISTBOX[[#This Row],[Codigo]],TABLA_STOCK[#All],6)</f>
        <v>5</v>
      </c>
      <c r="E532" s="25">
        <f>VLOOKUP(TABLA_STOCK_LISTBOX[[#This Row],[Codigo]],TABLA_STOCK[#All],7)</f>
        <v>19</v>
      </c>
    </row>
    <row r="533" spans="1:5" x14ac:dyDescent="0.3">
      <c r="A533" s="4">
        <v>4032</v>
      </c>
      <c r="B533" s="25" t="str">
        <f>VLOOKUP(TABLA_STOCK_LISTBOX[[#This Row],[Codigo]],LISTADO_PRODUCTOS[#All],4)</f>
        <v>Tinta para Sellos Pelikan</v>
      </c>
      <c r="C533" s="25" t="str">
        <f>VLOOKUP(TABLA_STOCK_LISTBOX[[#This Row],[Codigo]],LISTADO_PRODUCTOS[#All],5)</f>
        <v>N/A</v>
      </c>
      <c r="D533" s="25">
        <f>VLOOKUP(TABLA_STOCK_LISTBOX[[#This Row],[Codigo]],TABLA_STOCK[#All],6)</f>
        <v>1</v>
      </c>
      <c r="E533" s="25">
        <f>VLOOKUP(TABLA_STOCK_LISTBOX[[#This Row],[Codigo]],TABLA_STOCK[#All],7)</f>
        <v>6</v>
      </c>
    </row>
    <row r="534" spans="1:5" x14ac:dyDescent="0.3">
      <c r="A534" s="4">
        <v>4033</v>
      </c>
      <c r="B534" s="25" t="str">
        <f>VLOOKUP(TABLA_STOCK_LISTBOX[[#This Row],[Codigo]],LISTADO_PRODUCTOS[#All],4)</f>
        <v>Tinta pàra Sellos Toyo</v>
      </c>
      <c r="C534" s="25" t="str">
        <f>VLOOKUP(TABLA_STOCK_LISTBOX[[#This Row],[Codigo]],LISTADO_PRODUCTOS[#All],5)</f>
        <v>N/A</v>
      </c>
      <c r="D534" s="25">
        <f>VLOOKUP(TABLA_STOCK_LISTBOX[[#This Row],[Codigo]],TABLA_STOCK[#All],6)</f>
        <v>5</v>
      </c>
      <c r="E534" s="25">
        <f>VLOOKUP(TABLA_STOCK_LISTBOX[[#This Row],[Codigo]],TABLA_STOCK[#All],7)</f>
        <v>5</v>
      </c>
    </row>
    <row r="535" spans="1:5" x14ac:dyDescent="0.3">
      <c r="A535" s="4">
        <v>4036</v>
      </c>
      <c r="B535" s="25" t="str">
        <f>VLOOKUP(TABLA_STOCK_LISTBOX[[#This Row],[Codigo]],LISTADO_PRODUCTOS[#All],4)</f>
        <v>Señalador Bolita SIFAP chico x 150u</v>
      </c>
      <c r="C535" s="25" t="str">
        <f>VLOOKUP(TABLA_STOCK_LISTBOX[[#This Row],[Codigo]],LISTADO_PRODUCTOS[#All],5)</f>
        <v>N/A</v>
      </c>
      <c r="D535" s="25">
        <f>VLOOKUP(TABLA_STOCK_LISTBOX[[#This Row],[Codigo]],TABLA_STOCK[#All],6)</f>
        <v>2</v>
      </c>
      <c r="E535" s="25">
        <f>VLOOKUP(TABLA_STOCK_LISTBOX[[#This Row],[Codigo]],TABLA_STOCK[#All],7)</f>
        <v>52</v>
      </c>
    </row>
    <row r="536" spans="1:5" x14ac:dyDescent="0.3">
      <c r="A536" s="4">
        <v>4044</v>
      </c>
      <c r="B536" s="25" t="str">
        <f>VLOOKUP(TABLA_STOCK_LISTBOX[[#This Row],[Codigo]],LISTADO_PRODUCTOS[#All],4)</f>
        <v>Broche Dorado Nº8 x100 Sifap 35mm</v>
      </c>
      <c r="C536" s="25" t="str">
        <f>VLOOKUP(TABLA_STOCK_LISTBOX[[#This Row],[Codigo]],LISTADO_PRODUCTOS[#All],5)</f>
        <v>N/A</v>
      </c>
      <c r="D536" s="25">
        <f>VLOOKUP(TABLA_STOCK_LISTBOX[[#This Row],[Codigo]],TABLA_STOCK[#All],6)</f>
        <v>2</v>
      </c>
      <c r="E536" s="25">
        <f>VLOOKUP(TABLA_STOCK_LISTBOX[[#This Row],[Codigo]],TABLA_STOCK[#All],7)</f>
        <v>32</v>
      </c>
    </row>
    <row r="537" spans="1:5" x14ac:dyDescent="0.3">
      <c r="A537" s="4">
        <v>4047</v>
      </c>
      <c r="B537" s="25" t="str">
        <f>VLOOKUP(TABLA_STOCK_LISTBOX[[#This Row],[Codigo]],LISTADO_PRODUCTOS[#All],4)</f>
        <v>Marcador Permanente Sharpie Negro Punta Fina</v>
      </c>
      <c r="C537" s="25" t="str">
        <f>VLOOKUP(TABLA_STOCK_LISTBOX[[#This Row],[Codigo]],LISTADO_PRODUCTOS[#All],5)</f>
        <v>N/A</v>
      </c>
      <c r="D537" s="25">
        <f>VLOOKUP(TABLA_STOCK_LISTBOX[[#This Row],[Codigo]],TABLA_STOCK[#All],6)</f>
        <v>10</v>
      </c>
      <c r="E537" s="25">
        <f>VLOOKUP(TABLA_STOCK_LISTBOX[[#This Row],[Codigo]],TABLA_STOCK[#All],7)</f>
        <v>56</v>
      </c>
    </row>
    <row r="538" spans="1:5" x14ac:dyDescent="0.3">
      <c r="A538" s="4">
        <v>4049</v>
      </c>
      <c r="B538" s="25" t="str">
        <f>VLOOKUP(TABLA_STOCK_LISTBOX[[#This Row],[Codigo]],LISTADO_PRODUCTOS[#All],4)</f>
        <v>Marcador sharpie Duo Color</v>
      </c>
      <c r="C538" s="25" t="str">
        <f>VLOOKUP(TABLA_STOCK_LISTBOX[[#This Row],[Codigo]],LISTADO_PRODUCTOS[#All],5)</f>
        <v>N/A</v>
      </c>
      <c r="D538" s="25">
        <f>VLOOKUP(TABLA_STOCK_LISTBOX[[#This Row],[Codigo]],TABLA_STOCK[#All],6)</f>
        <v>20</v>
      </c>
      <c r="E538" s="25">
        <f>VLOOKUP(TABLA_STOCK_LISTBOX[[#This Row],[Codigo]],TABLA_STOCK[#All],7)</f>
        <v>107</v>
      </c>
    </row>
    <row r="539" spans="1:5" x14ac:dyDescent="0.3">
      <c r="A539" s="4">
        <v>4053</v>
      </c>
      <c r="B539" s="25" t="str">
        <f>VLOOKUP(TABLA_STOCK_LISTBOX[[#This Row],[Codigo]],LISTADO_PRODUCTOS[#All],4)</f>
        <v>Tinta Trabí Permanente</v>
      </c>
      <c r="C539" s="25" t="str">
        <f>VLOOKUP(TABLA_STOCK_LISTBOX[[#This Row],[Codigo]],LISTADO_PRODUCTOS[#All],5)</f>
        <v>N/A</v>
      </c>
      <c r="D539" s="25">
        <f>VLOOKUP(TABLA_STOCK_LISTBOX[[#This Row],[Codigo]],TABLA_STOCK[#All],6)</f>
        <v>5</v>
      </c>
      <c r="E539" s="25">
        <f>VLOOKUP(TABLA_STOCK_LISTBOX[[#This Row],[Codigo]],TABLA_STOCK[#All],7)</f>
        <v>25</v>
      </c>
    </row>
    <row r="540" spans="1:5" x14ac:dyDescent="0.3">
      <c r="A540" s="4">
        <v>4055</v>
      </c>
      <c r="B540" s="25" t="str">
        <f>VLOOKUP(TABLA_STOCK_LISTBOX[[#This Row],[Codigo]],LISTADO_PRODUCTOS[#All],4)</f>
        <v>Banda elasticas Credencial x 100g</v>
      </c>
      <c r="C540" s="25" t="str">
        <f>VLOOKUP(TABLA_STOCK_LISTBOX[[#This Row],[Codigo]],LISTADO_PRODUCTOS[#All],5)</f>
        <v>N/A</v>
      </c>
      <c r="D540" s="25">
        <f>VLOOKUP(TABLA_STOCK_LISTBOX[[#This Row],[Codigo]],TABLA_STOCK[#All],6)</f>
        <v>1</v>
      </c>
      <c r="E540" s="25">
        <f>VLOOKUP(TABLA_STOCK_LISTBOX[[#This Row],[Codigo]],TABLA_STOCK[#All],7)</f>
        <v>32</v>
      </c>
    </row>
    <row r="541" spans="1:5" x14ac:dyDescent="0.3">
      <c r="A541" s="4">
        <v>4058</v>
      </c>
      <c r="B541" s="25" t="str">
        <f>VLOOKUP(TABLA_STOCK_LISTBOX[[#This Row],[Codigo]],LISTADO_PRODUCTOS[#All],4)</f>
        <v>Broche metalico con arandela tipo Binder 63mm</v>
      </c>
      <c r="C541" s="25" t="str">
        <f>VLOOKUP(TABLA_STOCK_LISTBOX[[#This Row],[Codigo]],LISTADO_PRODUCTOS[#All],5)</f>
        <v>N/A</v>
      </c>
      <c r="D541" s="25">
        <f>VLOOKUP(TABLA_STOCK_LISTBOX[[#This Row],[Codigo]],TABLA_STOCK[#All],6)</f>
        <v>5</v>
      </c>
      <c r="E541" s="25">
        <f>VLOOKUP(TABLA_STOCK_LISTBOX[[#This Row],[Codigo]],TABLA_STOCK[#All],7)</f>
        <v>150</v>
      </c>
    </row>
    <row r="542" spans="1:5" x14ac:dyDescent="0.3">
      <c r="A542" s="4">
        <v>4059</v>
      </c>
      <c r="B542" s="25" t="str">
        <f>VLOOKUP(TABLA_STOCK_LISTBOX[[#This Row],[Codigo]],LISTADO_PRODUCTOS[#All],4)</f>
        <v>Marcador de Billetes Trabi</v>
      </c>
      <c r="C542" s="25" t="str">
        <f>VLOOKUP(TABLA_STOCK_LISTBOX[[#This Row],[Codigo]],LISTADO_PRODUCTOS[#All],5)</f>
        <v>N/A</v>
      </c>
      <c r="D542" s="25">
        <f>VLOOKUP(TABLA_STOCK_LISTBOX[[#This Row],[Codigo]],TABLA_STOCK[#All],6)</f>
        <v>2</v>
      </c>
      <c r="E542" s="25">
        <f>VLOOKUP(TABLA_STOCK_LISTBOX[[#This Row],[Codigo]],TABLA_STOCK[#All],7)</f>
        <v>20</v>
      </c>
    </row>
    <row r="543" spans="1:5" x14ac:dyDescent="0.3">
      <c r="A543" s="4">
        <v>4061</v>
      </c>
      <c r="B543" s="25" t="str">
        <f>VLOOKUP(TABLA_STOCK_LISTBOX[[#This Row],[Codigo]],LISTADO_PRODUCTOS[#All],4)</f>
        <v>Borrador de Madera</v>
      </c>
      <c r="C543" s="25" t="str">
        <f>VLOOKUP(TABLA_STOCK_LISTBOX[[#This Row],[Codigo]],LISTADO_PRODUCTOS[#All],5)</f>
        <v>N/A</v>
      </c>
      <c r="D543" s="25">
        <f>VLOOKUP(TABLA_STOCK_LISTBOX[[#This Row],[Codigo]],TABLA_STOCK[#All],6)</f>
        <v>10</v>
      </c>
      <c r="E543" s="25">
        <f>VLOOKUP(TABLA_STOCK_LISTBOX[[#This Row],[Codigo]],TABLA_STOCK[#All],7)</f>
        <v>19</v>
      </c>
    </row>
    <row r="544" spans="1:5" x14ac:dyDescent="0.3">
      <c r="A544" s="4">
        <v>4062</v>
      </c>
      <c r="B544" s="25" t="str">
        <f>VLOOKUP(TABLA_STOCK_LISTBOX[[#This Row],[Codigo]],LISTADO_PRODUCTOS[#All],4)</f>
        <v>Plumines</v>
      </c>
      <c r="C544" s="25" t="str">
        <f>VLOOKUP(TABLA_STOCK_LISTBOX[[#This Row],[Codigo]],LISTADO_PRODUCTOS[#All],5)</f>
        <v>N/A</v>
      </c>
      <c r="D544" s="25">
        <f>VLOOKUP(TABLA_STOCK_LISTBOX[[#This Row],[Codigo]],TABLA_STOCK[#All],6)</f>
        <v>20</v>
      </c>
      <c r="E544" s="25">
        <f>VLOOKUP(TABLA_STOCK_LISTBOX[[#This Row],[Codigo]],TABLA_STOCK[#All],7)</f>
        <v>6</v>
      </c>
    </row>
    <row r="545" spans="1:5" x14ac:dyDescent="0.3">
      <c r="A545" s="4">
        <v>4066</v>
      </c>
      <c r="B545" s="25" t="str">
        <f>VLOOKUP(TABLA_STOCK_LISTBOX[[#This Row],[Codigo]],LISTADO_PRODUCTOS[#All],4)</f>
        <v>Broche doble clip Isofit 25mm</v>
      </c>
      <c r="C545" s="25" t="str">
        <f>VLOOKUP(TABLA_STOCK_LISTBOX[[#This Row],[Codigo]],LISTADO_PRODUCTOS[#All],5)</f>
        <v>N/A</v>
      </c>
      <c r="D545" s="25">
        <f>VLOOKUP(TABLA_STOCK_LISTBOX[[#This Row],[Codigo]],TABLA_STOCK[#All],6)</f>
        <v>5</v>
      </c>
      <c r="E545" s="25">
        <f>VLOOKUP(TABLA_STOCK_LISTBOX[[#This Row],[Codigo]],TABLA_STOCK[#All],7)</f>
        <v>5</v>
      </c>
    </row>
    <row r="546" spans="1:5" x14ac:dyDescent="0.3">
      <c r="A546" s="4">
        <v>4067</v>
      </c>
      <c r="B546" s="25" t="str">
        <f>VLOOKUP(TABLA_STOCK_LISTBOX[[#This Row],[Codigo]],LISTADO_PRODUCTOS[#All],4)</f>
        <v>Broche Doble Clip 40mm/51mm</v>
      </c>
      <c r="C546" s="25" t="str">
        <f>VLOOKUP(TABLA_STOCK_LISTBOX[[#This Row],[Codigo]],LISTADO_PRODUCTOS[#All],5)</f>
        <v>N/A</v>
      </c>
      <c r="D546" s="25">
        <f>VLOOKUP(TABLA_STOCK_LISTBOX[[#This Row],[Codigo]],TABLA_STOCK[#All],6)</f>
        <v>1</v>
      </c>
      <c r="E546" s="25">
        <f>VLOOKUP(TABLA_STOCK_LISTBOX[[#This Row],[Codigo]],TABLA_STOCK[#All],7)</f>
        <v>52</v>
      </c>
    </row>
    <row r="547" spans="1:5" x14ac:dyDescent="0.3">
      <c r="A547" s="4">
        <v>4068</v>
      </c>
      <c r="B547" s="25" t="str">
        <f>VLOOKUP(TABLA_STOCK_LISTBOX[[#This Row],[Codigo]],LISTADO_PRODUCTOS[#All],4)</f>
        <v>Tinta Trabi para pizarra blanca - 7790578034202</v>
      </c>
      <c r="C547" s="25" t="str">
        <f>VLOOKUP(TABLA_STOCK_LISTBOX[[#This Row],[Codigo]],LISTADO_PRODUCTOS[#All],5)</f>
        <v>N/A</v>
      </c>
      <c r="D547" s="25">
        <f>VLOOKUP(TABLA_STOCK_LISTBOX[[#This Row],[Codigo]],TABLA_STOCK[#All],6)</f>
        <v>5</v>
      </c>
      <c r="E547" s="25">
        <f>VLOOKUP(TABLA_STOCK_LISTBOX[[#This Row],[Codigo]],TABLA_STOCK[#All],7)</f>
        <v>32</v>
      </c>
    </row>
    <row r="548" spans="1:5" x14ac:dyDescent="0.3">
      <c r="A548" s="4">
        <v>4073</v>
      </c>
      <c r="B548" s="25" t="str">
        <f>VLOOKUP(TABLA_STOCK_LISTBOX[[#This Row],[Codigo]],LISTADO_PRODUCTOS[#All],4)</f>
        <v>Broche  Maped Nº 24/6 - 26/6 x1000</v>
      </c>
      <c r="C548" s="25" t="str">
        <f>VLOOKUP(TABLA_STOCK_LISTBOX[[#This Row],[Codigo]],LISTADO_PRODUCTOS[#All],5)</f>
        <v>N/A</v>
      </c>
      <c r="D548" s="25">
        <f>VLOOKUP(TABLA_STOCK_LISTBOX[[#This Row],[Codigo]],TABLA_STOCK[#All],6)</f>
        <v>2</v>
      </c>
      <c r="E548" s="25">
        <f>VLOOKUP(TABLA_STOCK_LISTBOX[[#This Row],[Codigo]],TABLA_STOCK[#All],7)</f>
        <v>56</v>
      </c>
    </row>
    <row r="549" spans="1:5" x14ac:dyDescent="0.3">
      <c r="A549" s="4">
        <v>4075</v>
      </c>
      <c r="B549" s="25" t="str">
        <f>VLOOKUP(TABLA_STOCK_LISTBOX[[#This Row],[Codigo]],LISTADO_PRODUCTOS[#All],4)</f>
        <v>Broche 21/6 x 1000</v>
      </c>
      <c r="C549" s="25" t="str">
        <f>VLOOKUP(TABLA_STOCK_LISTBOX[[#This Row],[Codigo]],LISTADO_PRODUCTOS[#All],5)</f>
        <v>N/A</v>
      </c>
      <c r="D549" s="25">
        <f>VLOOKUP(TABLA_STOCK_LISTBOX[[#This Row],[Codigo]],TABLA_STOCK[#All],6)</f>
        <v>2</v>
      </c>
      <c r="E549" s="25">
        <f>VLOOKUP(TABLA_STOCK_LISTBOX[[#This Row],[Codigo]],TABLA_STOCK[#All],7)</f>
        <v>107</v>
      </c>
    </row>
    <row r="550" spans="1:5" x14ac:dyDescent="0.3">
      <c r="A550" s="4">
        <v>4077</v>
      </c>
      <c r="B550" s="25" t="str">
        <f>VLOOKUP(TABLA_STOCK_LISTBOX[[#This Row],[Codigo]],LISTADO_PRODUCTOS[#All],4)</f>
        <v>Broche MIT N°64 x 1000</v>
      </c>
      <c r="C550" s="25" t="str">
        <f>VLOOKUP(TABLA_STOCK_LISTBOX[[#This Row],[Codigo]],LISTADO_PRODUCTOS[#All],5)</f>
        <v>N/A</v>
      </c>
      <c r="D550" s="25">
        <f>VLOOKUP(TABLA_STOCK_LISTBOX[[#This Row],[Codigo]],TABLA_STOCK[#All],6)</f>
        <v>10</v>
      </c>
      <c r="E550" s="25">
        <f>VLOOKUP(TABLA_STOCK_LISTBOX[[#This Row],[Codigo]],TABLA_STOCK[#All],7)</f>
        <v>25</v>
      </c>
    </row>
    <row r="551" spans="1:5" x14ac:dyDescent="0.3">
      <c r="A551" s="4">
        <v>4078</v>
      </c>
      <c r="B551" s="25" t="str">
        <f>VLOOKUP(TABLA_STOCK_LISTBOX[[#This Row],[Codigo]],LISTADO_PRODUCTOS[#All],4)</f>
        <v>Broche 50 x 1000 MIT</v>
      </c>
      <c r="C551" s="25" t="str">
        <f>VLOOKUP(TABLA_STOCK_LISTBOX[[#This Row],[Codigo]],LISTADO_PRODUCTOS[#All],5)</f>
        <v>N/A</v>
      </c>
      <c r="D551" s="25">
        <f>VLOOKUP(TABLA_STOCK_LISTBOX[[#This Row],[Codigo]],TABLA_STOCK[#All],6)</f>
        <v>20</v>
      </c>
      <c r="E551" s="25">
        <f>VLOOKUP(TABLA_STOCK_LISTBOX[[#This Row],[Codigo]],TABLA_STOCK[#All],7)</f>
        <v>32</v>
      </c>
    </row>
    <row r="552" spans="1:5" x14ac:dyDescent="0.3">
      <c r="A552" s="4">
        <v>4080</v>
      </c>
      <c r="B552" s="25" t="str">
        <f>VLOOKUP(TABLA_STOCK_LISTBOX[[#This Row],[Codigo]],LISTADO_PRODUCTOS[#All],4)</f>
        <v>Broche Mit Nº10 x 1000</v>
      </c>
      <c r="C552" s="25" t="str">
        <f>VLOOKUP(TABLA_STOCK_LISTBOX[[#This Row],[Codigo]],LISTADO_PRODUCTOS[#All],5)</f>
        <v>N/A</v>
      </c>
      <c r="D552" s="25">
        <f>VLOOKUP(TABLA_STOCK_LISTBOX[[#This Row],[Codigo]],TABLA_STOCK[#All],6)</f>
        <v>5</v>
      </c>
      <c r="E552" s="25">
        <f>VLOOKUP(TABLA_STOCK_LISTBOX[[#This Row],[Codigo]],TABLA_STOCK[#All],7)</f>
        <v>150</v>
      </c>
    </row>
    <row r="553" spans="1:5" x14ac:dyDescent="0.3">
      <c r="A553" s="4">
        <v>4082</v>
      </c>
      <c r="B553" s="25" t="str">
        <f>VLOOKUP(TABLA_STOCK_LISTBOX[[#This Row],[Codigo]],LISTADO_PRODUCTOS[#All],4)</f>
        <v xml:space="preserve">Bibliorato color </v>
      </c>
      <c r="C553" s="25" t="str">
        <f>VLOOKUP(TABLA_STOCK_LISTBOX[[#This Row],[Codigo]],LISTADO_PRODUCTOS[#All],5)</f>
        <v>N/A</v>
      </c>
      <c r="D553" s="25">
        <f>VLOOKUP(TABLA_STOCK_LISTBOX[[#This Row],[Codigo]],TABLA_STOCK[#All],6)</f>
        <v>1</v>
      </c>
      <c r="E553" s="25">
        <f>VLOOKUP(TABLA_STOCK_LISTBOX[[#This Row],[Codigo]],TABLA_STOCK[#All],7)</f>
        <v>20</v>
      </c>
    </row>
    <row r="554" spans="1:5" x14ac:dyDescent="0.3">
      <c r="A554" s="4">
        <v>4083</v>
      </c>
      <c r="B554" s="25" t="str">
        <f>VLOOKUP(TABLA_STOCK_LISTBOX[[#This Row],[Codigo]],LISTADO_PRODUCTOS[#All],4)</f>
        <v>Bilbliorato color A4 lomo Ancho</v>
      </c>
      <c r="C554" s="25" t="str">
        <f>VLOOKUP(TABLA_STOCK_LISTBOX[[#This Row],[Codigo]],LISTADO_PRODUCTOS[#All],5)</f>
        <v>N/A</v>
      </c>
      <c r="D554" s="25">
        <f>VLOOKUP(TABLA_STOCK_LISTBOX[[#This Row],[Codigo]],TABLA_STOCK[#All],6)</f>
        <v>5</v>
      </c>
      <c r="E554" s="25">
        <f>VLOOKUP(TABLA_STOCK_LISTBOX[[#This Row],[Codigo]],TABLA_STOCK[#All],7)</f>
        <v>19</v>
      </c>
    </row>
    <row r="555" spans="1:5" x14ac:dyDescent="0.3">
      <c r="A555" s="4">
        <v>4084</v>
      </c>
      <c r="B555" s="25" t="str">
        <f>VLOOKUP(TABLA_STOCK_LISTBOX[[#This Row],[Codigo]],LISTADO_PRODUCTOS[#All],4)</f>
        <v>Bibliorato Color Oficio Lomo Angosto</v>
      </c>
      <c r="C555" s="25" t="str">
        <f>VLOOKUP(TABLA_STOCK_LISTBOX[[#This Row],[Codigo]],LISTADO_PRODUCTOS[#All],5)</f>
        <v>N/A</v>
      </c>
      <c r="D555" s="25">
        <f>VLOOKUP(TABLA_STOCK_LISTBOX[[#This Row],[Codigo]],TABLA_STOCK[#All],6)</f>
        <v>2</v>
      </c>
      <c r="E555" s="25">
        <f>VLOOKUP(TABLA_STOCK_LISTBOX[[#This Row],[Codigo]],TABLA_STOCK[#All],7)</f>
        <v>6</v>
      </c>
    </row>
    <row r="556" spans="1:5" x14ac:dyDescent="0.3">
      <c r="A556" s="4">
        <v>4085</v>
      </c>
      <c r="B556" s="25" t="str">
        <f>VLOOKUP(TABLA_STOCK_LISTBOX[[#This Row],[Codigo]],LISTADO_PRODUCTOS[#All],4)</f>
        <v>Bibliorato Color Oficio Lomo Ancho</v>
      </c>
      <c r="C556" s="25" t="str">
        <f>VLOOKUP(TABLA_STOCK_LISTBOX[[#This Row],[Codigo]],LISTADO_PRODUCTOS[#All],5)</f>
        <v>N/A</v>
      </c>
      <c r="D556" s="25">
        <f>VLOOKUP(TABLA_STOCK_LISTBOX[[#This Row],[Codigo]],TABLA_STOCK[#All],6)</f>
        <v>2</v>
      </c>
      <c r="E556" s="25">
        <f>VLOOKUP(TABLA_STOCK_LISTBOX[[#This Row],[Codigo]],TABLA_STOCK[#All],7)</f>
        <v>5</v>
      </c>
    </row>
    <row r="557" spans="1:5" x14ac:dyDescent="0.3">
      <c r="A557" s="4">
        <v>4086</v>
      </c>
      <c r="B557" s="25" t="str">
        <f>VLOOKUP(TABLA_STOCK_LISTBOX[[#This Row],[Codigo]],LISTADO_PRODUCTOS[#All],4)</f>
        <v>Bibliorato Marmolado A4</v>
      </c>
      <c r="C557" s="25" t="str">
        <f>VLOOKUP(TABLA_STOCK_LISTBOX[[#This Row],[Codigo]],LISTADO_PRODUCTOS[#All],5)</f>
        <v>N/A</v>
      </c>
      <c r="D557" s="25">
        <f>VLOOKUP(TABLA_STOCK_LISTBOX[[#This Row],[Codigo]],TABLA_STOCK[#All],6)</f>
        <v>10</v>
      </c>
      <c r="E557" s="25">
        <f>VLOOKUP(TABLA_STOCK_LISTBOX[[#This Row],[Codigo]],TABLA_STOCK[#All],7)</f>
        <v>52</v>
      </c>
    </row>
    <row r="558" spans="1:5" x14ac:dyDescent="0.3">
      <c r="A558" s="4">
        <v>4087</v>
      </c>
      <c r="B558" s="25" t="str">
        <f>VLOOKUP(TABLA_STOCK_LISTBOX[[#This Row],[Codigo]],LISTADO_PRODUCTOS[#All],4)</f>
        <v>Bibliorato Marmolado Oficio</v>
      </c>
      <c r="C558" s="25" t="str">
        <f>VLOOKUP(TABLA_STOCK_LISTBOX[[#This Row],[Codigo]],LISTADO_PRODUCTOS[#All],5)</f>
        <v>N/A</v>
      </c>
      <c r="D558" s="25">
        <f>VLOOKUP(TABLA_STOCK_LISTBOX[[#This Row],[Codigo]],TABLA_STOCK[#All],6)</f>
        <v>20</v>
      </c>
      <c r="E558" s="25">
        <f>VLOOKUP(TABLA_STOCK_LISTBOX[[#This Row],[Codigo]],TABLA_STOCK[#All],7)</f>
        <v>32</v>
      </c>
    </row>
    <row r="559" spans="1:5" x14ac:dyDescent="0.3">
      <c r="A559" s="4">
        <v>4088</v>
      </c>
      <c r="B559" s="25" t="str">
        <f>VLOOKUP(TABLA_STOCK_LISTBOX[[#This Row],[Codigo]],LISTADO_PRODUCTOS[#All],4)</f>
        <v>Papel Carbonico Pelikan x u</v>
      </c>
      <c r="C559" s="25" t="str">
        <f>VLOOKUP(TABLA_STOCK_LISTBOX[[#This Row],[Codigo]],LISTADO_PRODUCTOS[#All],5)</f>
        <v>N/A</v>
      </c>
      <c r="D559" s="25">
        <f>VLOOKUP(TABLA_STOCK_LISTBOX[[#This Row],[Codigo]],TABLA_STOCK[#All],6)</f>
        <v>5</v>
      </c>
      <c r="E559" s="25">
        <f>VLOOKUP(TABLA_STOCK_LISTBOX[[#This Row],[Codigo]],TABLA_STOCK[#All],7)</f>
        <v>56</v>
      </c>
    </row>
    <row r="560" spans="1:5" x14ac:dyDescent="0.3">
      <c r="A560" s="4">
        <v>4089</v>
      </c>
      <c r="B560" s="25" t="str">
        <f>VLOOKUP(TABLA_STOCK_LISTBOX[[#This Row],[Codigo]],LISTADO_PRODUCTOS[#All],4)</f>
        <v>Papel Carbonico Coxi x u</v>
      </c>
      <c r="C560" s="25" t="str">
        <f>VLOOKUP(TABLA_STOCK_LISTBOX[[#This Row],[Codigo]],LISTADO_PRODUCTOS[#All],5)</f>
        <v>N/A</v>
      </c>
      <c r="D560" s="25">
        <f>VLOOKUP(TABLA_STOCK_LISTBOX[[#This Row],[Codigo]],TABLA_STOCK[#All],6)</f>
        <v>1</v>
      </c>
      <c r="E560" s="25">
        <f>VLOOKUP(TABLA_STOCK_LISTBOX[[#This Row],[Codigo]],TABLA_STOCK[#All],7)</f>
        <v>107</v>
      </c>
    </row>
    <row r="561" spans="1:5" x14ac:dyDescent="0.3">
      <c r="A561" s="4">
        <v>4090</v>
      </c>
      <c r="B561" s="25" t="str">
        <f>VLOOKUP(TABLA_STOCK_LISTBOX[[#This Row],[Codigo]],LISTADO_PRODUCTOS[#All],4)</f>
        <v>Caja Archivo plastica grande c/tapa</v>
      </c>
      <c r="C561" s="25" t="str">
        <f>VLOOKUP(TABLA_STOCK_LISTBOX[[#This Row],[Codigo]],LISTADO_PRODUCTOS[#All],5)</f>
        <v>N/A</v>
      </c>
      <c r="D561" s="25">
        <f>VLOOKUP(TABLA_STOCK_LISTBOX[[#This Row],[Codigo]],TABLA_STOCK[#All],6)</f>
        <v>5</v>
      </c>
      <c r="E561" s="25">
        <f>VLOOKUP(TABLA_STOCK_LISTBOX[[#This Row],[Codigo]],TABLA_STOCK[#All],7)</f>
        <v>25</v>
      </c>
    </row>
    <row r="562" spans="1:5" x14ac:dyDescent="0.3">
      <c r="A562" s="4">
        <v>4092</v>
      </c>
      <c r="B562" s="25" t="str">
        <f>VLOOKUP(TABLA_STOCK_LISTBOX[[#This Row],[Codigo]],LISTADO_PRODUCTOS[#All],4)</f>
        <v>Marcador Bic Marking Pizarra</v>
      </c>
      <c r="C562" s="25" t="str">
        <f>VLOOKUP(TABLA_STOCK_LISTBOX[[#This Row],[Codigo]],LISTADO_PRODUCTOS[#All],5)</f>
        <v>N/A</v>
      </c>
      <c r="D562" s="25">
        <f>VLOOKUP(TABLA_STOCK_LISTBOX[[#This Row],[Codigo]],TABLA_STOCK[#All],6)</f>
        <v>2</v>
      </c>
      <c r="E562" s="25">
        <f>VLOOKUP(TABLA_STOCK_LISTBOX[[#This Row],[Codigo]],TABLA_STOCK[#All],7)</f>
        <v>32</v>
      </c>
    </row>
    <row r="563" spans="1:5" x14ac:dyDescent="0.3">
      <c r="A563" s="4">
        <v>4094</v>
      </c>
      <c r="B563" s="25" t="str">
        <f>VLOOKUP(TABLA_STOCK_LISTBOX[[#This Row],[Codigo]],LISTADO_PRODUCTOS[#All],4)</f>
        <v>Talonario Neutro duplicado Alianza - Grande</v>
      </c>
      <c r="C563" s="25" t="str">
        <f>VLOOKUP(TABLA_STOCK_LISTBOX[[#This Row],[Codigo]],LISTADO_PRODUCTOS[#All],5)</f>
        <v>N/A</v>
      </c>
      <c r="D563" s="25">
        <f>VLOOKUP(TABLA_STOCK_LISTBOX[[#This Row],[Codigo]],TABLA_STOCK[#All],6)</f>
        <v>2</v>
      </c>
      <c r="E563" s="25">
        <f>VLOOKUP(TABLA_STOCK_LISTBOX[[#This Row],[Codigo]],TABLA_STOCK[#All],7)</f>
        <v>150</v>
      </c>
    </row>
    <row r="564" spans="1:5" x14ac:dyDescent="0.3">
      <c r="A564" s="4">
        <v>4095</v>
      </c>
      <c r="B564" s="25" t="str">
        <f>VLOOKUP(TABLA_STOCK_LISTBOX[[#This Row],[Codigo]],LISTADO_PRODUCTOS[#All],4)</f>
        <v>Broche Kangaroo/buffalo Nº10 - 793600660100</v>
      </c>
      <c r="C564" s="25" t="str">
        <f>VLOOKUP(TABLA_STOCK_LISTBOX[[#This Row],[Codigo]],LISTADO_PRODUCTOS[#All],5)</f>
        <v>N/A</v>
      </c>
      <c r="D564" s="25">
        <f>VLOOKUP(TABLA_STOCK_LISTBOX[[#This Row],[Codigo]],TABLA_STOCK[#All],6)</f>
        <v>10</v>
      </c>
      <c r="E564" s="25">
        <f>VLOOKUP(TABLA_STOCK_LISTBOX[[#This Row],[Codigo]],TABLA_STOCK[#All],7)</f>
        <v>20</v>
      </c>
    </row>
    <row r="565" spans="1:5" x14ac:dyDescent="0.3">
      <c r="A565" s="4">
        <v>4096</v>
      </c>
      <c r="B565" s="25" t="str">
        <f>VLOOKUP(TABLA_STOCK_LISTBOX[[#This Row],[Codigo]],LISTADO_PRODUCTOS[#All],4)</f>
        <v>Talonario contado Husares N 1831</v>
      </c>
      <c r="C565" s="25" t="str">
        <f>VLOOKUP(TABLA_STOCK_LISTBOX[[#This Row],[Codigo]],LISTADO_PRODUCTOS[#All],5)</f>
        <v>N/A</v>
      </c>
      <c r="D565" s="25">
        <f>VLOOKUP(TABLA_STOCK_LISTBOX[[#This Row],[Codigo]],TABLA_STOCK[#All],6)</f>
        <v>20</v>
      </c>
      <c r="E565" s="25">
        <f>VLOOKUP(TABLA_STOCK_LISTBOX[[#This Row],[Codigo]],TABLA_STOCK[#All],7)</f>
        <v>19</v>
      </c>
    </row>
    <row r="566" spans="1:5" x14ac:dyDescent="0.3">
      <c r="A566" s="4">
        <v>4097</v>
      </c>
      <c r="B566" s="25" t="str">
        <f>VLOOKUP(TABLA_STOCK_LISTBOX[[#This Row],[Codigo]],LISTADO_PRODUCTOS[#All],4)</f>
        <v>Talonario Husares duplicado multiuso N1929</v>
      </c>
      <c r="C566" s="25" t="str">
        <f>VLOOKUP(TABLA_STOCK_LISTBOX[[#This Row],[Codigo]],LISTADO_PRODUCTOS[#All],5)</f>
        <v>N/A</v>
      </c>
      <c r="D566" s="25">
        <f>VLOOKUP(TABLA_STOCK_LISTBOX[[#This Row],[Codigo]],TABLA_STOCK[#All],6)</f>
        <v>5</v>
      </c>
      <c r="E566" s="25">
        <f>VLOOKUP(TABLA_STOCK_LISTBOX[[#This Row],[Codigo]],TABLA_STOCK[#All],7)</f>
        <v>6</v>
      </c>
    </row>
    <row r="567" spans="1:5" x14ac:dyDescent="0.3">
      <c r="A567" s="4">
        <v>4098</v>
      </c>
      <c r="B567" s="25" t="str">
        <f>VLOOKUP(TABLA_STOCK_LISTBOX[[#This Row],[Codigo]],LISTADO_PRODUCTOS[#All],4)</f>
        <v>Banda elasticas Flexiband x 50gr</v>
      </c>
      <c r="C567" s="25" t="str">
        <f>VLOOKUP(TABLA_STOCK_LISTBOX[[#This Row],[Codigo]],LISTADO_PRODUCTOS[#All],5)</f>
        <v>N/A</v>
      </c>
      <c r="D567" s="25">
        <f>VLOOKUP(TABLA_STOCK_LISTBOX[[#This Row],[Codigo]],TABLA_STOCK[#All],6)</f>
        <v>1</v>
      </c>
      <c r="E567" s="25">
        <f>VLOOKUP(TABLA_STOCK_LISTBOX[[#This Row],[Codigo]],TABLA_STOCK[#All],7)</f>
        <v>5</v>
      </c>
    </row>
    <row r="568" spans="1:5" x14ac:dyDescent="0.3">
      <c r="A568" s="4">
        <v>4101</v>
      </c>
      <c r="B568" s="25" t="str">
        <f>VLOOKUP(TABLA_STOCK_LISTBOX[[#This Row],[Codigo]],LISTADO_PRODUCTOS[#All],4)</f>
        <v>Folio Oficio Micro/LUMA x100 x bolsa completa $2750 - 7796893002148</v>
      </c>
      <c r="C568" s="25" t="str">
        <f>VLOOKUP(TABLA_STOCK_LISTBOX[[#This Row],[Codigo]],LISTADO_PRODUCTOS[#All],5)</f>
        <v>N/A</v>
      </c>
      <c r="D568" s="25">
        <f>VLOOKUP(TABLA_STOCK_LISTBOX[[#This Row],[Codigo]],TABLA_STOCK[#All],6)</f>
        <v>5</v>
      </c>
      <c r="E568" s="25">
        <f>VLOOKUP(TABLA_STOCK_LISTBOX[[#This Row],[Codigo]],TABLA_STOCK[#All],7)</f>
        <v>52</v>
      </c>
    </row>
    <row r="569" spans="1:5" x14ac:dyDescent="0.3">
      <c r="A569" s="4">
        <v>4102</v>
      </c>
      <c r="B569" s="25" t="str">
        <f>VLOOKUP(TABLA_STOCK_LISTBOX[[#This Row],[Codigo]],LISTADO_PRODUCTOS[#All],4)</f>
        <v>Folio A4 Micro/LUMA x100 x bolsa completa $2300- 7796893002124</v>
      </c>
      <c r="C569" s="25" t="str">
        <f>VLOOKUP(TABLA_STOCK_LISTBOX[[#This Row],[Codigo]],LISTADO_PRODUCTOS[#All],5)</f>
        <v>N/A</v>
      </c>
      <c r="D569" s="25">
        <f>VLOOKUP(TABLA_STOCK_LISTBOX[[#This Row],[Codigo]],TABLA_STOCK[#All],6)</f>
        <v>2</v>
      </c>
      <c r="E569" s="25">
        <f>VLOOKUP(TABLA_STOCK_LISTBOX[[#This Row],[Codigo]],TABLA_STOCK[#All],7)</f>
        <v>32</v>
      </c>
    </row>
    <row r="570" spans="1:5" x14ac:dyDescent="0.3">
      <c r="A570" s="4">
        <v>4105</v>
      </c>
      <c r="B570" s="25" t="str">
        <f>VLOOKUP(TABLA_STOCK_LISTBOX[[#This Row],[Codigo]],LISTADO_PRODUCTOS[#All],4)</f>
        <v>Folio Nº3 Luma/Liggo Comun x100 - Pack $1260</v>
      </c>
      <c r="C570" s="25" t="str">
        <f>VLOOKUP(TABLA_STOCK_LISTBOX[[#This Row],[Codigo]],LISTADO_PRODUCTOS[#All],5)</f>
        <v>N/A</v>
      </c>
      <c r="D570" s="25">
        <f>VLOOKUP(TABLA_STOCK_LISTBOX[[#This Row],[Codigo]],TABLA_STOCK[#All],6)</f>
        <v>10</v>
      </c>
      <c r="E570" s="25">
        <f>VLOOKUP(TABLA_STOCK_LISTBOX[[#This Row],[Codigo]],TABLA_STOCK[#All],7)</f>
        <v>56</v>
      </c>
    </row>
    <row r="571" spans="1:5" x14ac:dyDescent="0.3">
      <c r="A571" s="4">
        <v>4108</v>
      </c>
      <c r="B571" s="25" t="str">
        <f>VLOOKUP(TABLA_STOCK_LISTBOX[[#This Row],[Codigo]],LISTADO_PRODUCTOS[#All],4)</f>
        <v>Broche GRAP N°65 x 1000u</v>
      </c>
      <c r="C571" s="25" t="str">
        <f>VLOOKUP(TABLA_STOCK_LISTBOX[[#This Row],[Codigo]],LISTADO_PRODUCTOS[#All],5)</f>
        <v>N/A</v>
      </c>
      <c r="D571" s="25">
        <f>VLOOKUP(TABLA_STOCK_LISTBOX[[#This Row],[Codigo]],TABLA_STOCK[#All],6)</f>
        <v>20</v>
      </c>
      <c r="E571" s="25">
        <f>VLOOKUP(TABLA_STOCK_LISTBOX[[#This Row],[Codigo]],TABLA_STOCK[#All],7)</f>
        <v>107</v>
      </c>
    </row>
    <row r="572" spans="1:5" x14ac:dyDescent="0.3">
      <c r="A572" s="4">
        <v>4109</v>
      </c>
      <c r="B572" s="25" t="str">
        <f>VLOOKUP(TABLA_STOCK_LISTBOX[[#This Row],[Codigo]],LISTADO_PRODUCTOS[#All],4)</f>
        <v>Chinche dorado Sifap</v>
      </c>
      <c r="C572" s="25" t="str">
        <f>VLOOKUP(TABLA_STOCK_LISTBOX[[#This Row],[Codigo]],LISTADO_PRODUCTOS[#All],5)</f>
        <v>N/A</v>
      </c>
      <c r="D572" s="25">
        <f>VLOOKUP(TABLA_STOCK_LISTBOX[[#This Row],[Codigo]],TABLA_STOCK[#All],6)</f>
        <v>5</v>
      </c>
      <c r="E572" s="25">
        <f>VLOOKUP(TABLA_STOCK_LISTBOX[[#This Row],[Codigo]],TABLA_STOCK[#All],7)</f>
        <v>25</v>
      </c>
    </row>
    <row r="573" spans="1:5" x14ac:dyDescent="0.3">
      <c r="A573" s="4">
        <v>4127</v>
      </c>
      <c r="B573" s="25" t="str">
        <f>VLOOKUP(TABLA_STOCK_LISTBOX[[#This Row],[Codigo]],LISTADO_PRODUCTOS[#All],4)</f>
        <v>Alfiler SIFAP CX 50gr</v>
      </c>
      <c r="C573" s="25" t="str">
        <f>VLOOKUP(TABLA_STOCK_LISTBOX[[#This Row],[Codigo]],LISTADO_PRODUCTOS[#All],5)</f>
        <v>N/A</v>
      </c>
      <c r="D573" s="25">
        <f>VLOOKUP(TABLA_STOCK_LISTBOX[[#This Row],[Codigo]],TABLA_STOCK[#All],6)</f>
        <v>20</v>
      </c>
      <c r="E573" s="25">
        <f>VLOOKUP(TABLA_STOCK_LISTBOX[[#This Row],[Codigo]],TABLA_STOCK[#All],7)</f>
        <v>5</v>
      </c>
    </row>
    <row r="574" spans="1:5" x14ac:dyDescent="0.3">
      <c r="A574" s="4">
        <v>4129</v>
      </c>
      <c r="B574" s="25" t="str">
        <f>VLOOKUP(TABLA_STOCK_LISTBOX[[#This Row],[Codigo]],LISTADO_PRODUCTOS[#All],4)</f>
        <v>Alfiler SIFAP CX 50gr</v>
      </c>
      <c r="C574" s="25" t="str">
        <f>VLOOKUP(TABLA_STOCK_LISTBOX[[#This Row],[Codigo]],LISTADO_PRODUCTOS[#All],5)</f>
        <v>N/A</v>
      </c>
      <c r="D574" s="25">
        <f>VLOOKUP(TABLA_STOCK_LISTBOX[[#This Row],[Codigo]],TABLA_STOCK[#All],6)</f>
        <v>20</v>
      </c>
      <c r="E574" s="25">
        <f>VLOOKUP(TABLA_STOCK_LISTBOX[[#This Row],[Codigo]],TABLA_STOCK[#All],7)</f>
        <v>5</v>
      </c>
    </row>
    <row r="575" spans="1:5" x14ac:dyDescent="0.3">
      <c r="A575" s="4">
        <v>4133</v>
      </c>
      <c r="B575" s="25" t="str">
        <f>VLOOKUP(TABLA_STOCK_LISTBOX[[#This Row],[Codigo]],LISTADO_PRODUCTOS[#All],4)</f>
        <v>Alfiler SIFAP CX 50gr</v>
      </c>
      <c r="C575" s="25" t="str">
        <f>VLOOKUP(TABLA_STOCK_LISTBOX[[#This Row],[Codigo]],LISTADO_PRODUCTOS[#All],5)</f>
        <v>N/A</v>
      </c>
      <c r="D575" s="25">
        <f>VLOOKUP(TABLA_STOCK_LISTBOX[[#This Row],[Codigo]],TABLA_STOCK[#All],6)</f>
        <v>20</v>
      </c>
      <c r="E575" s="25">
        <f>VLOOKUP(TABLA_STOCK_LISTBOX[[#This Row],[Codigo]],TABLA_STOCK[#All],7)</f>
        <v>5</v>
      </c>
    </row>
    <row r="576" spans="1:5" x14ac:dyDescent="0.3">
      <c r="A576" s="4">
        <v>4207</v>
      </c>
      <c r="B576" s="25" t="str">
        <f>VLOOKUP(TABLA_STOCK_LISTBOX[[#This Row],[Codigo]],LISTADO_PRODUCTOS[#All],4)</f>
        <v>Libro de Actas Potosi 2 manos Clochet</v>
      </c>
      <c r="C576" s="25" t="str">
        <f>VLOOKUP(TABLA_STOCK_LISTBOX[[#This Row],[Codigo]],LISTADO_PRODUCTOS[#All],5)</f>
        <v>N/A</v>
      </c>
      <c r="D576" s="25">
        <f>VLOOKUP(TABLA_STOCK_LISTBOX[[#This Row],[Codigo]],TABLA_STOCK[#All],6)</f>
        <v>20</v>
      </c>
      <c r="E576" s="25">
        <f>VLOOKUP(TABLA_STOCK_LISTBOX[[#This Row],[Codigo]],TABLA_STOCK[#All],7)</f>
        <v>56</v>
      </c>
    </row>
    <row r="577" spans="1:5" x14ac:dyDescent="0.3">
      <c r="A577" s="4">
        <v>4117</v>
      </c>
      <c r="B577" s="25" t="str">
        <f>VLOOKUP(TABLA_STOCK_LISTBOX[[#This Row],[Codigo]],LISTADO_PRODUCTOS[#All],4)</f>
        <v>Carpeta Foliada x20 f util-off/display - 7794765003668</v>
      </c>
      <c r="C577" s="25" t="str">
        <f>VLOOKUP(TABLA_STOCK_LISTBOX[[#This Row],[Codigo]],LISTADO_PRODUCTOS[#All],5)</f>
        <v>N/A</v>
      </c>
      <c r="D577" s="25">
        <f>VLOOKUP(TABLA_STOCK_LISTBOX[[#This Row],[Codigo]],TABLA_STOCK[#All],6)</f>
        <v>10</v>
      </c>
      <c r="E577" s="25">
        <f>VLOOKUP(TABLA_STOCK_LISTBOX[[#This Row],[Codigo]],TABLA_STOCK[#All],7)</f>
        <v>6</v>
      </c>
    </row>
    <row r="578" spans="1:5" x14ac:dyDescent="0.3">
      <c r="A578" s="4">
        <v>4120</v>
      </c>
      <c r="B578" s="25" t="str">
        <f>VLOOKUP(TABLA_STOCK_LISTBOX[[#This Row],[Codigo]],LISTADO_PRODUCTOS[#All],4)</f>
        <v>Alfiler SIFAP CX 50gr</v>
      </c>
      <c r="C578" s="25" t="str">
        <f>VLOOKUP(TABLA_STOCK_LISTBOX[[#This Row],[Codigo]],LISTADO_PRODUCTOS[#All],5)</f>
        <v>N/A</v>
      </c>
      <c r="D578" s="25">
        <f>VLOOKUP(TABLA_STOCK_LISTBOX[[#This Row],[Codigo]],TABLA_STOCK[#All],6)</f>
        <v>20</v>
      </c>
      <c r="E578" s="25">
        <f>VLOOKUP(TABLA_STOCK_LISTBOX[[#This Row],[Codigo]],TABLA_STOCK[#All],7)</f>
        <v>5</v>
      </c>
    </row>
    <row r="579" spans="1:5" x14ac:dyDescent="0.3">
      <c r="A579" s="4">
        <v>4143</v>
      </c>
      <c r="B579" s="25" t="str">
        <f>VLOOKUP(TABLA_STOCK_LISTBOX[[#This Row],[Codigo]],LISTADO_PRODUCTOS[#All],4)</f>
        <v>Rollo Motex Blanco P/maquina</v>
      </c>
      <c r="C579" s="25" t="str">
        <f>VLOOKUP(TABLA_STOCK_LISTBOX[[#This Row],[Codigo]],LISTADO_PRODUCTOS[#All],5)</f>
        <v>N/A</v>
      </c>
      <c r="D579" s="25">
        <f>VLOOKUP(TABLA_STOCK_LISTBOX[[#This Row],[Codigo]],TABLA_STOCK[#All],6)</f>
        <v>5</v>
      </c>
      <c r="E579" s="25">
        <f>VLOOKUP(TABLA_STOCK_LISTBOX[[#This Row],[Codigo]],TABLA_STOCK[#All],7)</f>
        <v>52</v>
      </c>
    </row>
    <row r="580" spans="1:5" x14ac:dyDescent="0.3">
      <c r="A580" s="4">
        <v>4146</v>
      </c>
      <c r="B580" s="25" t="str">
        <f>VLOOKUP(TABLA_STOCK_LISTBOX[[#This Row],[Codigo]],LISTADO_PRODUCTOS[#All],4)</f>
        <v>Fichero Metallico Nº2 300 fichas</v>
      </c>
      <c r="C580" s="25" t="str">
        <f>VLOOKUP(TABLA_STOCK_LISTBOX[[#This Row],[Codigo]],LISTADO_PRODUCTOS[#All],5)</f>
        <v>N/A</v>
      </c>
      <c r="D580" s="25">
        <f>VLOOKUP(TABLA_STOCK_LISTBOX[[#This Row],[Codigo]],TABLA_STOCK[#All],6)</f>
        <v>1</v>
      </c>
      <c r="E580" s="25">
        <f>VLOOKUP(TABLA_STOCK_LISTBOX[[#This Row],[Codigo]],TABLA_STOCK[#All],7)</f>
        <v>32</v>
      </c>
    </row>
    <row r="581" spans="1:5" x14ac:dyDescent="0.3">
      <c r="A581" s="4">
        <v>4147</v>
      </c>
      <c r="B581" s="25" t="str">
        <f>VLOOKUP(TABLA_STOCK_LISTBOX[[#This Row],[Codigo]],LISTADO_PRODUCTOS[#All],4)</f>
        <v>Fichero Metallico Nº3 300 fichas</v>
      </c>
      <c r="C581" s="25" t="str">
        <f>VLOOKUP(TABLA_STOCK_LISTBOX[[#This Row],[Codigo]],LISTADO_PRODUCTOS[#All],5)</f>
        <v>N/A</v>
      </c>
      <c r="D581" s="25">
        <f>VLOOKUP(TABLA_STOCK_LISTBOX[[#This Row],[Codigo]],TABLA_STOCK[#All],6)</f>
        <v>5</v>
      </c>
      <c r="E581" s="25">
        <f>VLOOKUP(TABLA_STOCK_LISTBOX[[#This Row],[Codigo]],TABLA_STOCK[#All],7)</f>
        <v>56</v>
      </c>
    </row>
    <row r="582" spans="1:5" x14ac:dyDescent="0.3">
      <c r="A582" s="4">
        <v>4148</v>
      </c>
      <c r="B582" s="25" t="str">
        <f>VLOOKUP(TABLA_STOCK_LISTBOX[[#This Row],[Codigo]],LISTADO_PRODUCTOS[#All],4)</f>
        <v>Notas adhesivas Mooving Tropical 45x 50 x 20hj</v>
      </c>
      <c r="C582" s="25" t="str">
        <f>VLOOKUP(TABLA_STOCK_LISTBOX[[#This Row],[Codigo]],LISTADO_PRODUCTOS[#All],5)</f>
        <v>N/A</v>
      </c>
      <c r="D582" s="25">
        <f>VLOOKUP(TABLA_STOCK_LISTBOX[[#This Row],[Codigo]],TABLA_STOCK[#All],6)</f>
        <v>2</v>
      </c>
      <c r="E582" s="25">
        <f>VLOOKUP(TABLA_STOCK_LISTBOX[[#This Row],[Codigo]],TABLA_STOCK[#All],7)</f>
        <v>107</v>
      </c>
    </row>
    <row r="583" spans="1:5" x14ac:dyDescent="0.3">
      <c r="A583" s="4">
        <v>4150</v>
      </c>
      <c r="B583" s="25" t="str">
        <f>VLOOKUP(TABLA_STOCK_LISTBOX[[#This Row],[Codigo]],LISTADO_PRODUCTOS[#All],4)</f>
        <v>Banderitas Ezco FLUO</v>
      </c>
      <c r="C583" s="25" t="str">
        <f>VLOOKUP(TABLA_STOCK_LISTBOX[[#This Row],[Codigo]],LISTADO_PRODUCTOS[#All],5)</f>
        <v>N/A</v>
      </c>
      <c r="D583" s="25">
        <f>VLOOKUP(TABLA_STOCK_LISTBOX[[#This Row],[Codigo]],TABLA_STOCK[#All],6)</f>
        <v>2</v>
      </c>
      <c r="E583" s="25">
        <f>VLOOKUP(TABLA_STOCK_LISTBOX[[#This Row],[Codigo]],TABLA_STOCK[#All],7)</f>
        <v>25</v>
      </c>
    </row>
    <row r="584" spans="1:5" x14ac:dyDescent="0.3">
      <c r="A584" s="4">
        <v>4154</v>
      </c>
      <c r="B584" s="25" t="str">
        <f>VLOOKUP(TABLA_STOCK_LISTBOX[[#This Row],[Codigo]],LISTADO_PRODUCTOS[#All],4)</f>
        <v>Carpeta fondo base opaca Oficio T/T</v>
      </c>
      <c r="C584" s="25" t="str">
        <f>VLOOKUP(TABLA_STOCK_LISTBOX[[#This Row],[Codigo]],LISTADO_PRODUCTOS[#All],5)</f>
        <v>N/A</v>
      </c>
      <c r="D584" s="25">
        <f>VLOOKUP(TABLA_STOCK_LISTBOX[[#This Row],[Codigo]],TABLA_STOCK[#All],6)</f>
        <v>10</v>
      </c>
      <c r="E584" s="25">
        <f>VLOOKUP(TABLA_STOCK_LISTBOX[[#This Row],[Codigo]],TABLA_STOCK[#All],7)</f>
        <v>32</v>
      </c>
    </row>
    <row r="585" spans="1:5" x14ac:dyDescent="0.3">
      <c r="A585" s="4">
        <v>4155</v>
      </c>
      <c r="B585" s="25" t="str">
        <f>VLOOKUP(TABLA_STOCK_LISTBOX[[#This Row],[Codigo]],LISTADO_PRODUCTOS[#All],4)</f>
        <v>Carpeta Fondo base Opaca A4</v>
      </c>
      <c r="C585" s="25" t="str">
        <f>VLOOKUP(TABLA_STOCK_LISTBOX[[#This Row],[Codigo]],LISTADO_PRODUCTOS[#All],5)</f>
        <v>N/A</v>
      </c>
      <c r="D585" s="25">
        <f>VLOOKUP(TABLA_STOCK_LISTBOX[[#This Row],[Codigo]],TABLA_STOCK[#All],6)</f>
        <v>20</v>
      </c>
      <c r="E585" s="25">
        <f>VLOOKUP(TABLA_STOCK_LISTBOX[[#This Row],[Codigo]],TABLA_STOCK[#All],7)</f>
        <v>150</v>
      </c>
    </row>
    <row r="586" spans="1:5" x14ac:dyDescent="0.3">
      <c r="A586" s="4">
        <v>4157</v>
      </c>
      <c r="B586" s="25" t="str">
        <f>VLOOKUP(TABLA_STOCK_LISTBOX[[#This Row],[Codigo]],LISTADO_PRODUCTOS[#All],4)</f>
        <v>Carpeta C/Vaina Oficio</v>
      </c>
      <c r="C586" s="25" t="str">
        <f>VLOOKUP(TABLA_STOCK_LISTBOX[[#This Row],[Codigo]],LISTADO_PRODUCTOS[#All],5)</f>
        <v>N/A</v>
      </c>
      <c r="D586" s="25">
        <f>VLOOKUP(TABLA_STOCK_LISTBOX[[#This Row],[Codigo]],TABLA_STOCK[#All],6)</f>
        <v>5</v>
      </c>
      <c r="E586" s="25">
        <f>VLOOKUP(TABLA_STOCK_LISTBOX[[#This Row],[Codigo]],TABLA_STOCK[#All],7)</f>
        <v>20</v>
      </c>
    </row>
    <row r="587" spans="1:5" x14ac:dyDescent="0.3">
      <c r="A587" s="4">
        <v>4158</v>
      </c>
      <c r="B587" s="25" t="str">
        <f>VLOOKUP(TABLA_STOCK_LISTBOX[[#This Row],[Codigo]],LISTADO_PRODUCTOS[#All],4)</f>
        <v>Carpeta c/Vaina A4</v>
      </c>
      <c r="C587" s="25" t="str">
        <f>VLOOKUP(TABLA_STOCK_LISTBOX[[#This Row],[Codigo]],LISTADO_PRODUCTOS[#All],5)</f>
        <v>N/A</v>
      </c>
      <c r="D587" s="25">
        <f>VLOOKUP(TABLA_STOCK_LISTBOX[[#This Row],[Codigo]],TABLA_STOCK[#All],6)</f>
        <v>1</v>
      </c>
      <c r="E587" s="25">
        <f>VLOOKUP(TABLA_STOCK_LISTBOX[[#This Row],[Codigo]],TABLA_STOCK[#All],7)</f>
        <v>19</v>
      </c>
    </row>
    <row r="588" spans="1:5" x14ac:dyDescent="0.3">
      <c r="A588" s="4">
        <v>4159</v>
      </c>
      <c r="B588" s="25" t="str">
        <f>VLOOKUP(TABLA_STOCK_LISTBOX[[#This Row],[Codigo]],LISTADO_PRODUCTOS[#All],4)</f>
        <v>Carpeta Veloz</v>
      </c>
      <c r="C588" s="25" t="str">
        <f>VLOOKUP(TABLA_STOCK_LISTBOX[[#This Row],[Codigo]],LISTADO_PRODUCTOS[#All],5)</f>
        <v>N/A</v>
      </c>
      <c r="D588" s="25">
        <f>VLOOKUP(TABLA_STOCK_LISTBOX[[#This Row],[Codigo]],TABLA_STOCK[#All],6)</f>
        <v>5</v>
      </c>
      <c r="E588" s="25">
        <f>VLOOKUP(TABLA_STOCK_LISTBOX[[#This Row],[Codigo]],TABLA_STOCK[#All],7)</f>
        <v>6</v>
      </c>
    </row>
    <row r="589" spans="1:5" x14ac:dyDescent="0.3">
      <c r="A589" s="4">
        <v>4160</v>
      </c>
      <c r="B589" s="25" t="str">
        <f>VLOOKUP(TABLA_STOCK_LISTBOX[[#This Row],[Codigo]],LISTADO_PRODUCTOS[#All],4)</f>
        <v>Carpeta c/vaina color</v>
      </c>
      <c r="C589" s="25" t="str">
        <f>VLOOKUP(TABLA_STOCK_LISTBOX[[#This Row],[Codigo]],LISTADO_PRODUCTOS[#All],5)</f>
        <v>N/A</v>
      </c>
      <c r="D589" s="25">
        <f>VLOOKUP(TABLA_STOCK_LISTBOX[[#This Row],[Codigo]],TABLA_STOCK[#All],6)</f>
        <v>2</v>
      </c>
      <c r="E589" s="25">
        <f>VLOOKUP(TABLA_STOCK_LISTBOX[[#This Row],[Codigo]],TABLA_STOCK[#All],7)</f>
        <v>5</v>
      </c>
    </row>
    <row r="590" spans="1:5" x14ac:dyDescent="0.3">
      <c r="A590" s="4">
        <v>4166</v>
      </c>
      <c r="B590" s="25" t="str">
        <f>VLOOKUP(TABLA_STOCK_LISTBOX[[#This Row],[Codigo]],LISTADO_PRODUCTOS[#All],4)</f>
        <v>Carpeta foliada Lama 100f A4</v>
      </c>
      <c r="C590" s="25" t="str">
        <f>VLOOKUP(TABLA_STOCK_LISTBOX[[#This Row],[Codigo]],LISTADO_PRODUCTOS[#All],5)</f>
        <v>N/A</v>
      </c>
      <c r="D590" s="25">
        <f>VLOOKUP(TABLA_STOCK_LISTBOX[[#This Row],[Codigo]],TABLA_STOCK[#All],6)</f>
        <v>2</v>
      </c>
      <c r="E590" s="25">
        <f>VLOOKUP(TABLA_STOCK_LISTBOX[[#This Row],[Codigo]],TABLA_STOCK[#All],7)</f>
        <v>52</v>
      </c>
    </row>
    <row r="591" spans="1:5" x14ac:dyDescent="0.3">
      <c r="A591" s="4">
        <v>4167</v>
      </c>
      <c r="B591" s="25" t="str">
        <f>VLOOKUP(TABLA_STOCK_LISTBOX[[#This Row],[Codigo]],LISTADO_PRODUCTOS[#All],4)</f>
        <v>Cartuchera para cuaderno/agenda FW A5</v>
      </c>
      <c r="C591" s="25" t="str">
        <f>VLOOKUP(TABLA_STOCK_LISTBOX[[#This Row],[Codigo]],LISTADO_PRODUCTOS[#All],5)</f>
        <v>N/A</v>
      </c>
      <c r="D591" s="25">
        <f>VLOOKUP(TABLA_STOCK_LISTBOX[[#This Row],[Codigo]],TABLA_STOCK[#All],6)</f>
        <v>10</v>
      </c>
      <c r="E591" s="25">
        <f>VLOOKUP(TABLA_STOCK_LISTBOX[[#This Row],[Codigo]],TABLA_STOCK[#All],7)</f>
        <v>32</v>
      </c>
    </row>
    <row r="592" spans="1:5" x14ac:dyDescent="0.3">
      <c r="A592" s="4">
        <v>4207</v>
      </c>
      <c r="B592" s="25" t="str">
        <f>VLOOKUP(TABLA_STOCK_LISTBOX[[#This Row],[Codigo]],LISTADO_PRODUCTOS[#All],4)</f>
        <v>Libro de Actas Potosi 2 manos Clochet</v>
      </c>
      <c r="C592" s="25" t="str">
        <f>VLOOKUP(TABLA_STOCK_LISTBOX[[#This Row],[Codigo]],LISTADO_PRODUCTOS[#All],5)</f>
        <v>N/A</v>
      </c>
      <c r="D592" s="25">
        <f>VLOOKUP(TABLA_STOCK_LISTBOX[[#This Row],[Codigo]],TABLA_STOCK[#All],6)</f>
        <v>20</v>
      </c>
      <c r="E592" s="25">
        <f>VLOOKUP(TABLA_STOCK_LISTBOX[[#This Row],[Codigo]],TABLA_STOCK[#All],7)</f>
        <v>56</v>
      </c>
    </row>
    <row r="593" spans="1:5" x14ac:dyDescent="0.3">
      <c r="A593" s="4">
        <v>4208</v>
      </c>
      <c r="B593" s="25" t="str">
        <f>VLOOKUP(TABLA_STOCK_LISTBOX[[#This Row],[Codigo]],LISTADO_PRODUCTOS[#All],4)</f>
        <v>Libro de Actas Oficio Potosi Corona 2 manos</v>
      </c>
      <c r="C593" s="25" t="str">
        <f>VLOOKUP(TABLA_STOCK_LISTBOX[[#This Row],[Codigo]],LISTADO_PRODUCTOS[#All],5)</f>
        <v>N/A</v>
      </c>
      <c r="D593" s="25">
        <f>VLOOKUP(TABLA_STOCK_LISTBOX[[#This Row],[Codigo]],TABLA_STOCK[#All],6)</f>
        <v>5</v>
      </c>
      <c r="E593" s="25">
        <f>VLOOKUP(TABLA_STOCK_LISTBOX[[#This Row],[Codigo]],TABLA_STOCK[#All],7)</f>
        <v>107</v>
      </c>
    </row>
    <row r="594" spans="1:5" x14ac:dyDescent="0.3">
      <c r="A594" s="4">
        <v>4209</v>
      </c>
      <c r="B594" s="25" t="str">
        <f>VLOOKUP(TABLA_STOCK_LISTBOX[[#This Row],[Codigo]],LISTADO_PRODUCTOS[#All],4)</f>
        <v>Tinta BIC para marcador de Pizarra Blanca</v>
      </c>
      <c r="C594" s="25" t="str">
        <f>VLOOKUP(TABLA_STOCK_LISTBOX[[#This Row],[Codigo]],LISTADO_PRODUCTOS[#All],5)</f>
        <v>N/A</v>
      </c>
      <c r="D594" s="25">
        <f>VLOOKUP(TABLA_STOCK_LISTBOX[[#This Row],[Codigo]],TABLA_STOCK[#All],6)</f>
        <v>1</v>
      </c>
      <c r="E594" s="25">
        <f>VLOOKUP(TABLA_STOCK_LISTBOX[[#This Row],[Codigo]],TABLA_STOCK[#All],7)</f>
        <v>25</v>
      </c>
    </row>
    <row r="595" spans="1:5" x14ac:dyDescent="0.3">
      <c r="A595" s="4">
        <v>4211</v>
      </c>
      <c r="B595" s="25" t="str">
        <f>VLOOKUP(TABLA_STOCK_LISTBOX[[#This Row],[Codigo]],LISTADO_PRODUCTOS[#All],4)</f>
        <v>Clasificador A4 LAMA EF202NE</v>
      </c>
      <c r="C595" s="25" t="str">
        <f>VLOOKUP(TABLA_STOCK_LISTBOX[[#This Row],[Codigo]],LISTADO_PRODUCTOS[#All],5)</f>
        <v>N/A</v>
      </c>
      <c r="D595" s="25">
        <f>VLOOKUP(TABLA_STOCK_LISTBOX[[#This Row],[Codigo]],TABLA_STOCK[#All],6)</f>
        <v>5</v>
      </c>
      <c r="E595" s="25">
        <f>VLOOKUP(TABLA_STOCK_LISTBOX[[#This Row],[Codigo]],TABLA_STOCK[#All],7)</f>
        <v>32</v>
      </c>
    </row>
    <row r="596" spans="1:5" x14ac:dyDescent="0.3">
      <c r="A596" s="4">
        <v>4301</v>
      </c>
      <c r="B596" s="25" t="str">
        <f>VLOOKUP(TABLA_STOCK_LISTBOX[[#This Row],[Codigo]],LISTADO_PRODUCTOS[#All],4)</f>
        <v>Broche Clip Sifap Forrado Color Nº6</v>
      </c>
      <c r="C596" s="25" t="str">
        <f>VLOOKUP(TABLA_STOCK_LISTBOX[[#This Row],[Codigo]],LISTADO_PRODUCTOS[#All],5)</f>
        <v>N/A</v>
      </c>
      <c r="D596" s="25">
        <f>VLOOKUP(TABLA_STOCK_LISTBOX[[#This Row],[Codigo]],TABLA_STOCK[#All],6)</f>
        <v>2</v>
      </c>
      <c r="E596" s="25">
        <f>VLOOKUP(TABLA_STOCK_LISTBOX[[#This Row],[Codigo]],TABLA_STOCK[#All],7)</f>
        <v>107</v>
      </c>
    </row>
    <row r="597" spans="1:5" x14ac:dyDescent="0.3">
      <c r="A597" s="4">
        <v>4302</v>
      </c>
      <c r="B597" s="25" t="str">
        <f>VLOOKUP(TABLA_STOCK_LISTBOX[[#This Row],[Codigo]],LISTADO_PRODUCTOS[#All],4)</f>
        <v>Marcador Sharpie Metal plateado/rojo/azul/verde</v>
      </c>
      <c r="C597" s="25" t="str">
        <f>VLOOKUP(TABLA_STOCK_LISTBOX[[#This Row],[Codigo]],LISTADO_PRODUCTOS[#All],5)</f>
        <v>N/A</v>
      </c>
      <c r="D597" s="25">
        <f>VLOOKUP(TABLA_STOCK_LISTBOX[[#This Row],[Codigo]],TABLA_STOCK[#All],6)</f>
        <v>10</v>
      </c>
      <c r="E597" s="25">
        <f>VLOOKUP(TABLA_STOCK_LISTBOX[[#This Row],[Codigo]],TABLA_STOCK[#All],7)</f>
        <v>25</v>
      </c>
    </row>
    <row r="598" spans="1:5" x14ac:dyDescent="0.3">
      <c r="A598" s="4">
        <v>4305</v>
      </c>
      <c r="B598" s="25" t="str">
        <f>VLOOKUP(TABLA_STOCK_LISTBOX[[#This Row],[Codigo]],LISTADO_PRODUCTOS[#All],4)</f>
        <v>Banderitas flecha Mooving Pastel</v>
      </c>
      <c r="C598" s="25" t="str">
        <f>VLOOKUP(TABLA_STOCK_LISTBOX[[#This Row],[Codigo]],LISTADO_PRODUCTOS[#All],5)</f>
        <v>N/A</v>
      </c>
      <c r="D598" s="25">
        <f>VLOOKUP(TABLA_STOCK_LISTBOX[[#This Row],[Codigo]],TABLA_STOCK[#All],6)</f>
        <v>20</v>
      </c>
      <c r="E598" s="25">
        <f>VLOOKUP(TABLA_STOCK_LISTBOX[[#This Row],[Codigo]],TABLA_STOCK[#All],7)</f>
        <v>32</v>
      </c>
    </row>
    <row r="599" spans="1:5" x14ac:dyDescent="0.3">
      <c r="A599" s="4">
        <v>4308</v>
      </c>
      <c r="B599" s="25" t="str">
        <f>VLOOKUP(TABLA_STOCK_LISTBOX[[#This Row],[Codigo]],LISTADO_PRODUCTOS[#All],4)</f>
        <v>Clip Sifap N°8 78mm</v>
      </c>
      <c r="C599" s="25" t="str">
        <f>VLOOKUP(TABLA_STOCK_LISTBOX[[#This Row],[Codigo]],LISTADO_PRODUCTOS[#All],5)</f>
        <v>N/A</v>
      </c>
      <c r="D599" s="25">
        <f>VLOOKUP(TABLA_STOCK_LISTBOX[[#This Row],[Codigo]],TABLA_STOCK[#All],6)</f>
        <v>5</v>
      </c>
      <c r="E599" s="25">
        <f>VLOOKUP(TABLA_STOCK_LISTBOX[[#This Row],[Codigo]],TABLA_STOCK[#All],7)</f>
        <v>150</v>
      </c>
    </row>
    <row r="600" spans="1:5" x14ac:dyDescent="0.3">
      <c r="A600" s="4">
        <v>4322</v>
      </c>
      <c r="B600" s="25" t="str">
        <f>VLOOKUP(TABLA_STOCK_LISTBOX[[#This Row],[Codigo]],LISTADO_PRODUCTOS[#All],4)</f>
        <v>Clip 50mm Trazos</v>
      </c>
      <c r="C600" s="25" t="str">
        <f>VLOOKUP(TABLA_STOCK_LISTBOX[[#This Row],[Codigo]],LISTADO_PRODUCTOS[#All],5)</f>
        <v>N/A</v>
      </c>
      <c r="D600" s="25">
        <f>VLOOKUP(TABLA_STOCK_LISTBOX[[#This Row],[Codigo]],TABLA_STOCK[#All],6)</f>
        <v>1</v>
      </c>
      <c r="E600" s="25">
        <f>VLOOKUP(TABLA_STOCK_LISTBOX[[#This Row],[Codigo]],TABLA_STOCK[#All],7)</f>
        <v>20</v>
      </c>
    </row>
    <row r="601" spans="1:5" x14ac:dyDescent="0.3">
      <c r="A601" s="4">
        <v>4323</v>
      </c>
      <c r="B601" s="25" t="str">
        <f>VLOOKUP(TABLA_STOCK_LISTBOX[[#This Row],[Codigo]],LISTADO_PRODUCTOS[#All],4)</f>
        <v>Libro Recibos expediente Potosi</v>
      </c>
      <c r="C601" s="25" t="str">
        <f>VLOOKUP(TABLA_STOCK_LISTBOX[[#This Row],[Codigo]],LISTADO_PRODUCTOS[#All],5)</f>
        <v>N/A</v>
      </c>
      <c r="D601" s="25">
        <f>VLOOKUP(TABLA_STOCK_LISTBOX[[#This Row],[Codigo]],TABLA_STOCK[#All],6)</f>
        <v>5</v>
      </c>
      <c r="E601" s="25">
        <f>VLOOKUP(TABLA_STOCK_LISTBOX[[#This Row],[Codigo]],TABLA_STOCK[#All],7)</f>
        <v>19</v>
      </c>
    </row>
    <row r="602" spans="1:5" x14ac:dyDescent="0.3">
      <c r="A602" s="4">
        <v>4325</v>
      </c>
      <c r="B602" s="25" t="str">
        <f>VLOOKUP(TABLA_STOCK_LISTBOX[[#This Row],[Codigo]],LISTADO_PRODUCTOS[#All],4)</f>
        <v>Carpeta foliada Oficio Util-off 60f - 7794765003712</v>
      </c>
      <c r="C602" s="25" t="str">
        <f>VLOOKUP(TABLA_STOCK_LISTBOX[[#This Row],[Codigo]],LISTADO_PRODUCTOS[#All],5)</f>
        <v>N/A</v>
      </c>
      <c r="D602" s="25">
        <f>VLOOKUP(TABLA_STOCK_LISTBOX[[#This Row],[Codigo]],TABLA_STOCK[#All],6)</f>
        <v>2</v>
      </c>
      <c r="E602" s="25">
        <f>VLOOKUP(TABLA_STOCK_LISTBOX[[#This Row],[Codigo]],TABLA_STOCK[#All],7)</f>
        <v>6</v>
      </c>
    </row>
    <row r="603" spans="1:5" x14ac:dyDescent="0.3">
      <c r="A603" s="4">
        <v>4328</v>
      </c>
      <c r="B603" s="25" t="str">
        <f>VLOOKUP(TABLA_STOCK_LISTBOX[[#This Row],[Codigo]],LISTADO_PRODUCTOS[#All],4)</f>
        <v>Broche Clip Sifap metal Nº5 / Nº6</v>
      </c>
      <c r="C603" s="25" t="str">
        <f>VLOOKUP(TABLA_STOCK_LISTBOX[[#This Row],[Codigo]],LISTADO_PRODUCTOS[#All],5)</f>
        <v>N/A</v>
      </c>
      <c r="D603" s="25">
        <f>VLOOKUP(TABLA_STOCK_LISTBOX[[#This Row],[Codigo]],TABLA_STOCK[#All],6)</f>
        <v>2</v>
      </c>
      <c r="E603" s="25">
        <f>VLOOKUP(TABLA_STOCK_LISTBOX[[#This Row],[Codigo]],TABLA_STOCK[#All],7)</f>
        <v>5</v>
      </c>
    </row>
    <row r="604" spans="1:5" x14ac:dyDescent="0.3">
      <c r="A604" s="4">
        <v>4332</v>
      </c>
      <c r="B604" s="25" t="str">
        <f>VLOOKUP(TABLA_STOCK_LISTBOX[[#This Row],[Codigo]],LISTADO_PRODUCTOS[#All],4)</f>
        <v>Carpeta colgante nepaco delta</v>
      </c>
      <c r="C604" s="25" t="str">
        <f>VLOOKUP(TABLA_STOCK_LISTBOX[[#This Row],[Codigo]],LISTADO_PRODUCTOS[#All],5)</f>
        <v>N/A</v>
      </c>
      <c r="D604" s="25">
        <f>VLOOKUP(TABLA_STOCK_LISTBOX[[#This Row],[Codigo]],TABLA_STOCK[#All],6)</f>
        <v>10</v>
      </c>
      <c r="E604" s="25">
        <f>VLOOKUP(TABLA_STOCK_LISTBOX[[#This Row],[Codigo]],TABLA_STOCK[#All],7)</f>
        <v>52</v>
      </c>
    </row>
    <row r="605" spans="1:5" x14ac:dyDescent="0.3">
      <c r="A605" s="4">
        <v>4335</v>
      </c>
      <c r="B605" s="25" t="str">
        <f>VLOOKUP(TABLA_STOCK_LISTBOX[[#This Row],[Codigo]],LISTADO_PRODUCTOS[#All],4)</f>
        <v>Carpeta foliada 10f util-off oficio - 7794765003644</v>
      </c>
      <c r="C605" s="25" t="str">
        <f>VLOOKUP(TABLA_STOCK_LISTBOX[[#This Row],[Codigo]],LISTADO_PRODUCTOS[#All],5)</f>
        <v>N/A</v>
      </c>
      <c r="D605" s="25">
        <f>VLOOKUP(TABLA_STOCK_LISTBOX[[#This Row],[Codigo]],TABLA_STOCK[#All],6)</f>
        <v>20</v>
      </c>
      <c r="E605" s="25">
        <f>VLOOKUP(TABLA_STOCK_LISTBOX[[#This Row],[Codigo]],TABLA_STOCK[#All],7)</f>
        <v>32</v>
      </c>
    </row>
    <row r="606" spans="1:5" x14ac:dyDescent="0.3">
      <c r="A606" s="4">
        <v>4336</v>
      </c>
      <c r="B606" s="25" t="str">
        <f>VLOOKUP(TABLA_STOCK_LISTBOX[[#This Row],[Codigo]],LISTADO_PRODUCTOS[#All],4)</f>
        <v>Plancha de ojalillos Ori-Tec C/U</v>
      </c>
      <c r="C606" s="25" t="str">
        <f>VLOOKUP(TABLA_STOCK_LISTBOX[[#This Row],[Codigo]],LISTADO_PRODUCTOS[#All],5)</f>
        <v>N/A</v>
      </c>
      <c r="D606" s="25">
        <f>VLOOKUP(TABLA_STOCK_LISTBOX[[#This Row],[Codigo]],TABLA_STOCK[#All],6)</f>
        <v>5</v>
      </c>
      <c r="E606" s="25">
        <f>VLOOKUP(TABLA_STOCK_LISTBOX[[#This Row],[Codigo]],TABLA_STOCK[#All],7)</f>
        <v>56</v>
      </c>
    </row>
    <row r="607" spans="1:5" x14ac:dyDescent="0.3">
      <c r="A607" s="4">
        <v>4337</v>
      </c>
      <c r="B607" s="25" t="str">
        <f>VLOOKUP(TABLA_STOCK_LISTBOX[[#This Row],[Codigo]],LISTADO_PRODUCTOS[#All],4)</f>
        <v>Banderitas Mickey de Mooving</v>
      </c>
      <c r="C607" s="25" t="str">
        <f>VLOOKUP(TABLA_STOCK_LISTBOX[[#This Row],[Codigo]],LISTADO_PRODUCTOS[#All],5)</f>
        <v>N/A</v>
      </c>
      <c r="D607" s="25">
        <f>VLOOKUP(TABLA_STOCK_LISTBOX[[#This Row],[Codigo]],TABLA_STOCK[#All],6)</f>
        <v>1</v>
      </c>
      <c r="E607" s="25">
        <f>VLOOKUP(TABLA_STOCK_LISTBOX[[#This Row],[Codigo]],TABLA_STOCK[#All],7)</f>
        <v>107</v>
      </c>
    </row>
    <row r="608" spans="1:5" x14ac:dyDescent="0.3">
      <c r="A608" s="4">
        <v>4338</v>
      </c>
      <c r="B608" s="25" t="str">
        <f>VLOOKUP(TABLA_STOCK_LISTBOX[[#This Row],[Codigo]],LISTADO_PRODUCTOS[#All],4)</f>
        <v>Banderitas mooving 2100203 / 2</v>
      </c>
      <c r="C608" s="25" t="str">
        <f>VLOOKUP(TABLA_STOCK_LISTBOX[[#This Row],[Codigo]],LISTADO_PRODUCTOS[#All],5)</f>
        <v>N/A</v>
      </c>
      <c r="D608" s="25">
        <f>VLOOKUP(TABLA_STOCK_LISTBOX[[#This Row],[Codigo]],TABLA_STOCK[#All],6)</f>
        <v>5</v>
      </c>
      <c r="E608" s="25">
        <f>VLOOKUP(TABLA_STOCK_LISTBOX[[#This Row],[Codigo]],TABLA_STOCK[#All],7)</f>
        <v>25</v>
      </c>
    </row>
    <row r="609" spans="1:5" x14ac:dyDescent="0.3">
      <c r="A609" s="4">
        <v>4340</v>
      </c>
      <c r="B609" s="25" t="str">
        <f>VLOOKUP(TABLA_STOCK_LISTBOX[[#This Row],[Codigo]],LISTADO_PRODUCTOS[#All],4)</f>
        <v>banderitas mooving 2100207</v>
      </c>
      <c r="C609" s="25" t="str">
        <f>VLOOKUP(TABLA_STOCK_LISTBOX[[#This Row],[Codigo]],LISTADO_PRODUCTOS[#All],5)</f>
        <v>N/A</v>
      </c>
      <c r="D609" s="25">
        <f>VLOOKUP(TABLA_STOCK_LISTBOX[[#This Row],[Codigo]],TABLA_STOCK[#All],6)</f>
        <v>2</v>
      </c>
      <c r="E609" s="25">
        <f>VLOOKUP(TABLA_STOCK_LISTBOX[[#This Row],[Codigo]],TABLA_STOCK[#All],7)</f>
        <v>32</v>
      </c>
    </row>
    <row r="610" spans="1:5" x14ac:dyDescent="0.3">
      <c r="A610" s="4">
        <v>4341</v>
      </c>
      <c r="B610" s="25" t="str">
        <f>VLOOKUP(TABLA_STOCK_LISTBOX[[#This Row],[Codigo]],LISTADO_PRODUCTOS[#All],4)</f>
        <v>banderitas mooving 2100402</v>
      </c>
      <c r="C610" s="25" t="str">
        <f>VLOOKUP(TABLA_STOCK_LISTBOX[[#This Row],[Codigo]],LISTADO_PRODUCTOS[#All],5)</f>
        <v>N/A</v>
      </c>
      <c r="D610" s="25">
        <f>VLOOKUP(TABLA_STOCK_LISTBOX[[#This Row],[Codigo]],TABLA_STOCK[#All],6)</f>
        <v>2</v>
      </c>
      <c r="E610" s="25">
        <f>VLOOKUP(TABLA_STOCK_LISTBOX[[#This Row],[Codigo]],TABLA_STOCK[#All],7)</f>
        <v>150</v>
      </c>
    </row>
    <row r="611" spans="1:5" x14ac:dyDescent="0.3">
      <c r="A611" s="4">
        <v>4342</v>
      </c>
      <c r="B611" s="25" t="str">
        <f>VLOOKUP(TABLA_STOCK_LISTBOX[[#This Row],[Codigo]],LISTADO_PRODUCTOS[#All],4)</f>
        <v>Flechas Adhesivas Mooving pastel</v>
      </c>
      <c r="C611" s="25" t="str">
        <f>VLOOKUP(TABLA_STOCK_LISTBOX[[#This Row],[Codigo]],LISTADO_PRODUCTOS[#All],5)</f>
        <v>N/A</v>
      </c>
      <c r="D611" s="25">
        <f>VLOOKUP(TABLA_STOCK_LISTBOX[[#This Row],[Codigo]],TABLA_STOCK[#All],6)</f>
        <v>10</v>
      </c>
      <c r="E611" s="25">
        <f>VLOOKUP(TABLA_STOCK_LISTBOX[[#This Row],[Codigo]],TABLA_STOCK[#All],7)</f>
        <v>20</v>
      </c>
    </row>
    <row r="612" spans="1:5" x14ac:dyDescent="0.3">
      <c r="A612" s="4">
        <v>4345</v>
      </c>
      <c r="B612" s="25" t="str">
        <f>VLOOKUP(TABLA_STOCK_LISTBOX[[#This Row],[Codigo]],LISTADO_PRODUCTOS[#All],4)</f>
        <v>Banderitas mooving 2100205</v>
      </c>
      <c r="C612" s="25" t="str">
        <f>VLOOKUP(TABLA_STOCK_LISTBOX[[#This Row],[Codigo]],LISTADO_PRODUCTOS[#All],5)</f>
        <v>N/A</v>
      </c>
      <c r="D612" s="25">
        <f>VLOOKUP(TABLA_STOCK_LISTBOX[[#This Row],[Codigo]],TABLA_STOCK[#All],6)</f>
        <v>20</v>
      </c>
      <c r="E612" s="25">
        <f>VLOOKUP(TABLA_STOCK_LISTBOX[[#This Row],[Codigo]],TABLA_STOCK[#All],7)</f>
        <v>19</v>
      </c>
    </row>
    <row r="613" spans="1:5" x14ac:dyDescent="0.3">
      <c r="A613" s="4">
        <v>4346</v>
      </c>
      <c r="B613" s="25" t="str">
        <f>VLOOKUP(TABLA_STOCK_LISTBOX[[#This Row],[Codigo]],LISTADO_PRODUCTOS[#All],4)</f>
        <v>Carpeta catalogo foliada 10F General Office A4</v>
      </c>
      <c r="C613" s="25" t="str">
        <f>VLOOKUP(TABLA_STOCK_LISTBOX[[#This Row],[Codigo]],LISTADO_PRODUCTOS[#All],5)</f>
        <v>N/A</v>
      </c>
      <c r="D613" s="25">
        <f>VLOOKUP(TABLA_STOCK_LISTBOX[[#This Row],[Codigo]],TABLA_STOCK[#All],6)</f>
        <v>5</v>
      </c>
      <c r="E613" s="25">
        <f>VLOOKUP(TABLA_STOCK_LISTBOX[[#This Row],[Codigo]],TABLA_STOCK[#All],7)</f>
        <v>6</v>
      </c>
    </row>
    <row r="614" spans="1:5" x14ac:dyDescent="0.3">
      <c r="A614" s="4">
        <v>4354</v>
      </c>
      <c r="B614" s="25" t="str">
        <f>VLOOKUP(TABLA_STOCK_LISTBOX[[#This Row],[Codigo]],LISTADO_PRODUCTOS[#All],4)</f>
        <v>Marcador SHARPIE STAINED P/TELA PUNTA PINCEL blister x8u</v>
      </c>
      <c r="C614" s="25" t="str">
        <f>VLOOKUP(TABLA_STOCK_LISTBOX[[#This Row],[Codigo]],LISTADO_PRODUCTOS[#All],5)</f>
        <v>N/A</v>
      </c>
      <c r="D614" s="25">
        <f>VLOOKUP(TABLA_STOCK_LISTBOX[[#This Row],[Codigo]],TABLA_STOCK[#All],6)</f>
        <v>1</v>
      </c>
      <c r="E614" s="25">
        <f>VLOOKUP(TABLA_STOCK_LISTBOX[[#This Row],[Codigo]],TABLA_STOCK[#All],7)</f>
        <v>5</v>
      </c>
    </row>
    <row r="615" spans="1:5" x14ac:dyDescent="0.3">
      <c r="A615" s="4">
        <v>4362</v>
      </c>
      <c r="B615" s="25" t="str">
        <f>VLOOKUP(TABLA_STOCK_LISTBOX[[#This Row],[Codigo]],LISTADO_PRODUCTOS[#All],4)</f>
        <v>Abrochadora brazo largo 31cm + 1000 broche 26/6</v>
      </c>
      <c r="C615" s="25" t="str">
        <f>VLOOKUP(TABLA_STOCK_LISTBOX[[#This Row],[Codigo]],LISTADO_PRODUCTOS[#All],5)</f>
        <v>N/A</v>
      </c>
      <c r="D615" s="25">
        <f>VLOOKUP(TABLA_STOCK_LISTBOX[[#This Row],[Codigo]],TABLA_STOCK[#All],6)</f>
        <v>5</v>
      </c>
      <c r="E615" s="25">
        <f>VLOOKUP(TABLA_STOCK_LISTBOX[[#This Row],[Codigo]],TABLA_STOCK[#All],7)</f>
        <v>52</v>
      </c>
    </row>
    <row r="616" spans="1:5" x14ac:dyDescent="0.3">
      <c r="A616" s="4">
        <v>4363</v>
      </c>
      <c r="B616" s="25" t="str">
        <f>VLOOKUP(TABLA_STOCK_LISTBOX[[#This Row],[Codigo]],LISTADO_PRODUCTOS[#All],4)</f>
        <v>Almohadilla Pelikan N°0</v>
      </c>
      <c r="C616" s="25" t="str">
        <f>VLOOKUP(TABLA_STOCK_LISTBOX[[#This Row],[Codigo]],LISTADO_PRODUCTOS[#All],5)</f>
        <v>N/A</v>
      </c>
      <c r="D616" s="25">
        <f>VLOOKUP(TABLA_STOCK_LISTBOX[[#This Row],[Codigo]],TABLA_STOCK[#All],6)</f>
        <v>2</v>
      </c>
      <c r="E616" s="25">
        <f>VLOOKUP(TABLA_STOCK_LISTBOX[[#This Row],[Codigo]],TABLA_STOCK[#All],7)</f>
        <v>32</v>
      </c>
    </row>
    <row r="617" spans="1:5" x14ac:dyDescent="0.3">
      <c r="A617" s="4">
        <v>4364</v>
      </c>
      <c r="B617" s="25" t="str">
        <f>VLOOKUP(TABLA_STOCK_LISTBOX[[#This Row],[Codigo]],LISTADO_PRODUCTOS[#All],4)</f>
        <v>Almohadilla Pelikan N°1</v>
      </c>
      <c r="C617" s="25" t="str">
        <f>VLOOKUP(TABLA_STOCK_LISTBOX[[#This Row],[Codigo]],LISTADO_PRODUCTOS[#All],5)</f>
        <v>N/A</v>
      </c>
      <c r="D617" s="25">
        <f>VLOOKUP(TABLA_STOCK_LISTBOX[[#This Row],[Codigo]],TABLA_STOCK[#All],6)</f>
        <v>2</v>
      </c>
      <c r="E617" s="25">
        <f>VLOOKUP(TABLA_STOCK_LISTBOX[[#This Row],[Codigo]],TABLA_STOCK[#All],7)</f>
        <v>56</v>
      </c>
    </row>
    <row r="618" spans="1:5" x14ac:dyDescent="0.3">
      <c r="A618" s="4">
        <v>4366</v>
      </c>
      <c r="B618" s="25" t="str">
        <f>VLOOKUP(TABLA_STOCK_LISTBOX[[#This Row],[Codigo]],LISTADO_PRODUCTOS[#All],4)</f>
        <v>Marcador Simball metaizado doble punta pinta 2</v>
      </c>
      <c r="C618" s="25" t="str">
        <f>VLOOKUP(TABLA_STOCK_LISTBOX[[#This Row],[Codigo]],LISTADO_PRODUCTOS[#All],5)</f>
        <v>N/A</v>
      </c>
      <c r="D618" s="25">
        <f>VLOOKUP(TABLA_STOCK_LISTBOX[[#This Row],[Codigo]],TABLA_STOCK[#All],6)</f>
        <v>10</v>
      </c>
      <c r="E618" s="25">
        <f>VLOOKUP(TABLA_STOCK_LISTBOX[[#This Row],[Codigo]],TABLA_STOCK[#All],7)</f>
        <v>107</v>
      </c>
    </row>
    <row r="619" spans="1:5" x14ac:dyDescent="0.3">
      <c r="A619" s="4">
        <v>4367</v>
      </c>
      <c r="B619" s="25" t="str">
        <f>VLOOKUP(TABLA_STOCK_LISTBOX[[#This Row],[Codigo]],LISTADO_PRODUCTOS[#All],4)</f>
        <v>Abrochadora huvito Eagle Omax Mini N°10 s-5150D</v>
      </c>
      <c r="C619" s="25" t="str">
        <f>VLOOKUP(TABLA_STOCK_LISTBOX[[#This Row],[Codigo]],LISTADO_PRODUCTOS[#All],5)</f>
        <v>N/A</v>
      </c>
      <c r="D619" s="25">
        <f>VLOOKUP(TABLA_STOCK_LISTBOX[[#This Row],[Codigo]],TABLA_STOCK[#All],6)</f>
        <v>20</v>
      </c>
      <c r="E619" s="25">
        <f>VLOOKUP(TABLA_STOCK_LISTBOX[[#This Row],[Codigo]],TABLA_STOCK[#All],7)</f>
        <v>25</v>
      </c>
    </row>
    <row r="620" spans="1:5" x14ac:dyDescent="0.3">
      <c r="A620" s="4">
        <v>4368</v>
      </c>
      <c r="B620" s="25" t="str">
        <f>VLOOKUP(TABLA_STOCK_LISTBOX[[#This Row],[Codigo]],LISTADO_PRODUCTOS[#All],4)</f>
        <v>Abrochadora Deli Animalitos + broches</v>
      </c>
      <c r="C620" s="25" t="str">
        <f>VLOOKUP(TABLA_STOCK_LISTBOX[[#This Row],[Codigo]],LISTADO_PRODUCTOS[#All],5)</f>
        <v>N/A</v>
      </c>
      <c r="D620" s="25">
        <f>VLOOKUP(TABLA_STOCK_LISTBOX[[#This Row],[Codigo]],TABLA_STOCK[#All],6)</f>
        <v>5</v>
      </c>
      <c r="E620" s="25">
        <f>VLOOKUP(TABLA_STOCK_LISTBOX[[#This Row],[Codigo]],TABLA_STOCK[#All],7)</f>
        <v>32</v>
      </c>
    </row>
    <row r="621" spans="1:5" x14ac:dyDescent="0.3">
      <c r="A621" s="4">
        <v>4369</v>
      </c>
      <c r="B621" s="25" t="str">
        <f>VLOOKUP(TABLA_STOCK_LISTBOX[[#This Row],[Codigo]],LISTADO_PRODUCTOS[#All],4)</f>
        <v>Abrochadora Metal Kangaroo HP-10 Pinza</v>
      </c>
      <c r="C621" s="25" t="str">
        <f>VLOOKUP(TABLA_STOCK_LISTBOX[[#This Row],[Codigo]],LISTADO_PRODUCTOS[#All],5)</f>
        <v>N/A</v>
      </c>
      <c r="D621" s="25">
        <f>VLOOKUP(TABLA_STOCK_LISTBOX[[#This Row],[Codigo]],TABLA_STOCK[#All],6)</f>
        <v>1</v>
      </c>
      <c r="E621" s="25">
        <f>VLOOKUP(TABLA_STOCK_LISTBOX[[#This Row],[Codigo]],TABLA_STOCK[#All],7)</f>
        <v>150</v>
      </c>
    </row>
    <row r="622" spans="1:5" x14ac:dyDescent="0.3">
      <c r="A622" s="4">
        <v>4372</v>
      </c>
      <c r="B622" s="25" t="str">
        <f>VLOOKUP(TABLA_STOCK_LISTBOX[[#This Row],[Codigo]],LISTADO_PRODUCTOS[#All],4)</f>
        <v>Broche dorado Sifap en bolsa N°14 63mm</v>
      </c>
      <c r="C622" s="25" t="str">
        <f>VLOOKUP(TABLA_STOCK_LISTBOX[[#This Row],[Codigo]],LISTADO_PRODUCTOS[#All],5)</f>
        <v>N/A</v>
      </c>
      <c r="D622" s="25">
        <f>VLOOKUP(TABLA_STOCK_LISTBOX[[#This Row],[Codigo]],TABLA_STOCK[#All],6)</f>
        <v>5</v>
      </c>
      <c r="E622" s="25">
        <f>VLOOKUP(TABLA_STOCK_LISTBOX[[#This Row],[Codigo]],TABLA_STOCK[#All],7)</f>
        <v>20</v>
      </c>
    </row>
    <row r="623" spans="1:5" x14ac:dyDescent="0.3">
      <c r="A623" s="4">
        <v>4377</v>
      </c>
      <c r="B623" s="25" t="str">
        <f>VLOOKUP(TABLA_STOCK_LISTBOX[[#This Row],[Codigo]],LISTADO_PRODUCTOS[#All],4)</f>
        <v>Resaltador Trabí Pastel/FLUO High Texter</v>
      </c>
      <c r="C623" s="25" t="str">
        <f>VLOOKUP(TABLA_STOCK_LISTBOX[[#This Row],[Codigo]],LISTADO_PRODUCTOS[#All],5)</f>
        <v>N/A</v>
      </c>
      <c r="D623" s="25">
        <f>VLOOKUP(TABLA_STOCK_LISTBOX[[#This Row],[Codigo]],TABLA_STOCK[#All],6)</f>
        <v>2</v>
      </c>
      <c r="E623" s="25">
        <f>VLOOKUP(TABLA_STOCK_LISTBOX[[#This Row],[Codigo]],TABLA_STOCK[#All],7)</f>
        <v>19</v>
      </c>
    </row>
    <row r="624" spans="1:5" x14ac:dyDescent="0.3">
      <c r="A624" s="4">
        <v>4382</v>
      </c>
      <c r="B624" s="25" t="str">
        <f>VLOOKUP(TABLA_STOCK_LISTBOX[[#This Row],[Codigo]],LISTADO_PRODUCTOS[#All],4)</f>
        <v>Notas adhesivas traslucidas extra fuerte super adhesiva</v>
      </c>
      <c r="C624" s="25" t="str">
        <f>VLOOKUP(TABLA_STOCK_LISTBOX[[#This Row],[Codigo]],LISTADO_PRODUCTOS[#All],5)</f>
        <v>N/A</v>
      </c>
      <c r="D624" s="25">
        <f>VLOOKUP(TABLA_STOCK_LISTBOX[[#This Row],[Codigo]],TABLA_STOCK[#All],6)</f>
        <v>10</v>
      </c>
      <c r="E624" s="25">
        <f>VLOOKUP(TABLA_STOCK_LISTBOX[[#This Row],[Codigo]],TABLA_STOCK[#All],7)</f>
        <v>6</v>
      </c>
    </row>
    <row r="625" spans="1:5" x14ac:dyDescent="0.3">
      <c r="A625" s="4">
        <v>4384</v>
      </c>
      <c r="B625" s="25" t="str">
        <f>VLOOKUP(TABLA_STOCK_LISTBOX[[#This Row],[Codigo]],LISTADO_PRODUCTOS[#All],4)</f>
        <v>Resaltador Pelikan textmarker Flash</v>
      </c>
      <c r="C625" s="25" t="str">
        <f>VLOOKUP(TABLA_STOCK_LISTBOX[[#This Row],[Codigo]],LISTADO_PRODUCTOS[#All],5)</f>
        <v>N/A</v>
      </c>
      <c r="D625" s="25">
        <f>VLOOKUP(TABLA_STOCK_LISTBOX[[#This Row],[Codigo]],TABLA_STOCK[#All],6)</f>
        <v>20</v>
      </c>
      <c r="E625" s="25">
        <f>VLOOKUP(TABLA_STOCK_LISTBOX[[#This Row],[Codigo]],TABLA_STOCK[#All],7)</f>
        <v>5</v>
      </c>
    </row>
    <row r="626" spans="1:5" x14ac:dyDescent="0.3">
      <c r="A626" s="4">
        <v>4391</v>
      </c>
      <c r="B626" s="25" t="str">
        <f>VLOOKUP(TABLA_STOCK_LISTBOX[[#This Row],[Codigo]],LISTADO_PRODUCTOS[#All],4)</f>
        <v>Anotador MEMO FIX formas varias Pastel</v>
      </c>
      <c r="C626" s="25" t="str">
        <f>VLOOKUP(TABLA_STOCK_LISTBOX[[#This Row],[Codigo]],LISTADO_PRODUCTOS[#All],5)</f>
        <v>N/A</v>
      </c>
      <c r="D626" s="25">
        <f>VLOOKUP(TABLA_STOCK_LISTBOX[[#This Row],[Codigo]],TABLA_STOCK[#All],6)</f>
        <v>5</v>
      </c>
      <c r="E626" s="25">
        <f>VLOOKUP(TABLA_STOCK_LISTBOX[[#This Row],[Codigo]],TABLA_STOCK[#All],7)</f>
        <v>52</v>
      </c>
    </row>
    <row r="627" spans="1:5" x14ac:dyDescent="0.3">
      <c r="A627" s="4">
        <v>4392</v>
      </c>
      <c r="B627" s="25" t="str">
        <f>VLOOKUP(TABLA_STOCK_LISTBOX[[#This Row],[Codigo]],LISTADO_PRODUCTOS[#All],4)</f>
        <v>Notas MEMO FIX Phantone 25x74</v>
      </c>
      <c r="C627" s="25" t="str">
        <f>VLOOKUP(TABLA_STOCK_LISTBOX[[#This Row],[Codigo]],LISTADO_PRODUCTOS[#All],5)</f>
        <v>N/A</v>
      </c>
      <c r="D627" s="25">
        <f>VLOOKUP(TABLA_STOCK_LISTBOX[[#This Row],[Codigo]],TABLA_STOCK[#All],6)</f>
        <v>1</v>
      </c>
      <c r="E627" s="25">
        <f>VLOOKUP(TABLA_STOCK_LISTBOX[[#This Row],[Codigo]],TABLA_STOCK[#All],7)</f>
        <v>32</v>
      </c>
    </row>
    <row r="628" spans="1:5" x14ac:dyDescent="0.3">
      <c r="A628" s="4">
        <v>4393</v>
      </c>
      <c r="B628" s="25" t="str">
        <f>VLOOKUP(TABLA_STOCK_LISTBOX[[#This Row],[Codigo]],LISTADO_PRODUCTOS[#All],4)</f>
        <v>Mini cubo notas pastel Memo Fix200h 74x74</v>
      </c>
      <c r="C628" s="25" t="str">
        <f>VLOOKUP(TABLA_STOCK_LISTBOX[[#This Row],[Codigo]],LISTADO_PRODUCTOS[#All],5)</f>
        <v>N/A</v>
      </c>
      <c r="D628" s="25">
        <f>VLOOKUP(TABLA_STOCK_LISTBOX[[#This Row],[Codigo]],TABLA_STOCK[#All],6)</f>
        <v>5</v>
      </c>
      <c r="E628" s="25">
        <f>VLOOKUP(TABLA_STOCK_LISTBOX[[#This Row],[Codigo]],TABLA_STOCK[#All],7)</f>
        <v>56</v>
      </c>
    </row>
    <row r="629" spans="1:5" x14ac:dyDescent="0.3">
      <c r="A629" s="4">
        <v>4395</v>
      </c>
      <c r="B629" s="25" t="str">
        <f>VLOOKUP(TABLA_STOCK_LISTBOX[[#This Row],[Codigo]],LISTADO_PRODUCTOS[#All],4)</f>
        <v>Clasificador LAMA Oficio colores vivos y negro EF202FCR</v>
      </c>
      <c r="C629" s="25" t="str">
        <f>VLOOKUP(TABLA_STOCK_LISTBOX[[#This Row],[Codigo]],LISTADO_PRODUCTOS[#All],5)</f>
        <v>N/A</v>
      </c>
      <c r="D629" s="25">
        <f>VLOOKUP(TABLA_STOCK_LISTBOX[[#This Row],[Codigo]],TABLA_STOCK[#All],6)</f>
        <v>2</v>
      </c>
      <c r="E629" s="25">
        <f>VLOOKUP(TABLA_STOCK_LISTBOX[[#This Row],[Codigo]],TABLA_STOCK[#All],7)</f>
        <v>107</v>
      </c>
    </row>
    <row r="630" spans="1:5" x14ac:dyDescent="0.3">
      <c r="A630" s="4">
        <v>4399</v>
      </c>
      <c r="B630" s="25" t="str">
        <f>VLOOKUP(TABLA_STOCK_LISTBOX[[#This Row],[Codigo]],LISTADO_PRODUCTOS[#All],4)</f>
        <v>Taco MEMOFIX CUBO 200h 50x50 PASTEL surt-226</v>
      </c>
      <c r="C630" s="25" t="str">
        <f>VLOOKUP(TABLA_STOCK_LISTBOX[[#This Row],[Codigo]],LISTADO_PRODUCTOS[#All],5)</f>
        <v>N/A</v>
      </c>
      <c r="D630" s="25">
        <f>VLOOKUP(TABLA_STOCK_LISTBOX[[#This Row],[Codigo]],TABLA_STOCK[#All],6)</f>
        <v>2</v>
      </c>
      <c r="E630" s="25">
        <f>VLOOKUP(TABLA_STOCK_LISTBOX[[#This Row],[Codigo]],TABLA_STOCK[#All],7)</f>
        <v>25</v>
      </c>
    </row>
    <row r="631" spans="1:5" x14ac:dyDescent="0.3">
      <c r="A631" s="4">
        <v>4405</v>
      </c>
      <c r="B631" s="25" t="str">
        <f>VLOOKUP(TABLA_STOCK_LISTBOX[[#This Row],[Codigo]],LISTADO_PRODUCTOS[#All],4)</f>
        <v>Taco Notas adhesivas NEON Ezco</v>
      </c>
      <c r="C631" s="25" t="str">
        <f>VLOOKUP(TABLA_STOCK_LISTBOX[[#This Row],[Codigo]],LISTADO_PRODUCTOS[#All],5)</f>
        <v>N/A</v>
      </c>
      <c r="D631" s="25">
        <f>VLOOKUP(TABLA_STOCK_LISTBOX[[#This Row],[Codigo]],TABLA_STOCK[#All],6)</f>
        <v>10</v>
      </c>
      <c r="E631" s="25">
        <f>VLOOKUP(TABLA_STOCK_LISTBOX[[#This Row],[Codigo]],TABLA_STOCK[#All],7)</f>
        <v>32</v>
      </c>
    </row>
    <row r="632" spans="1:5" x14ac:dyDescent="0.3">
      <c r="A632" s="4">
        <v>4407</v>
      </c>
      <c r="B632" s="25" t="str">
        <f>VLOOKUP(TABLA_STOCK_LISTBOX[[#This Row],[Codigo]],LISTADO_PRODUCTOS[#All],4)</f>
        <v>Adaptador OTG USB</v>
      </c>
      <c r="C632" s="25" t="str">
        <f>VLOOKUP(TABLA_STOCK_LISTBOX[[#This Row],[Codigo]],LISTADO_PRODUCTOS[#All],5)</f>
        <v>N/A</v>
      </c>
      <c r="D632" s="25">
        <f>VLOOKUP(TABLA_STOCK_LISTBOX[[#This Row],[Codigo]],TABLA_STOCK[#All],6)</f>
        <v>20</v>
      </c>
      <c r="E632" s="25">
        <f>VLOOKUP(TABLA_STOCK_LISTBOX[[#This Row],[Codigo]],TABLA_STOCK[#All],7)</f>
        <v>150</v>
      </c>
    </row>
    <row r="633" spans="1:5" x14ac:dyDescent="0.3">
      <c r="A633" s="4">
        <v>4408</v>
      </c>
      <c r="B633" s="25" t="str">
        <f>VLOOKUP(TABLA_STOCK_LISTBOX[[#This Row],[Codigo]],LISTADO_PRODUCTOS[#All],4)</f>
        <v>Cable HDMI Apro</v>
      </c>
      <c r="C633" s="25" t="str">
        <f>VLOOKUP(TABLA_STOCK_LISTBOX[[#This Row],[Codigo]],LISTADO_PRODUCTOS[#All],5)</f>
        <v>N/A</v>
      </c>
      <c r="D633" s="25">
        <f>VLOOKUP(TABLA_STOCK_LISTBOX[[#This Row],[Codigo]],TABLA_STOCK[#All],6)</f>
        <v>5</v>
      </c>
      <c r="E633" s="25">
        <f>VLOOKUP(TABLA_STOCK_LISTBOX[[#This Row],[Codigo]],TABLA_STOCK[#All],7)</f>
        <v>20</v>
      </c>
    </row>
    <row r="634" spans="1:5" x14ac:dyDescent="0.3">
      <c r="A634" s="4">
        <v>4410</v>
      </c>
      <c r="B634" s="25" t="str">
        <f>VLOOKUP(TABLA_STOCK_LISTBOX[[#This Row],[Codigo]],LISTADO_PRODUCTOS[#All],4)</f>
        <v>Notas adhesivas Util-of 76x127 amarillo 100h</v>
      </c>
      <c r="C634" s="25" t="str">
        <f>VLOOKUP(TABLA_STOCK_LISTBOX[[#This Row],[Codigo]],LISTADO_PRODUCTOS[#All],5)</f>
        <v>N/A</v>
      </c>
      <c r="D634" s="25">
        <f>VLOOKUP(TABLA_STOCK_LISTBOX[[#This Row],[Codigo]],TABLA_STOCK[#All],6)</f>
        <v>1</v>
      </c>
      <c r="E634" s="25">
        <f>VLOOKUP(TABLA_STOCK_LISTBOX[[#This Row],[Codigo]],TABLA_STOCK[#All],7)</f>
        <v>19</v>
      </c>
    </row>
    <row r="635" spans="1:5" x14ac:dyDescent="0.3">
      <c r="A635" s="4">
        <v>4411</v>
      </c>
      <c r="B635" s="25" t="str">
        <f>VLOOKUP(TABLA_STOCK_LISTBOX[[#This Row],[Codigo]],LISTADO_PRODUCTOS[#All],4)</f>
        <v>Notas adhesivas Util-of 76x102 amarilla 100h</v>
      </c>
      <c r="C635" s="25" t="str">
        <f>VLOOKUP(TABLA_STOCK_LISTBOX[[#This Row],[Codigo]],LISTADO_PRODUCTOS[#All],5)</f>
        <v>N/A</v>
      </c>
      <c r="D635" s="25">
        <f>VLOOKUP(TABLA_STOCK_LISTBOX[[#This Row],[Codigo]],TABLA_STOCK[#All],6)</f>
        <v>5</v>
      </c>
      <c r="E635" s="25">
        <f>VLOOKUP(TABLA_STOCK_LISTBOX[[#This Row],[Codigo]],TABLA_STOCK[#All],7)</f>
        <v>6</v>
      </c>
    </row>
    <row r="636" spans="1:5" x14ac:dyDescent="0.3">
      <c r="A636" s="4">
        <v>4414</v>
      </c>
      <c r="B636" s="25" t="str">
        <f>VLOOKUP(TABLA_STOCK_LISTBOX[[#This Row],[Codigo]],LISTADO_PRODUCTOS[#All],4)</f>
        <v xml:space="preserve">Abrochadora MIT 24/6 Pintada </v>
      </c>
      <c r="C636" s="25" t="str">
        <f>VLOOKUP(TABLA_STOCK_LISTBOX[[#This Row],[Codigo]],LISTADO_PRODUCTOS[#All],5)</f>
        <v>N/A</v>
      </c>
      <c r="D636" s="25">
        <f>VLOOKUP(TABLA_STOCK_LISTBOX[[#This Row],[Codigo]],TABLA_STOCK[#All],6)</f>
        <v>2</v>
      </c>
      <c r="E636" s="25">
        <f>VLOOKUP(TABLA_STOCK_LISTBOX[[#This Row],[Codigo]],TABLA_STOCK[#All],7)</f>
        <v>5</v>
      </c>
    </row>
    <row r="637" spans="1:5" x14ac:dyDescent="0.3">
      <c r="A637" s="4">
        <v>4415</v>
      </c>
      <c r="B637" s="25" t="str">
        <f>VLOOKUP(TABLA_STOCK_LISTBOX[[#This Row],[Codigo]],LISTADO_PRODUCTOS[#All],4)</f>
        <v xml:space="preserve">Perforador MIT Mediano Pintado </v>
      </c>
      <c r="C637" s="25" t="str">
        <f>VLOOKUP(TABLA_STOCK_LISTBOX[[#This Row],[Codigo]],LISTADO_PRODUCTOS[#All],5)</f>
        <v>N/A</v>
      </c>
      <c r="D637" s="25">
        <f>VLOOKUP(TABLA_STOCK_LISTBOX[[#This Row],[Codigo]],TABLA_STOCK[#All],6)</f>
        <v>2</v>
      </c>
      <c r="E637" s="25">
        <f>VLOOKUP(TABLA_STOCK_LISTBOX[[#This Row],[Codigo]],TABLA_STOCK[#All],7)</f>
        <v>52</v>
      </c>
    </row>
    <row r="638" spans="1:5" x14ac:dyDescent="0.3">
      <c r="A638" s="4">
        <v>4416</v>
      </c>
      <c r="B638" s="25" t="str">
        <f>VLOOKUP(TABLA_STOCK_LISTBOX[[#This Row],[Codigo]],LISTADO_PRODUCTOS[#All],4)</f>
        <v>Pizarra Blanca C/Iman alto impacto N°7 61*91</v>
      </c>
      <c r="C638" s="25" t="str">
        <f>VLOOKUP(TABLA_STOCK_LISTBOX[[#This Row],[Codigo]],LISTADO_PRODUCTOS[#All],5)</f>
        <v>N/A</v>
      </c>
      <c r="D638" s="25">
        <f>VLOOKUP(TABLA_STOCK_LISTBOX[[#This Row],[Codigo]],TABLA_STOCK[#All],6)</f>
        <v>10</v>
      </c>
      <c r="E638" s="25">
        <f>VLOOKUP(TABLA_STOCK_LISTBOX[[#This Row],[Codigo]],TABLA_STOCK[#All],7)</f>
        <v>32</v>
      </c>
    </row>
    <row r="639" spans="1:5" x14ac:dyDescent="0.3">
      <c r="A639" s="4">
        <v>4417</v>
      </c>
      <c r="B639" s="25" t="str">
        <f>VLOOKUP(TABLA_STOCK_LISTBOX[[#This Row],[Codigo]],LISTADO_PRODUCTOS[#All],4)</f>
        <v>Pizarra Blanca C/Iman Alto Impacto N°9 91*123</v>
      </c>
      <c r="C639" s="25" t="str">
        <f>VLOOKUP(TABLA_STOCK_LISTBOX[[#This Row],[Codigo]],LISTADO_PRODUCTOS[#All],5)</f>
        <v>N/A</v>
      </c>
      <c r="D639" s="25">
        <f>VLOOKUP(TABLA_STOCK_LISTBOX[[#This Row],[Codigo]],TABLA_STOCK[#All],6)</f>
        <v>20</v>
      </c>
      <c r="E639" s="25">
        <f>VLOOKUP(TABLA_STOCK_LISTBOX[[#This Row],[Codigo]],TABLA_STOCK[#All],7)</f>
        <v>56</v>
      </c>
    </row>
    <row r="640" spans="1:5" x14ac:dyDescent="0.3">
      <c r="A640" s="4">
        <v>4418</v>
      </c>
      <c r="B640" s="25" t="str">
        <f>VLOOKUP(TABLA_STOCK_LISTBOX[[#This Row],[Codigo]],LISTADO_PRODUCTOS[#All],4)</f>
        <v>Pizarra Blanca N°8 Alto Impacto 70*123</v>
      </c>
      <c r="C640" s="25" t="str">
        <f>VLOOKUP(TABLA_STOCK_LISTBOX[[#This Row],[Codigo]],LISTADO_PRODUCTOS[#All],5)</f>
        <v>N/A</v>
      </c>
      <c r="D640" s="25">
        <f>VLOOKUP(TABLA_STOCK_LISTBOX[[#This Row],[Codigo]],TABLA_STOCK[#All],6)</f>
        <v>5</v>
      </c>
      <c r="E640" s="25">
        <f>VLOOKUP(TABLA_STOCK_LISTBOX[[#This Row],[Codigo]],TABLA_STOCK[#All],7)</f>
        <v>107</v>
      </c>
    </row>
    <row r="641" spans="1:5" x14ac:dyDescent="0.3">
      <c r="A641" s="4">
        <v>4419</v>
      </c>
      <c r="B641" s="25" t="str">
        <f>VLOOKUP(TABLA_STOCK_LISTBOX[[#This Row],[Codigo]],LISTADO_PRODUCTOS[#All],4)</f>
        <v>Notas Adhesivas Deli animales</v>
      </c>
      <c r="C641" s="25" t="str">
        <f>VLOOKUP(TABLA_STOCK_LISTBOX[[#This Row],[Codigo]],LISTADO_PRODUCTOS[#All],5)</f>
        <v>N/A</v>
      </c>
      <c r="D641" s="25">
        <f>VLOOKUP(TABLA_STOCK_LISTBOX[[#This Row],[Codigo]],TABLA_STOCK[#All],6)</f>
        <v>1</v>
      </c>
      <c r="E641" s="25">
        <f>VLOOKUP(TABLA_STOCK_LISTBOX[[#This Row],[Codigo]],TABLA_STOCK[#All],7)</f>
        <v>25</v>
      </c>
    </row>
    <row r="642" spans="1:5" x14ac:dyDescent="0.3">
      <c r="A642" s="4">
        <v>4420</v>
      </c>
      <c r="B642" s="25" t="str">
        <f>VLOOKUP(TABLA_STOCK_LISTBOX[[#This Row],[Codigo]],LISTADO_PRODUCTOS[#All],4)</f>
        <v>Notas adhesivas Memo Fix 74x74 8h  decoradas</v>
      </c>
      <c r="C642" s="25" t="str">
        <f>VLOOKUP(TABLA_STOCK_LISTBOX[[#This Row],[Codigo]],LISTADO_PRODUCTOS[#All],5)</f>
        <v>N/A</v>
      </c>
      <c r="D642" s="25">
        <f>VLOOKUP(TABLA_STOCK_LISTBOX[[#This Row],[Codigo]],TABLA_STOCK[#All],6)</f>
        <v>5</v>
      </c>
      <c r="E642" s="25">
        <f>VLOOKUP(TABLA_STOCK_LISTBOX[[#This Row],[Codigo]],TABLA_STOCK[#All],7)</f>
        <v>32</v>
      </c>
    </row>
    <row r="643" spans="1:5" x14ac:dyDescent="0.3">
      <c r="A643" s="4">
        <v>4421</v>
      </c>
      <c r="B643" s="25" t="str">
        <f>VLOOKUP(TABLA_STOCK_LISTBOX[[#This Row],[Codigo]],LISTADO_PRODUCTOS[#All],4)</f>
        <v>Pizarra Blanca N°9 Alto Impacto 91*123</v>
      </c>
      <c r="C643" s="25" t="str">
        <f>VLOOKUP(TABLA_STOCK_LISTBOX[[#This Row],[Codigo]],LISTADO_PRODUCTOS[#All],5)</f>
        <v>N/A</v>
      </c>
      <c r="D643" s="25">
        <f>VLOOKUP(TABLA_STOCK_LISTBOX[[#This Row],[Codigo]],TABLA_STOCK[#All],6)</f>
        <v>2</v>
      </c>
      <c r="E643" s="25">
        <f>VLOOKUP(TABLA_STOCK_LISTBOX[[#This Row],[Codigo]],TABLA_STOCK[#All],7)</f>
        <v>150</v>
      </c>
    </row>
    <row r="644" spans="1:5" x14ac:dyDescent="0.3">
      <c r="A644" s="4">
        <v>4422</v>
      </c>
      <c r="B644" s="25" t="str">
        <f>VLOOKUP(TABLA_STOCK_LISTBOX[[#This Row],[Codigo]],LISTADO_PRODUCTOS[#All],4)</f>
        <v>Clasificador Oficio Avios Combinado</v>
      </c>
      <c r="C644" s="25" t="str">
        <f>VLOOKUP(TABLA_STOCK_LISTBOX[[#This Row],[Codigo]],LISTADO_PRODUCTOS[#All],5)</f>
        <v>N/A</v>
      </c>
      <c r="D644" s="25">
        <f>VLOOKUP(TABLA_STOCK_LISTBOX[[#This Row],[Codigo]],TABLA_STOCK[#All],6)</f>
        <v>2</v>
      </c>
      <c r="E644" s="25">
        <f>VLOOKUP(TABLA_STOCK_LISTBOX[[#This Row],[Codigo]],TABLA_STOCK[#All],7)</f>
        <v>20</v>
      </c>
    </row>
    <row r="645" spans="1:5" x14ac:dyDescent="0.3">
      <c r="A645" s="4">
        <v>4423</v>
      </c>
      <c r="B645" s="25" t="str">
        <f>VLOOKUP(TABLA_STOCK_LISTBOX[[#This Row],[Codigo]],LISTADO_PRODUCTOS[#All],4)</f>
        <v>Marcador de pizarra Simball</v>
      </c>
      <c r="C645" s="25" t="str">
        <f>VLOOKUP(TABLA_STOCK_LISTBOX[[#This Row],[Codigo]],LISTADO_PRODUCTOS[#All],5)</f>
        <v>N/A</v>
      </c>
      <c r="D645" s="25">
        <f>VLOOKUP(TABLA_STOCK_LISTBOX[[#This Row],[Codigo]],TABLA_STOCK[#All],6)</f>
        <v>10</v>
      </c>
      <c r="E645" s="25">
        <f>VLOOKUP(TABLA_STOCK_LISTBOX[[#This Row],[Codigo]],TABLA_STOCK[#All],7)</f>
        <v>9</v>
      </c>
    </row>
    <row r="646" spans="1:5" x14ac:dyDescent="0.3">
      <c r="A646" s="4">
        <v>4424</v>
      </c>
      <c r="B646" s="25" t="str">
        <f>VLOOKUP(TABLA_STOCK_LISTBOX[[#This Row],[Codigo]],LISTADO_PRODUCTOS[#All],4)</f>
        <v>Taco color FLUO Simball Office 75x75 80h</v>
      </c>
      <c r="C646" s="25" t="str">
        <f>VLOOKUP(TABLA_STOCK_LISTBOX[[#This Row],[Codigo]],LISTADO_PRODUCTOS[#All],5)</f>
        <v>N/A</v>
      </c>
      <c r="D646" s="25">
        <f>VLOOKUP(TABLA_STOCK_LISTBOX[[#This Row],[Codigo]],TABLA_STOCK[#All],6)</f>
        <v>20</v>
      </c>
      <c r="E646" s="25">
        <f>VLOOKUP(TABLA_STOCK_LISTBOX[[#This Row],[Codigo]],TABLA_STOCK[#All],7)</f>
        <v>6</v>
      </c>
    </row>
    <row r="647" spans="1:5" x14ac:dyDescent="0.3">
      <c r="A647" s="4">
        <v>4425</v>
      </c>
      <c r="B647" s="25" t="str">
        <f>VLOOKUP(TABLA_STOCK_LISTBOX[[#This Row],[Codigo]],LISTADO_PRODUCTOS[#All],4)</f>
        <v>Pizarra Blanca Magnetica OLAMI 35 x 43</v>
      </c>
      <c r="C647" s="25" t="str">
        <f>VLOOKUP(TABLA_STOCK_LISTBOX[[#This Row],[Codigo]],LISTADO_PRODUCTOS[#All],5)</f>
        <v>N/A</v>
      </c>
      <c r="D647" s="25">
        <f>VLOOKUP(TABLA_STOCK_LISTBOX[[#This Row],[Codigo]],TABLA_STOCK[#All],6)</f>
        <v>5</v>
      </c>
      <c r="E647" s="25">
        <f>VLOOKUP(TABLA_STOCK_LISTBOX[[#This Row],[Codigo]],TABLA_STOCK[#All],7)</f>
        <v>5</v>
      </c>
    </row>
    <row r="648" spans="1:5" x14ac:dyDescent="0.3">
      <c r="A648" s="4">
        <v>4426</v>
      </c>
      <c r="B648" s="25" t="str">
        <f>VLOOKUP(TABLA_STOCK_LISTBOX[[#This Row],[Codigo]],LISTADO_PRODUCTOS[#All],4)</f>
        <v>Pizarra Blanca Magnetica OLAMI 43 x 58</v>
      </c>
      <c r="C648" s="25" t="str">
        <f>VLOOKUP(TABLA_STOCK_LISTBOX[[#This Row],[Codigo]],LISTADO_PRODUCTOS[#All],5)</f>
        <v>N/A</v>
      </c>
      <c r="D648" s="25">
        <f>VLOOKUP(TABLA_STOCK_LISTBOX[[#This Row],[Codigo]],TABLA_STOCK[#All],6)</f>
        <v>1</v>
      </c>
      <c r="E648" s="25">
        <f>VLOOKUP(TABLA_STOCK_LISTBOX[[#This Row],[Codigo]],TABLA_STOCK[#All],7)</f>
        <v>52</v>
      </c>
    </row>
    <row r="649" spans="1:5" x14ac:dyDescent="0.3">
      <c r="A649" s="4">
        <v>4428</v>
      </c>
      <c r="B649" s="25" t="str">
        <f>VLOOKUP(TABLA_STOCK_LISTBOX[[#This Row],[Codigo]],LISTADO_PRODUCTOS[#All],4)</f>
        <v>Notas Adhesivas BOHO FW 17 stick notes distintas</v>
      </c>
      <c r="C649" s="25" t="str">
        <f>VLOOKUP(TABLA_STOCK_LISTBOX[[#This Row],[Codigo]],LISTADO_PRODUCTOS[#All],5)</f>
        <v>N/A</v>
      </c>
      <c r="D649" s="25">
        <f>VLOOKUP(TABLA_STOCK_LISTBOX[[#This Row],[Codigo]],TABLA_STOCK[#All],6)</f>
        <v>5</v>
      </c>
      <c r="E649" s="25">
        <f>VLOOKUP(TABLA_STOCK_LISTBOX[[#This Row],[Codigo]],TABLA_STOCK[#All],7)</f>
        <v>32</v>
      </c>
    </row>
    <row r="650" spans="1:5" x14ac:dyDescent="0.3">
      <c r="A650" s="4">
        <v>4431</v>
      </c>
      <c r="B650" s="25" t="str">
        <f>VLOOKUP(TABLA_STOCK_LISTBOX[[#This Row],[Codigo]],LISTADO_PRODUCTOS[#All],4)</f>
        <v>Blister Marcadores Permanentes NEON Sharpie x 5</v>
      </c>
      <c r="C650" s="25" t="str">
        <f>VLOOKUP(TABLA_STOCK_LISTBOX[[#This Row],[Codigo]],LISTADO_PRODUCTOS[#All],5)</f>
        <v>N/A</v>
      </c>
      <c r="D650" s="25">
        <f>VLOOKUP(TABLA_STOCK_LISTBOX[[#This Row],[Codigo]],TABLA_STOCK[#All],6)</f>
        <v>2</v>
      </c>
      <c r="E650" s="25">
        <f>VLOOKUP(TABLA_STOCK_LISTBOX[[#This Row],[Codigo]],TABLA_STOCK[#All],7)</f>
        <v>56</v>
      </c>
    </row>
    <row r="651" spans="1:5" x14ac:dyDescent="0.3">
      <c r="A651" s="4">
        <v>5001</v>
      </c>
      <c r="B651" s="25" t="str">
        <f>VLOOKUP(TABLA_STOCK_LISTBOX[[#This Row],[Codigo]],LISTADO_PRODUCTOS[#All],4)</f>
        <v>Pen Drive Verbatim 32GB Pin Stripe</v>
      </c>
      <c r="C651" s="25" t="str">
        <f>VLOOKUP(TABLA_STOCK_LISTBOX[[#This Row],[Codigo]],LISTADO_PRODUCTOS[#All],5)</f>
        <v>N/A</v>
      </c>
      <c r="D651" s="25">
        <f>VLOOKUP(TABLA_STOCK_LISTBOX[[#This Row],[Codigo]],TABLA_STOCK[#All],6)</f>
        <v>10</v>
      </c>
      <c r="E651" s="25">
        <f>VLOOKUP(TABLA_STOCK_LISTBOX[[#This Row],[Codigo]],TABLA_STOCK[#All],7)</f>
        <v>107</v>
      </c>
    </row>
    <row r="652" spans="1:5" x14ac:dyDescent="0.3">
      <c r="A652" s="4">
        <v>5002</v>
      </c>
      <c r="B652" s="25" t="str">
        <f>VLOOKUP(TABLA_STOCK_LISTBOX[[#This Row],[Codigo]],LISTADO_PRODUCTOS[#All],4)</f>
        <v>Pen Drive Verbatim 16GB Store n Go</v>
      </c>
      <c r="C652" s="25" t="str">
        <f>VLOOKUP(TABLA_STOCK_LISTBOX[[#This Row],[Codigo]],LISTADO_PRODUCTOS[#All],5)</f>
        <v>N/A</v>
      </c>
      <c r="D652" s="25">
        <f>VLOOKUP(TABLA_STOCK_LISTBOX[[#This Row],[Codigo]],TABLA_STOCK[#All],6)</f>
        <v>20</v>
      </c>
      <c r="E652" s="25">
        <f>VLOOKUP(TABLA_STOCK_LISTBOX[[#This Row],[Codigo]],TABLA_STOCK[#All],7)</f>
        <v>25</v>
      </c>
    </row>
    <row r="653" spans="1:5" x14ac:dyDescent="0.3">
      <c r="A653" s="4">
        <v>5003</v>
      </c>
      <c r="B653" s="25" t="str">
        <f>VLOOKUP(TABLA_STOCK_LISTBOX[[#This Row],[Codigo]],LISTADO_PRODUCTOS[#All],4)</f>
        <v>Pen drive Vervatim 64gb 2.0 Microban Pin Strip</v>
      </c>
      <c r="C653" s="25" t="str">
        <f>VLOOKUP(TABLA_STOCK_LISTBOX[[#This Row],[Codigo]],LISTADO_PRODUCTOS[#All],5)</f>
        <v>N/A</v>
      </c>
      <c r="D653" s="25">
        <f>VLOOKUP(TABLA_STOCK_LISTBOX[[#This Row],[Codigo]],TABLA_STOCK[#All],6)</f>
        <v>5</v>
      </c>
      <c r="E653" s="25">
        <f>VLOOKUP(TABLA_STOCK_LISTBOX[[#This Row],[Codigo]],TABLA_STOCK[#All],7)</f>
        <v>32</v>
      </c>
    </row>
    <row r="654" spans="1:5" x14ac:dyDescent="0.3">
      <c r="A654" s="4">
        <v>5009</v>
      </c>
      <c r="B654" s="25" t="str">
        <f>VLOOKUP(TABLA_STOCK_LISTBOX[[#This Row],[Codigo]],LISTADO_PRODUCTOS[#All],4)</f>
        <v>Clasificador 5 divisiones Pastel</v>
      </c>
      <c r="C654" s="25" t="str">
        <f>VLOOKUP(TABLA_STOCK_LISTBOX[[#This Row],[Codigo]],LISTADO_PRODUCTOS[#All],5)</f>
        <v>N/A</v>
      </c>
      <c r="D654" s="25">
        <f>VLOOKUP(TABLA_STOCK_LISTBOX[[#This Row],[Codigo]],TABLA_STOCK[#All],6)</f>
        <v>1</v>
      </c>
      <c r="E654" s="25">
        <f>VLOOKUP(TABLA_STOCK_LISTBOX[[#This Row],[Codigo]],TABLA_STOCK[#All],7)</f>
        <v>150</v>
      </c>
    </row>
    <row r="655" spans="1:5" x14ac:dyDescent="0.3">
      <c r="A655" s="4">
        <v>5010</v>
      </c>
      <c r="B655" s="25" t="str">
        <f>VLOOKUP(TABLA_STOCK_LISTBOX[[#This Row],[Codigo]],LISTADO_PRODUCTOS[#All],4)</f>
        <v>Auricular economico</v>
      </c>
      <c r="C655" s="25" t="str">
        <f>VLOOKUP(TABLA_STOCK_LISTBOX[[#This Row],[Codigo]],LISTADO_PRODUCTOS[#All],5)</f>
        <v>N/A</v>
      </c>
      <c r="D655" s="25">
        <f>VLOOKUP(TABLA_STOCK_LISTBOX[[#This Row],[Codigo]],TABLA_STOCK[#All],6)</f>
        <v>5</v>
      </c>
      <c r="E655" s="25">
        <f>VLOOKUP(TABLA_STOCK_LISTBOX[[#This Row],[Codigo]],TABLA_STOCK[#All],7)</f>
        <v>20</v>
      </c>
    </row>
    <row r="656" spans="1:5" x14ac:dyDescent="0.3">
      <c r="A656" s="4">
        <v>5013</v>
      </c>
      <c r="B656" s="25" t="str">
        <f>VLOOKUP(TABLA_STOCK_LISTBOX[[#This Row],[Codigo]],LISTADO_PRODUCTOS[#All],4)</f>
        <v>Disco externo Seagate 2tb</v>
      </c>
      <c r="C656" s="25" t="str">
        <f>VLOOKUP(TABLA_STOCK_LISTBOX[[#This Row],[Codigo]],LISTADO_PRODUCTOS[#All],5)</f>
        <v>N/A</v>
      </c>
      <c r="D656" s="25">
        <f>VLOOKUP(TABLA_STOCK_LISTBOX[[#This Row],[Codigo]],TABLA_STOCK[#All],6)</f>
        <v>2</v>
      </c>
      <c r="E656" s="25">
        <f>VLOOKUP(TABLA_STOCK_LISTBOX[[#This Row],[Codigo]],TABLA_STOCK[#All],7)</f>
        <v>19</v>
      </c>
    </row>
    <row r="657" spans="1:5" x14ac:dyDescent="0.3">
      <c r="A657" s="4">
        <v>5018</v>
      </c>
      <c r="B657" s="25" t="str">
        <f>VLOOKUP(TABLA_STOCK_LISTBOX[[#This Row],[Codigo]],LISTADO_PRODUCTOS[#All],4)</f>
        <v>Consola ALIEN PRO 2 videojuegos</v>
      </c>
      <c r="C657" s="25" t="str">
        <f>VLOOKUP(TABLA_STOCK_LISTBOX[[#This Row],[Codigo]],LISTADO_PRODUCTOS[#All],5)</f>
        <v>N/A</v>
      </c>
      <c r="D657" s="25">
        <f>VLOOKUP(TABLA_STOCK_LISTBOX[[#This Row],[Codigo]],TABLA_STOCK[#All],6)</f>
        <v>2</v>
      </c>
      <c r="E657" s="25">
        <f>VLOOKUP(TABLA_STOCK_LISTBOX[[#This Row],[Codigo]],TABLA_STOCK[#All],7)</f>
        <v>6</v>
      </c>
    </row>
    <row r="658" spans="1:5" x14ac:dyDescent="0.3">
      <c r="A658" s="4">
        <v>5108</v>
      </c>
      <c r="B658" s="25" t="str">
        <f>VLOOKUP(TABLA_STOCK_LISTBOX[[#This Row],[Codigo]],LISTADO_PRODUCTOS[#All],4)</f>
        <v>Calculadora Kenko de Bolsillo KK-402</v>
      </c>
      <c r="C658" s="25" t="str">
        <f>VLOOKUP(TABLA_STOCK_LISTBOX[[#This Row],[Codigo]],LISTADO_PRODUCTOS[#All],5)</f>
        <v>N/A</v>
      </c>
      <c r="D658" s="25">
        <f>VLOOKUP(TABLA_STOCK_LISTBOX[[#This Row],[Codigo]],TABLA_STOCK[#All],6)</f>
        <v>10</v>
      </c>
      <c r="E658" s="25">
        <f>VLOOKUP(TABLA_STOCK_LISTBOX[[#This Row],[Codigo]],TABLA_STOCK[#All],7)</f>
        <v>5</v>
      </c>
    </row>
    <row r="659" spans="1:5" x14ac:dyDescent="0.3">
      <c r="A659" s="4">
        <v>5109</v>
      </c>
      <c r="B659" s="25" t="str">
        <f>VLOOKUP(TABLA_STOCK_LISTBOX[[#This Row],[Codigo]],LISTADO_PRODUCTOS[#All],4)</f>
        <v>Calculadora Ecal TC37</v>
      </c>
      <c r="C659" s="25" t="str">
        <f>VLOOKUP(TABLA_STOCK_LISTBOX[[#This Row],[Codigo]],LISTADO_PRODUCTOS[#All],5)</f>
        <v>N/A</v>
      </c>
      <c r="D659" s="25">
        <f>VLOOKUP(TABLA_STOCK_LISTBOX[[#This Row],[Codigo]],TABLA_STOCK[#All],6)</f>
        <v>20</v>
      </c>
      <c r="E659" s="25">
        <f>VLOOKUP(TABLA_STOCK_LISTBOX[[#This Row],[Codigo]],TABLA_STOCK[#All],7)</f>
        <v>52</v>
      </c>
    </row>
    <row r="660" spans="1:5" x14ac:dyDescent="0.3">
      <c r="A660" s="4">
        <v>5111</v>
      </c>
      <c r="B660" s="25" t="str">
        <f>VLOOKUP(TABLA_STOCK_LISTBOX[[#This Row],[Codigo]],LISTADO_PRODUCTOS[#All],4)</f>
        <v>Calculadora Casio Fx-82 cientifica</v>
      </c>
      <c r="C660" s="25" t="str">
        <f>VLOOKUP(TABLA_STOCK_LISTBOX[[#This Row],[Codigo]],LISTADO_PRODUCTOS[#All],5)</f>
        <v>N/A</v>
      </c>
      <c r="D660" s="25">
        <f>VLOOKUP(TABLA_STOCK_LISTBOX[[#This Row],[Codigo]],TABLA_STOCK[#All],6)</f>
        <v>5</v>
      </c>
      <c r="E660" s="25">
        <f>VLOOKUP(TABLA_STOCK_LISTBOX[[#This Row],[Codigo]],TABLA_STOCK[#All],7)</f>
        <v>32</v>
      </c>
    </row>
    <row r="661" spans="1:5" x14ac:dyDescent="0.3">
      <c r="A661" s="4">
        <v>5113</v>
      </c>
      <c r="B661" s="25" t="str">
        <f>VLOOKUP(TABLA_STOCK_LISTBOX[[#This Row],[Codigo]],LISTADO_PRODUCTOS[#All],4)</f>
        <v>Calculadora Ecal TC 95 MS</v>
      </c>
      <c r="C661" s="25" t="str">
        <f>VLOOKUP(TABLA_STOCK_LISTBOX[[#This Row],[Codigo]],LISTADO_PRODUCTOS[#All],5)</f>
        <v>N/A</v>
      </c>
      <c r="D661" s="25">
        <f>VLOOKUP(TABLA_STOCK_LISTBOX[[#This Row],[Codigo]],TABLA_STOCK[#All],6)</f>
        <v>1</v>
      </c>
      <c r="E661" s="25">
        <f>VLOOKUP(TABLA_STOCK_LISTBOX[[#This Row],[Codigo]],TABLA_STOCK[#All],7)</f>
        <v>56</v>
      </c>
    </row>
    <row r="662" spans="1:5" x14ac:dyDescent="0.3">
      <c r="A662" s="4">
        <v>5114</v>
      </c>
      <c r="B662" s="25" t="str">
        <f>VLOOKUP(TABLA_STOCK_LISTBOX[[#This Row],[Codigo]],LISTADO_PRODUCTOS[#All],4)</f>
        <v>Calculadora Casio HL-820LV</v>
      </c>
      <c r="C662" s="25" t="str">
        <f>VLOOKUP(TABLA_STOCK_LISTBOX[[#This Row],[Codigo]],LISTADO_PRODUCTOS[#All],5)</f>
        <v>N/A</v>
      </c>
      <c r="D662" s="25">
        <f>VLOOKUP(TABLA_STOCK_LISTBOX[[#This Row],[Codigo]],TABLA_STOCK[#All],6)</f>
        <v>5</v>
      </c>
      <c r="E662" s="25">
        <f>VLOOKUP(TABLA_STOCK_LISTBOX[[#This Row],[Codigo]],TABLA_STOCK[#All],7)</f>
        <v>107</v>
      </c>
    </row>
    <row r="663" spans="1:5" x14ac:dyDescent="0.3">
      <c r="A663" s="4">
        <v>5115</v>
      </c>
      <c r="B663" s="25" t="str">
        <f>VLOOKUP(TABLA_STOCK_LISTBOX[[#This Row],[Codigo]],LISTADO_PRODUCTOS[#All],4)</f>
        <v>Calculadora Ecal TC 82</v>
      </c>
      <c r="C663" s="25" t="str">
        <f>VLOOKUP(TABLA_STOCK_LISTBOX[[#This Row],[Codigo]],LISTADO_PRODUCTOS[#All],5)</f>
        <v>N/A</v>
      </c>
      <c r="D663" s="25">
        <f>VLOOKUP(TABLA_STOCK_LISTBOX[[#This Row],[Codigo]],TABLA_STOCK[#All],6)</f>
        <v>2</v>
      </c>
      <c r="E663" s="25">
        <f>VLOOKUP(TABLA_STOCK_LISTBOX[[#This Row],[Codigo]],TABLA_STOCK[#All],7)</f>
        <v>25</v>
      </c>
    </row>
    <row r="664" spans="1:5" x14ac:dyDescent="0.3">
      <c r="A664" s="4">
        <v>5118</v>
      </c>
      <c r="B664" s="25" t="str">
        <f>VLOOKUP(TABLA_STOCK_LISTBOX[[#This Row],[Codigo]],LISTADO_PRODUCTOS[#All],4)</f>
        <v>Mouse Genius retractil</v>
      </c>
      <c r="C664" s="25" t="str">
        <f>VLOOKUP(TABLA_STOCK_LISTBOX[[#This Row],[Codigo]],LISTADO_PRODUCTOS[#All],5)</f>
        <v>N/A</v>
      </c>
      <c r="D664" s="25">
        <f>VLOOKUP(TABLA_STOCK_LISTBOX[[#This Row],[Codigo]],TABLA_STOCK[#All],6)</f>
        <v>2</v>
      </c>
      <c r="E664" s="25">
        <f>VLOOKUP(TABLA_STOCK_LISTBOX[[#This Row],[Codigo]],TABLA_STOCK[#All],7)</f>
        <v>32</v>
      </c>
    </row>
    <row r="665" spans="1:5" x14ac:dyDescent="0.3">
      <c r="A665" s="4">
        <v>5120</v>
      </c>
      <c r="B665" s="25" t="str">
        <f>VLOOKUP(TABLA_STOCK_LISTBOX[[#This Row],[Codigo]],LISTADO_PRODUCTOS[#All],4)</f>
        <v>Mouse Gamer GX AMMOX X1-400</v>
      </c>
      <c r="C665" s="25" t="str">
        <f>VLOOKUP(TABLA_STOCK_LISTBOX[[#This Row],[Codigo]],LISTADO_PRODUCTOS[#All],5)</f>
        <v>N/A</v>
      </c>
      <c r="D665" s="25">
        <f>VLOOKUP(TABLA_STOCK_LISTBOX[[#This Row],[Codigo]],TABLA_STOCK[#All],6)</f>
        <v>10</v>
      </c>
      <c r="E665" s="25">
        <f>VLOOKUP(TABLA_STOCK_LISTBOX[[#This Row],[Codigo]],TABLA_STOCK[#All],7)</f>
        <v>150</v>
      </c>
    </row>
    <row r="666" spans="1:5" x14ac:dyDescent="0.3">
      <c r="A666" s="4">
        <v>5129</v>
      </c>
      <c r="B666" s="25" t="str">
        <f>VLOOKUP(TABLA_STOCK_LISTBOX[[#This Row],[Codigo]],LISTADO_PRODUCTOS[#All],4)</f>
        <v>Mouse FLICA Diseños especiales inalambrico</v>
      </c>
      <c r="C666" s="25" t="str">
        <f>VLOOKUP(TABLA_STOCK_LISTBOX[[#This Row],[Codigo]],LISTADO_PRODUCTOS[#All],5)</f>
        <v>N/A</v>
      </c>
      <c r="D666" s="25">
        <f>VLOOKUP(TABLA_STOCK_LISTBOX[[#This Row],[Codigo]],TABLA_STOCK[#All],6)</f>
        <v>20</v>
      </c>
      <c r="E666" s="25">
        <f>VLOOKUP(TABLA_STOCK_LISTBOX[[#This Row],[Codigo]],TABLA_STOCK[#All],7)</f>
        <v>20</v>
      </c>
    </row>
    <row r="667" spans="1:5" x14ac:dyDescent="0.3">
      <c r="A667" s="4">
        <v>5133</v>
      </c>
      <c r="B667" s="25" t="str">
        <f>VLOOKUP(TABLA_STOCK_LISTBOX[[#This Row],[Codigo]],LISTADO_PRODUCTOS[#All],4)</f>
        <v>Brick Game 9999 in 1</v>
      </c>
      <c r="C667" s="25" t="str">
        <f>VLOOKUP(TABLA_STOCK_LISTBOX[[#This Row],[Codigo]],LISTADO_PRODUCTOS[#All],5)</f>
        <v>N/A</v>
      </c>
      <c r="D667" s="25">
        <f>VLOOKUP(TABLA_STOCK_LISTBOX[[#This Row],[Codigo]],TABLA_STOCK[#All],6)</f>
        <v>5</v>
      </c>
      <c r="E667" s="25">
        <f>VLOOKUP(TABLA_STOCK_LISTBOX[[#This Row],[Codigo]],TABLA_STOCK[#All],7)</f>
        <v>19</v>
      </c>
    </row>
    <row r="668" spans="1:5" x14ac:dyDescent="0.3">
      <c r="A668" s="4">
        <v>5134</v>
      </c>
      <c r="B668" s="25" t="str">
        <f>VLOOKUP(TABLA_STOCK_LISTBOX[[#This Row],[Codigo]],LISTADO_PRODUCTOS[#All],4)</f>
        <v>Pad Mouse FLICA Eco Cuero</v>
      </c>
      <c r="C668" s="25" t="str">
        <f>VLOOKUP(TABLA_STOCK_LISTBOX[[#This Row],[Codigo]],LISTADO_PRODUCTOS[#All],5)</f>
        <v>N/A</v>
      </c>
      <c r="D668" s="25">
        <f>VLOOKUP(TABLA_STOCK_LISTBOX[[#This Row],[Codigo]],TABLA_STOCK[#All],6)</f>
        <v>1</v>
      </c>
      <c r="E668" s="25">
        <f>VLOOKUP(TABLA_STOCK_LISTBOX[[#This Row],[Codigo]],TABLA_STOCK[#All],7)</f>
        <v>6</v>
      </c>
    </row>
    <row r="669" spans="1:5" x14ac:dyDescent="0.3">
      <c r="A669" s="4">
        <v>5140</v>
      </c>
      <c r="B669" s="25" t="str">
        <f>VLOOKUP(TABLA_STOCK_LISTBOX[[#This Row],[Codigo]],LISTADO_PRODUCTOS[#All],4)</f>
        <v>Funda tablet 7" NOGA</v>
      </c>
      <c r="C669" s="25" t="str">
        <f>VLOOKUP(TABLA_STOCK_LISTBOX[[#This Row],[Codigo]],LISTADO_PRODUCTOS[#All],5)</f>
        <v>N/A</v>
      </c>
      <c r="D669" s="25">
        <f>VLOOKUP(TABLA_STOCK_LISTBOX[[#This Row],[Codigo]],TABLA_STOCK[#All],6)</f>
        <v>5</v>
      </c>
      <c r="E669" s="25">
        <f>VLOOKUP(TABLA_STOCK_LISTBOX[[#This Row],[Codigo]],TABLA_STOCK[#All],7)</f>
        <v>5</v>
      </c>
    </row>
    <row r="670" spans="1:5" x14ac:dyDescent="0.3">
      <c r="A670" s="4">
        <v>5143</v>
      </c>
      <c r="B670" s="25" t="str">
        <f>VLOOKUP(TABLA_STOCK_LISTBOX[[#This Row],[Codigo]],LISTADO_PRODUCTOS[#All],4)</f>
        <v>Parlante Genius SP-HF180 6wRMS</v>
      </c>
      <c r="C670" s="25" t="str">
        <f>VLOOKUP(TABLA_STOCK_LISTBOX[[#This Row],[Codigo]],LISTADO_PRODUCTOS[#All],5)</f>
        <v>N/A</v>
      </c>
      <c r="D670" s="25">
        <f>VLOOKUP(TABLA_STOCK_LISTBOX[[#This Row],[Codigo]],TABLA_STOCK[#All],6)</f>
        <v>2</v>
      </c>
      <c r="E670" s="25">
        <f>VLOOKUP(TABLA_STOCK_LISTBOX[[#This Row],[Codigo]],TABLA_STOCK[#All],7)</f>
        <v>52</v>
      </c>
    </row>
    <row r="671" spans="1:5" x14ac:dyDescent="0.3">
      <c r="A671" s="4">
        <v>5146</v>
      </c>
      <c r="B671" s="25" t="str">
        <f>VLOOKUP(TABLA_STOCK_LISTBOX[[#This Row],[Codigo]],LISTADO_PRODUCTOS[#All],4)</f>
        <v>Auricular Genius sobre oreja HS-M270</v>
      </c>
      <c r="C671" s="25" t="str">
        <f>VLOOKUP(TABLA_STOCK_LISTBOX[[#This Row],[Codigo]],LISTADO_PRODUCTOS[#All],5)</f>
        <v>N/A</v>
      </c>
      <c r="D671" s="25">
        <f>VLOOKUP(TABLA_STOCK_LISTBOX[[#This Row],[Codigo]],TABLA_STOCK[#All],6)</f>
        <v>2</v>
      </c>
      <c r="E671" s="25">
        <f>VLOOKUP(TABLA_STOCK_LISTBOX[[#This Row],[Codigo]],TABLA_STOCK[#All],7)</f>
        <v>32</v>
      </c>
    </row>
    <row r="672" spans="1:5" x14ac:dyDescent="0.3">
      <c r="A672" s="4">
        <v>5148</v>
      </c>
      <c r="B672" s="25" t="str">
        <f>VLOOKUP(TABLA_STOCK_LISTBOX[[#This Row],[Codigo]],LISTADO_PRODUCTOS[#All],4)</f>
        <v>Teclado inalambrico compacto LOGITECH K230</v>
      </c>
      <c r="C672" s="25" t="str">
        <f>VLOOKUP(TABLA_STOCK_LISTBOX[[#This Row],[Codigo]],LISTADO_PRODUCTOS[#All],5)</f>
        <v>N/A</v>
      </c>
      <c r="D672" s="25">
        <f>VLOOKUP(TABLA_STOCK_LISTBOX[[#This Row],[Codigo]],TABLA_STOCK[#All],6)</f>
        <v>10</v>
      </c>
      <c r="E672" s="25">
        <f>VLOOKUP(TABLA_STOCK_LISTBOX[[#This Row],[Codigo]],TABLA_STOCK[#All],7)</f>
        <v>56</v>
      </c>
    </row>
    <row r="673" spans="1:5" x14ac:dyDescent="0.3">
      <c r="A673" s="4">
        <v>5167</v>
      </c>
      <c r="B673" s="25" t="str">
        <f>VLOOKUP(TABLA_STOCK_LISTBOX[[#This Row],[Codigo]],LISTADO_PRODUCTOS[#All],4)</f>
        <v>Mini teclado numerico NETMAK NM KB240</v>
      </c>
      <c r="C673" s="25" t="str">
        <f>VLOOKUP(TABLA_STOCK_LISTBOX[[#This Row],[Codigo]],LISTADO_PRODUCTOS[#All],5)</f>
        <v>N/A</v>
      </c>
      <c r="D673" s="25">
        <f>VLOOKUP(TABLA_STOCK_LISTBOX[[#This Row],[Codigo]],TABLA_STOCK[#All],6)</f>
        <v>20</v>
      </c>
      <c r="E673" s="25">
        <f>VLOOKUP(TABLA_STOCK_LISTBOX[[#This Row],[Codigo]],TABLA_STOCK[#All],7)</f>
        <v>107</v>
      </c>
    </row>
    <row r="674" spans="1:5" x14ac:dyDescent="0.3">
      <c r="A674" s="4">
        <v>5170</v>
      </c>
      <c r="B674" s="25" t="str">
        <f>VLOOKUP(TABLA_STOCK_LISTBOX[[#This Row],[Codigo]],LISTADO_PRODUCTOS[#All],4)</f>
        <v>Cargador USB Energizer</v>
      </c>
      <c r="C674" s="25" t="str">
        <f>VLOOKUP(TABLA_STOCK_LISTBOX[[#This Row],[Codigo]],LISTADO_PRODUCTOS[#All],5)</f>
        <v>N/A</v>
      </c>
      <c r="D674" s="25">
        <f>VLOOKUP(TABLA_STOCK_LISTBOX[[#This Row],[Codigo]],TABLA_STOCK[#All],6)</f>
        <v>5</v>
      </c>
      <c r="E674" s="25">
        <f>VLOOKUP(TABLA_STOCK_LISTBOX[[#This Row],[Codigo]],TABLA_STOCK[#All],7)</f>
        <v>25</v>
      </c>
    </row>
    <row r="675" spans="1:5" x14ac:dyDescent="0.3">
      <c r="A675" s="4">
        <v>5189</v>
      </c>
      <c r="B675" s="25" t="str">
        <f>VLOOKUP(TABLA_STOCK_LISTBOX[[#This Row],[Codigo]],LISTADO_PRODUCTOS[#All],4)</f>
        <v>Cable audio Mini plug - mini plug (Rojo)</v>
      </c>
      <c r="C675" s="25" t="str">
        <f>VLOOKUP(TABLA_STOCK_LISTBOX[[#This Row],[Codigo]],LISTADO_PRODUCTOS[#All],5)</f>
        <v>N/A</v>
      </c>
      <c r="D675" s="25">
        <f>VLOOKUP(TABLA_STOCK_LISTBOX[[#This Row],[Codigo]],TABLA_STOCK[#All],6)</f>
        <v>1</v>
      </c>
      <c r="E675" s="25">
        <f>VLOOKUP(TABLA_STOCK_LISTBOX[[#This Row],[Codigo]],TABLA_STOCK[#All],7)</f>
        <v>32</v>
      </c>
    </row>
    <row r="676" spans="1:5" x14ac:dyDescent="0.3">
      <c r="A676" s="4">
        <v>5192</v>
      </c>
      <c r="B676" s="25" t="str">
        <f>VLOOKUP(TABLA_STOCK_LISTBOX[[#This Row],[Codigo]],LISTADO_PRODUCTOS[#All],4)</f>
        <v>Equipo de audio para motos</v>
      </c>
      <c r="C676" s="25" t="str">
        <f>VLOOKUP(TABLA_STOCK_LISTBOX[[#This Row],[Codigo]],LISTADO_PRODUCTOS[#All],5)</f>
        <v>N/A</v>
      </c>
      <c r="D676" s="25">
        <f>VLOOKUP(TABLA_STOCK_LISTBOX[[#This Row],[Codigo]],TABLA_STOCK[#All],6)</f>
        <v>5</v>
      </c>
      <c r="E676" s="25">
        <f>VLOOKUP(TABLA_STOCK_LISTBOX[[#This Row],[Codigo]],TABLA_STOCK[#All],7)</f>
        <v>150</v>
      </c>
    </row>
    <row r="677" spans="1:5" x14ac:dyDescent="0.3">
      <c r="A677" s="4">
        <v>5194</v>
      </c>
      <c r="B677" s="25" t="str">
        <f>VLOOKUP(TABLA_STOCK_LISTBOX[[#This Row],[Codigo]],LISTADO_PRODUCTOS[#All],4)</f>
        <v>Mouse inalambrico Genius NX-7000</v>
      </c>
      <c r="C677" s="25" t="str">
        <f>VLOOKUP(TABLA_STOCK_LISTBOX[[#This Row],[Codigo]],LISTADO_PRODUCTOS[#All],5)</f>
        <v>N/A</v>
      </c>
      <c r="D677" s="25">
        <f>VLOOKUP(TABLA_STOCK_LISTBOX[[#This Row],[Codigo]],TABLA_STOCK[#All],6)</f>
        <v>2</v>
      </c>
      <c r="E677" s="25">
        <f>VLOOKUP(TABLA_STOCK_LISTBOX[[#This Row],[Codigo]],TABLA_STOCK[#All],7)</f>
        <v>20</v>
      </c>
    </row>
    <row r="678" spans="1:5" x14ac:dyDescent="0.3">
      <c r="A678" s="4">
        <v>5202</v>
      </c>
      <c r="B678" s="25" t="str">
        <f>VLOOKUP(TABLA_STOCK_LISTBOX[[#This Row],[Codigo]],LISTADO_PRODUCTOS[#All],4)</f>
        <v>Joestick para Celu</v>
      </c>
      <c r="C678" s="25" t="str">
        <f>VLOOKUP(TABLA_STOCK_LISTBOX[[#This Row],[Codigo]],LISTADO_PRODUCTOS[#All],5)</f>
        <v>N/A</v>
      </c>
      <c r="D678" s="25">
        <f>VLOOKUP(TABLA_STOCK_LISTBOX[[#This Row],[Codigo]],TABLA_STOCK[#All],6)</f>
        <v>10</v>
      </c>
      <c r="E678" s="25">
        <f>VLOOKUP(TABLA_STOCK_LISTBOX[[#This Row],[Codigo]],TABLA_STOCK[#All],7)</f>
        <v>19</v>
      </c>
    </row>
    <row r="679" spans="1:5" x14ac:dyDescent="0.3">
      <c r="A679" s="4">
        <v>5204</v>
      </c>
      <c r="B679" s="25" t="str">
        <f>VLOOKUP(TABLA_STOCK_LISTBOX[[#This Row],[Codigo]],LISTADO_PRODUCTOS[#All],4)</f>
        <v>Reposa celular piramide soporte diferentes angulos 228747</v>
      </c>
      <c r="C679" s="25" t="str">
        <f>VLOOKUP(TABLA_STOCK_LISTBOX[[#This Row],[Codigo]],LISTADO_PRODUCTOS[#All],5)</f>
        <v>N/A</v>
      </c>
      <c r="D679" s="25">
        <f>VLOOKUP(TABLA_STOCK_LISTBOX[[#This Row],[Codigo]],TABLA_STOCK[#All],6)</f>
        <v>20</v>
      </c>
      <c r="E679" s="25">
        <f>VLOOKUP(TABLA_STOCK_LISTBOX[[#This Row],[Codigo]],TABLA_STOCK[#All],7)</f>
        <v>6</v>
      </c>
    </row>
    <row r="680" spans="1:5" x14ac:dyDescent="0.3">
      <c r="A680" s="4">
        <v>5207</v>
      </c>
      <c r="B680" s="25" t="str">
        <f>VLOOKUP(TABLA_STOCK_LISTBOX[[#This Row],[Codigo]],LISTADO_PRODUCTOS[#All],4)</f>
        <v>Cable iphone en bolsita suelto</v>
      </c>
      <c r="C680" s="25" t="str">
        <f>VLOOKUP(TABLA_STOCK_LISTBOX[[#This Row],[Codigo]],LISTADO_PRODUCTOS[#All],5)</f>
        <v>N/A</v>
      </c>
      <c r="D680" s="25">
        <f>VLOOKUP(TABLA_STOCK_LISTBOX[[#This Row],[Codigo]],TABLA_STOCK[#All],6)</f>
        <v>5</v>
      </c>
      <c r="E680" s="25">
        <f>VLOOKUP(TABLA_STOCK_LISTBOX[[#This Row],[Codigo]],TABLA_STOCK[#All],7)</f>
        <v>5</v>
      </c>
    </row>
    <row r="681" spans="1:5" x14ac:dyDescent="0.3">
      <c r="A681" s="4">
        <v>5213</v>
      </c>
      <c r="B681" s="25" t="str">
        <f>VLOOKUP(TABLA_STOCK_LISTBOX[[#This Row],[Codigo]],LISTADO_PRODUCTOS[#All],4)</f>
        <v>Auricular sobre oreja</v>
      </c>
      <c r="C681" s="25" t="str">
        <f>VLOOKUP(TABLA_STOCK_LISTBOX[[#This Row],[Codigo]],LISTADO_PRODUCTOS[#All],5)</f>
        <v>N/A</v>
      </c>
      <c r="D681" s="25">
        <f>VLOOKUP(TABLA_STOCK_LISTBOX[[#This Row],[Codigo]],TABLA_STOCK[#All],6)</f>
        <v>1</v>
      </c>
      <c r="E681" s="25">
        <f>VLOOKUP(TABLA_STOCK_LISTBOX[[#This Row],[Codigo]],TABLA_STOCK[#All],7)</f>
        <v>52</v>
      </c>
    </row>
    <row r="682" spans="1:5" x14ac:dyDescent="0.3">
      <c r="A682" s="4">
        <v>5219</v>
      </c>
      <c r="B682" s="25" t="str">
        <f>VLOOKUP(TABLA_STOCK_LISTBOX[[#This Row],[Codigo]],LISTADO_PRODUCTOS[#All],4)</f>
        <v>Calculadora ECAL TC63</v>
      </c>
      <c r="C682" s="25" t="str">
        <f>VLOOKUP(TABLA_STOCK_LISTBOX[[#This Row],[Codigo]],LISTADO_PRODUCTOS[#All],5)</f>
        <v>N/A</v>
      </c>
      <c r="D682" s="25">
        <f>VLOOKUP(TABLA_STOCK_LISTBOX[[#This Row],[Codigo]],TABLA_STOCK[#All],6)</f>
        <v>5</v>
      </c>
      <c r="E682" s="25">
        <f>VLOOKUP(TABLA_STOCK_LISTBOX[[#This Row],[Codigo]],TABLA_STOCK[#All],7)</f>
        <v>32</v>
      </c>
    </row>
    <row r="683" spans="1:5" x14ac:dyDescent="0.3">
      <c r="A683" s="4">
        <v>5226</v>
      </c>
      <c r="B683" s="25" t="str">
        <f>VLOOKUP(TABLA_STOCK_LISTBOX[[#This Row],[Codigo]],LISTADO_PRODUCTOS[#All],4)</f>
        <v>Bateria cargador  Power Bank chato</v>
      </c>
      <c r="C683" s="25" t="str">
        <f>VLOOKUP(TABLA_STOCK_LISTBOX[[#This Row],[Codigo]],LISTADO_PRODUCTOS[#All],5)</f>
        <v>N/A</v>
      </c>
      <c r="D683" s="25">
        <f>VLOOKUP(TABLA_STOCK_LISTBOX[[#This Row],[Codigo]],TABLA_STOCK[#All],6)</f>
        <v>2</v>
      </c>
      <c r="E683" s="25">
        <f>VLOOKUP(TABLA_STOCK_LISTBOX[[#This Row],[Codigo]],TABLA_STOCK[#All],7)</f>
        <v>56</v>
      </c>
    </row>
    <row r="684" spans="1:5" x14ac:dyDescent="0.3">
      <c r="A684" s="4">
        <v>5227</v>
      </c>
      <c r="B684" s="25" t="str">
        <f>VLOOKUP(TABLA_STOCK_LISTBOX[[#This Row],[Codigo]],LISTADO_PRODUCTOS[#All],4)</f>
        <v>Teclado + mouse IBEK BK-811</v>
      </c>
      <c r="C684" s="25" t="str">
        <f>VLOOKUP(TABLA_STOCK_LISTBOX[[#This Row],[Codigo]],LISTADO_PRODUCTOS[#All],5)</f>
        <v>N/A</v>
      </c>
      <c r="D684" s="25">
        <f>VLOOKUP(TABLA_STOCK_LISTBOX[[#This Row],[Codigo]],TABLA_STOCK[#All],6)</f>
        <v>2</v>
      </c>
      <c r="E684" s="25">
        <f>VLOOKUP(TABLA_STOCK_LISTBOX[[#This Row],[Codigo]],TABLA_STOCK[#All],7)</f>
        <v>107</v>
      </c>
    </row>
    <row r="685" spans="1:5" x14ac:dyDescent="0.3">
      <c r="A685" s="4">
        <v>5228</v>
      </c>
      <c r="B685" s="25" t="str">
        <f>VLOOKUP(TABLA_STOCK_LISTBOX[[#This Row],[Codigo]],LISTADO_PRODUCTOS[#All],4)</f>
        <v>Calculadora Motex doble visor KK-8585-12</v>
      </c>
      <c r="C685" s="25" t="str">
        <f>VLOOKUP(TABLA_STOCK_LISTBOX[[#This Row],[Codigo]],LISTADO_PRODUCTOS[#All],5)</f>
        <v>N/A</v>
      </c>
      <c r="D685" s="25">
        <f>VLOOKUP(TABLA_STOCK_LISTBOX[[#This Row],[Codigo]],TABLA_STOCK[#All],6)</f>
        <v>10</v>
      </c>
      <c r="E685" s="25">
        <f>VLOOKUP(TABLA_STOCK_LISTBOX[[#This Row],[Codigo]],TABLA_STOCK[#All],7)</f>
        <v>25</v>
      </c>
    </row>
    <row r="686" spans="1:5" x14ac:dyDescent="0.3">
      <c r="A686" s="4">
        <v>5229</v>
      </c>
      <c r="B686" s="25" t="str">
        <f>VLOOKUP(TABLA_STOCK_LISTBOX[[#This Row],[Codigo]],LISTADO_PRODUCTOS[#All],4)</f>
        <v>Cable Samsung USB - Type C</v>
      </c>
      <c r="C686" s="25" t="str">
        <f>VLOOKUP(TABLA_STOCK_LISTBOX[[#This Row],[Codigo]],LISTADO_PRODUCTOS[#All],5)</f>
        <v>N/A</v>
      </c>
      <c r="D686" s="25">
        <f>VLOOKUP(TABLA_STOCK_LISTBOX[[#This Row],[Codigo]],TABLA_STOCK[#All],6)</f>
        <v>20</v>
      </c>
      <c r="E686" s="25">
        <f>VLOOKUP(TABLA_STOCK_LISTBOX[[#This Row],[Codigo]],TABLA_STOCK[#All],7)</f>
        <v>32</v>
      </c>
    </row>
    <row r="687" spans="1:5" x14ac:dyDescent="0.3">
      <c r="A687" s="4">
        <v>5230</v>
      </c>
      <c r="B687" s="25" t="str">
        <f>VLOOKUP(TABLA_STOCK_LISTBOX[[#This Row],[Codigo]],LISTADO_PRODUCTOS[#All],4)</f>
        <v>Calculadora Casio MW-5V-WE</v>
      </c>
      <c r="C687" s="25" t="str">
        <f>VLOOKUP(TABLA_STOCK_LISTBOX[[#This Row],[Codigo]],LISTADO_PRODUCTOS[#All],5)</f>
        <v>N/A</v>
      </c>
      <c r="D687" s="25">
        <f>VLOOKUP(TABLA_STOCK_LISTBOX[[#This Row],[Codigo]],TABLA_STOCK[#All],6)</f>
        <v>5</v>
      </c>
      <c r="E687" s="25">
        <f>VLOOKUP(TABLA_STOCK_LISTBOX[[#This Row],[Codigo]],TABLA_STOCK[#All],7)</f>
        <v>150</v>
      </c>
    </row>
    <row r="688" spans="1:5" x14ac:dyDescent="0.3">
      <c r="A688" s="4">
        <v>5231</v>
      </c>
      <c r="B688" s="25" t="str">
        <f>VLOOKUP(TABLA_STOCK_LISTBOX[[#This Row],[Codigo]],LISTADO_PRODUCTOS[#All],4)</f>
        <v>Cable Fast Charging Samsung Galaxy Note</v>
      </c>
      <c r="C688" s="25" t="str">
        <f>VLOOKUP(TABLA_STOCK_LISTBOX[[#This Row],[Codigo]],LISTADO_PRODUCTOS[#All],5)</f>
        <v>N/A</v>
      </c>
      <c r="D688" s="25">
        <f>VLOOKUP(TABLA_STOCK_LISTBOX[[#This Row],[Codigo]],TABLA_STOCK[#All],6)</f>
        <v>1</v>
      </c>
      <c r="E688" s="25">
        <f>VLOOKUP(TABLA_STOCK_LISTBOX[[#This Row],[Codigo]],TABLA_STOCK[#All],7)</f>
        <v>20</v>
      </c>
    </row>
    <row r="689" spans="1:5" x14ac:dyDescent="0.3">
      <c r="A689" s="4">
        <v>5233</v>
      </c>
      <c r="B689" s="25" t="str">
        <f>VLOOKUP(TABLA_STOCK_LISTBOX[[#This Row],[Codigo]],LISTADO_PRODUCTOS[#All],4)</f>
        <v>Toner Global para Xerox Phaser 3020</v>
      </c>
      <c r="C689" s="25" t="str">
        <f>VLOOKUP(TABLA_STOCK_LISTBOX[[#This Row],[Codigo]],LISTADO_PRODUCTOS[#All],5)</f>
        <v>N/A</v>
      </c>
      <c r="D689" s="25">
        <f>VLOOKUP(TABLA_STOCK_LISTBOX[[#This Row],[Codigo]],TABLA_STOCK[#All],6)</f>
        <v>5</v>
      </c>
      <c r="E689" s="25">
        <f>VLOOKUP(TABLA_STOCK_LISTBOX[[#This Row],[Codigo]],TABLA_STOCK[#All],7)</f>
        <v>19</v>
      </c>
    </row>
    <row r="690" spans="1:5" x14ac:dyDescent="0.3">
      <c r="A690" s="4">
        <v>6100</v>
      </c>
      <c r="B690" s="25" t="str">
        <f>VLOOKUP(TABLA_STOCK_LISTBOX[[#This Row],[Codigo]],LISTADO_PRODUCTOS[#All],4)</f>
        <v>El Principito Catapulta Junior</v>
      </c>
      <c r="C690" s="25" t="str">
        <f>VLOOKUP(TABLA_STOCK_LISTBOX[[#This Row],[Codigo]],LISTADO_PRODUCTOS[#All],5)</f>
        <v>N/A</v>
      </c>
      <c r="D690" s="25">
        <f>VLOOKUP(TABLA_STOCK_LISTBOX[[#This Row],[Codigo]],TABLA_STOCK[#All],6)</f>
        <v>2</v>
      </c>
      <c r="E690" s="25">
        <f>VLOOKUP(TABLA_STOCK_LISTBOX[[#This Row],[Codigo]],TABLA_STOCK[#All],7)</f>
        <v>6</v>
      </c>
    </row>
    <row r="691" spans="1:5" x14ac:dyDescent="0.3">
      <c r="A691" s="4">
        <v>6101</v>
      </c>
      <c r="B691" s="25" t="str">
        <f>VLOOKUP(TABLA_STOCK_LISTBOX[[#This Row],[Codigo]],LISTADO_PRODUCTOS[#All],4)</f>
        <v>Set Mi primer libro de actividades + 24 colores Filgo</v>
      </c>
      <c r="C691" s="25" t="str">
        <f>VLOOKUP(TABLA_STOCK_LISTBOX[[#This Row],[Codigo]],LISTADO_PRODUCTOS[#All],5)</f>
        <v>N/A</v>
      </c>
      <c r="D691" s="25">
        <f>VLOOKUP(TABLA_STOCK_LISTBOX[[#This Row],[Codigo]],TABLA_STOCK[#All],6)</f>
        <v>2</v>
      </c>
      <c r="E691" s="25">
        <f>VLOOKUP(TABLA_STOCK_LISTBOX[[#This Row],[Codigo]],TABLA_STOCK[#All],7)</f>
        <v>5</v>
      </c>
    </row>
    <row r="692" spans="1:5" x14ac:dyDescent="0.3">
      <c r="A692" s="4">
        <v>6102</v>
      </c>
      <c r="B692" s="25" t="str">
        <f>VLOOKUP(TABLA_STOCK_LISTBOX[[#This Row],[Codigo]],LISTADO_PRODUCTOS[#All],4)</f>
        <v xml:space="preserve">Libro Paleta Magica de colores (12 Posters con acuarelas en cada pagina) </v>
      </c>
      <c r="C692" s="25" t="str">
        <f>VLOOKUP(TABLA_STOCK_LISTBOX[[#This Row],[Codigo]],LISTADO_PRODUCTOS[#All],5)</f>
        <v>N/A</v>
      </c>
      <c r="D692" s="25">
        <f>VLOOKUP(TABLA_STOCK_LISTBOX[[#This Row],[Codigo]],TABLA_STOCK[#All],6)</f>
        <v>10</v>
      </c>
      <c r="E692" s="25">
        <f>VLOOKUP(TABLA_STOCK_LISTBOX[[#This Row],[Codigo]],TABLA_STOCK[#All],7)</f>
        <v>52</v>
      </c>
    </row>
    <row r="693" spans="1:5" x14ac:dyDescent="0.3">
      <c r="A693" s="4">
        <v>6105</v>
      </c>
      <c r="B693" s="25" t="str">
        <f>VLOOKUP(TABLA_STOCK_LISTBOX[[#This Row],[Codigo]],LISTADO_PRODUCTOS[#All],4)</f>
        <v>Largo petalo de mar- Isabel Allende</v>
      </c>
      <c r="C693" s="25" t="str">
        <f>VLOOKUP(TABLA_STOCK_LISTBOX[[#This Row],[Codigo]],LISTADO_PRODUCTOS[#All],5)</f>
        <v>N/A</v>
      </c>
      <c r="D693" s="25">
        <f>VLOOKUP(TABLA_STOCK_LISTBOX[[#This Row],[Codigo]],TABLA_STOCK[#All],6)</f>
        <v>20</v>
      </c>
      <c r="E693" s="25">
        <f>VLOOKUP(TABLA_STOCK_LISTBOX[[#This Row],[Codigo]],TABLA_STOCK[#All],7)</f>
        <v>32</v>
      </c>
    </row>
    <row r="694" spans="1:5" x14ac:dyDescent="0.3">
      <c r="A694" s="4">
        <v>6106</v>
      </c>
      <c r="B694" s="25" t="str">
        <f>VLOOKUP(TABLA_STOCK_LISTBOX[[#This Row],[Codigo]],LISTADO_PRODUCTOS[#All],4)</f>
        <v>Las neuronas de dios de Diego Golombek</v>
      </c>
      <c r="C694" s="25" t="str">
        <f>VLOOKUP(TABLA_STOCK_LISTBOX[[#This Row],[Codigo]],LISTADO_PRODUCTOS[#All],5)</f>
        <v>N/A</v>
      </c>
      <c r="D694" s="25">
        <f>VLOOKUP(TABLA_STOCK_LISTBOX[[#This Row],[Codigo]],TABLA_STOCK[#All],6)</f>
        <v>5</v>
      </c>
      <c r="E694" s="25">
        <f>VLOOKUP(TABLA_STOCK_LISTBOX[[#This Row],[Codigo]],TABLA_STOCK[#All],7)</f>
        <v>56</v>
      </c>
    </row>
    <row r="695" spans="1:5" x14ac:dyDescent="0.3">
      <c r="A695" s="4">
        <v>6107</v>
      </c>
      <c r="B695" s="25" t="str">
        <f>VLOOKUP(TABLA_STOCK_LISTBOX[[#This Row],[Codigo]],LISTADO_PRODUCTOS[#All],4)</f>
        <v>Cruzar la noche de Alicia Barberis</v>
      </c>
      <c r="C695" s="25" t="str">
        <f>VLOOKUP(TABLA_STOCK_LISTBOX[[#This Row],[Codigo]],LISTADO_PRODUCTOS[#All],5)</f>
        <v>N/A</v>
      </c>
      <c r="D695" s="25">
        <f>VLOOKUP(TABLA_STOCK_LISTBOX[[#This Row],[Codigo]],TABLA_STOCK[#All],6)</f>
        <v>1</v>
      </c>
      <c r="E695" s="25">
        <f>VLOOKUP(TABLA_STOCK_LISTBOX[[#This Row],[Codigo]],TABLA_STOCK[#All],7)</f>
        <v>107</v>
      </c>
    </row>
    <row r="696" spans="1:5" x14ac:dyDescent="0.3">
      <c r="A696" s="4">
        <v>6108</v>
      </c>
      <c r="B696" s="25" t="str">
        <f>VLOOKUP(TABLA_STOCK_LISTBOX[[#This Row],[Codigo]],LISTADO_PRODUCTOS[#All],4)</f>
        <v>Una caza de secretos de paula bombara</v>
      </c>
      <c r="C696" s="25" t="str">
        <f>VLOOKUP(TABLA_STOCK_LISTBOX[[#This Row],[Codigo]],LISTADO_PRODUCTOS[#All],5)</f>
        <v>N/A</v>
      </c>
      <c r="D696" s="25">
        <f>VLOOKUP(TABLA_STOCK_LISTBOX[[#This Row],[Codigo]],TABLA_STOCK[#All],6)</f>
        <v>5</v>
      </c>
      <c r="E696" s="25">
        <f>VLOOKUP(TABLA_STOCK_LISTBOX[[#This Row],[Codigo]],TABLA_STOCK[#All],7)</f>
        <v>25</v>
      </c>
    </row>
    <row r="697" spans="1:5" x14ac:dyDescent="0.3">
      <c r="A697" s="4">
        <v>6109</v>
      </c>
      <c r="B697" s="25" t="str">
        <f>VLOOKUP(TABLA_STOCK_LISTBOX[[#This Row],[Codigo]],LISTADO_PRODUCTOS[#All],4)</f>
        <v>Cuando me muera quiero que me toquen cumbia de cristian alarcon</v>
      </c>
      <c r="C697" s="25" t="str">
        <f>VLOOKUP(TABLA_STOCK_LISTBOX[[#This Row],[Codigo]],LISTADO_PRODUCTOS[#All],5)</f>
        <v>N/A</v>
      </c>
      <c r="D697" s="25">
        <f>VLOOKUP(TABLA_STOCK_LISTBOX[[#This Row],[Codigo]],TABLA_STOCK[#All],6)</f>
        <v>2</v>
      </c>
      <c r="E697" s="25">
        <f>VLOOKUP(TABLA_STOCK_LISTBOX[[#This Row],[Codigo]],TABLA_STOCK[#All],7)</f>
        <v>32</v>
      </c>
    </row>
    <row r="698" spans="1:5" x14ac:dyDescent="0.3">
      <c r="A698" s="4">
        <v>6110</v>
      </c>
      <c r="B698" s="25" t="str">
        <f>VLOOKUP(TABLA_STOCK_LISTBOX[[#This Row],[Codigo]],LISTADO_PRODUCTOS[#All],4)</f>
        <v>La chica pajaro de paula bombara</v>
      </c>
      <c r="C698" s="25" t="str">
        <f>VLOOKUP(TABLA_STOCK_LISTBOX[[#This Row],[Codigo]],LISTADO_PRODUCTOS[#All],5)</f>
        <v>N/A</v>
      </c>
      <c r="D698" s="25">
        <f>VLOOKUP(TABLA_STOCK_LISTBOX[[#This Row],[Codigo]],TABLA_STOCK[#All],6)</f>
        <v>2</v>
      </c>
      <c r="E698" s="25">
        <f>VLOOKUP(TABLA_STOCK_LISTBOX[[#This Row],[Codigo]],TABLA_STOCK[#All],7)</f>
        <v>150</v>
      </c>
    </row>
    <row r="699" spans="1:5" x14ac:dyDescent="0.3">
      <c r="A699" s="4">
        <v>6149</v>
      </c>
      <c r="B699" s="25" t="str">
        <f>VLOOKUP(TABLA_STOCK_LISTBOX[[#This Row],[Codigo]],LISTADO_PRODUCTOS[#All],4)</f>
        <v>Libritos Mandalitas Ed. Betina</v>
      </c>
      <c r="C699" s="25" t="str">
        <f>VLOOKUP(TABLA_STOCK_LISTBOX[[#This Row],[Codigo]],LISTADO_PRODUCTOS[#All],5)</f>
        <v>N/A</v>
      </c>
      <c r="D699" s="25">
        <f>VLOOKUP(TABLA_STOCK_LISTBOX[[#This Row],[Codigo]],TABLA_STOCK[#All],6)</f>
        <v>10</v>
      </c>
      <c r="E699" s="25">
        <f>VLOOKUP(TABLA_STOCK_LISTBOX[[#This Row],[Codigo]],TABLA_STOCK[#All],7)</f>
        <v>20</v>
      </c>
    </row>
    <row r="700" spans="1:5" x14ac:dyDescent="0.3">
      <c r="A700" s="4">
        <v>6165</v>
      </c>
      <c r="B700" s="25" t="str">
        <f>VLOOKUP(TABLA_STOCK_LISTBOX[[#This Row],[Codigo]],LISTADO_PRODUCTOS[#All],4)</f>
        <v>El Retrato de Doria Grey</v>
      </c>
      <c r="C700" s="25" t="str">
        <f>VLOOKUP(TABLA_STOCK_LISTBOX[[#This Row],[Codigo]],LISTADO_PRODUCTOS[#All],5)</f>
        <v>N/A</v>
      </c>
      <c r="D700" s="25">
        <f>VLOOKUP(TABLA_STOCK_LISTBOX[[#This Row],[Codigo]],TABLA_STOCK[#All],6)</f>
        <v>20</v>
      </c>
      <c r="E700" s="25">
        <f>VLOOKUP(TABLA_STOCK_LISTBOX[[#This Row],[Codigo]],TABLA_STOCK[#All],7)</f>
        <v>19</v>
      </c>
    </row>
    <row r="701" spans="1:5" x14ac:dyDescent="0.3">
      <c r="A701" s="4">
        <v>6166</v>
      </c>
      <c r="B701" s="25" t="str">
        <f>VLOOKUP(TABLA_STOCK_LISTBOX[[#This Row],[Codigo]],LISTADO_PRODUCTOS[#All],4)</f>
        <v>La Gitanilla</v>
      </c>
      <c r="C701" s="25" t="str">
        <f>VLOOKUP(TABLA_STOCK_LISTBOX[[#This Row],[Codigo]],LISTADO_PRODUCTOS[#All],5)</f>
        <v>N/A</v>
      </c>
      <c r="D701" s="25">
        <f>VLOOKUP(TABLA_STOCK_LISTBOX[[#This Row],[Codigo]],TABLA_STOCK[#All],6)</f>
        <v>5</v>
      </c>
      <c r="E701" s="25">
        <f>VLOOKUP(TABLA_STOCK_LISTBOX[[#This Row],[Codigo]],TABLA_STOCK[#All],7)</f>
        <v>6</v>
      </c>
    </row>
    <row r="702" spans="1:5" x14ac:dyDescent="0.3">
      <c r="A702" s="4">
        <v>6167</v>
      </c>
      <c r="B702" s="25" t="str">
        <f>VLOOKUP(TABLA_STOCK_LISTBOX[[#This Row],[Codigo]],LISTADO_PRODUCTOS[#All],4)</f>
        <v>La Isla del Tesoro</v>
      </c>
      <c r="C702" s="25" t="str">
        <f>VLOOKUP(TABLA_STOCK_LISTBOX[[#This Row],[Codigo]],LISTADO_PRODUCTOS[#All],5)</f>
        <v>N/A</v>
      </c>
      <c r="D702" s="25">
        <f>VLOOKUP(TABLA_STOCK_LISTBOX[[#This Row],[Codigo]],TABLA_STOCK[#All],6)</f>
        <v>1</v>
      </c>
      <c r="E702" s="25">
        <f>VLOOKUP(TABLA_STOCK_LISTBOX[[#This Row],[Codigo]],TABLA_STOCK[#All],7)</f>
        <v>5</v>
      </c>
    </row>
    <row r="703" spans="1:5" x14ac:dyDescent="0.3">
      <c r="A703" s="4">
        <v>6180</v>
      </c>
      <c r="B703" s="25" t="str">
        <f>VLOOKUP(TABLA_STOCK_LISTBOX[[#This Row],[Codigo]],LISTADO_PRODUCTOS[#All],4)</f>
        <v>Diccionario de sinonimos y antonimos Estrada</v>
      </c>
      <c r="C703" s="25" t="str">
        <f>VLOOKUP(TABLA_STOCK_LISTBOX[[#This Row],[Codigo]],LISTADO_PRODUCTOS[#All],5)</f>
        <v>N/A</v>
      </c>
      <c r="D703" s="25">
        <f>VLOOKUP(TABLA_STOCK_LISTBOX[[#This Row],[Codigo]],TABLA_STOCK[#All],6)</f>
        <v>5</v>
      </c>
      <c r="E703" s="25">
        <f>VLOOKUP(TABLA_STOCK_LISTBOX[[#This Row],[Codigo]],TABLA_STOCK[#All],7)</f>
        <v>52</v>
      </c>
    </row>
    <row r="704" spans="1:5" x14ac:dyDescent="0.3">
      <c r="A704" s="4">
        <v>6185</v>
      </c>
      <c r="B704" s="25" t="str">
        <f>VLOOKUP(TABLA_STOCK_LISTBOX[[#This Row],[Codigo]],LISTADO_PRODUCTOS[#All],4)</f>
        <v>Juega y Colorea (Libro para pintar+ Stikers + crayones)</v>
      </c>
      <c r="C704" s="25" t="str">
        <f>VLOOKUP(TABLA_STOCK_LISTBOX[[#This Row],[Codigo]],LISTADO_PRODUCTOS[#All],5)</f>
        <v>N/A</v>
      </c>
      <c r="D704" s="25">
        <f>VLOOKUP(TABLA_STOCK_LISTBOX[[#This Row],[Codigo]],TABLA_STOCK[#All],6)</f>
        <v>2</v>
      </c>
      <c r="E704" s="25">
        <f>VLOOKUP(TABLA_STOCK_LISTBOX[[#This Row],[Codigo]],TABLA_STOCK[#All],7)</f>
        <v>32</v>
      </c>
    </row>
    <row r="705" spans="1:5" x14ac:dyDescent="0.3">
      <c r="A705" s="4">
        <v>6187</v>
      </c>
      <c r="B705" s="25" t="str">
        <f>VLOOKUP(TABLA_STOCK_LISTBOX[[#This Row],[Codigo]],LISTADO_PRODUCTOS[#All],4)</f>
        <v>Mamá gracias por tu amor VyR</v>
      </c>
      <c r="C705" s="25" t="str">
        <f>VLOOKUP(TABLA_STOCK_LISTBOX[[#This Row],[Codigo]],LISTADO_PRODUCTOS[#All],5)</f>
        <v>N/A</v>
      </c>
      <c r="D705" s="25">
        <f>VLOOKUP(TABLA_STOCK_LISTBOX[[#This Row],[Codigo]],TABLA_STOCK[#All],6)</f>
        <v>10</v>
      </c>
      <c r="E705" s="25">
        <f>VLOOKUP(TABLA_STOCK_LISTBOX[[#This Row],[Codigo]],TABLA_STOCK[#All],7)</f>
        <v>56</v>
      </c>
    </row>
    <row r="706" spans="1:5" x14ac:dyDescent="0.3">
      <c r="A706" s="4">
        <v>6190</v>
      </c>
      <c r="B706" s="25" t="str">
        <f>VLOOKUP(TABLA_STOCK_LISTBOX[[#This Row],[Codigo]],LISTADO_PRODUCTOS[#All],4)</f>
        <v>Premio a la mejor Madre VyR</v>
      </c>
      <c r="C706" s="25" t="str">
        <f>VLOOKUP(TABLA_STOCK_LISTBOX[[#This Row],[Codigo]],LISTADO_PRODUCTOS[#All],5)</f>
        <v>N/A</v>
      </c>
      <c r="D706" s="25">
        <f>VLOOKUP(TABLA_STOCK_LISTBOX[[#This Row],[Codigo]],TABLA_STOCK[#All],6)</f>
        <v>20</v>
      </c>
      <c r="E706" s="25">
        <f>VLOOKUP(TABLA_STOCK_LISTBOX[[#This Row],[Codigo]],TABLA_STOCK[#All],7)</f>
        <v>107</v>
      </c>
    </row>
    <row r="707" spans="1:5" x14ac:dyDescent="0.3">
      <c r="A707" s="4">
        <v>6191</v>
      </c>
      <c r="B707" s="25" t="str">
        <f>VLOOKUP(TABLA_STOCK_LISTBOX[[#This Row],[Codigo]],LISTADO_PRODUCTOS[#All],4)</f>
        <v>Querida Mama VyR</v>
      </c>
      <c r="C707" s="25" t="str">
        <f>VLOOKUP(TABLA_STOCK_LISTBOX[[#This Row],[Codigo]],LISTADO_PRODUCTOS[#All],5)</f>
        <v>N/A</v>
      </c>
      <c r="D707" s="25">
        <f>VLOOKUP(TABLA_STOCK_LISTBOX[[#This Row],[Codigo]],TABLA_STOCK[#All],6)</f>
        <v>5</v>
      </c>
      <c r="E707" s="25">
        <f>VLOOKUP(TABLA_STOCK_LISTBOX[[#This Row],[Codigo]],TABLA_STOCK[#All],7)</f>
        <v>25</v>
      </c>
    </row>
    <row r="708" spans="1:5" x14ac:dyDescent="0.3">
      <c r="A708" s="4">
        <v>6193</v>
      </c>
      <c r="B708" s="25" t="str">
        <f>VLOOKUP(TABLA_STOCK_LISTBOX[[#This Row],[Codigo]],LISTADO_PRODUCTOS[#All],4)</f>
        <v>cuento uno y cuento dos</v>
      </c>
      <c r="C708" s="25" t="str">
        <f>VLOOKUP(TABLA_STOCK_LISTBOX[[#This Row],[Codigo]],LISTADO_PRODUCTOS[#All],5)</f>
        <v>N/A</v>
      </c>
      <c r="D708" s="25">
        <f>VLOOKUP(TABLA_STOCK_LISTBOX[[#This Row],[Codigo]],TABLA_STOCK[#All],6)</f>
        <v>1</v>
      </c>
      <c r="E708" s="25">
        <f>VLOOKUP(TABLA_STOCK_LISTBOX[[#This Row],[Codigo]],TABLA_STOCK[#All],7)</f>
        <v>32</v>
      </c>
    </row>
    <row r="709" spans="1:5" x14ac:dyDescent="0.3">
      <c r="A709" s="4">
        <v>6209</v>
      </c>
      <c r="B709" s="25" t="str">
        <f>VLOOKUP(TABLA_STOCK_LISTBOX[[#This Row],[Codigo]],LISTADO_PRODUCTOS[#All],4)</f>
        <v>Libro Biblia para niños de Giuseppino de Roma</v>
      </c>
      <c r="C709" s="25" t="str">
        <f>VLOOKUP(TABLA_STOCK_LISTBOX[[#This Row],[Codigo]],LISTADO_PRODUCTOS[#All],5)</f>
        <v>N/A</v>
      </c>
      <c r="D709" s="25">
        <f>VLOOKUP(TABLA_STOCK_LISTBOX[[#This Row],[Codigo]],TABLA_STOCK[#All],6)</f>
        <v>5</v>
      </c>
      <c r="E709" s="25">
        <f>VLOOKUP(TABLA_STOCK_LISTBOX[[#This Row],[Codigo]],TABLA_STOCK[#All],7)</f>
        <v>150</v>
      </c>
    </row>
    <row r="710" spans="1:5" x14ac:dyDescent="0.3">
      <c r="A710" s="4">
        <v>6220</v>
      </c>
      <c r="B710" s="25" t="str">
        <f>VLOOKUP(TABLA_STOCK_LISTBOX[[#This Row],[Codigo]],LISTADO_PRODUCTOS[#All],4)</f>
        <v>Diccionario escolar Rivadavia</v>
      </c>
      <c r="C710" s="25" t="str">
        <f>VLOOKUP(TABLA_STOCK_LISTBOX[[#This Row],[Codigo]],LISTADO_PRODUCTOS[#All],5)</f>
        <v>N/A</v>
      </c>
      <c r="D710" s="25">
        <f>VLOOKUP(TABLA_STOCK_LISTBOX[[#This Row],[Codigo]],TABLA_STOCK[#All],6)</f>
        <v>2</v>
      </c>
      <c r="E710" s="25">
        <f>VLOOKUP(TABLA_STOCK_LISTBOX[[#This Row],[Codigo]],TABLA_STOCK[#All],7)</f>
        <v>20</v>
      </c>
    </row>
    <row r="711" spans="1:5" x14ac:dyDescent="0.3">
      <c r="A711" s="4">
        <v>6226</v>
      </c>
      <c r="B711" s="25" t="str">
        <f>VLOOKUP(TABLA_STOCK_LISTBOX[[#This Row],[Codigo]],LISTADO_PRODUCTOS[#All],4)</f>
        <v>Stiker grande</v>
      </c>
      <c r="C711" s="25" t="str">
        <f>VLOOKUP(TABLA_STOCK_LISTBOX[[#This Row],[Codigo]],LISTADO_PRODUCTOS[#All],5)</f>
        <v>N/A</v>
      </c>
      <c r="D711" s="25">
        <f>VLOOKUP(TABLA_STOCK_LISTBOX[[#This Row],[Codigo]],TABLA_STOCK[#All],6)</f>
        <v>2</v>
      </c>
      <c r="E711" s="25">
        <f>VLOOKUP(TABLA_STOCK_LISTBOX[[#This Row],[Codigo]],TABLA_STOCK[#All],7)</f>
        <v>19</v>
      </c>
    </row>
    <row r="712" spans="1:5" x14ac:dyDescent="0.3">
      <c r="A712" s="4">
        <v>6235</v>
      </c>
      <c r="B712" s="25" t="str">
        <f>VLOOKUP(TABLA_STOCK_LISTBOX[[#This Row],[Codigo]],LISTADO_PRODUCTOS[#All],4)</f>
        <v>DESAPARECIDA de Gabriel Barnes</v>
      </c>
      <c r="C712" s="25" t="str">
        <f>VLOOKUP(TABLA_STOCK_LISTBOX[[#This Row],[Codigo]],LISTADO_PRODUCTOS[#All],5)</f>
        <v>N/A</v>
      </c>
      <c r="D712" s="25">
        <f>VLOOKUP(TABLA_STOCK_LISTBOX[[#This Row],[Codigo]],TABLA_STOCK[#All],6)</f>
        <v>10</v>
      </c>
      <c r="E712" s="25">
        <f>VLOOKUP(TABLA_STOCK_LISTBOX[[#This Row],[Codigo]],TABLA_STOCK[#All],7)</f>
        <v>6</v>
      </c>
    </row>
    <row r="713" spans="1:5" x14ac:dyDescent="0.3">
      <c r="A713" s="4">
        <v>6240</v>
      </c>
      <c r="B713" s="25" t="str">
        <f>VLOOKUP(TABLA_STOCK_LISTBOX[[#This Row],[Codigo]],LISTADO_PRODUCTOS[#All],4)</f>
        <v>PROHIBIDO SOÑAR Carlos Marianidis</v>
      </c>
      <c r="C713" s="25" t="str">
        <f>VLOOKUP(TABLA_STOCK_LISTBOX[[#This Row],[Codigo]],LISTADO_PRODUCTOS[#All],5)</f>
        <v>N/A</v>
      </c>
      <c r="D713" s="25">
        <f>VLOOKUP(TABLA_STOCK_LISTBOX[[#This Row],[Codigo]],TABLA_STOCK[#All],6)</f>
        <v>20</v>
      </c>
      <c r="E713" s="25">
        <f>VLOOKUP(TABLA_STOCK_LISTBOX[[#This Row],[Codigo]],TABLA_STOCK[#All],7)</f>
        <v>5</v>
      </c>
    </row>
    <row r="714" spans="1:5" x14ac:dyDescent="0.3">
      <c r="A714" s="4">
        <v>6251</v>
      </c>
      <c r="B714" s="25" t="str">
        <f>VLOOKUP(TABLA_STOCK_LISTBOX[[#This Row],[Codigo]],LISTADO_PRODUCTOS[#All],4)</f>
        <v>QUIEN SE ANIMA A BAJAR AL SOTANO</v>
      </c>
      <c r="C714" s="25" t="str">
        <f>VLOOKUP(TABLA_STOCK_LISTBOX[[#This Row],[Codigo]],LISTADO_PRODUCTOS[#All],5)</f>
        <v>N/A</v>
      </c>
      <c r="D714" s="25">
        <f>VLOOKUP(TABLA_STOCK_LISTBOX[[#This Row],[Codigo]],TABLA_STOCK[#All],6)</f>
        <v>5</v>
      </c>
      <c r="E714" s="25">
        <f>VLOOKUP(TABLA_STOCK_LISTBOX[[#This Row],[Codigo]],TABLA_STOCK[#All],7)</f>
        <v>52</v>
      </c>
    </row>
    <row r="715" spans="1:5" x14ac:dyDescent="0.3">
      <c r="A715" s="4">
        <v>6257</v>
      </c>
      <c r="B715" s="25" t="str">
        <f>VLOOKUP(TABLA_STOCK_LISTBOX[[#This Row],[Codigo]],LISTADO_PRODUCTOS[#All],4)</f>
        <v>LA PUERTA SECRETA</v>
      </c>
      <c r="C715" s="25" t="str">
        <f>VLOOKUP(TABLA_STOCK_LISTBOX[[#This Row],[Codigo]],LISTADO_PRODUCTOS[#All],5)</f>
        <v>N/A</v>
      </c>
      <c r="D715" s="25">
        <f>VLOOKUP(TABLA_STOCK_LISTBOX[[#This Row],[Codigo]],TABLA_STOCK[#All],6)</f>
        <v>1</v>
      </c>
      <c r="E715" s="25">
        <f>VLOOKUP(TABLA_STOCK_LISTBOX[[#This Row],[Codigo]],TABLA_STOCK[#All],7)</f>
        <v>32</v>
      </c>
    </row>
    <row r="716" spans="1:5" x14ac:dyDescent="0.3">
      <c r="A716" s="4">
        <v>6268</v>
      </c>
      <c r="B716" s="25" t="str">
        <f>VLOOKUP(TABLA_STOCK_LISTBOX[[#This Row],[Codigo]],LISTADO_PRODUCTOS[#All],4)</f>
        <v>LA FAMA ES PURO CUENTO</v>
      </c>
      <c r="C716" s="25" t="str">
        <f>VLOOKUP(TABLA_STOCK_LISTBOX[[#This Row],[Codigo]],LISTADO_PRODUCTOS[#All],5)</f>
        <v>N/A</v>
      </c>
      <c r="D716" s="25">
        <f>VLOOKUP(TABLA_STOCK_LISTBOX[[#This Row],[Codigo]],TABLA_STOCK[#All],6)</f>
        <v>5</v>
      </c>
      <c r="E716" s="25">
        <f>VLOOKUP(TABLA_STOCK_LISTBOX[[#This Row],[Codigo]],TABLA_STOCK[#All],7)</f>
        <v>56</v>
      </c>
    </row>
    <row r="717" spans="1:5" x14ac:dyDescent="0.3">
      <c r="A717" s="4">
        <v>6272</v>
      </c>
      <c r="B717" s="25" t="str">
        <f>VLOOKUP(TABLA_STOCK_LISTBOX[[#This Row],[Codigo]],LISTADO_PRODUCTOS[#All],4)</f>
        <v>Elegi el nombre para tu bebe</v>
      </c>
      <c r="C717" s="25" t="str">
        <f>VLOOKUP(TABLA_STOCK_LISTBOX[[#This Row],[Codigo]],LISTADO_PRODUCTOS[#All],5)</f>
        <v>N/A</v>
      </c>
      <c r="D717" s="25">
        <f>VLOOKUP(TABLA_STOCK_LISTBOX[[#This Row],[Codigo]],TABLA_STOCK[#All],6)</f>
        <v>2</v>
      </c>
      <c r="E717" s="25">
        <f>VLOOKUP(TABLA_STOCK_LISTBOX[[#This Row],[Codigo]],TABLA_STOCK[#All],7)</f>
        <v>107</v>
      </c>
    </row>
    <row r="718" spans="1:5" x14ac:dyDescent="0.3">
      <c r="A718" s="4">
        <v>6274</v>
      </c>
      <c r="B718" s="25" t="str">
        <f>VLOOKUP(TABLA_STOCK_LISTBOX[[#This Row],[Codigo]],LISTADO_PRODUCTOS[#All],4)</f>
        <v>Libro Busca y Encuentra</v>
      </c>
      <c r="C718" s="25" t="str">
        <f>VLOOKUP(TABLA_STOCK_LISTBOX[[#This Row],[Codigo]],LISTADO_PRODUCTOS[#All],5)</f>
        <v>N/A</v>
      </c>
      <c r="D718" s="25">
        <f>VLOOKUP(TABLA_STOCK_LISTBOX[[#This Row],[Codigo]],TABLA_STOCK[#All],6)</f>
        <v>2</v>
      </c>
      <c r="E718" s="25">
        <f>VLOOKUP(TABLA_STOCK_LISTBOX[[#This Row],[Codigo]],TABLA_STOCK[#All],7)</f>
        <v>25</v>
      </c>
    </row>
    <row r="719" spans="1:5" x14ac:dyDescent="0.3">
      <c r="A719" s="4">
        <v>6286</v>
      </c>
      <c r="B719" s="25" t="str">
        <f>VLOOKUP(TABLA_STOCK_LISTBOX[[#This Row],[Codigo]],LISTADO_PRODUCTOS[#All],4)</f>
        <v>Libro colección bilingüe latinbooks Toco y aprendo colección x 4</v>
      </c>
      <c r="C719" s="25" t="str">
        <f>VLOOKUP(TABLA_STOCK_LISTBOX[[#This Row],[Codigo]],LISTADO_PRODUCTOS[#All],5)</f>
        <v>N/A</v>
      </c>
      <c r="D719" s="25">
        <f>VLOOKUP(TABLA_STOCK_LISTBOX[[#This Row],[Codigo]],TABLA_STOCK[#All],6)</f>
        <v>10</v>
      </c>
      <c r="E719" s="25">
        <f>VLOOKUP(TABLA_STOCK_LISTBOX[[#This Row],[Codigo]],TABLA_STOCK[#All],7)</f>
        <v>32</v>
      </c>
    </row>
    <row r="720" spans="1:5" x14ac:dyDescent="0.3">
      <c r="A720" s="4">
        <v>6290</v>
      </c>
      <c r="B720" s="25" t="str">
        <f>VLOOKUP(TABLA_STOCK_LISTBOX[[#This Row],[Codigo]],LISTADO_PRODUCTOS[#All],4)</f>
        <v>Cuerpos que importan de Judith Butler</v>
      </c>
      <c r="C720" s="25" t="str">
        <f>VLOOKUP(TABLA_STOCK_LISTBOX[[#This Row],[Codigo]],LISTADO_PRODUCTOS[#All],5)</f>
        <v>N/A</v>
      </c>
      <c r="D720" s="25">
        <f>VLOOKUP(TABLA_STOCK_LISTBOX[[#This Row],[Codigo]],TABLA_STOCK[#All],6)</f>
        <v>20</v>
      </c>
      <c r="E720" s="25">
        <f>VLOOKUP(TABLA_STOCK_LISTBOX[[#This Row],[Codigo]],TABLA_STOCK[#All],7)</f>
        <v>150</v>
      </c>
    </row>
    <row r="721" spans="1:5" x14ac:dyDescent="0.3">
      <c r="A721" s="4">
        <v>7001</v>
      </c>
      <c r="B721" s="25" t="str">
        <f>VLOOKUP(TABLA_STOCK_LISTBOX[[#This Row],[Codigo]],LISTADO_PRODUCTOS[#All],4)</f>
        <v>Cuaderno FW Travel Journal Colección Feel Cuero Buffalo</v>
      </c>
      <c r="C721" s="25" t="str">
        <f>VLOOKUP(TABLA_STOCK_LISTBOX[[#This Row],[Codigo]],LISTADO_PRODUCTOS[#All],5)</f>
        <v>N/A</v>
      </c>
      <c r="D721" s="25">
        <f>VLOOKUP(TABLA_STOCK_LISTBOX[[#This Row],[Codigo]],TABLA_STOCK[#All],6)</f>
        <v>5</v>
      </c>
      <c r="E721" s="25">
        <f>VLOOKUP(TABLA_STOCK_LISTBOX[[#This Row],[Codigo]],TABLA_STOCK[#All],7)</f>
        <v>20</v>
      </c>
    </row>
    <row r="722" spans="1:5" x14ac:dyDescent="0.3">
      <c r="A722" s="4">
        <v>7002</v>
      </c>
      <c r="B722" s="25" t="str">
        <f>VLOOKUP(TABLA_STOCK_LISTBOX[[#This Row],[Codigo]],LISTADO_PRODUCTOS[#All],4)</f>
        <v>Cuaderno FW Sketch Book Colección Feel Tela Texturada</v>
      </c>
      <c r="C722" s="25" t="str">
        <f>VLOOKUP(TABLA_STOCK_LISTBOX[[#This Row],[Codigo]],LISTADO_PRODUCTOS[#All],5)</f>
        <v>N/A</v>
      </c>
      <c r="D722" s="25">
        <f>VLOOKUP(TABLA_STOCK_LISTBOX[[#This Row],[Codigo]],TABLA_STOCK[#All],6)</f>
        <v>1</v>
      </c>
      <c r="E722" s="25">
        <f>VLOOKUP(TABLA_STOCK_LISTBOX[[#This Row],[Codigo]],TABLA_STOCK[#All],7)</f>
        <v>19</v>
      </c>
    </row>
    <row r="723" spans="1:5" x14ac:dyDescent="0.3">
      <c r="A723" s="4">
        <v>7003</v>
      </c>
      <c r="B723" s="25" t="str">
        <f>VLOOKUP(TABLA_STOCK_LISTBOX[[#This Row],[Codigo]],LISTADO_PRODUCTOS[#All],4)</f>
        <v>Cuaderno Fw Love Journal Feel Tela Satinada</v>
      </c>
      <c r="C723" s="25" t="str">
        <f>VLOOKUP(TABLA_STOCK_LISTBOX[[#This Row],[Codigo]],LISTADO_PRODUCTOS[#All],5)</f>
        <v>N/A</v>
      </c>
      <c r="D723" s="25">
        <f>VLOOKUP(TABLA_STOCK_LISTBOX[[#This Row],[Codigo]],TABLA_STOCK[#All],6)</f>
        <v>5</v>
      </c>
      <c r="E723" s="25">
        <f>VLOOKUP(TABLA_STOCK_LISTBOX[[#This Row],[Codigo]],TABLA_STOCK[#All],7)</f>
        <v>6</v>
      </c>
    </row>
    <row r="724" spans="1:5" x14ac:dyDescent="0.3">
      <c r="A724" s="4">
        <v>7004</v>
      </c>
      <c r="B724" s="25" t="str">
        <f>VLOOKUP(TABLA_STOCK_LISTBOX[[#This Row],[Codigo]],LISTADO_PRODUCTOS[#All],4)</f>
        <v>Cuaderno Onix 16.21 anillado 120h T/C</v>
      </c>
      <c r="C724" s="25" t="str">
        <f>VLOOKUP(TABLA_STOCK_LISTBOX[[#This Row],[Codigo]],LISTADO_PRODUCTOS[#All],5)</f>
        <v>N/A</v>
      </c>
      <c r="D724" s="25">
        <f>VLOOKUP(TABLA_STOCK_LISTBOX[[#This Row],[Codigo]],TABLA_STOCK[#All],6)</f>
        <v>2</v>
      </c>
      <c r="E724" s="25">
        <f>VLOOKUP(TABLA_STOCK_LISTBOX[[#This Row],[Codigo]],TABLA_STOCK[#All],7)</f>
        <v>5</v>
      </c>
    </row>
    <row r="725" spans="1:5" x14ac:dyDescent="0.3">
      <c r="A725" s="4">
        <v>7005</v>
      </c>
      <c r="B725" s="25" t="str">
        <f>VLOOKUP(TABLA_STOCK_LISTBOX[[#This Row],[Codigo]],LISTADO_PRODUCTOS[#All],4)</f>
        <v>Cuaderno Onix 16.21 anillado 96hs T/C Hojas decoradas</v>
      </c>
      <c r="C725" s="25" t="str">
        <f>VLOOKUP(TABLA_STOCK_LISTBOX[[#This Row],[Codigo]],LISTADO_PRODUCTOS[#All],5)</f>
        <v>N/A</v>
      </c>
      <c r="D725" s="25">
        <f>VLOOKUP(TABLA_STOCK_LISTBOX[[#This Row],[Codigo]],TABLA_STOCK[#All],6)</f>
        <v>2</v>
      </c>
      <c r="E725" s="25">
        <f>VLOOKUP(TABLA_STOCK_LISTBOX[[#This Row],[Codigo]],TABLA_STOCK[#All],7)</f>
        <v>52</v>
      </c>
    </row>
    <row r="726" spans="1:5" x14ac:dyDescent="0.3">
      <c r="A726" s="4">
        <v>7006</v>
      </c>
      <c r="B726" s="25" t="str">
        <f>VLOOKUP(TABLA_STOCK_LISTBOX[[#This Row],[Codigo]],LISTADO_PRODUCTOS[#All],4)</f>
        <v>Cuaderno Onix 16.21 anillado 120hs T/C hojas decoradas</v>
      </c>
      <c r="C726" s="25" t="str">
        <f>VLOOKUP(TABLA_STOCK_LISTBOX[[#This Row],[Codigo]],LISTADO_PRODUCTOS[#All],5)</f>
        <v>N/A</v>
      </c>
      <c r="D726" s="25">
        <f>VLOOKUP(TABLA_STOCK_LISTBOX[[#This Row],[Codigo]],TABLA_STOCK[#All],6)</f>
        <v>10</v>
      </c>
      <c r="E726" s="25">
        <f>VLOOKUP(TABLA_STOCK_LISTBOX[[#This Row],[Codigo]],TABLA_STOCK[#All],7)</f>
        <v>32</v>
      </c>
    </row>
    <row r="727" spans="1:5" x14ac:dyDescent="0.3">
      <c r="A727" s="4">
        <v>7007</v>
      </c>
      <c r="B727" s="25" t="str">
        <f>VLOOKUP(TABLA_STOCK_LISTBOX[[#This Row],[Codigo]],LISTADO_PRODUCTOS[#All],4)</f>
        <v>Agenda FW 12x17 Diaria Linea Travel Marmol</v>
      </c>
      <c r="C727" s="25" t="str">
        <f>VLOOKUP(TABLA_STOCK_LISTBOX[[#This Row],[Codigo]],LISTADO_PRODUCTOS[#All],5)</f>
        <v>N/A</v>
      </c>
      <c r="D727" s="25">
        <f>VLOOKUP(TABLA_STOCK_LISTBOX[[#This Row],[Codigo]],TABLA_STOCK[#All],6)</f>
        <v>20</v>
      </c>
      <c r="E727" s="25">
        <f>VLOOKUP(TABLA_STOCK_LISTBOX[[#This Row],[Codigo]],TABLA_STOCK[#All],7)</f>
        <v>56</v>
      </c>
    </row>
    <row r="728" spans="1:5" x14ac:dyDescent="0.3">
      <c r="A728" s="4">
        <v>7008</v>
      </c>
      <c r="B728" s="25" t="str">
        <f>VLOOKUP(TABLA_STOCK_LISTBOX[[#This Row],[Codigo]],LISTADO_PRODUCTOS[#All],4)</f>
        <v>Agenda 12x17 dos dias x pagina Linea Universo</v>
      </c>
      <c r="C728" s="25" t="str">
        <f>VLOOKUP(TABLA_STOCK_LISTBOX[[#This Row],[Codigo]],LISTADO_PRODUCTOS[#All],5)</f>
        <v>N/A</v>
      </c>
      <c r="D728" s="25">
        <f>VLOOKUP(TABLA_STOCK_LISTBOX[[#This Row],[Codigo]],TABLA_STOCK[#All],6)</f>
        <v>5</v>
      </c>
      <c r="E728" s="25">
        <f>VLOOKUP(TABLA_STOCK_LISTBOX[[#This Row],[Codigo]],TABLA_STOCK[#All],7)</f>
        <v>107</v>
      </c>
    </row>
    <row r="729" spans="1:5" x14ac:dyDescent="0.3">
      <c r="A729" s="4">
        <v>7009</v>
      </c>
      <c r="B729" s="25" t="str">
        <f>VLOOKUP(TABLA_STOCK_LISTBOX[[#This Row],[Codigo]],LISTADO_PRODUCTOS[#All],4)</f>
        <v>Agenda Onix Batik 16 x 22 352 paginas 1dia x pag</v>
      </c>
      <c r="C729" s="25" t="str">
        <f>VLOOKUP(TABLA_STOCK_LISTBOX[[#This Row],[Codigo]],LISTADO_PRODUCTOS[#All],5)</f>
        <v>N/A</v>
      </c>
      <c r="D729" s="25">
        <f>VLOOKUP(TABLA_STOCK_LISTBOX[[#This Row],[Codigo]],TABLA_STOCK[#All],6)</f>
        <v>1</v>
      </c>
      <c r="E729" s="25">
        <f>VLOOKUP(TABLA_STOCK_LISTBOX[[#This Row],[Codigo]],TABLA_STOCK[#All],7)</f>
        <v>25</v>
      </c>
    </row>
    <row r="730" spans="1:5" x14ac:dyDescent="0.3">
      <c r="A730" s="4">
        <v>7071</v>
      </c>
      <c r="B730" s="25" t="str">
        <f>VLOOKUP(TABLA_STOCK_LISTBOX[[#This Row],[Codigo]],LISTADO_PRODUCTOS[#All],4)</f>
        <v>Cuaderno anillado Bookcel ahuesado Ediciones de la Montaña 80h 80gr</v>
      </c>
      <c r="C730" s="25" t="str">
        <f>VLOOKUP(TABLA_STOCK_LISTBOX[[#This Row],[Codigo]],LISTADO_PRODUCTOS[#All],5)</f>
        <v>N/A</v>
      </c>
      <c r="D730" s="25">
        <f>VLOOKUP(TABLA_STOCK_LISTBOX[[#This Row],[Codigo]],TABLA_STOCK[#All],6)</f>
        <v>5</v>
      </c>
      <c r="E730" s="25">
        <f>VLOOKUP(TABLA_STOCK_LISTBOX[[#This Row],[Codigo]],TABLA_STOCK[#All],7)</f>
        <v>32</v>
      </c>
    </row>
    <row r="731" spans="1:5" x14ac:dyDescent="0.3">
      <c r="A731" s="4">
        <v>7072</v>
      </c>
      <c r="B731" s="25" t="str">
        <f>VLOOKUP(TABLA_STOCK_LISTBOX[[#This Row],[Codigo]],LISTADO_PRODUCTOS[#All],4)</f>
        <v>Libreta Ediciones de la Montaña 64 hojas lisas Bookcel ahuesado 80gr</v>
      </c>
      <c r="C731" s="25" t="str">
        <f>VLOOKUP(TABLA_STOCK_LISTBOX[[#This Row],[Codigo]],LISTADO_PRODUCTOS[#All],5)</f>
        <v>N/A</v>
      </c>
      <c r="D731" s="25">
        <f>VLOOKUP(TABLA_STOCK_LISTBOX[[#This Row],[Codigo]],TABLA_STOCK[#All],6)</f>
        <v>2</v>
      </c>
      <c r="E731" s="25">
        <f>VLOOKUP(TABLA_STOCK_LISTBOX[[#This Row],[Codigo]],TABLA_STOCK[#All],7)</f>
        <v>150</v>
      </c>
    </row>
    <row r="732" spans="1:5" x14ac:dyDescent="0.3">
      <c r="A732" s="4">
        <v>7073</v>
      </c>
      <c r="B732" s="25" t="str">
        <f>VLOOKUP(TABLA_STOCK_LISTBOX[[#This Row],[Codigo]],LISTADO_PRODUCTOS[#All],4)</f>
        <v>Notepad Block de notas con imán 50h</v>
      </c>
      <c r="C732" s="25" t="str">
        <f>VLOOKUP(TABLA_STOCK_LISTBOX[[#This Row],[Codigo]],LISTADO_PRODUCTOS[#All],5)</f>
        <v>N/A</v>
      </c>
      <c r="D732" s="25">
        <f>VLOOKUP(TABLA_STOCK_LISTBOX[[#This Row],[Codigo]],TABLA_STOCK[#All],6)</f>
        <v>10</v>
      </c>
      <c r="E732" s="25">
        <f>VLOOKUP(TABLA_STOCK_LISTBOX[[#This Row],[Codigo]],TABLA_STOCK[#All],7)</f>
        <v>20</v>
      </c>
    </row>
    <row r="733" spans="1:5" x14ac:dyDescent="0.3">
      <c r="A733" s="4">
        <v>7075</v>
      </c>
      <c r="B733" s="25" t="str">
        <f>VLOOKUP(TABLA_STOCK_LISTBOX[[#This Row],[Codigo]],LISTADO_PRODUCTOS[#All],4)</f>
        <v>Libro de recetas y paisajes del sur</v>
      </c>
      <c r="C733" s="25" t="str">
        <f>VLOOKUP(TABLA_STOCK_LISTBOX[[#This Row],[Codigo]],LISTADO_PRODUCTOS[#All],5)</f>
        <v>N/A</v>
      </c>
      <c r="D733" s="25">
        <f>VLOOKUP(TABLA_STOCK_LISTBOX[[#This Row],[Codigo]],TABLA_STOCK[#All],6)</f>
        <v>20</v>
      </c>
      <c r="E733" s="25">
        <f>VLOOKUP(TABLA_STOCK_LISTBOX[[#This Row],[Codigo]],TABLA_STOCK[#All],7)</f>
        <v>19</v>
      </c>
    </row>
    <row r="734" spans="1:5" x14ac:dyDescent="0.3">
      <c r="A734" s="4">
        <v>7076</v>
      </c>
      <c r="B734" s="25" t="str">
        <f>VLOOKUP(TABLA_STOCK_LISTBOX[[#This Row],[Codigo]],LISTADO_PRODUCTOS[#All],4)</f>
        <v>Taza de Genko grande</v>
      </c>
      <c r="C734" s="25" t="str">
        <f>VLOOKUP(TABLA_STOCK_LISTBOX[[#This Row],[Codigo]],LISTADO_PRODUCTOS[#All],5)</f>
        <v>N/A</v>
      </c>
      <c r="D734" s="25">
        <f>VLOOKUP(TABLA_STOCK_LISTBOX[[#This Row],[Codigo]],TABLA_STOCK[#All],6)</f>
        <v>5</v>
      </c>
      <c r="E734" s="25">
        <f>VLOOKUP(TABLA_STOCK_LISTBOX[[#This Row],[Codigo]],TABLA_STOCK[#All],7)</f>
        <v>6</v>
      </c>
    </row>
    <row r="735" spans="1:5" x14ac:dyDescent="0.3">
      <c r="A735" s="4">
        <v>7077</v>
      </c>
      <c r="B735" s="25" t="str">
        <f>VLOOKUP(TABLA_STOCK_LISTBOX[[#This Row],[Codigo]],LISTADO_PRODUCTOS[#All],4)</f>
        <v>Taza de Genko chica</v>
      </c>
      <c r="C735" s="25" t="str">
        <f>VLOOKUP(TABLA_STOCK_LISTBOX[[#This Row],[Codigo]],LISTADO_PRODUCTOS[#All],5)</f>
        <v>N/A</v>
      </c>
      <c r="D735" s="25">
        <f>VLOOKUP(TABLA_STOCK_LISTBOX[[#This Row],[Codigo]],TABLA_STOCK[#All],6)</f>
        <v>1</v>
      </c>
      <c r="E735" s="25">
        <f>VLOOKUP(TABLA_STOCK_LISTBOX[[#This Row],[Codigo]],TABLA_STOCK[#All],7)</f>
        <v>5</v>
      </c>
    </row>
    <row r="736" spans="1:5" x14ac:dyDescent="0.3">
      <c r="A736" s="4">
        <v>7078</v>
      </c>
      <c r="B736" s="25" t="str">
        <f>VLOOKUP(TABLA_STOCK_LISTBOX[[#This Row],[Codigo]],LISTADO_PRODUCTOS[#All],4)</f>
        <v>Boligrafo Vaquita Vaca Wero</v>
      </c>
      <c r="C736" s="25" t="str">
        <f>VLOOKUP(TABLA_STOCK_LISTBOX[[#This Row],[Codigo]],LISTADO_PRODUCTOS[#All],5)</f>
        <v>N/A</v>
      </c>
      <c r="D736" s="25">
        <f>VLOOKUP(TABLA_STOCK_LISTBOX[[#This Row],[Codigo]],TABLA_STOCK[#All],6)</f>
        <v>5</v>
      </c>
      <c r="E736" s="25">
        <f>VLOOKUP(TABLA_STOCK_LISTBOX[[#This Row],[Codigo]],TABLA_STOCK[#All],7)</f>
        <v>52</v>
      </c>
    </row>
    <row r="737" spans="1:5" x14ac:dyDescent="0.3">
      <c r="A737" s="4">
        <v>7080</v>
      </c>
      <c r="B737" s="25" t="str">
        <f>VLOOKUP(TABLA_STOCK_LISTBOX[[#This Row],[Codigo]],LISTADO_PRODUCTOS[#All],4)</f>
        <v>MAPED Creativ PAT DOUGH Masas c/ extrusor</v>
      </c>
      <c r="C737" s="25" t="str">
        <f>VLOOKUP(TABLA_STOCK_LISTBOX[[#This Row],[Codigo]],LISTADO_PRODUCTOS[#All],5)</f>
        <v>N/A</v>
      </c>
      <c r="D737" s="25">
        <f>VLOOKUP(TABLA_STOCK_LISTBOX[[#This Row],[Codigo]],TABLA_STOCK[#All],6)</f>
        <v>2</v>
      </c>
      <c r="E737" s="25">
        <f>VLOOKUP(TABLA_STOCK_LISTBOX[[#This Row],[Codigo]],TABLA_STOCK[#All],7)</f>
        <v>32</v>
      </c>
    </row>
    <row r="738" spans="1:5" x14ac:dyDescent="0.3">
      <c r="A738" s="4">
        <v>7081</v>
      </c>
      <c r="B738" s="25" t="str">
        <f>VLOOKUP(TABLA_STOCK_LISTBOX[[#This Row],[Codigo]],LISTADO_PRODUCTOS[#All],4)</f>
        <v>Maped Creativ 50 Pieces Kit para colorear</v>
      </c>
      <c r="C738" s="25" t="str">
        <f>VLOOKUP(TABLA_STOCK_LISTBOX[[#This Row],[Codigo]],LISTADO_PRODUCTOS[#All],5)</f>
        <v>N/A</v>
      </c>
      <c r="D738" s="25">
        <f>VLOOKUP(TABLA_STOCK_LISTBOX[[#This Row],[Codigo]],TABLA_STOCK[#All],6)</f>
        <v>2</v>
      </c>
      <c r="E738" s="25">
        <f>VLOOKUP(TABLA_STOCK_LISTBOX[[#This Row],[Codigo]],TABLA_STOCK[#All],7)</f>
        <v>56</v>
      </c>
    </row>
    <row r="739" spans="1:5" x14ac:dyDescent="0.3">
      <c r="A739" s="4">
        <v>7082</v>
      </c>
      <c r="B739" s="25" t="str">
        <f>VLOOKUP(TABLA_STOCK_LISTBOX[[#This Row],[Codigo]],LISTADO_PRODUCTOS[#All],4)</f>
        <v>Maped Creativ VELVET MOSAICS</v>
      </c>
      <c r="C739" s="25" t="str">
        <f>VLOOKUP(TABLA_STOCK_LISTBOX[[#This Row],[Codigo]],LISTADO_PRODUCTOS[#All],5)</f>
        <v>N/A</v>
      </c>
      <c r="D739" s="25">
        <f>VLOOKUP(TABLA_STOCK_LISTBOX[[#This Row],[Codigo]],TABLA_STOCK[#All],6)</f>
        <v>10</v>
      </c>
      <c r="E739" s="25">
        <f>VLOOKUP(TABLA_STOCK_LISTBOX[[#This Row],[Codigo]],TABLA_STOCK[#All],7)</f>
        <v>107</v>
      </c>
    </row>
    <row r="740" spans="1:5" x14ac:dyDescent="0.3">
      <c r="A740" s="4">
        <v>7094</v>
      </c>
      <c r="B740" s="25" t="str">
        <f>VLOOKUP(TABLA_STOCK_LISTBOX[[#This Row],[Codigo]],LISTADO_PRODUCTOS[#All],4)</f>
        <v>Plasticlips crea sin limites 40 piezas</v>
      </c>
      <c r="C740" s="25" t="str">
        <f>VLOOKUP(TABLA_STOCK_LISTBOX[[#This Row],[Codigo]],LISTADO_PRODUCTOS[#All],5)</f>
        <v>N/A</v>
      </c>
      <c r="D740" s="25">
        <f>VLOOKUP(TABLA_STOCK_LISTBOX[[#This Row],[Codigo]],TABLA_STOCK[#All],6)</f>
        <v>20</v>
      </c>
      <c r="E740" s="25">
        <f>VLOOKUP(TABLA_STOCK_LISTBOX[[#This Row],[Codigo]],TABLA_STOCK[#All],7)</f>
        <v>25</v>
      </c>
    </row>
    <row r="741" spans="1:5" x14ac:dyDescent="0.3">
      <c r="A741" s="4">
        <v>7100</v>
      </c>
      <c r="B741" s="25" t="str">
        <f>VLOOKUP(TABLA_STOCK_LISTBOX[[#This Row],[Codigo]],LISTADO_PRODUCTOS[#All],4)</f>
        <v>Cartelito de puerta infantil colours</v>
      </c>
      <c r="C741" s="25" t="str">
        <f>VLOOKUP(TABLA_STOCK_LISTBOX[[#This Row],[Codigo]],LISTADO_PRODUCTOS[#All],5)</f>
        <v>N/A</v>
      </c>
      <c r="D741" s="25">
        <f>VLOOKUP(TABLA_STOCK_LISTBOX[[#This Row],[Codigo]],TABLA_STOCK[#All],6)</f>
        <v>5</v>
      </c>
      <c r="E741" s="25">
        <f>VLOOKUP(TABLA_STOCK_LISTBOX[[#This Row],[Codigo]],TABLA_STOCK[#All],7)</f>
        <v>32</v>
      </c>
    </row>
    <row r="742" spans="1:5" x14ac:dyDescent="0.3">
      <c r="A742" s="4">
        <v>7103</v>
      </c>
      <c r="B742" s="25" t="str">
        <f>VLOOKUP(TABLA_STOCK_LISTBOX[[#This Row],[Codigo]],LISTADO_PRODUCTOS[#All],4)</f>
        <v>Porta lapices para Cuadernos / Agendas Para 1 Lapicera FW Metal</v>
      </c>
      <c r="C742" s="25" t="str">
        <f>VLOOKUP(TABLA_STOCK_LISTBOX[[#This Row],[Codigo]],LISTADO_PRODUCTOS[#All],5)</f>
        <v>N/A</v>
      </c>
      <c r="D742" s="25">
        <f>VLOOKUP(TABLA_STOCK_LISTBOX[[#This Row],[Codigo]],TABLA_STOCK[#All],6)</f>
        <v>1</v>
      </c>
      <c r="E742" s="25">
        <f>VLOOKUP(TABLA_STOCK_LISTBOX[[#This Row],[Codigo]],TABLA_STOCK[#All],7)</f>
        <v>150</v>
      </c>
    </row>
    <row r="743" spans="1:5" x14ac:dyDescent="0.3">
      <c r="A743" s="4">
        <v>9000</v>
      </c>
      <c r="B743" s="25" t="str">
        <f>VLOOKUP(TABLA_STOCK_LISTBOX[[#This Row],[Codigo]],LISTADO_PRODUCTOS[#All],4)</f>
        <v>Masas con cortante Dido</v>
      </c>
      <c r="C743" s="25" t="str">
        <f>VLOOKUP(TABLA_STOCK_LISTBOX[[#This Row],[Codigo]],LISTADO_PRODUCTOS[#All],5)</f>
        <v>N/A</v>
      </c>
      <c r="D743" s="25">
        <f>VLOOKUP(TABLA_STOCK_LISTBOX[[#This Row],[Codigo]],TABLA_STOCK[#All],6)</f>
        <v>5</v>
      </c>
      <c r="E743" s="25">
        <f>VLOOKUP(TABLA_STOCK_LISTBOX[[#This Row],[Codigo]],TABLA_STOCK[#All],7)</f>
        <v>20</v>
      </c>
    </row>
    <row r="744" spans="1:5" x14ac:dyDescent="0.3">
      <c r="A744" s="4">
        <v>9001</v>
      </c>
      <c r="B744" s="25" t="str">
        <f>VLOOKUP(TABLA_STOCK_LISTBOX[[#This Row],[Codigo]],LISTADO_PRODUCTOS[#All],4)</f>
        <v>Masas Maped Creativ Pote x 114gr</v>
      </c>
      <c r="C744" s="25" t="str">
        <f>VLOOKUP(TABLA_STOCK_LISTBOX[[#This Row],[Codigo]],LISTADO_PRODUCTOS[#All],5)</f>
        <v>N/A</v>
      </c>
      <c r="D744" s="25">
        <f>VLOOKUP(TABLA_STOCK_LISTBOX[[#This Row],[Codigo]],TABLA_STOCK[#All],6)</f>
        <v>2</v>
      </c>
      <c r="E744" s="25">
        <f>VLOOKUP(TABLA_STOCK_LISTBOX[[#This Row],[Codigo]],TABLA_STOCK[#All],7)</f>
        <v>19</v>
      </c>
    </row>
    <row r="745" spans="1:5" x14ac:dyDescent="0.3">
      <c r="A745" s="4">
        <v>9006</v>
      </c>
      <c r="B745" s="25" t="str">
        <f>VLOOKUP(TABLA_STOCK_LISTBOX[[#This Row],[Codigo]],LISTADO_PRODUCTOS[#All],4)</f>
        <v>Cerebronia conexión mental</v>
      </c>
      <c r="C745" s="25" t="str">
        <f>VLOOKUP(TABLA_STOCK_LISTBOX[[#This Row],[Codigo]],LISTADO_PRODUCTOS[#All],5)</f>
        <v>N/A</v>
      </c>
      <c r="D745" s="25">
        <f>VLOOKUP(TABLA_STOCK_LISTBOX[[#This Row],[Codigo]],TABLA_STOCK[#All],6)</f>
        <v>2</v>
      </c>
      <c r="E745" s="25">
        <f>VLOOKUP(TABLA_STOCK_LISTBOX[[#This Row],[Codigo]],TABLA_STOCK[#All],7)</f>
        <v>6</v>
      </c>
    </row>
    <row r="746" spans="1:5" x14ac:dyDescent="0.3">
      <c r="A746" s="4">
        <v>9010</v>
      </c>
      <c r="B746" s="25" t="str">
        <f>VLOOKUP(TABLA_STOCK_LISTBOX[[#This Row],[Codigo]],LISTADO_PRODUCTOS[#All],4)</f>
        <v>Cartas Naipes Truco Habana Plastificadas x 40c</v>
      </c>
      <c r="C746" s="25" t="str">
        <f>VLOOKUP(TABLA_STOCK_LISTBOX[[#This Row],[Codigo]],LISTADO_PRODUCTOS[#All],5)</f>
        <v>N/A</v>
      </c>
      <c r="D746" s="25">
        <f>VLOOKUP(TABLA_STOCK_LISTBOX[[#This Row],[Codigo]],TABLA_STOCK[#All],6)</f>
        <v>10</v>
      </c>
      <c r="E746" s="25">
        <f>VLOOKUP(TABLA_STOCK_LISTBOX[[#This Row],[Codigo]],TABLA_STOCK[#All],7)</f>
        <v>5</v>
      </c>
    </row>
    <row r="747" spans="1:5" x14ac:dyDescent="0.3">
      <c r="A747" s="4">
        <v>9012</v>
      </c>
      <c r="B747" s="25" t="str">
        <f>VLOOKUP(TABLA_STOCK_LISTBOX[[#This Row],[Codigo]],LISTADO_PRODUCTOS[#All],4)</f>
        <v>Agenda FW Inspire Diaria Batik</v>
      </c>
      <c r="C747" s="25" t="str">
        <f>VLOOKUP(TABLA_STOCK_LISTBOX[[#This Row],[Codigo]],LISTADO_PRODUCTOS[#All],5)</f>
        <v>N/A</v>
      </c>
      <c r="D747" s="25">
        <f>VLOOKUP(TABLA_STOCK_LISTBOX[[#This Row],[Codigo]],TABLA_STOCK[#All],6)</f>
        <v>20</v>
      </c>
      <c r="E747" s="25">
        <f>VLOOKUP(TABLA_STOCK_LISTBOX[[#This Row],[Codigo]],TABLA_STOCK[#All],7)</f>
        <v>52</v>
      </c>
    </row>
    <row r="748" spans="1:5" x14ac:dyDescent="0.3">
      <c r="A748" s="4">
        <v>9014</v>
      </c>
      <c r="B748" s="25" t="str">
        <f>VLOOKUP(TABLA_STOCK_LISTBOX[[#This Row],[Codigo]],LISTADO_PRODUCTOS[#All],4)</f>
        <v>Set regadera con pala y rastrillo chico</v>
      </c>
      <c r="C748" s="25" t="str">
        <f>VLOOKUP(TABLA_STOCK_LISTBOX[[#This Row],[Codigo]],LISTADO_PRODUCTOS[#All],5)</f>
        <v>N/A</v>
      </c>
      <c r="D748" s="25">
        <f>VLOOKUP(TABLA_STOCK_LISTBOX[[#This Row],[Codigo]],TABLA_STOCK[#All],6)</f>
        <v>5</v>
      </c>
      <c r="E748" s="25">
        <f>VLOOKUP(TABLA_STOCK_LISTBOX[[#This Row],[Codigo]],TABLA_STOCK[#All],7)</f>
        <v>32</v>
      </c>
    </row>
    <row r="749" spans="1:5" x14ac:dyDescent="0.3">
      <c r="A749" s="4">
        <v>9023</v>
      </c>
      <c r="B749" s="25" t="str">
        <f>VLOOKUP(TABLA_STOCK_LISTBOX[[#This Row],[Codigo]],LISTADO_PRODUCTOS[#All],4)</f>
        <v>Set DURAVIT PALITA RASTRILLO Y MOLDES</v>
      </c>
      <c r="C749" s="25" t="str">
        <f>VLOOKUP(TABLA_STOCK_LISTBOX[[#This Row],[Codigo]],LISTADO_PRODUCTOS[#All],5)</f>
        <v>N/A</v>
      </c>
      <c r="D749" s="25">
        <f>VLOOKUP(TABLA_STOCK_LISTBOX[[#This Row],[Codigo]],TABLA_STOCK[#All],6)</f>
        <v>1</v>
      </c>
      <c r="E749" s="25">
        <f>VLOOKUP(TABLA_STOCK_LISTBOX[[#This Row],[Codigo]],TABLA_STOCK[#All],7)</f>
        <v>56</v>
      </c>
    </row>
    <row r="750" spans="1:5" x14ac:dyDescent="0.3">
      <c r="A750" s="4">
        <v>9028</v>
      </c>
      <c r="B750" s="25" t="str">
        <f>VLOOKUP(TABLA_STOCK_LISTBOX[[#This Row],[Codigo]],LISTADO_PRODUCTOS[#All],4)</f>
        <v>Juego de mesa LA GRANJA MILLONARIA 3200 RUIBAL</v>
      </c>
      <c r="C750" s="25" t="str">
        <f>VLOOKUP(TABLA_STOCK_LISTBOX[[#This Row],[Codigo]],LISTADO_PRODUCTOS[#All],5)</f>
        <v>N/A</v>
      </c>
      <c r="D750" s="25">
        <f>VLOOKUP(TABLA_STOCK_LISTBOX[[#This Row],[Codigo]],TABLA_STOCK[#All],6)</f>
        <v>5</v>
      </c>
      <c r="E750" s="25">
        <f>VLOOKUP(TABLA_STOCK_LISTBOX[[#This Row],[Codigo]],TABLA_STOCK[#All],7)</f>
        <v>107</v>
      </c>
    </row>
    <row r="751" spans="1:5" x14ac:dyDescent="0.3">
      <c r="A751" s="4">
        <v>9040</v>
      </c>
      <c r="B751" s="25" t="str">
        <f>VLOOKUP(TABLA_STOCK_LISTBOX[[#This Row],[Codigo]],LISTADO_PRODUCTOS[#All],4)</f>
        <v>Juego de mesa Conquista del Mundo</v>
      </c>
      <c r="C751" s="25" t="str">
        <f>VLOOKUP(TABLA_STOCK_LISTBOX[[#This Row],[Codigo]],LISTADO_PRODUCTOS[#All],5)</f>
        <v>N/A</v>
      </c>
      <c r="D751" s="25">
        <f>VLOOKUP(TABLA_STOCK_LISTBOX[[#This Row],[Codigo]],TABLA_STOCK[#All],6)</f>
        <v>2</v>
      </c>
      <c r="E751" s="25">
        <f>VLOOKUP(TABLA_STOCK_LISTBOX[[#This Row],[Codigo]],TABLA_STOCK[#All],7)</f>
        <v>25</v>
      </c>
    </row>
    <row r="752" spans="1:5" x14ac:dyDescent="0.3">
      <c r="A752" s="4">
        <v>9078</v>
      </c>
      <c r="B752" s="25" t="str">
        <f>VLOOKUP(TABLA_STOCK_LISTBOX[[#This Row],[Codigo]],LISTADO_PRODUCTOS[#All],4)</f>
        <v>Set balde con rastrillo y pala mediano Luni/Duravit</v>
      </c>
      <c r="C752" s="25" t="str">
        <f>VLOOKUP(TABLA_STOCK_LISTBOX[[#This Row],[Codigo]],LISTADO_PRODUCTOS[#All],5)</f>
        <v>N/A</v>
      </c>
      <c r="D752" s="25">
        <f>VLOOKUP(TABLA_STOCK_LISTBOX[[#This Row],[Codigo]],TABLA_STOCK[#All],6)</f>
        <v>2</v>
      </c>
      <c r="E752" s="25">
        <f>VLOOKUP(TABLA_STOCK_LISTBOX[[#This Row],[Codigo]],TABLA_STOCK[#All],7)</f>
        <v>32</v>
      </c>
    </row>
    <row r="753" spans="1:5" x14ac:dyDescent="0.3">
      <c r="A753" s="4">
        <v>9100</v>
      </c>
      <c r="B753" s="25" t="str">
        <f>VLOOKUP(TABLA_STOCK_LISTBOX[[#This Row],[Codigo]],LISTADO_PRODUCTOS[#All],4)</f>
        <v>Rompecabezas c/iman grande PIPI KUKU</v>
      </c>
      <c r="C753" s="25" t="str">
        <f>VLOOKUP(TABLA_STOCK_LISTBOX[[#This Row],[Codigo]],LISTADO_PRODUCTOS[#All],5)</f>
        <v>N/A</v>
      </c>
      <c r="D753" s="25">
        <f>VLOOKUP(TABLA_STOCK_LISTBOX[[#This Row],[Codigo]],TABLA_STOCK[#All],6)</f>
        <v>10</v>
      </c>
      <c r="E753" s="25">
        <f>VLOOKUP(TABLA_STOCK_LISTBOX[[#This Row],[Codigo]],TABLA_STOCK[#All],7)</f>
        <v>150</v>
      </c>
    </row>
    <row r="754" spans="1:5" x14ac:dyDescent="0.3">
      <c r="A754" s="4">
        <v>9101</v>
      </c>
      <c r="B754" s="25" t="str">
        <f>VLOOKUP(TABLA_STOCK_LISTBOX[[#This Row],[Codigo]],LISTADO_PRODUCTOS[#All],4)</f>
        <v>Rompecabezas inicial de PIPIKUKU madera c/iman 4 piezas</v>
      </c>
      <c r="C754" s="25" t="str">
        <f>VLOOKUP(TABLA_STOCK_LISTBOX[[#This Row],[Codigo]],LISTADO_PRODUCTOS[#All],5)</f>
        <v>N/A</v>
      </c>
      <c r="D754" s="25">
        <f>VLOOKUP(TABLA_STOCK_LISTBOX[[#This Row],[Codigo]],TABLA_STOCK[#All],6)</f>
        <v>20</v>
      </c>
      <c r="E754" s="25">
        <f>VLOOKUP(TABLA_STOCK_LISTBOX[[#This Row],[Codigo]],TABLA_STOCK[#All],7)</f>
        <v>20</v>
      </c>
    </row>
    <row r="755" spans="1:5" x14ac:dyDescent="0.3">
      <c r="A755" s="4">
        <v>9102</v>
      </c>
      <c r="B755" s="25" t="str">
        <f>VLOOKUP(TABLA_STOCK_LISTBOX[[#This Row],[Codigo]],LISTADO_PRODUCTOS[#All],4)</f>
        <v>Rompecabezas de en plancha de encastre PIPIU KUKU 36 piezas madera</v>
      </c>
      <c r="C755" s="25" t="str">
        <f>VLOOKUP(TABLA_STOCK_LISTBOX[[#This Row],[Codigo]],LISTADO_PRODUCTOS[#All],5)</f>
        <v>N/A</v>
      </c>
      <c r="D755" s="25">
        <f>VLOOKUP(TABLA_STOCK_LISTBOX[[#This Row],[Codigo]],TABLA_STOCK[#All],6)</f>
        <v>5</v>
      </c>
      <c r="E755" s="25">
        <f>VLOOKUP(TABLA_STOCK_LISTBOX[[#This Row],[Codigo]],TABLA_STOCK[#All],7)</f>
        <v>19</v>
      </c>
    </row>
    <row r="756" spans="1:5" x14ac:dyDescent="0.3">
      <c r="A756" s="4">
        <v>9103</v>
      </c>
      <c r="B756" s="25" t="str">
        <f>VLOOKUP(TABLA_STOCK_LISTBOX[[#This Row],[Codigo]],LISTADO_PRODUCTOS[#All],4)</f>
        <v xml:space="preserve">Arrastre madera </v>
      </c>
      <c r="C756" s="25" t="str">
        <f>VLOOKUP(TABLA_STOCK_LISTBOX[[#This Row],[Codigo]],LISTADO_PRODUCTOS[#All],5)</f>
        <v>N/A</v>
      </c>
      <c r="D756" s="25">
        <f>VLOOKUP(TABLA_STOCK_LISTBOX[[#This Row],[Codigo]],TABLA_STOCK[#All],6)</f>
        <v>1</v>
      </c>
      <c r="E756" s="25">
        <f>VLOOKUP(TABLA_STOCK_LISTBOX[[#This Row],[Codigo]],TABLA_STOCK[#All],7)</f>
        <v>6</v>
      </c>
    </row>
    <row r="757" spans="1:5" x14ac:dyDescent="0.3">
      <c r="A757" s="4">
        <v>9104</v>
      </c>
      <c r="B757" s="25" t="str">
        <f>VLOOKUP(TABLA_STOCK_LISTBOX[[#This Row],[Codigo]],LISTADO_PRODUCTOS[#All],4)</f>
        <v>Memo test madera PIPI KUKU</v>
      </c>
      <c r="C757" s="25" t="str">
        <f>VLOOKUP(TABLA_STOCK_LISTBOX[[#This Row],[Codigo]],LISTADO_PRODUCTOS[#All],5)</f>
        <v>N/A</v>
      </c>
      <c r="D757" s="25">
        <f>VLOOKUP(TABLA_STOCK_LISTBOX[[#This Row],[Codigo]],TABLA_STOCK[#All],6)</f>
        <v>5</v>
      </c>
      <c r="E757" s="25">
        <f>VLOOKUP(TABLA_STOCK_LISTBOX[[#This Row],[Codigo]],TABLA_STOCK[#All],7)</f>
        <v>5</v>
      </c>
    </row>
    <row r="758" spans="1:5" x14ac:dyDescent="0.3">
      <c r="A758" s="4">
        <v>9105</v>
      </c>
      <c r="B758" s="25" t="str">
        <f>VLOOKUP(TABLA_STOCK_LISTBOX[[#This Row],[Codigo]],LISTADO_PRODUCTOS[#All],4)</f>
        <v>Piezas de madera Aprendiendo PIPI KUKU 48 piezas</v>
      </c>
      <c r="C758" s="25" t="str">
        <f>VLOOKUP(TABLA_STOCK_LISTBOX[[#This Row],[Codigo]],LISTADO_PRODUCTOS[#All],5)</f>
        <v>N/A</v>
      </c>
      <c r="D758" s="25">
        <f>VLOOKUP(TABLA_STOCK_LISTBOX[[#This Row],[Codigo]],TABLA_STOCK[#All],6)</f>
        <v>2</v>
      </c>
      <c r="E758" s="25">
        <f>VLOOKUP(TABLA_STOCK_LISTBOX[[#This Row],[Codigo]],TABLA_STOCK[#All],7)</f>
        <v>52</v>
      </c>
    </row>
    <row r="759" spans="1:5" x14ac:dyDescent="0.3">
      <c r="A759" s="4">
        <v>9113</v>
      </c>
      <c r="B759" s="25" t="str">
        <f>VLOOKUP(TABLA_STOCK_LISTBOX[[#This Row],[Codigo]],LISTADO_PRODUCTOS[#All],4)</f>
        <v>Juego de cartas CONQUISTA DEL MUNDO</v>
      </c>
      <c r="C759" s="25" t="str">
        <f>VLOOKUP(TABLA_STOCK_LISTBOX[[#This Row],[Codigo]],LISTADO_PRODUCTOS[#All],5)</f>
        <v>N/A</v>
      </c>
      <c r="D759" s="25">
        <f>VLOOKUP(TABLA_STOCK_LISTBOX[[#This Row],[Codigo]],TABLA_STOCK[#All],6)</f>
        <v>10</v>
      </c>
      <c r="E759" s="25">
        <f>VLOOKUP(TABLA_STOCK_LISTBOX[[#This Row],[Codigo]],TABLA_STOCK[#All],7)</f>
        <v>32</v>
      </c>
    </row>
    <row r="760" spans="1:5" x14ac:dyDescent="0.3">
      <c r="A760" s="4">
        <v>9114</v>
      </c>
      <c r="B760" s="25" t="str">
        <f>VLOOKUP(TABLA_STOCK_LISTBOX[[#This Row],[Codigo]],LISTADO_PRODUCTOS[#All],4)</f>
        <v>Juego de bolsillo LA CASA DE LOS FANTASMAS 506</v>
      </c>
      <c r="C760" s="25" t="str">
        <f>VLOOKUP(TABLA_STOCK_LISTBOX[[#This Row],[Codigo]],LISTADO_PRODUCTOS[#All],5)</f>
        <v>N/A</v>
      </c>
      <c r="D760" s="25">
        <f>VLOOKUP(TABLA_STOCK_LISTBOX[[#This Row],[Codigo]],TABLA_STOCK[#All],6)</f>
        <v>20</v>
      </c>
      <c r="E760" s="25">
        <f>VLOOKUP(TABLA_STOCK_LISTBOX[[#This Row],[Codigo]],TABLA_STOCK[#All],7)</f>
        <v>56</v>
      </c>
    </row>
    <row r="761" spans="1:5" x14ac:dyDescent="0.3">
      <c r="A761" s="4">
        <v>9120</v>
      </c>
      <c r="B761" s="25" t="str">
        <f>VLOOKUP(TABLA_STOCK_LISTBOX[[#This Row],[Codigo]],LISTADO_PRODUCTOS[#All],4)</f>
        <v>Duravit</v>
      </c>
      <c r="C761" s="25" t="str">
        <f>VLOOKUP(TABLA_STOCK_LISTBOX[[#This Row],[Codigo]],LISTADO_PRODUCTOS[#All],5)</f>
        <v>N/A</v>
      </c>
      <c r="D761" s="25">
        <f>VLOOKUP(TABLA_STOCK_LISTBOX[[#This Row],[Codigo]],TABLA_STOCK[#All],6)</f>
        <v>5</v>
      </c>
      <c r="E761" s="25">
        <f>VLOOKUP(TABLA_STOCK_LISTBOX[[#This Row],[Codigo]],TABLA_STOCK[#All],7)</f>
        <v>107</v>
      </c>
    </row>
    <row r="762" spans="1:5" x14ac:dyDescent="0.3">
      <c r="A762" s="4">
        <v>9246</v>
      </c>
      <c r="B762" s="25" t="str">
        <f>VLOOKUP(TABLA_STOCK_LISTBOX[[#This Row],[Codigo]],LISTADO_PRODUCTOS[#All],4)</f>
        <v>Porta mfoto PIPI KUKU</v>
      </c>
      <c r="C762" s="25" t="str">
        <f>VLOOKUP(TABLA_STOCK_LISTBOX[[#This Row],[Codigo]],LISTADO_PRODUCTOS[#All],5)</f>
        <v>N/A</v>
      </c>
      <c r="D762" s="25">
        <f>VLOOKUP(TABLA_STOCK_LISTBOX[[#This Row],[Codigo]],TABLA_STOCK[#All],6)</f>
        <v>1</v>
      </c>
      <c r="E762" s="25">
        <f>VLOOKUP(TABLA_STOCK_LISTBOX[[#This Row],[Codigo]],TABLA_STOCK[#All],7)</f>
        <v>25</v>
      </c>
    </row>
    <row r="763" spans="1:5" x14ac:dyDescent="0.3">
      <c r="A763" s="4">
        <v>9298</v>
      </c>
      <c r="B763" s="25" t="str">
        <f>VLOOKUP(TABLA_STOCK_LISTBOX[[#This Row],[Codigo]],LISTADO_PRODUCTOS[#All],4)</f>
        <v>Trencito Feliz JNG Childy plast Art. 012193</v>
      </c>
      <c r="C763" s="25" t="str">
        <f>VLOOKUP(TABLA_STOCK_LISTBOX[[#This Row],[Codigo]],LISTADO_PRODUCTOS[#All],5)</f>
        <v>N/A</v>
      </c>
      <c r="D763" s="25">
        <f>VLOOKUP(TABLA_STOCK_LISTBOX[[#This Row],[Codigo]],TABLA_STOCK[#All],6)</f>
        <v>5</v>
      </c>
      <c r="E763" s="25">
        <f>VLOOKUP(TABLA_STOCK_LISTBOX[[#This Row],[Codigo]],TABLA_STOCK[#All],7)</f>
        <v>32</v>
      </c>
    </row>
    <row r="764" spans="1:5" x14ac:dyDescent="0.3">
      <c r="A764" s="4">
        <v>9303</v>
      </c>
      <c r="B764" s="25" t="str">
        <f>VLOOKUP(TABLA_STOCK_LISTBOX[[#This Row],[Codigo]],LISTADO_PRODUCTOS[#All],4)</f>
        <v>Masa perfumada en Pote Expresa Emocion</v>
      </c>
      <c r="C764" s="25" t="str">
        <f>VLOOKUP(TABLA_STOCK_LISTBOX[[#This Row],[Codigo]],LISTADO_PRODUCTOS[#All],5)</f>
        <v>N/A</v>
      </c>
      <c r="D764" s="25">
        <f>VLOOKUP(TABLA_STOCK_LISTBOX[[#This Row],[Codigo]],TABLA_STOCK[#All],6)</f>
        <v>2</v>
      </c>
      <c r="E764" s="25">
        <f>VLOOKUP(TABLA_STOCK_LISTBOX[[#This Row],[Codigo]],TABLA_STOCK[#All],7)</f>
        <v>150</v>
      </c>
    </row>
    <row r="765" spans="1:5" x14ac:dyDescent="0.3">
      <c r="A765" s="4">
        <v>9322</v>
      </c>
      <c r="B765" s="25" t="str">
        <f>VLOOKUP(TABLA_STOCK_LISTBOX[[#This Row],[Codigo]],LISTADO_PRODUCTOS[#All],4)</f>
        <v>Bitacora La cuadra/animalitos imantados</v>
      </c>
      <c r="C765" s="25" t="str">
        <f>VLOOKUP(TABLA_STOCK_LISTBOX[[#This Row],[Codigo]],LISTADO_PRODUCTOS[#All],5)</f>
        <v>N/A</v>
      </c>
      <c r="D765" s="25">
        <f>VLOOKUP(TABLA_STOCK_LISTBOX[[#This Row],[Codigo]],TABLA_STOCK[#All],6)</f>
        <v>2</v>
      </c>
      <c r="E765" s="25">
        <f>VLOOKUP(TABLA_STOCK_LISTBOX[[#This Row],[Codigo]],TABLA_STOCK[#All],7)</f>
        <v>20</v>
      </c>
    </row>
    <row r="766" spans="1:5" x14ac:dyDescent="0.3">
      <c r="A766" s="4">
        <v>9331</v>
      </c>
      <c r="B766" s="25" t="str">
        <f>VLOOKUP(TABLA_STOCK_LISTBOX[[#This Row],[Codigo]],LISTADO_PRODUCTOS[#All],4)</f>
        <v>Veo veo El Espacio - 50 personajes del espacio para buscarlos por el tablero</v>
      </c>
      <c r="C766" s="25" t="str">
        <f>VLOOKUP(TABLA_STOCK_LISTBOX[[#This Row],[Codigo]],LISTADO_PRODUCTOS[#All],5)</f>
        <v>N/A</v>
      </c>
      <c r="D766" s="25">
        <f>VLOOKUP(TABLA_STOCK_LISTBOX[[#This Row],[Codigo]],TABLA_STOCK[#All],6)</f>
        <v>10</v>
      </c>
      <c r="E766" s="25">
        <f>VLOOKUP(TABLA_STOCK_LISTBOX[[#This Row],[Codigo]],TABLA_STOCK[#All],7)</f>
        <v>19</v>
      </c>
    </row>
    <row r="767" spans="1:5" x14ac:dyDescent="0.3">
      <c r="A767" s="4">
        <v>9353</v>
      </c>
      <c r="B767" s="25" t="str">
        <f>VLOOKUP(TABLA_STOCK_LISTBOX[[#This Row],[Codigo]],LISTADO_PRODUCTOS[#All],4)</f>
        <v>Caja sorpresa x bolsa</v>
      </c>
      <c r="C767" s="25" t="str">
        <f>VLOOKUP(TABLA_STOCK_LISTBOX[[#This Row],[Codigo]],LISTADO_PRODUCTOS[#All],5)</f>
        <v>N/A</v>
      </c>
      <c r="D767" s="25">
        <f>VLOOKUP(TABLA_STOCK_LISTBOX[[#This Row],[Codigo]],TABLA_STOCK[#All],6)</f>
        <v>20</v>
      </c>
      <c r="E767" s="25">
        <f>VLOOKUP(TABLA_STOCK_LISTBOX[[#This Row],[Codigo]],TABLA_STOCK[#All],7)</f>
        <v>6</v>
      </c>
    </row>
    <row r="768" spans="1:5" x14ac:dyDescent="0.3">
      <c r="A768" s="4">
        <v>9358</v>
      </c>
      <c r="B768" s="25" t="str">
        <f>VLOOKUP(TABLA_STOCK_LISTBOX[[#This Row],[Codigo]],LISTADO_PRODUCTOS[#All],4)</f>
        <v>Pistola de agua Lyon Toys modelo 912-2</v>
      </c>
      <c r="C768" s="25" t="str">
        <f>VLOOKUP(TABLA_STOCK_LISTBOX[[#This Row],[Codigo]],LISTADO_PRODUCTOS[#All],5)</f>
        <v>N/A</v>
      </c>
      <c r="D768" s="25">
        <f>VLOOKUP(TABLA_STOCK_LISTBOX[[#This Row],[Codigo]],TABLA_STOCK[#All],6)</f>
        <v>5</v>
      </c>
      <c r="E768" s="25">
        <f>VLOOKUP(TABLA_STOCK_LISTBOX[[#This Row],[Codigo]],TABLA_STOCK[#All],7)</f>
        <v>5</v>
      </c>
    </row>
    <row r="769" spans="1:5" x14ac:dyDescent="0.3">
      <c r="A769" s="5">
        <v>9359</v>
      </c>
      <c r="B769" s="25">
        <f>VLOOKUP(TABLA_STOCK_LISTBOX[[#This Row],[Codigo]],LISTADO_PRODUCTOS[#All],4)</f>
        <v>0</v>
      </c>
      <c r="C769" s="25">
        <f>VLOOKUP(TABLA_STOCK_LISTBOX[[#This Row],[Codigo]],LISTADO_PRODUCTOS[#All],5)</f>
        <v>0</v>
      </c>
      <c r="D769" s="25">
        <f>VLOOKUP(TABLA_STOCK_LISTBOX[[#This Row],[Codigo]],TABLA_STOCK[#All],6)</f>
        <v>0</v>
      </c>
      <c r="E769" s="25">
        <f>VLOOKUP(TABLA_STOCK_LISTBOX[[#This Row],[Codigo]],TABLA_STOCK[#All],7)</f>
        <v>0</v>
      </c>
    </row>
    <row r="770" spans="1:5" x14ac:dyDescent="0.3">
      <c r="A770" s="5"/>
    </row>
    <row r="771" spans="1:5" x14ac:dyDescent="0.3">
      <c r="A771" s="5"/>
    </row>
    <row r="772" spans="1:5" x14ac:dyDescent="0.3">
      <c r="A772" s="5"/>
    </row>
    <row r="773" spans="1:5" x14ac:dyDescent="0.3">
      <c r="A773" s="5"/>
    </row>
    <row r="774" spans="1:5" x14ac:dyDescent="0.3">
      <c r="A774" s="5"/>
    </row>
    <row r="775" spans="1:5" x14ac:dyDescent="0.3">
      <c r="A775" s="5"/>
    </row>
    <row r="776" spans="1:5" x14ac:dyDescent="0.3">
      <c r="A776" s="5"/>
    </row>
    <row r="777" spans="1:5" x14ac:dyDescent="0.3">
      <c r="A777" s="5"/>
    </row>
    <row r="778" spans="1:5" x14ac:dyDescent="0.3">
      <c r="A778" s="5"/>
    </row>
    <row r="779" spans="1:5" x14ac:dyDescent="0.3">
      <c r="A779" s="5"/>
    </row>
    <row r="780" spans="1:5" x14ac:dyDescent="0.3">
      <c r="A780" s="5"/>
    </row>
    <row r="781" spans="1:5" x14ac:dyDescent="0.3">
      <c r="A781" s="5"/>
    </row>
    <row r="782" spans="1:5" x14ac:dyDescent="0.3">
      <c r="A782" s="5"/>
    </row>
    <row r="783" spans="1:5" x14ac:dyDescent="0.3">
      <c r="A783" s="5"/>
    </row>
    <row r="784" spans="1:5" x14ac:dyDescent="0.3">
      <c r="A784" s="5"/>
    </row>
    <row r="785" spans="1:1" x14ac:dyDescent="0.3">
      <c r="A785" s="5"/>
    </row>
    <row r="786" spans="1:1" x14ac:dyDescent="0.3">
      <c r="A786" s="5"/>
    </row>
    <row r="787" spans="1:1" x14ac:dyDescent="0.3">
      <c r="A787" s="5"/>
    </row>
    <row r="788" spans="1:1" x14ac:dyDescent="0.3">
      <c r="A788" s="5"/>
    </row>
    <row r="789" spans="1:1" x14ac:dyDescent="0.3">
      <c r="A789" s="5"/>
    </row>
    <row r="790" spans="1:1" x14ac:dyDescent="0.3">
      <c r="A790" s="4"/>
    </row>
    <row r="791" spans="1:1" x14ac:dyDescent="0.3">
      <c r="A791" s="4"/>
    </row>
    <row r="792" spans="1:1" x14ac:dyDescent="0.3">
      <c r="A792" s="4"/>
    </row>
    <row r="793" spans="1:1" x14ac:dyDescent="0.3">
      <c r="A793" s="4"/>
    </row>
    <row r="794" spans="1:1" x14ac:dyDescent="0.3">
      <c r="A794" s="4"/>
    </row>
    <row r="795" spans="1:1" x14ac:dyDescent="0.3">
      <c r="A795" s="4"/>
    </row>
    <row r="796" spans="1:1" x14ac:dyDescent="0.3">
      <c r="A796" s="4"/>
    </row>
    <row r="797" spans="1:1" x14ac:dyDescent="0.3">
      <c r="A797" s="4"/>
    </row>
    <row r="798" spans="1:1" x14ac:dyDescent="0.3">
      <c r="A798" s="4"/>
    </row>
    <row r="799" spans="1:1" x14ac:dyDescent="0.3">
      <c r="A799" s="4"/>
    </row>
    <row r="800" spans="1:1" x14ac:dyDescent="0.3">
      <c r="A800" s="4"/>
    </row>
    <row r="801" spans="1:1" x14ac:dyDescent="0.3">
      <c r="A801" s="4"/>
    </row>
    <row r="802" spans="1:1" x14ac:dyDescent="0.3">
      <c r="A802" s="4"/>
    </row>
    <row r="803" spans="1:1" x14ac:dyDescent="0.3">
      <c r="A803" s="4"/>
    </row>
    <row r="804" spans="1:1" x14ac:dyDescent="0.3">
      <c r="A804" s="4"/>
    </row>
    <row r="805" spans="1:1" x14ac:dyDescent="0.3">
      <c r="A805" s="4"/>
    </row>
    <row r="806" spans="1:1" x14ac:dyDescent="0.3">
      <c r="A806" s="4"/>
    </row>
    <row r="807" spans="1:1" x14ac:dyDescent="0.3">
      <c r="A807" s="4"/>
    </row>
    <row r="808" spans="1:1" x14ac:dyDescent="0.3">
      <c r="A808" s="4"/>
    </row>
    <row r="809" spans="1:1" x14ac:dyDescent="0.3">
      <c r="A809" s="4"/>
    </row>
    <row r="810" spans="1:1" x14ac:dyDescent="0.3">
      <c r="A810" s="4"/>
    </row>
    <row r="811" spans="1:1" x14ac:dyDescent="0.3">
      <c r="A811" s="4"/>
    </row>
    <row r="812" spans="1:1" x14ac:dyDescent="0.3">
      <c r="A812" s="4"/>
    </row>
    <row r="813" spans="1:1" x14ac:dyDescent="0.3">
      <c r="A813" s="4"/>
    </row>
    <row r="814" spans="1:1" x14ac:dyDescent="0.3">
      <c r="A814" s="4"/>
    </row>
    <row r="815" spans="1:1" x14ac:dyDescent="0.3">
      <c r="A815" s="4"/>
    </row>
    <row r="816" spans="1:1" x14ac:dyDescent="0.3">
      <c r="A816" s="4"/>
    </row>
    <row r="817" spans="1:1" x14ac:dyDescent="0.3">
      <c r="A817" s="4"/>
    </row>
    <row r="818" spans="1:1" x14ac:dyDescent="0.3">
      <c r="A818" s="4"/>
    </row>
    <row r="819" spans="1:1" x14ac:dyDescent="0.3">
      <c r="A819" s="4"/>
    </row>
    <row r="820" spans="1:1" x14ac:dyDescent="0.3">
      <c r="A820" s="4"/>
    </row>
    <row r="821" spans="1:1" x14ac:dyDescent="0.3">
      <c r="A821" s="4"/>
    </row>
    <row r="822" spans="1:1" x14ac:dyDescent="0.3">
      <c r="A822" s="4"/>
    </row>
    <row r="823" spans="1:1" x14ac:dyDescent="0.3">
      <c r="A823" s="4"/>
    </row>
    <row r="824" spans="1:1" x14ac:dyDescent="0.3">
      <c r="A824" s="4"/>
    </row>
    <row r="825" spans="1:1" x14ac:dyDescent="0.3">
      <c r="A825" s="4"/>
    </row>
    <row r="826" spans="1:1" x14ac:dyDescent="0.3">
      <c r="A826" s="4"/>
    </row>
    <row r="827" spans="1:1" x14ac:dyDescent="0.3">
      <c r="A827" s="4"/>
    </row>
    <row r="828" spans="1:1" x14ac:dyDescent="0.3">
      <c r="A828" s="4"/>
    </row>
    <row r="829" spans="1:1" x14ac:dyDescent="0.3">
      <c r="A829" s="4"/>
    </row>
    <row r="830" spans="1:1" x14ac:dyDescent="0.3">
      <c r="A830" s="4"/>
    </row>
    <row r="831" spans="1:1" x14ac:dyDescent="0.3">
      <c r="A831" s="4"/>
    </row>
    <row r="832" spans="1:1" x14ac:dyDescent="0.3">
      <c r="A832" s="4"/>
    </row>
    <row r="833" spans="1:1" x14ac:dyDescent="0.3">
      <c r="A833" s="4"/>
    </row>
    <row r="834" spans="1:1" x14ac:dyDescent="0.3">
      <c r="A834" s="4"/>
    </row>
    <row r="835" spans="1:1" x14ac:dyDescent="0.3">
      <c r="A835" s="4"/>
    </row>
    <row r="836" spans="1:1" x14ac:dyDescent="0.3">
      <c r="A836" s="4"/>
    </row>
    <row r="837" spans="1:1" x14ac:dyDescent="0.3">
      <c r="A837" s="4"/>
    </row>
    <row r="838" spans="1:1" x14ac:dyDescent="0.3">
      <c r="A838" s="4"/>
    </row>
    <row r="839" spans="1:1" x14ac:dyDescent="0.3">
      <c r="A839" s="4"/>
    </row>
    <row r="840" spans="1:1" x14ac:dyDescent="0.3">
      <c r="A840" s="4"/>
    </row>
    <row r="841" spans="1:1" x14ac:dyDescent="0.3">
      <c r="A841" s="4"/>
    </row>
    <row r="842" spans="1:1" x14ac:dyDescent="0.3">
      <c r="A842" s="4"/>
    </row>
    <row r="843" spans="1:1" x14ac:dyDescent="0.3">
      <c r="A843" s="4"/>
    </row>
    <row r="844" spans="1:1" x14ac:dyDescent="0.3">
      <c r="A844" s="4"/>
    </row>
    <row r="845" spans="1:1" x14ac:dyDescent="0.3">
      <c r="A845" s="4"/>
    </row>
    <row r="846" spans="1:1" x14ac:dyDescent="0.3">
      <c r="A846" s="4"/>
    </row>
    <row r="847" spans="1:1" x14ac:dyDescent="0.3">
      <c r="A847" s="4"/>
    </row>
    <row r="848" spans="1:1" x14ac:dyDescent="0.3">
      <c r="A848" s="4"/>
    </row>
    <row r="849" spans="1:1" x14ac:dyDescent="0.3">
      <c r="A849" s="4"/>
    </row>
    <row r="850" spans="1:1" x14ac:dyDescent="0.3">
      <c r="A850" s="4"/>
    </row>
    <row r="851" spans="1:1" x14ac:dyDescent="0.3">
      <c r="A851" s="4"/>
    </row>
    <row r="852" spans="1:1" x14ac:dyDescent="0.3">
      <c r="A852" s="4"/>
    </row>
    <row r="853" spans="1:1" x14ac:dyDescent="0.3">
      <c r="A853" s="4"/>
    </row>
    <row r="854" spans="1:1" x14ac:dyDescent="0.3">
      <c r="A854" s="4"/>
    </row>
    <row r="855" spans="1:1" x14ac:dyDescent="0.3">
      <c r="A855" s="4"/>
    </row>
    <row r="856" spans="1:1" x14ac:dyDescent="0.3">
      <c r="A856" s="4"/>
    </row>
    <row r="857" spans="1:1" x14ac:dyDescent="0.3">
      <c r="A857" s="4"/>
    </row>
    <row r="858" spans="1:1" x14ac:dyDescent="0.3">
      <c r="A858" s="4"/>
    </row>
    <row r="859" spans="1:1" x14ac:dyDescent="0.3">
      <c r="A859" s="4"/>
    </row>
    <row r="860" spans="1:1" x14ac:dyDescent="0.3">
      <c r="A860" s="4"/>
    </row>
    <row r="861" spans="1:1" x14ac:dyDescent="0.3">
      <c r="A861" s="4"/>
    </row>
    <row r="862" spans="1:1" x14ac:dyDescent="0.3">
      <c r="A862" s="4"/>
    </row>
    <row r="863" spans="1:1" x14ac:dyDescent="0.3">
      <c r="A863" s="4"/>
    </row>
    <row r="864" spans="1:1" x14ac:dyDescent="0.3">
      <c r="A864" s="4"/>
    </row>
    <row r="865" spans="1:1" x14ac:dyDescent="0.3">
      <c r="A865" s="4"/>
    </row>
    <row r="866" spans="1:1" x14ac:dyDescent="0.3">
      <c r="A866" s="4"/>
    </row>
    <row r="867" spans="1:1" x14ac:dyDescent="0.3">
      <c r="A867" s="4"/>
    </row>
    <row r="868" spans="1:1" x14ac:dyDescent="0.3">
      <c r="A868" s="4"/>
    </row>
    <row r="869" spans="1:1" x14ac:dyDescent="0.3">
      <c r="A869" s="4"/>
    </row>
    <row r="870" spans="1:1" x14ac:dyDescent="0.3">
      <c r="A870" s="4"/>
    </row>
    <row r="871" spans="1:1" x14ac:dyDescent="0.3">
      <c r="A871" s="4"/>
    </row>
    <row r="872" spans="1:1" x14ac:dyDescent="0.3">
      <c r="A872" s="4"/>
    </row>
    <row r="873" spans="1:1" x14ac:dyDescent="0.3">
      <c r="A873" s="4"/>
    </row>
    <row r="874" spans="1:1" x14ac:dyDescent="0.3">
      <c r="A874" s="4"/>
    </row>
    <row r="875" spans="1:1" x14ac:dyDescent="0.3">
      <c r="A875" s="4"/>
    </row>
    <row r="876" spans="1:1" x14ac:dyDescent="0.3">
      <c r="A876" s="4"/>
    </row>
    <row r="877" spans="1:1" x14ac:dyDescent="0.3">
      <c r="A877" s="4"/>
    </row>
    <row r="878" spans="1:1" x14ac:dyDescent="0.3">
      <c r="A878" s="4"/>
    </row>
    <row r="879" spans="1:1" x14ac:dyDescent="0.3">
      <c r="A879" s="4"/>
    </row>
    <row r="880" spans="1:1" x14ac:dyDescent="0.3">
      <c r="A880" s="4"/>
    </row>
    <row r="881" spans="1:1" x14ac:dyDescent="0.3">
      <c r="A881" s="4"/>
    </row>
    <row r="882" spans="1:1" x14ac:dyDescent="0.3">
      <c r="A882" s="4"/>
    </row>
    <row r="883" spans="1:1" x14ac:dyDescent="0.3">
      <c r="A883" s="4"/>
    </row>
    <row r="884" spans="1:1" x14ac:dyDescent="0.3">
      <c r="A884" s="4"/>
    </row>
    <row r="885" spans="1:1" x14ac:dyDescent="0.3">
      <c r="A885" s="4"/>
    </row>
    <row r="886" spans="1:1" x14ac:dyDescent="0.3">
      <c r="A886" s="4"/>
    </row>
    <row r="887" spans="1:1" x14ac:dyDescent="0.3">
      <c r="A887" s="4"/>
    </row>
    <row r="888" spans="1:1" x14ac:dyDescent="0.3">
      <c r="A888" s="4"/>
    </row>
    <row r="889" spans="1:1" x14ac:dyDescent="0.3">
      <c r="A889" s="4"/>
    </row>
    <row r="890" spans="1:1" x14ac:dyDescent="0.3">
      <c r="A890" s="4"/>
    </row>
    <row r="891" spans="1:1" x14ac:dyDescent="0.3">
      <c r="A891" s="4"/>
    </row>
    <row r="892" spans="1:1" x14ac:dyDescent="0.3">
      <c r="A892" s="4"/>
    </row>
    <row r="893" spans="1:1" x14ac:dyDescent="0.3">
      <c r="A893" s="4"/>
    </row>
    <row r="894" spans="1:1" x14ac:dyDescent="0.3">
      <c r="A894" s="4"/>
    </row>
    <row r="895" spans="1:1" x14ac:dyDescent="0.3">
      <c r="A895" s="4"/>
    </row>
    <row r="896" spans="1:1" x14ac:dyDescent="0.3">
      <c r="A896" s="4"/>
    </row>
    <row r="897" spans="1:1" x14ac:dyDescent="0.3">
      <c r="A897" s="4"/>
    </row>
    <row r="898" spans="1:1" x14ac:dyDescent="0.3">
      <c r="A898" s="4"/>
    </row>
    <row r="899" spans="1:1" x14ac:dyDescent="0.3">
      <c r="A899" s="4"/>
    </row>
    <row r="900" spans="1:1" x14ac:dyDescent="0.3">
      <c r="A900" s="4"/>
    </row>
    <row r="901" spans="1:1" x14ac:dyDescent="0.3">
      <c r="A901" s="4"/>
    </row>
    <row r="902" spans="1:1" x14ac:dyDescent="0.3">
      <c r="A902" s="4"/>
    </row>
    <row r="903" spans="1:1" x14ac:dyDescent="0.3">
      <c r="A903" s="4"/>
    </row>
    <row r="904" spans="1:1" x14ac:dyDescent="0.3">
      <c r="A904" s="4"/>
    </row>
    <row r="905" spans="1:1" x14ac:dyDescent="0.3">
      <c r="A905" s="4"/>
    </row>
    <row r="906" spans="1:1" x14ac:dyDescent="0.3">
      <c r="A906" s="4"/>
    </row>
    <row r="907" spans="1:1" x14ac:dyDescent="0.3">
      <c r="A907" s="4"/>
    </row>
    <row r="908" spans="1:1" x14ac:dyDescent="0.3">
      <c r="A908" s="4"/>
    </row>
    <row r="909" spans="1:1" x14ac:dyDescent="0.3">
      <c r="A909" s="4"/>
    </row>
    <row r="910" spans="1:1" x14ac:dyDescent="0.3">
      <c r="A910" s="4"/>
    </row>
    <row r="911" spans="1:1" x14ac:dyDescent="0.3">
      <c r="A911" s="4"/>
    </row>
    <row r="912" spans="1:1" x14ac:dyDescent="0.3">
      <c r="A912" s="4"/>
    </row>
    <row r="913" spans="1:1" x14ac:dyDescent="0.3">
      <c r="A913" s="4"/>
    </row>
    <row r="914" spans="1:1" x14ac:dyDescent="0.3">
      <c r="A914" s="4"/>
    </row>
    <row r="915" spans="1:1" x14ac:dyDescent="0.3">
      <c r="A915" s="4"/>
    </row>
    <row r="916" spans="1:1" x14ac:dyDescent="0.3">
      <c r="A916" s="4"/>
    </row>
    <row r="917" spans="1:1" x14ac:dyDescent="0.3">
      <c r="A917" s="4"/>
    </row>
    <row r="918" spans="1:1" x14ac:dyDescent="0.3">
      <c r="A918" s="4"/>
    </row>
    <row r="919" spans="1:1" x14ac:dyDescent="0.3">
      <c r="A919" s="4"/>
    </row>
    <row r="920" spans="1:1" x14ac:dyDescent="0.3">
      <c r="A920" s="4"/>
    </row>
    <row r="921" spans="1:1" x14ac:dyDescent="0.3">
      <c r="A921" s="4"/>
    </row>
    <row r="922" spans="1:1" x14ac:dyDescent="0.3">
      <c r="A922" s="4"/>
    </row>
    <row r="923" spans="1:1" x14ac:dyDescent="0.3">
      <c r="A923" s="4"/>
    </row>
    <row r="924" spans="1:1" x14ac:dyDescent="0.3">
      <c r="A924" s="4"/>
    </row>
    <row r="925" spans="1:1" x14ac:dyDescent="0.3">
      <c r="A925" s="4"/>
    </row>
    <row r="926" spans="1:1" x14ac:dyDescent="0.3">
      <c r="A926" s="4"/>
    </row>
    <row r="927" spans="1:1" x14ac:dyDescent="0.3">
      <c r="A927" s="4"/>
    </row>
    <row r="928" spans="1:1" x14ac:dyDescent="0.3">
      <c r="A928" s="4"/>
    </row>
    <row r="929" spans="1:1" x14ac:dyDescent="0.3">
      <c r="A929" s="4"/>
    </row>
    <row r="930" spans="1:1" x14ac:dyDescent="0.3">
      <c r="A930" s="4"/>
    </row>
    <row r="931" spans="1:1" x14ac:dyDescent="0.3">
      <c r="A931" s="4"/>
    </row>
    <row r="932" spans="1:1" x14ac:dyDescent="0.3">
      <c r="A932" s="4"/>
    </row>
    <row r="933" spans="1:1" x14ac:dyDescent="0.3">
      <c r="A933" s="4"/>
    </row>
    <row r="934" spans="1:1" x14ac:dyDescent="0.3">
      <c r="A934" s="4"/>
    </row>
    <row r="935" spans="1:1" x14ac:dyDescent="0.3">
      <c r="A935" s="4"/>
    </row>
    <row r="936" spans="1:1" x14ac:dyDescent="0.3">
      <c r="A936" s="4"/>
    </row>
    <row r="937" spans="1:1" x14ac:dyDescent="0.3">
      <c r="A937" s="4"/>
    </row>
    <row r="938" spans="1:1" x14ac:dyDescent="0.3">
      <c r="A938" s="4"/>
    </row>
    <row r="939" spans="1:1" x14ac:dyDescent="0.3">
      <c r="A939" s="4"/>
    </row>
    <row r="940" spans="1:1" x14ac:dyDescent="0.3">
      <c r="A940" s="4"/>
    </row>
    <row r="941" spans="1:1" x14ac:dyDescent="0.3">
      <c r="A941" s="4"/>
    </row>
    <row r="942" spans="1:1" x14ac:dyDescent="0.3">
      <c r="A942" s="4"/>
    </row>
    <row r="943" spans="1:1" x14ac:dyDescent="0.3">
      <c r="A943" s="4"/>
    </row>
    <row r="944" spans="1:1" x14ac:dyDescent="0.3">
      <c r="A944" s="4"/>
    </row>
    <row r="945" spans="1:1" x14ac:dyDescent="0.3">
      <c r="A945" s="4"/>
    </row>
    <row r="946" spans="1:1" x14ac:dyDescent="0.3">
      <c r="A946" s="4"/>
    </row>
    <row r="947" spans="1:1" x14ac:dyDescent="0.3">
      <c r="A947" s="4"/>
    </row>
    <row r="948" spans="1:1" x14ac:dyDescent="0.3">
      <c r="A948" s="4"/>
    </row>
    <row r="949" spans="1:1" x14ac:dyDescent="0.3">
      <c r="A949" s="4"/>
    </row>
    <row r="950" spans="1:1" x14ac:dyDescent="0.3">
      <c r="A950" s="4"/>
    </row>
    <row r="951" spans="1:1" x14ac:dyDescent="0.3">
      <c r="A951" s="4"/>
    </row>
    <row r="952" spans="1:1" x14ac:dyDescent="0.3">
      <c r="A952" s="4"/>
    </row>
    <row r="953" spans="1:1" x14ac:dyDescent="0.3">
      <c r="A953" s="4"/>
    </row>
    <row r="954" spans="1:1" x14ac:dyDescent="0.3">
      <c r="A954" s="4"/>
    </row>
    <row r="955" spans="1:1" x14ac:dyDescent="0.3">
      <c r="A955" s="4"/>
    </row>
    <row r="956" spans="1:1" x14ac:dyDescent="0.3">
      <c r="A956" s="4"/>
    </row>
    <row r="957" spans="1:1" x14ac:dyDescent="0.3">
      <c r="A957" s="4"/>
    </row>
    <row r="958" spans="1:1" x14ac:dyDescent="0.3">
      <c r="A958" s="4"/>
    </row>
    <row r="959" spans="1:1" x14ac:dyDescent="0.3">
      <c r="A959" s="4"/>
    </row>
    <row r="960" spans="1:1" x14ac:dyDescent="0.3">
      <c r="A960" s="4"/>
    </row>
    <row r="961" spans="1:1" x14ac:dyDescent="0.3">
      <c r="A961" s="4"/>
    </row>
    <row r="962" spans="1:1" x14ac:dyDescent="0.3">
      <c r="A962" s="4"/>
    </row>
    <row r="963" spans="1:1" x14ac:dyDescent="0.3">
      <c r="A963" s="4"/>
    </row>
    <row r="964" spans="1:1" x14ac:dyDescent="0.3">
      <c r="A964" s="4"/>
    </row>
    <row r="965" spans="1:1" x14ac:dyDescent="0.3">
      <c r="A965" s="4"/>
    </row>
    <row r="966" spans="1:1" x14ac:dyDescent="0.3">
      <c r="A966" s="4"/>
    </row>
    <row r="967" spans="1:1" x14ac:dyDescent="0.3">
      <c r="A967" s="4"/>
    </row>
    <row r="968" spans="1:1" x14ac:dyDescent="0.3">
      <c r="A968" s="4"/>
    </row>
    <row r="969" spans="1:1" x14ac:dyDescent="0.3">
      <c r="A969" s="4"/>
    </row>
    <row r="970" spans="1:1" x14ac:dyDescent="0.3">
      <c r="A970" s="4"/>
    </row>
    <row r="971" spans="1:1" x14ac:dyDescent="0.3">
      <c r="A971" s="4"/>
    </row>
    <row r="972" spans="1:1" x14ac:dyDescent="0.3">
      <c r="A972" s="4"/>
    </row>
    <row r="973" spans="1:1" x14ac:dyDescent="0.3">
      <c r="A973" s="4"/>
    </row>
    <row r="974" spans="1:1" x14ac:dyDescent="0.3">
      <c r="A974" s="4"/>
    </row>
    <row r="975" spans="1:1" x14ac:dyDescent="0.3">
      <c r="A975" s="4"/>
    </row>
    <row r="976" spans="1:1" x14ac:dyDescent="0.3">
      <c r="A976" s="4"/>
    </row>
    <row r="977" spans="1:1" x14ac:dyDescent="0.3">
      <c r="A977" s="4"/>
    </row>
    <row r="978" spans="1:1" x14ac:dyDescent="0.3">
      <c r="A978" s="4"/>
    </row>
    <row r="979" spans="1:1" x14ac:dyDescent="0.3">
      <c r="A979" s="4"/>
    </row>
    <row r="980" spans="1:1" x14ac:dyDescent="0.3">
      <c r="A980" s="4"/>
    </row>
    <row r="981" spans="1:1" x14ac:dyDescent="0.3">
      <c r="A981" s="4"/>
    </row>
    <row r="982" spans="1:1" x14ac:dyDescent="0.3">
      <c r="A982" s="4"/>
    </row>
    <row r="983" spans="1:1" x14ac:dyDescent="0.3">
      <c r="A983" s="4"/>
    </row>
    <row r="984" spans="1:1" x14ac:dyDescent="0.3">
      <c r="A984" s="4"/>
    </row>
    <row r="985" spans="1:1" x14ac:dyDescent="0.3">
      <c r="A985" s="4"/>
    </row>
    <row r="986" spans="1:1" x14ac:dyDescent="0.3">
      <c r="A986" s="4"/>
    </row>
    <row r="987" spans="1:1" x14ac:dyDescent="0.3">
      <c r="A987" s="4"/>
    </row>
    <row r="988" spans="1:1" x14ac:dyDescent="0.3">
      <c r="A988" s="4"/>
    </row>
    <row r="989" spans="1:1" x14ac:dyDescent="0.3">
      <c r="A989" s="4"/>
    </row>
    <row r="990" spans="1:1" x14ac:dyDescent="0.3">
      <c r="A990" s="4"/>
    </row>
    <row r="991" spans="1:1" x14ac:dyDescent="0.3">
      <c r="A991" s="4"/>
    </row>
    <row r="992" spans="1:1" x14ac:dyDescent="0.3">
      <c r="A992" s="4"/>
    </row>
    <row r="993" spans="1:1" x14ac:dyDescent="0.3">
      <c r="A993" s="4"/>
    </row>
    <row r="994" spans="1:1" x14ac:dyDescent="0.3">
      <c r="A994" s="4"/>
    </row>
    <row r="995" spans="1:1" x14ac:dyDescent="0.3">
      <c r="A995" s="4"/>
    </row>
    <row r="996" spans="1:1" x14ac:dyDescent="0.3">
      <c r="A996" s="4"/>
    </row>
    <row r="997" spans="1:1" x14ac:dyDescent="0.3">
      <c r="A997" s="4"/>
    </row>
    <row r="998" spans="1:1" x14ac:dyDescent="0.3">
      <c r="A998" s="4"/>
    </row>
    <row r="999" spans="1:1" x14ac:dyDescent="0.3">
      <c r="A999" s="4"/>
    </row>
    <row r="1000" spans="1:1" x14ac:dyDescent="0.3">
      <c r="A1000" s="4"/>
    </row>
    <row r="1001" spans="1:1" x14ac:dyDescent="0.3">
      <c r="A1001" s="4"/>
    </row>
    <row r="1002" spans="1:1" x14ac:dyDescent="0.3">
      <c r="A1002" s="4"/>
    </row>
    <row r="1003" spans="1:1" x14ac:dyDescent="0.3">
      <c r="A1003" s="4"/>
    </row>
    <row r="1004" spans="1:1" x14ac:dyDescent="0.3">
      <c r="A1004" s="4"/>
    </row>
    <row r="1005" spans="1:1" x14ac:dyDescent="0.3">
      <c r="A1005" s="4"/>
    </row>
    <row r="1006" spans="1:1" x14ac:dyDescent="0.3">
      <c r="A1006" s="4"/>
    </row>
    <row r="1007" spans="1:1" x14ac:dyDescent="0.3">
      <c r="A1007" s="4"/>
    </row>
    <row r="1008" spans="1:1" x14ac:dyDescent="0.3">
      <c r="A1008" s="4"/>
    </row>
    <row r="1009" spans="1:1" x14ac:dyDescent="0.3">
      <c r="A1009" s="4"/>
    </row>
    <row r="1010" spans="1:1" x14ac:dyDescent="0.3">
      <c r="A1010" s="4"/>
    </row>
    <row r="1011" spans="1:1" x14ac:dyDescent="0.3">
      <c r="A1011" s="4"/>
    </row>
    <row r="1012" spans="1:1" x14ac:dyDescent="0.3">
      <c r="A1012" s="4"/>
    </row>
    <row r="1013" spans="1:1" x14ac:dyDescent="0.3">
      <c r="A1013" s="4"/>
    </row>
    <row r="1014" spans="1:1" x14ac:dyDescent="0.3">
      <c r="A1014" s="4"/>
    </row>
    <row r="1015" spans="1:1" x14ac:dyDescent="0.3">
      <c r="A1015" s="4"/>
    </row>
    <row r="1016" spans="1:1" x14ac:dyDescent="0.3">
      <c r="A1016" s="4"/>
    </row>
    <row r="1017" spans="1:1" x14ac:dyDescent="0.3">
      <c r="A1017" s="4"/>
    </row>
    <row r="1018" spans="1:1" x14ac:dyDescent="0.3">
      <c r="A1018" s="4"/>
    </row>
    <row r="1019" spans="1:1" x14ac:dyDescent="0.3">
      <c r="A1019" s="4"/>
    </row>
    <row r="1020" spans="1:1" x14ac:dyDescent="0.3">
      <c r="A1020" s="4"/>
    </row>
    <row r="1021" spans="1:1" x14ac:dyDescent="0.3">
      <c r="A1021" s="4"/>
    </row>
    <row r="1022" spans="1:1" x14ac:dyDescent="0.3">
      <c r="A1022" s="4"/>
    </row>
    <row r="1023" spans="1:1" x14ac:dyDescent="0.3">
      <c r="A1023" s="4"/>
    </row>
    <row r="1024" spans="1:1" x14ac:dyDescent="0.3">
      <c r="A1024" s="4"/>
    </row>
    <row r="1025" spans="1:1" x14ac:dyDescent="0.3">
      <c r="A1025" s="4"/>
    </row>
    <row r="1026" spans="1:1" x14ac:dyDescent="0.3">
      <c r="A1026" s="4"/>
    </row>
    <row r="1027" spans="1:1" x14ac:dyDescent="0.3">
      <c r="A1027" s="4"/>
    </row>
    <row r="1028" spans="1:1" x14ac:dyDescent="0.3">
      <c r="A1028" s="4"/>
    </row>
    <row r="1029" spans="1:1" x14ac:dyDescent="0.3">
      <c r="A1029" s="4"/>
    </row>
    <row r="1030" spans="1:1" x14ac:dyDescent="0.3">
      <c r="A1030" s="4"/>
    </row>
    <row r="1031" spans="1:1" x14ac:dyDescent="0.3">
      <c r="A1031" s="4"/>
    </row>
    <row r="1032" spans="1:1" x14ac:dyDescent="0.3">
      <c r="A1032" s="4"/>
    </row>
    <row r="1033" spans="1:1" x14ac:dyDescent="0.3">
      <c r="A1033" s="4"/>
    </row>
    <row r="1034" spans="1:1" x14ac:dyDescent="0.3">
      <c r="A1034" s="4"/>
    </row>
    <row r="1035" spans="1:1" x14ac:dyDescent="0.3">
      <c r="A1035" s="4"/>
    </row>
    <row r="1036" spans="1:1" x14ac:dyDescent="0.3">
      <c r="A1036" s="4"/>
    </row>
    <row r="1037" spans="1:1" x14ac:dyDescent="0.3">
      <c r="A1037" s="4"/>
    </row>
    <row r="1038" spans="1:1" x14ac:dyDescent="0.3">
      <c r="A1038" s="4"/>
    </row>
    <row r="1039" spans="1:1" x14ac:dyDescent="0.3">
      <c r="A1039" s="4"/>
    </row>
    <row r="1040" spans="1:1" x14ac:dyDescent="0.3">
      <c r="A1040" s="4"/>
    </row>
    <row r="1041" spans="1:1" x14ac:dyDescent="0.3">
      <c r="A1041" s="4"/>
    </row>
    <row r="1042" spans="1:1" x14ac:dyDescent="0.3">
      <c r="A1042" s="4"/>
    </row>
    <row r="1043" spans="1:1" x14ac:dyDescent="0.3">
      <c r="A1043" s="4"/>
    </row>
    <row r="1044" spans="1:1" x14ac:dyDescent="0.3">
      <c r="A1044" s="4"/>
    </row>
    <row r="1045" spans="1:1" x14ac:dyDescent="0.3">
      <c r="A1045" s="4"/>
    </row>
    <row r="1046" spans="1:1" x14ac:dyDescent="0.3">
      <c r="A1046" s="4"/>
    </row>
    <row r="1047" spans="1:1" x14ac:dyDescent="0.3">
      <c r="A1047" s="4"/>
    </row>
    <row r="1048" spans="1:1" x14ac:dyDescent="0.3">
      <c r="A1048" s="4"/>
    </row>
    <row r="1049" spans="1:1" x14ac:dyDescent="0.3">
      <c r="A1049" s="4"/>
    </row>
    <row r="1050" spans="1:1" x14ac:dyDescent="0.3">
      <c r="A1050" s="4"/>
    </row>
    <row r="1051" spans="1:1" x14ac:dyDescent="0.3">
      <c r="A1051" s="4"/>
    </row>
    <row r="1052" spans="1:1" x14ac:dyDescent="0.3">
      <c r="A1052" s="4"/>
    </row>
    <row r="1053" spans="1:1" x14ac:dyDescent="0.3">
      <c r="A1053" s="4"/>
    </row>
    <row r="1054" spans="1:1" x14ac:dyDescent="0.3">
      <c r="A1054" s="4"/>
    </row>
    <row r="1055" spans="1:1" x14ac:dyDescent="0.3">
      <c r="A1055" s="4"/>
    </row>
    <row r="1056" spans="1:1" x14ac:dyDescent="0.3">
      <c r="A1056" s="4"/>
    </row>
    <row r="1057" spans="1:1" x14ac:dyDescent="0.3">
      <c r="A1057" s="4"/>
    </row>
    <row r="1058" spans="1:1" x14ac:dyDescent="0.3">
      <c r="A1058" s="4"/>
    </row>
    <row r="1059" spans="1:1" x14ac:dyDescent="0.3">
      <c r="A1059" s="4"/>
    </row>
    <row r="1060" spans="1:1" x14ac:dyDescent="0.3">
      <c r="A1060" s="4"/>
    </row>
    <row r="1061" spans="1:1" x14ac:dyDescent="0.3">
      <c r="A1061" s="4"/>
    </row>
    <row r="1062" spans="1:1" x14ac:dyDescent="0.3">
      <c r="A1062" s="4"/>
    </row>
    <row r="1063" spans="1:1" x14ac:dyDescent="0.3">
      <c r="A1063" s="4"/>
    </row>
    <row r="1064" spans="1:1" x14ac:dyDescent="0.3">
      <c r="A1064" s="4"/>
    </row>
    <row r="1065" spans="1:1" x14ac:dyDescent="0.3">
      <c r="A1065" s="4"/>
    </row>
    <row r="1066" spans="1:1" x14ac:dyDescent="0.3">
      <c r="A1066" s="4"/>
    </row>
    <row r="1067" spans="1:1" x14ac:dyDescent="0.3">
      <c r="A1067" s="4"/>
    </row>
    <row r="1068" spans="1:1" x14ac:dyDescent="0.3">
      <c r="A1068" s="4"/>
    </row>
    <row r="1069" spans="1:1" x14ac:dyDescent="0.3">
      <c r="A1069" s="4"/>
    </row>
    <row r="1070" spans="1:1" x14ac:dyDescent="0.3">
      <c r="A1070" s="5"/>
    </row>
    <row r="1071" spans="1:1" x14ac:dyDescent="0.3">
      <c r="A1071" s="4"/>
    </row>
    <row r="1072" spans="1:1" x14ac:dyDescent="0.3">
      <c r="A1072" s="4"/>
    </row>
    <row r="1073" spans="1:1" x14ac:dyDescent="0.3">
      <c r="A1073" s="4"/>
    </row>
    <row r="1074" spans="1:1" x14ac:dyDescent="0.3">
      <c r="A1074" s="4"/>
    </row>
    <row r="1075" spans="1:1" x14ac:dyDescent="0.3">
      <c r="A1075" s="4"/>
    </row>
    <row r="1076" spans="1:1" x14ac:dyDescent="0.3">
      <c r="A1076" s="4"/>
    </row>
    <row r="1077" spans="1:1" x14ac:dyDescent="0.3">
      <c r="A1077" s="4"/>
    </row>
    <row r="1078" spans="1:1" x14ac:dyDescent="0.3">
      <c r="A1078" s="4"/>
    </row>
    <row r="1079" spans="1:1" x14ac:dyDescent="0.3">
      <c r="A1079" s="4"/>
    </row>
    <row r="1080" spans="1:1" x14ac:dyDescent="0.3">
      <c r="A1080" s="4"/>
    </row>
    <row r="1081" spans="1:1" x14ac:dyDescent="0.3">
      <c r="A1081" s="4"/>
    </row>
    <row r="1082" spans="1:1" x14ac:dyDescent="0.3">
      <c r="A1082" s="4"/>
    </row>
    <row r="1083" spans="1:1" x14ac:dyDescent="0.3">
      <c r="A1083" s="4"/>
    </row>
    <row r="1084" spans="1:1" x14ac:dyDescent="0.3">
      <c r="A1084" s="4"/>
    </row>
    <row r="1085" spans="1:1" x14ac:dyDescent="0.3">
      <c r="A1085" s="4"/>
    </row>
    <row r="1086" spans="1:1" x14ac:dyDescent="0.3">
      <c r="A1086" s="4"/>
    </row>
    <row r="1087" spans="1:1" x14ac:dyDescent="0.3">
      <c r="A1087" s="4"/>
    </row>
    <row r="1088" spans="1:1" x14ac:dyDescent="0.3">
      <c r="A1088" s="4"/>
    </row>
    <row r="1089" spans="1:1" x14ac:dyDescent="0.3">
      <c r="A1089" s="4"/>
    </row>
    <row r="1090" spans="1:1" x14ac:dyDescent="0.3">
      <c r="A1090" s="4"/>
    </row>
    <row r="1091" spans="1:1" x14ac:dyDescent="0.3">
      <c r="A1091" s="4"/>
    </row>
    <row r="1092" spans="1:1" x14ac:dyDescent="0.3">
      <c r="A1092" s="4"/>
    </row>
    <row r="1093" spans="1:1" x14ac:dyDescent="0.3">
      <c r="A1093" s="4"/>
    </row>
    <row r="1094" spans="1:1" x14ac:dyDescent="0.3">
      <c r="A1094" s="4"/>
    </row>
    <row r="1095" spans="1:1" x14ac:dyDescent="0.3">
      <c r="A1095" s="4"/>
    </row>
    <row r="1096" spans="1:1" x14ac:dyDescent="0.3">
      <c r="A1096" s="4"/>
    </row>
    <row r="1097" spans="1:1" x14ac:dyDescent="0.3">
      <c r="A1097" s="4"/>
    </row>
    <row r="1098" spans="1:1" x14ac:dyDescent="0.3">
      <c r="A1098" s="4"/>
    </row>
    <row r="1099" spans="1:1" x14ac:dyDescent="0.3">
      <c r="A1099" s="4"/>
    </row>
    <row r="1100" spans="1:1" x14ac:dyDescent="0.3">
      <c r="A1100" s="4"/>
    </row>
    <row r="1101" spans="1:1" x14ac:dyDescent="0.3">
      <c r="A1101" s="4"/>
    </row>
    <row r="1102" spans="1:1" x14ac:dyDescent="0.3">
      <c r="A1102" s="4"/>
    </row>
    <row r="1103" spans="1:1" x14ac:dyDescent="0.3">
      <c r="A1103" s="4"/>
    </row>
    <row r="1104" spans="1:1" x14ac:dyDescent="0.3">
      <c r="A1104" s="4"/>
    </row>
    <row r="1105" spans="1:1" x14ac:dyDescent="0.3">
      <c r="A1105" s="4"/>
    </row>
    <row r="1106" spans="1:1" x14ac:dyDescent="0.3">
      <c r="A1106" s="4"/>
    </row>
    <row r="1107" spans="1:1" x14ac:dyDescent="0.3">
      <c r="A1107" s="4"/>
    </row>
    <row r="1108" spans="1:1" x14ac:dyDescent="0.3">
      <c r="A1108" s="4"/>
    </row>
    <row r="1109" spans="1:1" x14ac:dyDescent="0.3">
      <c r="A1109" s="4"/>
    </row>
    <row r="1110" spans="1:1" x14ac:dyDescent="0.3">
      <c r="A1110" s="4"/>
    </row>
    <row r="1111" spans="1:1" x14ac:dyDescent="0.3">
      <c r="A1111" s="4"/>
    </row>
    <row r="1112" spans="1:1" x14ac:dyDescent="0.3">
      <c r="A1112" s="4"/>
    </row>
    <row r="1113" spans="1:1" x14ac:dyDescent="0.3">
      <c r="A1113" s="4"/>
    </row>
    <row r="1114" spans="1:1" x14ac:dyDescent="0.3">
      <c r="A1114" s="4"/>
    </row>
    <row r="1115" spans="1:1" x14ac:dyDescent="0.3">
      <c r="A1115" s="4"/>
    </row>
    <row r="1116" spans="1:1" x14ac:dyDescent="0.3">
      <c r="A1116" s="4"/>
    </row>
    <row r="1117" spans="1:1" x14ac:dyDescent="0.3">
      <c r="A1117" s="4"/>
    </row>
    <row r="1118" spans="1:1" x14ac:dyDescent="0.3">
      <c r="A1118" s="4"/>
    </row>
    <row r="1119" spans="1:1" x14ac:dyDescent="0.3">
      <c r="A1119" s="4"/>
    </row>
    <row r="1120" spans="1:1" x14ac:dyDescent="0.3">
      <c r="A1120" s="4"/>
    </row>
    <row r="1121" spans="1:1" x14ac:dyDescent="0.3">
      <c r="A1121" s="4"/>
    </row>
    <row r="1122" spans="1:1" x14ac:dyDescent="0.3">
      <c r="A1122" s="4"/>
    </row>
    <row r="1123" spans="1:1" x14ac:dyDescent="0.3">
      <c r="A1123" s="4"/>
    </row>
    <row r="1124" spans="1:1" x14ac:dyDescent="0.3">
      <c r="A1124" s="4"/>
    </row>
    <row r="1125" spans="1:1" x14ac:dyDescent="0.3">
      <c r="A1125" s="4"/>
    </row>
    <row r="1126" spans="1:1" x14ac:dyDescent="0.3">
      <c r="A1126" s="4"/>
    </row>
    <row r="1127" spans="1:1" x14ac:dyDescent="0.3">
      <c r="A1127" s="4"/>
    </row>
    <row r="1128" spans="1:1" x14ac:dyDescent="0.3">
      <c r="A1128" s="4"/>
    </row>
    <row r="1129" spans="1:1" x14ac:dyDescent="0.3">
      <c r="A1129" s="4"/>
    </row>
    <row r="1130" spans="1:1" x14ac:dyDescent="0.3">
      <c r="A1130" s="4"/>
    </row>
    <row r="1131" spans="1:1" x14ac:dyDescent="0.3">
      <c r="A1131" s="4"/>
    </row>
    <row r="1132" spans="1:1" x14ac:dyDescent="0.3">
      <c r="A1132" s="4"/>
    </row>
    <row r="1133" spans="1:1" x14ac:dyDescent="0.3">
      <c r="A1133" s="4"/>
    </row>
    <row r="1134" spans="1:1" x14ac:dyDescent="0.3">
      <c r="A1134" s="4"/>
    </row>
    <row r="1135" spans="1:1" x14ac:dyDescent="0.3">
      <c r="A1135" s="4"/>
    </row>
    <row r="1136" spans="1:1" x14ac:dyDescent="0.3">
      <c r="A1136" s="4"/>
    </row>
    <row r="1137" spans="1:1" x14ac:dyDescent="0.3">
      <c r="A1137" s="4"/>
    </row>
    <row r="1138" spans="1:1" x14ac:dyDescent="0.3">
      <c r="A1138" s="4"/>
    </row>
    <row r="1139" spans="1:1" x14ac:dyDescent="0.3">
      <c r="A1139" s="4"/>
    </row>
    <row r="1140" spans="1:1" x14ac:dyDescent="0.3">
      <c r="A1140" s="4"/>
    </row>
    <row r="1141" spans="1:1" x14ac:dyDescent="0.3">
      <c r="A1141" s="4"/>
    </row>
    <row r="1142" spans="1:1" x14ac:dyDescent="0.3">
      <c r="A1142" s="4"/>
    </row>
    <row r="1143" spans="1:1" x14ac:dyDescent="0.3">
      <c r="A1143" s="4"/>
    </row>
    <row r="1144" spans="1:1" x14ac:dyDescent="0.3">
      <c r="A1144" s="4"/>
    </row>
    <row r="1145" spans="1:1" x14ac:dyDescent="0.3">
      <c r="A1145" s="4"/>
    </row>
    <row r="1146" spans="1:1" x14ac:dyDescent="0.3">
      <c r="A1146" s="4"/>
    </row>
    <row r="1147" spans="1:1" x14ac:dyDescent="0.3">
      <c r="A1147" s="4"/>
    </row>
    <row r="1148" spans="1:1" x14ac:dyDescent="0.3">
      <c r="A1148" s="4"/>
    </row>
    <row r="1149" spans="1:1" x14ac:dyDescent="0.3">
      <c r="A1149" s="4"/>
    </row>
    <row r="1150" spans="1:1" x14ac:dyDescent="0.3">
      <c r="A1150" s="4"/>
    </row>
    <row r="1151" spans="1:1" x14ac:dyDescent="0.3">
      <c r="A1151" s="4"/>
    </row>
    <row r="1152" spans="1:1" x14ac:dyDescent="0.3">
      <c r="A1152" s="4"/>
    </row>
    <row r="1153" spans="1:1" x14ac:dyDescent="0.3">
      <c r="A1153" s="4"/>
    </row>
    <row r="1154" spans="1:1" x14ac:dyDescent="0.3">
      <c r="A1154" s="4"/>
    </row>
    <row r="1155" spans="1:1" x14ac:dyDescent="0.3">
      <c r="A1155" s="4"/>
    </row>
    <row r="1156" spans="1:1" x14ac:dyDescent="0.3">
      <c r="A1156" s="4"/>
    </row>
    <row r="1157" spans="1:1" x14ac:dyDescent="0.3">
      <c r="A1157" s="4"/>
    </row>
    <row r="1158" spans="1:1" x14ac:dyDescent="0.3">
      <c r="A1158" s="4"/>
    </row>
    <row r="1159" spans="1:1" x14ac:dyDescent="0.3">
      <c r="A1159" s="4"/>
    </row>
    <row r="1160" spans="1:1" x14ac:dyDescent="0.3">
      <c r="A1160" s="4"/>
    </row>
    <row r="1161" spans="1:1" x14ac:dyDescent="0.3">
      <c r="A1161" s="4"/>
    </row>
    <row r="1162" spans="1:1" x14ac:dyDescent="0.3">
      <c r="A1162" s="4"/>
    </row>
    <row r="1163" spans="1:1" x14ac:dyDescent="0.3">
      <c r="A1163" s="4"/>
    </row>
    <row r="1164" spans="1:1" x14ac:dyDescent="0.3">
      <c r="A1164" s="4"/>
    </row>
    <row r="1165" spans="1:1" x14ac:dyDescent="0.3">
      <c r="A1165" s="4"/>
    </row>
    <row r="1166" spans="1:1" x14ac:dyDescent="0.3">
      <c r="A1166" s="4"/>
    </row>
    <row r="1167" spans="1:1" x14ac:dyDescent="0.3">
      <c r="A1167" s="4"/>
    </row>
    <row r="1168" spans="1:1" x14ac:dyDescent="0.3">
      <c r="A1168" s="4"/>
    </row>
    <row r="1169" spans="1:1" x14ac:dyDescent="0.3">
      <c r="A1169" s="4"/>
    </row>
    <row r="1170" spans="1:1" x14ac:dyDescent="0.3">
      <c r="A1170" s="4"/>
    </row>
    <row r="1171" spans="1:1" x14ac:dyDescent="0.3">
      <c r="A1171" s="4"/>
    </row>
    <row r="1172" spans="1:1" x14ac:dyDescent="0.3">
      <c r="A1172" s="4"/>
    </row>
    <row r="1173" spans="1:1" x14ac:dyDescent="0.3">
      <c r="A1173" s="4"/>
    </row>
    <row r="1174" spans="1:1" x14ac:dyDescent="0.3">
      <c r="A1174" s="4"/>
    </row>
    <row r="1175" spans="1:1" x14ac:dyDescent="0.3">
      <c r="A1175" s="4"/>
    </row>
    <row r="1176" spans="1:1" x14ac:dyDescent="0.3">
      <c r="A1176" s="4"/>
    </row>
    <row r="1177" spans="1:1" x14ac:dyDescent="0.3">
      <c r="A1177" s="4"/>
    </row>
    <row r="1178" spans="1:1" x14ac:dyDescent="0.3">
      <c r="A1178" s="4"/>
    </row>
    <row r="1179" spans="1:1" x14ac:dyDescent="0.3">
      <c r="A1179" s="4"/>
    </row>
    <row r="1180" spans="1:1" x14ac:dyDescent="0.3">
      <c r="A1180" s="4"/>
    </row>
    <row r="1181" spans="1:1" x14ac:dyDescent="0.3">
      <c r="A1181" s="4"/>
    </row>
    <row r="1182" spans="1:1" x14ac:dyDescent="0.3">
      <c r="A1182" s="4"/>
    </row>
    <row r="1183" spans="1:1" x14ac:dyDescent="0.3">
      <c r="A1183" s="4"/>
    </row>
    <row r="1184" spans="1:1" x14ac:dyDescent="0.3">
      <c r="A1184" s="4"/>
    </row>
    <row r="1185" spans="1:1" x14ac:dyDescent="0.3">
      <c r="A1185" s="4"/>
    </row>
    <row r="1186" spans="1:1" x14ac:dyDescent="0.3">
      <c r="A1186" s="4"/>
    </row>
    <row r="1187" spans="1:1" x14ac:dyDescent="0.3">
      <c r="A1187" s="4"/>
    </row>
    <row r="1188" spans="1:1" x14ac:dyDescent="0.3">
      <c r="A1188" s="4"/>
    </row>
    <row r="1189" spans="1:1" x14ac:dyDescent="0.3">
      <c r="A1189" s="4"/>
    </row>
    <row r="1190" spans="1:1" x14ac:dyDescent="0.3">
      <c r="A1190" s="4"/>
    </row>
    <row r="1191" spans="1:1" x14ac:dyDescent="0.3">
      <c r="A1191" s="4"/>
    </row>
    <row r="1192" spans="1:1" x14ac:dyDescent="0.3">
      <c r="A1192" s="4"/>
    </row>
    <row r="1193" spans="1:1" x14ac:dyDescent="0.3">
      <c r="A1193" s="4"/>
    </row>
    <row r="1194" spans="1:1" x14ac:dyDescent="0.3">
      <c r="A1194" s="4"/>
    </row>
    <row r="1195" spans="1:1" x14ac:dyDescent="0.3">
      <c r="A1195" s="4"/>
    </row>
    <row r="1196" spans="1:1" x14ac:dyDescent="0.3">
      <c r="A1196" s="4"/>
    </row>
    <row r="1197" spans="1:1" x14ac:dyDescent="0.3">
      <c r="A1197" s="4"/>
    </row>
    <row r="1198" spans="1:1" x14ac:dyDescent="0.3">
      <c r="A1198" s="4"/>
    </row>
    <row r="1199" spans="1:1" x14ac:dyDescent="0.3">
      <c r="A1199" s="4"/>
    </row>
    <row r="1200" spans="1:1" x14ac:dyDescent="0.3">
      <c r="A1200" s="4"/>
    </row>
    <row r="1201" spans="1:1" x14ac:dyDescent="0.3">
      <c r="A1201" s="4"/>
    </row>
    <row r="1202" spans="1:1" x14ac:dyDescent="0.3">
      <c r="A1202" s="4"/>
    </row>
    <row r="1203" spans="1:1" x14ac:dyDescent="0.3">
      <c r="A1203" s="4"/>
    </row>
    <row r="1204" spans="1:1" x14ac:dyDescent="0.3">
      <c r="A1204" s="4"/>
    </row>
    <row r="1205" spans="1:1" x14ac:dyDescent="0.3">
      <c r="A1205" s="4"/>
    </row>
    <row r="1206" spans="1:1" x14ac:dyDescent="0.3">
      <c r="A1206" s="4"/>
    </row>
    <row r="1207" spans="1:1" x14ac:dyDescent="0.3">
      <c r="A1207" s="4"/>
    </row>
    <row r="1208" spans="1:1" x14ac:dyDescent="0.3">
      <c r="A1208" s="4"/>
    </row>
    <row r="1209" spans="1:1" x14ac:dyDescent="0.3">
      <c r="A1209" s="4"/>
    </row>
    <row r="1210" spans="1:1" x14ac:dyDescent="0.3">
      <c r="A1210" s="4"/>
    </row>
    <row r="1211" spans="1:1" x14ac:dyDescent="0.3">
      <c r="A1211" s="4"/>
    </row>
    <row r="1212" spans="1:1" x14ac:dyDescent="0.3">
      <c r="A1212" s="4"/>
    </row>
    <row r="1213" spans="1:1" x14ac:dyDescent="0.3">
      <c r="A1213" s="4"/>
    </row>
    <row r="1214" spans="1:1" x14ac:dyDescent="0.3">
      <c r="A1214" s="4"/>
    </row>
    <row r="1215" spans="1:1" x14ac:dyDescent="0.3">
      <c r="A1215" s="4"/>
    </row>
    <row r="1216" spans="1:1" x14ac:dyDescent="0.3">
      <c r="A1216" s="4"/>
    </row>
    <row r="1217" spans="1:1" x14ac:dyDescent="0.3">
      <c r="A1217" s="4"/>
    </row>
    <row r="1218" spans="1:1" x14ac:dyDescent="0.3">
      <c r="A1218" s="4"/>
    </row>
    <row r="1219" spans="1:1" x14ac:dyDescent="0.3">
      <c r="A1219" s="4"/>
    </row>
    <row r="1220" spans="1:1" x14ac:dyDescent="0.3">
      <c r="A1220" s="4"/>
    </row>
    <row r="1221" spans="1:1" x14ac:dyDescent="0.3">
      <c r="A1221" s="4"/>
    </row>
    <row r="1222" spans="1:1" x14ac:dyDescent="0.3">
      <c r="A1222" s="4"/>
    </row>
    <row r="1223" spans="1:1" x14ac:dyDescent="0.3">
      <c r="A1223" s="4"/>
    </row>
    <row r="1224" spans="1:1" x14ac:dyDescent="0.3">
      <c r="A1224" s="4"/>
    </row>
    <row r="1225" spans="1:1" x14ac:dyDescent="0.3">
      <c r="A1225" s="4"/>
    </row>
    <row r="1226" spans="1:1" x14ac:dyDescent="0.3">
      <c r="A1226" s="4"/>
    </row>
    <row r="1227" spans="1:1" x14ac:dyDescent="0.3">
      <c r="A1227" s="4"/>
    </row>
    <row r="1228" spans="1:1" x14ac:dyDescent="0.3">
      <c r="A1228" s="4"/>
    </row>
    <row r="1229" spans="1:1" x14ac:dyDescent="0.3">
      <c r="A1229" s="4"/>
    </row>
    <row r="1230" spans="1:1" x14ac:dyDescent="0.3">
      <c r="A1230" s="4"/>
    </row>
    <row r="1231" spans="1:1" x14ac:dyDescent="0.3">
      <c r="A1231" s="4"/>
    </row>
    <row r="1232" spans="1:1" x14ac:dyDescent="0.3">
      <c r="A1232" s="4"/>
    </row>
    <row r="1233" spans="1:1" x14ac:dyDescent="0.3">
      <c r="A1233" s="4"/>
    </row>
    <row r="1234" spans="1:1" x14ac:dyDescent="0.3">
      <c r="A1234" s="4"/>
    </row>
    <row r="1235" spans="1:1" x14ac:dyDescent="0.3">
      <c r="A1235" s="4"/>
    </row>
    <row r="1236" spans="1:1" x14ac:dyDescent="0.3">
      <c r="A1236" s="4"/>
    </row>
    <row r="1237" spans="1:1" x14ac:dyDescent="0.3">
      <c r="A1237" s="4"/>
    </row>
    <row r="1238" spans="1:1" x14ac:dyDescent="0.3">
      <c r="A1238" s="4"/>
    </row>
    <row r="1239" spans="1:1" x14ac:dyDescent="0.3">
      <c r="A1239" s="4"/>
    </row>
    <row r="1240" spans="1:1" x14ac:dyDescent="0.3">
      <c r="A1240" s="4"/>
    </row>
    <row r="1241" spans="1:1" x14ac:dyDescent="0.3">
      <c r="A1241" s="4"/>
    </row>
    <row r="1242" spans="1:1" x14ac:dyDescent="0.3">
      <c r="A1242" s="4"/>
    </row>
    <row r="1243" spans="1:1" x14ac:dyDescent="0.3">
      <c r="A1243" s="4"/>
    </row>
    <row r="1244" spans="1:1" x14ac:dyDescent="0.3">
      <c r="A1244" s="4"/>
    </row>
    <row r="1245" spans="1:1" x14ac:dyDescent="0.3">
      <c r="A1245" s="4"/>
    </row>
    <row r="1246" spans="1:1" x14ac:dyDescent="0.3">
      <c r="A1246" s="4"/>
    </row>
    <row r="1247" spans="1:1" x14ac:dyDescent="0.3">
      <c r="A1247" s="4"/>
    </row>
    <row r="1248" spans="1:1" x14ac:dyDescent="0.3">
      <c r="A1248" s="4"/>
    </row>
    <row r="1249" spans="1:1" x14ac:dyDescent="0.3">
      <c r="A1249" s="4"/>
    </row>
    <row r="1250" spans="1:1" x14ac:dyDescent="0.3">
      <c r="A1250" s="4"/>
    </row>
    <row r="1251" spans="1:1" x14ac:dyDescent="0.3">
      <c r="A1251" s="4"/>
    </row>
    <row r="1252" spans="1:1" x14ac:dyDescent="0.3">
      <c r="A1252" s="4"/>
    </row>
    <row r="1253" spans="1:1" x14ac:dyDescent="0.3">
      <c r="A1253" s="4"/>
    </row>
    <row r="1254" spans="1:1" x14ac:dyDescent="0.3">
      <c r="A1254" s="4"/>
    </row>
    <row r="1255" spans="1:1" x14ac:dyDescent="0.3">
      <c r="A1255" s="4"/>
    </row>
    <row r="1256" spans="1:1" x14ac:dyDescent="0.3">
      <c r="A1256" s="4"/>
    </row>
    <row r="1257" spans="1:1" x14ac:dyDescent="0.3">
      <c r="A1257" s="4"/>
    </row>
    <row r="1258" spans="1:1" x14ac:dyDescent="0.3">
      <c r="A1258" s="4"/>
    </row>
    <row r="1259" spans="1:1" x14ac:dyDescent="0.3">
      <c r="A1259" s="4"/>
    </row>
    <row r="1260" spans="1:1" x14ac:dyDescent="0.3">
      <c r="A1260" s="4"/>
    </row>
    <row r="1261" spans="1:1" x14ac:dyDescent="0.3">
      <c r="A1261" s="4"/>
    </row>
    <row r="1262" spans="1:1" x14ac:dyDescent="0.3">
      <c r="A1262" s="4"/>
    </row>
    <row r="1263" spans="1:1" x14ac:dyDescent="0.3">
      <c r="A1263" s="4"/>
    </row>
    <row r="1264" spans="1:1" x14ac:dyDescent="0.3">
      <c r="A1264" s="4"/>
    </row>
    <row r="1265" spans="1:1" x14ac:dyDescent="0.3">
      <c r="A1265" s="4"/>
    </row>
    <row r="1266" spans="1:1" x14ac:dyDescent="0.3">
      <c r="A1266" s="4"/>
    </row>
    <row r="1267" spans="1:1" x14ac:dyDescent="0.3">
      <c r="A1267" s="4"/>
    </row>
    <row r="1268" spans="1:1" x14ac:dyDescent="0.3">
      <c r="A1268" s="4"/>
    </row>
    <row r="1269" spans="1:1" x14ac:dyDescent="0.3">
      <c r="A1269" s="4"/>
    </row>
    <row r="1270" spans="1:1" x14ac:dyDescent="0.3">
      <c r="A1270" s="4"/>
    </row>
    <row r="1271" spans="1:1" x14ac:dyDescent="0.3">
      <c r="A1271" s="4"/>
    </row>
    <row r="1272" spans="1:1" x14ac:dyDescent="0.3">
      <c r="A1272" s="4"/>
    </row>
    <row r="1273" spans="1:1" x14ac:dyDescent="0.3">
      <c r="A1273" s="4"/>
    </row>
    <row r="1274" spans="1:1" x14ac:dyDescent="0.3">
      <c r="A1274" s="4"/>
    </row>
    <row r="1275" spans="1:1" x14ac:dyDescent="0.3">
      <c r="A1275" s="4"/>
    </row>
    <row r="1276" spans="1:1" x14ac:dyDescent="0.3">
      <c r="A1276" s="4"/>
    </row>
    <row r="1277" spans="1:1" x14ac:dyDescent="0.3">
      <c r="A1277" s="4"/>
    </row>
    <row r="1278" spans="1:1" x14ac:dyDescent="0.3">
      <c r="A1278" s="4"/>
    </row>
    <row r="1279" spans="1:1" x14ac:dyDescent="0.3">
      <c r="A1279" s="4"/>
    </row>
    <row r="1280" spans="1:1" x14ac:dyDescent="0.3">
      <c r="A1280" s="4"/>
    </row>
    <row r="1281" spans="1:1" x14ac:dyDescent="0.3">
      <c r="A1281" s="4"/>
    </row>
    <row r="1282" spans="1:1" x14ac:dyDescent="0.3">
      <c r="A1282" s="4"/>
    </row>
    <row r="1283" spans="1:1" x14ac:dyDescent="0.3">
      <c r="A1283" s="4"/>
    </row>
    <row r="1284" spans="1:1" x14ac:dyDescent="0.3">
      <c r="A1284" s="4"/>
    </row>
    <row r="1285" spans="1:1" x14ac:dyDescent="0.3">
      <c r="A1285" s="4"/>
    </row>
    <row r="1286" spans="1:1" x14ac:dyDescent="0.3">
      <c r="A1286" s="4"/>
    </row>
    <row r="1287" spans="1:1" x14ac:dyDescent="0.3">
      <c r="A1287" s="4"/>
    </row>
    <row r="1288" spans="1:1" x14ac:dyDescent="0.3">
      <c r="A1288" s="4"/>
    </row>
    <row r="1289" spans="1:1" x14ac:dyDescent="0.3">
      <c r="A1289" s="4"/>
    </row>
    <row r="1290" spans="1:1" x14ac:dyDescent="0.3">
      <c r="A1290" s="4"/>
    </row>
    <row r="1291" spans="1:1" x14ac:dyDescent="0.3">
      <c r="A1291" s="4"/>
    </row>
    <row r="1292" spans="1:1" x14ac:dyDescent="0.3">
      <c r="A1292" s="4"/>
    </row>
    <row r="1293" spans="1:1" x14ac:dyDescent="0.3">
      <c r="A1293" s="4"/>
    </row>
    <row r="1294" spans="1:1" x14ac:dyDescent="0.3">
      <c r="A1294" s="4"/>
    </row>
    <row r="1295" spans="1:1" x14ac:dyDescent="0.3">
      <c r="A1295" s="4"/>
    </row>
    <row r="1296" spans="1:1" x14ac:dyDescent="0.3">
      <c r="A1296" s="4"/>
    </row>
    <row r="1297" spans="1:1" x14ac:dyDescent="0.3">
      <c r="A1297" s="4"/>
    </row>
    <row r="1298" spans="1:1" x14ac:dyDescent="0.3">
      <c r="A1298" s="4"/>
    </row>
    <row r="1299" spans="1:1" x14ac:dyDescent="0.3">
      <c r="A1299" s="4"/>
    </row>
    <row r="1300" spans="1:1" x14ac:dyDescent="0.3">
      <c r="A1300" s="4"/>
    </row>
    <row r="1301" spans="1:1" x14ac:dyDescent="0.3">
      <c r="A1301" s="4"/>
    </row>
    <row r="1302" spans="1:1" x14ac:dyDescent="0.3">
      <c r="A1302" s="4"/>
    </row>
    <row r="1303" spans="1:1" x14ac:dyDescent="0.3">
      <c r="A1303" s="4"/>
    </row>
    <row r="1304" spans="1:1" x14ac:dyDescent="0.3">
      <c r="A1304" s="4"/>
    </row>
    <row r="1305" spans="1:1" x14ac:dyDescent="0.3">
      <c r="A1305" s="4"/>
    </row>
    <row r="1306" spans="1:1" x14ac:dyDescent="0.3">
      <c r="A1306" s="4"/>
    </row>
    <row r="1307" spans="1:1" x14ac:dyDescent="0.3">
      <c r="A1307" s="4"/>
    </row>
    <row r="1308" spans="1:1" x14ac:dyDescent="0.3">
      <c r="A1308" s="4"/>
    </row>
    <row r="1309" spans="1:1" x14ac:dyDescent="0.3">
      <c r="A1309" s="4"/>
    </row>
    <row r="1310" spans="1:1" x14ac:dyDescent="0.3">
      <c r="A1310" s="4"/>
    </row>
    <row r="1311" spans="1:1" x14ac:dyDescent="0.3">
      <c r="A1311" s="4"/>
    </row>
    <row r="1312" spans="1:1" x14ac:dyDescent="0.3">
      <c r="A1312" s="4"/>
    </row>
    <row r="1313" spans="1:1" x14ac:dyDescent="0.3">
      <c r="A1313" s="4"/>
    </row>
    <row r="1314" spans="1:1" x14ac:dyDescent="0.3">
      <c r="A1314" s="4"/>
    </row>
    <row r="1315" spans="1:1" x14ac:dyDescent="0.3">
      <c r="A1315" s="4"/>
    </row>
    <row r="1316" spans="1:1" x14ac:dyDescent="0.3">
      <c r="A1316" s="4"/>
    </row>
    <row r="1317" spans="1:1" x14ac:dyDescent="0.3">
      <c r="A1317" s="4"/>
    </row>
    <row r="1318" spans="1:1" x14ac:dyDescent="0.3">
      <c r="A1318" s="4"/>
    </row>
    <row r="1319" spans="1:1" x14ac:dyDescent="0.3">
      <c r="A1319" s="4"/>
    </row>
    <row r="1320" spans="1:1" x14ac:dyDescent="0.3">
      <c r="A1320" s="4"/>
    </row>
    <row r="1321" spans="1:1" x14ac:dyDescent="0.3">
      <c r="A1321" s="4"/>
    </row>
    <row r="1322" spans="1:1" x14ac:dyDescent="0.3">
      <c r="A1322" s="4"/>
    </row>
    <row r="1323" spans="1:1" x14ac:dyDescent="0.3">
      <c r="A1323" s="4"/>
    </row>
    <row r="1324" spans="1:1" x14ac:dyDescent="0.3">
      <c r="A1324" s="4"/>
    </row>
    <row r="1325" spans="1:1" x14ac:dyDescent="0.3">
      <c r="A1325" s="4"/>
    </row>
    <row r="1326" spans="1:1" x14ac:dyDescent="0.3">
      <c r="A1326" s="4"/>
    </row>
    <row r="1327" spans="1:1" x14ac:dyDescent="0.3">
      <c r="A1327" s="4"/>
    </row>
    <row r="1328" spans="1:1" x14ac:dyDescent="0.3">
      <c r="A1328" s="4"/>
    </row>
    <row r="1329" spans="1:1" x14ac:dyDescent="0.3">
      <c r="A1329" s="4"/>
    </row>
    <row r="1330" spans="1:1" x14ac:dyDescent="0.3">
      <c r="A1330" s="4"/>
    </row>
    <row r="1331" spans="1:1" x14ac:dyDescent="0.3">
      <c r="A1331" s="4"/>
    </row>
    <row r="1332" spans="1:1" x14ac:dyDescent="0.3">
      <c r="A1332" s="4"/>
    </row>
    <row r="1333" spans="1:1" x14ac:dyDescent="0.3">
      <c r="A1333" s="4"/>
    </row>
    <row r="1334" spans="1:1" x14ac:dyDescent="0.3">
      <c r="A1334" s="4"/>
    </row>
    <row r="1335" spans="1:1" x14ac:dyDescent="0.3">
      <c r="A1335" s="4"/>
    </row>
    <row r="1336" spans="1:1" x14ac:dyDescent="0.3">
      <c r="A1336" s="4"/>
    </row>
    <row r="1337" spans="1:1" x14ac:dyDescent="0.3">
      <c r="A1337" s="4"/>
    </row>
    <row r="1338" spans="1:1" x14ac:dyDescent="0.3">
      <c r="A1338" s="4"/>
    </row>
    <row r="1339" spans="1:1" x14ac:dyDescent="0.3">
      <c r="A1339" s="4"/>
    </row>
    <row r="1340" spans="1:1" x14ac:dyDescent="0.3">
      <c r="A1340" s="4"/>
    </row>
    <row r="1341" spans="1:1" x14ac:dyDescent="0.3">
      <c r="A1341" s="4"/>
    </row>
    <row r="1342" spans="1:1" x14ac:dyDescent="0.3">
      <c r="A1342" s="4"/>
    </row>
    <row r="1343" spans="1:1" x14ac:dyDescent="0.3">
      <c r="A1343" s="4"/>
    </row>
    <row r="1344" spans="1:1" x14ac:dyDescent="0.3">
      <c r="A1344" s="4"/>
    </row>
    <row r="1345" spans="1:1" x14ac:dyDescent="0.3">
      <c r="A1345" s="4"/>
    </row>
    <row r="1346" spans="1:1" x14ac:dyDescent="0.3">
      <c r="A1346" s="4"/>
    </row>
    <row r="1347" spans="1:1" x14ac:dyDescent="0.3">
      <c r="A1347" s="4"/>
    </row>
    <row r="1348" spans="1:1" x14ac:dyDescent="0.3">
      <c r="A1348" s="4"/>
    </row>
    <row r="1349" spans="1:1" x14ac:dyDescent="0.3">
      <c r="A1349" s="4"/>
    </row>
    <row r="1350" spans="1:1" x14ac:dyDescent="0.3">
      <c r="A1350" s="4"/>
    </row>
    <row r="1351" spans="1:1" x14ac:dyDescent="0.3">
      <c r="A1351" s="4"/>
    </row>
    <row r="1352" spans="1:1" x14ac:dyDescent="0.3">
      <c r="A1352" s="4"/>
    </row>
    <row r="1353" spans="1:1" x14ac:dyDescent="0.3">
      <c r="A1353" s="4"/>
    </row>
    <row r="1354" spans="1:1" x14ac:dyDescent="0.3">
      <c r="A1354" s="4"/>
    </row>
    <row r="1355" spans="1:1" x14ac:dyDescent="0.3">
      <c r="A1355" s="4"/>
    </row>
    <row r="1356" spans="1:1" x14ac:dyDescent="0.3">
      <c r="A1356" s="4"/>
    </row>
    <row r="1357" spans="1:1" x14ac:dyDescent="0.3">
      <c r="A1357" s="4"/>
    </row>
    <row r="1358" spans="1:1" x14ac:dyDescent="0.3">
      <c r="A1358" s="4"/>
    </row>
    <row r="1359" spans="1:1" x14ac:dyDescent="0.3">
      <c r="A1359" s="4"/>
    </row>
    <row r="1360" spans="1:1" x14ac:dyDescent="0.3">
      <c r="A1360" s="4"/>
    </row>
    <row r="1361" spans="1:1" x14ac:dyDescent="0.3">
      <c r="A1361" s="4"/>
    </row>
    <row r="1362" spans="1:1" x14ac:dyDescent="0.3">
      <c r="A1362" s="4"/>
    </row>
    <row r="1363" spans="1:1" x14ac:dyDescent="0.3">
      <c r="A1363" s="4"/>
    </row>
    <row r="1364" spans="1:1" x14ac:dyDescent="0.3">
      <c r="A1364" s="4"/>
    </row>
    <row r="1365" spans="1:1" x14ac:dyDescent="0.3">
      <c r="A1365" s="4"/>
    </row>
    <row r="1366" spans="1:1" x14ac:dyDescent="0.3">
      <c r="A1366" s="4"/>
    </row>
    <row r="1367" spans="1:1" x14ac:dyDescent="0.3">
      <c r="A1367" s="4"/>
    </row>
    <row r="1368" spans="1:1" x14ac:dyDescent="0.3">
      <c r="A1368" s="4"/>
    </row>
    <row r="1369" spans="1:1" x14ac:dyDescent="0.3">
      <c r="A1369" s="4"/>
    </row>
    <row r="1370" spans="1:1" x14ac:dyDescent="0.3">
      <c r="A1370" s="4"/>
    </row>
    <row r="1371" spans="1:1" x14ac:dyDescent="0.3">
      <c r="A1371" s="4"/>
    </row>
    <row r="1372" spans="1:1" x14ac:dyDescent="0.3">
      <c r="A1372" s="4"/>
    </row>
    <row r="1373" spans="1:1" x14ac:dyDescent="0.3">
      <c r="A1373" s="4"/>
    </row>
    <row r="1374" spans="1:1" x14ac:dyDescent="0.3">
      <c r="A1374" s="4"/>
    </row>
    <row r="1375" spans="1:1" x14ac:dyDescent="0.3">
      <c r="A1375" s="4"/>
    </row>
    <row r="1376" spans="1:1" x14ac:dyDescent="0.3">
      <c r="A1376" s="4"/>
    </row>
    <row r="1377" spans="1:1" x14ac:dyDescent="0.3">
      <c r="A1377" s="4"/>
    </row>
    <row r="1378" spans="1:1" x14ac:dyDescent="0.3">
      <c r="A1378" s="4"/>
    </row>
    <row r="1379" spans="1:1" x14ac:dyDescent="0.3">
      <c r="A1379" s="4"/>
    </row>
    <row r="1380" spans="1:1" x14ac:dyDescent="0.3">
      <c r="A1380" s="4"/>
    </row>
    <row r="1381" spans="1:1" x14ac:dyDescent="0.3">
      <c r="A1381" s="4"/>
    </row>
    <row r="1382" spans="1:1" x14ac:dyDescent="0.3">
      <c r="A1382" s="4"/>
    </row>
    <row r="1383" spans="1:1" x14ac:dyDescent="0.3">
      <c r="A1383" s="4"/>
    </row>
    <row r="1384" spans="1:1" x14ac:dyDescent="0.3">
      <c r="A1384" s="4"/>
    </row>
    <row r="1385" spans="1:1" x14ac:dyDescent="0.3">
      <c r="A1385" s="4"/>
    </row>
    <row r="1386" spans="1:1" x14ac:dyDescent="0.3">
      <c r="A1386" s="4"/>
    </row>
    <row r="1387" spans="1:1" x14ac:dyDescent="0.3">
      <c r="A1387" s="4"/>
    </row>
    <row r="1388" spans="1:1" x14ac:dyDescent="0.3">
      <c r="A1388" s="4"/>
    </row>
    <row r="1389" spans="1:1" x14ac:dyDescent="0.3">
      <c r="A1389" s="4"/>
    </row>
    <row r="1390" spans="1:1" x14ac:dyDescent="0.3">
      <c r="A1390" s="4"/>
    </row>
    <row r="1391" spans="1:1" x14ac:dyDescent="0.3">
      <c r="A1391" s="4"/>
    </row>
    <row r="1392" spans="1:1" x14ac:dyDescent="0.3">
      <c r="A1392" s="4"/>
    </row>
    <row r="1393" spans="1:1" x14ac:dyDescent="0.3">
      <c r="A1393" s="4"/>
    </row>
    <row r="1394" spans="1:1" x14ac:dyDescent="0.3">
      <c r="A1394" s="4"/>
    </row>
    <row r="1395" spans="1:1" x14ac:dyDescent="0.3">
      <c r="A1395" s="4"/>
    </row>
    <row r="1396" spans="1:1" x14ac:dyDescent="0.3">
      <c r="A1396" s="4"/>
    </row>
    <row r="1397" spans="1:1" x14ac:dyDescent="0.3">
      <c r="A1397" s="4"/>
    </row>
    <row r="1398" spans="1:1" x14ac:dyDescent="0.3">
      <c r="A1398" s="4"/>
    </row>
    <row r="1399" spans="1:1" x14ac:dyDescent="0.3">
      <c r="A1399" s="4"/>
    </row>
    <row r="1400" spans="1:1" x14ac:dyDescent="0.3">
      <c r="A1400" s="4"/>
    </row>
    <row r="1401" spans="1:1" x14ac:dyDescent="0.3">
      <c r="A1401" s="4"/>
    </row>
    <row r="1402" spans="1:1" x14ac:dyDescent="0.3">
      <c r="A1402" s="4"/>
    </row>
    <row r="1403" spans="1:1" x14ac:dyDescent="0.3">
      <c r="A1403" s="4"/>
    </row>
    <row r="1404" spans="1:1" x14ac:dyDescent="0.3">
      <c r="A1404" s="4"/>
    </row>
    <row r="1405" spans="1:1" x14ac:dyDescent="0.3">
      <c r="A1405" s="4"/>
    </row>
    <row r="1406" spans="1:1" x14ac:dyDescent="0.3">
      <c r="A1406" s="4"/>
    </row>
    <row r="1407" spans="1:1" x14ac:dyDescent="0.3">
      <c r="A1407" s="4"/>
    </row>
    <row r="1408" spans="1:1" x14ac:dyDescent="0.3">
      <c r="A1408" s="4"/>
    </row>
    <row r="1409" spans="1:1" x14ac:dyDescent="0.3">
      <c r="A1409" s="4"/>
    </row>
    <row r="1410" spans="1:1" x14ac:dyDescent="0.3">
      <c r="A1410" s="4"/>
    </row>
    <row r="1411" spans="1:1" x14ac:dyDescent="0.3">
      <c r="A1411" s="4"/>
    </row>
    <row r="1412" spans="1:1" x14ac:dyDescent="0.3">
      <c r="A1412" s="4"/>
    </row>
    <row r="1413" spans="1:1" x14ac:dyDescent="0.3">
      <c r="A1413" s="4"/>
    </row>
    <row r="1414" spans="1:1" x14ac:dyDescent="0.3">
      <c r="A1414" s="4"/>
    </row>
    <row r="1415" spans="1:1" x14ac:dyDescent="0.3">
      <c r="A1415" s="4"/>
    </row>
    <row r="1416" spans="1:1" x14ac:dyDescent="0.3">
      <c r="A1416" s="4"/>
    </row>
    <row r="1417" spans="1:1" x14ac:dyDescent="0.3">
      <c r="A1417" s="4"/>
    </row>
    <row r="1418" spans="1:1" x14ac:dyDescent="0.3">
      <c r="A1418" s="4"/>
    </row>
    <row r="1419" spans="1:1" x14ac:dyDescent="0.3">
      <c r="A1419" s="4"/>
    </row>
    <row r="1420" spans="1:1" x14ac:dyDescent="0.3">
      <c r="A1420" s="4"/>
    </row>
    <row r="1421" spans="1:1" x14ac:dyDescent="0.3">
      <c r="A1421" s="4"/>
    </row>
    <row r="1422" spans="1:1" x14ac:dyDescent="0.3">
      <c r="A1422" s="4"/>
    </row>
    <row r="1423" spans="1:1" x14ac:dyDescent="0.3">
      <c r="A1423" s="4"/>
    </row>
    <row r="1424" spans="1:1" x14ac:dyDescent="0.3">
      <c r="A1424" s="4"/>
    </row>
    <row r="1425" spans="1:1" x14ac:dyDescent="0.3">
      <c r="A1425" s="4"/>
    </row>
    <row r="1426" spans="1:1" x14ac:dyDescent="0.3">
      <c r="A1426" s="4"/>
    </row>
    <row r="1427" spans="1:1" x14ac:dyDescent="0.3">
      <c r="A1427" s="4"/>
    </row>
    <row r="1428" spans="1:1" x14ac:dyDescent="0.3">
      <c r="A1428" s="4"/>
    </row>
    <row r="1429" spans="1:1" x14ac:dyDescent="0.3">
      <c r="A1429" s="4"/>
    </row>
    <row r="1430" spans="1:1" x14ac:dyDescent="0.3">
      <c r="A1430" s="4"/>
    </row>
    <row r="1431" spans="1:1" x14ac:dyDescent="0.3">
      <c r="A1431" s="4"/>
    </row>
    <row r="1432" spans="1:1" x14ac:dyDescent="0.3">
      <c r="A1432" s="4"/>
    </row>
    <row r="1433" spans="1:1" x14ac:dyDescent="0.3">
      <c r="A1433" s="4"/>
    </row>
    <row r="1434" spans="1:1" x14ac:dyDescent="0.3">
      <c r="A1434" s="4"/>
    </row>
    <row r="1435" spans="1:1" x14ac:dyDescent="0.3">
      <c r="A1435" s="4"/>
    </row>
    <row r="1436" spans="1:1" x14ac:dyDescent="0.3">
      <c r="A1436" s="4"/>
    </row>
    <row r="1437" spans="1:1" x14ac:dyDescent="0.3">
      <c r="A1437" s="4"/>
    </row>
    <row r="1438" spans="1:1" x14ac:dyDescent="0.3">
      <c r="A1438" s="4"/>
    </row>
    <row r="1439" spans="1:1" x14ac:dyDescent="0.3">
      <c r="A1439" s="4"/>
    </row>
    <row r="1440" spans="1:1" x14ac:dyDescent="0.3">
      <c r="A1440" s="4"/>
    </row>
    <row r="1441" spans="1:1" x14ac:dyDescent="0.3">
      <c r="A1441" s="4"/>
    </row>
    <row r="1442" spans="1:1" x14ac:dyDescent="0.3">
      <c r="A1442" s="4"/>
    </row>
    <row r="1443" spans="1:1" x14ac:dyDescent="0.3">
      <c r="A1443" s="4"/>
    </row>
    <row r="1444" spans="1:1" x14ac:dyDescent="0.3">
      <c r="A1444" s="4"/>
    </row>
    <row r="1445" spans="1:1" x14ac:dyDescent="0.3">
      <c r="A1445" s="4"/>
    </row>
    <row r="1446" spans="1:1" x14ac:dyDescent="0.3">
      <c r="A1446" s="4"/>
    </row>
    <row r="1447" spans="1:1" x14ac:dyDescent="0.3">
      <c r="A1447" s="4"/>
    </row>
    <row r="1448" spans="1:1" x14ac:dyDescent="0.3">
      <c r="A1448" s="4"/>
    </row>
    <row r="1449" spans="1:1" x14ac:dyDescent="0.3">
      <c r="A1449" s="4"/>
    </row>
    <row r="1450" spans="1:1" x14ac:dyDescent="0.3">
      <c r="A1450" s="4"/>
    </row>
    <row r="1451" spans="1:1" x14ac:dyDescent="0.3">
      <c r="A1451" s="4"/>
    </row>
    <row r="1452" spans="1:1" x14ac:dyDescent="0.3">
      <c r="A1452" s="4"/>
    </row>
    <row r="1453" spans="1:1" x14ac:dyDescent="0.3">
      <c r="A1453" s="4"/>
    </row>
    <row r="1454" spans="1:1" x14ac:dyDescent="0.3">
      <c r="A1454" s="4"/>
    </row>
    <row r="1455" spans="1:1" x14ac:dyDescent="0.3">
      <c r="A1455" s="4"/>
    </row>
    <row r="1456" spans="1:1" x14ac:dyDescent="0.3">
      <c r="A1456" s="4"/>
    </row>
    <row r="1457" spans="1:1" x14ac:dyDescent="0.3">
      <c r="A1457" s="4"/>
    </row>
    <row r="1458" spans="1:1" x14ac:dyDescent="0.3">
      <c r="A1458" s="4"/>
    </row>
    <row r="1459" spans="1:1" x14ac:dyDescent="0.3">
      <c r="A1459" s="4"/>
    </row>
    <row r="1460" spans="1:1" x14ac:dyDescent="0.3">
      <c r="A1460" s="4"/>
    </row>
    <row r="1461" spans="1:1" x14ac:dyDescent="0.3">
      <c r="A1461" s="4"/>
    </row>
    <row r="1462" spans="1:1" x14ac:dyDescent="0.3">
      <c r="A1462" s="4"/>
    </row>
    <row r="1463" spans="1:1" x14ac:dyDescent="0.3">
      <c r="A1463" s="4"/>
    </row>
    <row r="1464" spans="1:1" x14ac:dyDescent="0.3">
      <c r="A1464" s="4"/>
    </row>
    <row r="1465" spans="1:1" x14ac:dyDescent="0.3">
      <c r="A1465" s="4"/>
    </row>
    <row r="1466" spans="1:1" x14ac:dyDescent="0.3">
      <c r="A1466" s="4"/>
    </row>
    <row r="1467" spans="1:1" x14ac:dyDescent="0.3">
      <c r="A1467" s="4"/>
    </row>
    <row r="1468" spans="1:1" x14ac:dyDescent="0.3">
      <c r="A1468" s="4"/>
    </row>
    <row r="1469" spans="1:1" x14ac:dyDescent="0.3">
      <c r="A1469" s="4"/>
    </row>
    <row r="1470" spans="1:1" x14ac:dyDescent="0.3">
      <c r="A1470" s="4"/>
    </row>
    <row r="1471" spans="1:1" x14ac:dyDescent="0.3">
      <c r="A1471" s="4"/>
    </row>
    <row r="1472" spans="1:1" x14ac:dyDescent="0.3">
      <c r="A1472" s="4"/>
    </row>
    <row r="1473" spans="1:1" x14ac:dyDescent="0.3">
      <c r="A1473" s="4"/>
    </row>
    <row r="1474" spans="1:1" x14ac:dyDescent="0.3">
      <c r="A1474" s="4"/>
    </row>
    <row r="1475" spans="1:1" x14ac:dyDescent="0.3">
      <c r="A1475" s="4"/>
    </row>
    <row r="1476" spans="1:1" x14ac:dyDescent="0.3">
      <c r="A1476" s="4"/>
    </row>
    <row r="1477" spans="1:1" x14ac:dyDescent="0.3">
      <c r="A1477" s="4"/>
    </row>
    <row r="1478" spans="1:1" x14ac:dyDescent="0.3">
      <c r="A1478" s="4"/>
    </row>
    <row r="1479" spans="1:1" x14ac:dyDescent="0.3">
      <c r="A1479" s="4"/>
    </row>
    <row r="1480" spans="1:1" x14ac:dyDescent="0.3">
      <c r="A1480" s="4"/>
    </row>
    <row r="1481" spans="1:1" x14ac:dyDescent="0.3">
      <c r="A1481" s="4"/>
    </row>
    <row r="1482" spans="1:1" x14ac:dyDescent="0.3">
      <c r="A1482" s="4"/>
    </row>
    <row r="1483" spans="1:1" x14ac:dyDescent="0.3">
      <c r="A1483" s="4"/>
    </row>
    <row r="1484" spans="1:1" x14ac:dyDescent="0.3">
      <c r="A1484" s="4"/>
    </row>
    <row r="1485" spans="1:1" x14ac:dyDescent="0.3">
      <c r="A1485" s="4"/>
    </row>
    <row r="1486" spans="1:1" x14ac:dyDescent="0.3">
      <c r="A1486" s="4"/>
    </row>
    <row r="1487" spans="1:1" x14ac:dyDescent="0.3">
      <c r="A1487" s="4"/>
    </row>
    <row r="1488" spans="1:1" x14ac:dyDescent="0.3">
      <c r="A1488" s="4"/>
    </row>
    <row r="1489" spans="1:1" x14ac:dyDescent="0.3">
      <c r="A1489" s="4"/>
    </row>
    <row r="1490" spans="1:1" x14ac:dyDescent="0.3">
      <c r="A1490" s="4"/>
    </row>
    <row r="1491" spans="1:1" x14ac:dyDescent="0.3">
      <c r="A1491" s="4"/>
    </row>
    <row r="1492" spans="1:1" x14ac:dyDescent="0.3">
      <c r="A1492" s="4"/>
    </row>
    <row r="1493" spans="1:1" x14ac:dyDescent="0.3">
      <c r="A1493" s="4"/>
    </row>
    <row r="1494" spans="1:1" x14ac:dyDescent="0.3">
      <c r="A1494" s="4"/>
    </row>
    <row r="1495" spans="1:1" x14ac:dyDescent="0.3">
      <c r="A1495" s="4"/>
    </row>
    <row r="1496" spans="1:1" x14ac:dyDescent="0.3">
      <c r="A1496" s="4"/>
    </row>
    <row r="1497" spans="1:1" x14ac:dyDescent="0.3">
      <c r="A1497" s="4"/>
    </row>
    <row r="1498" spans="1:1" x14ac:dyDescent="0.3">
      <c r="A1498" s="4"/>
    </row>
    <row r="1499" spans="1:1" x14ac:dyDescent="0.3">
      <c r="A1499" s="4"/>
    </row>
    <row r="1500" spans="1:1" x14ac:dyDescent="0.3">
      <c r="A1500" s="4"/>
    </row>
    <row r="1501" spans="1:1" x14ac:dyDescent="0.3">
      <c r="A1501" s="4"/>
    </row>
    <row r="1502" spans="1:1" x14ac:dyDescent="0.3">
      <c r="A1502" s="4"/>
    </row>
    <row r="1503" spans="1:1" x14ac:dyDescent="0.3">
      <c r="A1503" s="4"/>
    </row>
    <row r="1504" spans="1:1" x14ac:dyDescent="0.3">
      <c r="A1504" s="4"/>
    </row>
    <row r="1505" spans="1:1" x14ac:dyDescent="0.3">
      <c r="A1505" s="4"/>
    </row>
    <row r="1506" spans="1:1" x14ac:dyDescent="0.3">
      <c r="A1506" s="4"/>
    </row>
    <row r="1507" spans="1:1" x14ac:dyDescent="0.3">
      <c r="A1507" s="4"/>
    </row>
    <row r="1508" spans="1:1" x14ac:dyDescent="0.3">
      <c r="A1508" s="4"/>
    </row>
    <row r="1509" spans="1:1" x14ac:dyDescent="0.3">
      <c r="A1509" s="4"/>
    </row>
    <row r="1510" spans="1:1" x14ac:dyDescent="0.3">
      <c r="A1510" s="4"/>
    </row>
    <row r="1511" spans="1:1" x14ac:dyDescent="0.3">
      <c r="A1511" s="4"/>
    </row>
    <row r="1512" spans="1:1" x14ac:dyDescent="0.3">
      <c r="A1512" s="4"/>
    </row>
    <row r="1513" spans="1:1" x14ac:dyDescent="0.3">
      <c r="A1513" s="4"/>
    </row>
    <row r="1514" spans="1:1" x14ac:dyDescent="0.3">
      <c r="A1514" s="4"/>
    </row>
    <row r="1515" spans="1:1" x14ac:dyDescent="0.3">
      <c r="A1515" s="4"/>
    </row>
    <row r="1516" spans="1:1" x14ac:dyDescent="0.3">
      <c r="A1516" s="4"/>
    </row>
    <row r="1517" spans="1:1" x14ac:dyDescent="0.3">
      <c r="A1517" s="4"/>
    </row>
    <row r="1518" spans="1:1" x14ac:dyDescent="0.3">
      <c r="A1518" s="4"/>
    </row>
    <row r="1519" spans="1:1" x14ac:dyDescent="0.3">
      <c r="A1519" s="4"/>
    </row>
    <row r="1520" spans="1:1" x14ac:dyDescent="0.3">
      <c r="A1520" s="4"/>
    </row>
    <row r="1521" spans="1:1" x14ac:dyDescent="0.3">
      <c r="A1521" s="4"/>
    </row>
    <row r="1522" spans="1:1" x14ac:dyDescent="0.3">
      <c r="A1522" s="4"/>
    </row>
    <row r="1523" spans="1:1" x14ac:dyDescent="0.3">
      <c r="A1523" s="4"/>
    </row>
    <row r="1524" spans="1:1" x14ac:dyDescent="0.3">
      <c r="A1524" s="4"/>
    </row>
    <row r="1525" spans="1:1" x14ac:dyDescent="0.3">
      <c r="A1525" s="4"/>
    </row>
    <row r="1526" spans="1:1" x14ac:dyDescent="0.3">
      <c r="A1526" s="4"/>
    </row>
    <row r="1527" spans="1:1" x14ac:dyDescent="0.3">
      <c r="A1527" s="4"/>
    </row>
    <row r="1528" spans="1:1" x14ac:dyDescent="0.3">
      <c r="A1528" s="4"/>
    </row>
    <row r="1529" spans="1:1" x14ac:dyDescent="0.3">
      <c r="A1529" s="4"/>
    </row>
    <row r="1530" spans="1:1" x14ac:dyDescent="0.3">
      <c r="A1530" s="4"/>
    </row>
    <row r="1531" spans="1:1" x14ac:dyDescent="0.3">
      <c r="A1531" s="4"/>
    </row>
    <row r="1532" spans="1:1" x14ac:dyDescent="0.3">
      <c r="A1532" s="4"/>
    </row>
    <row r="1533" spans="1:1" x14ac:dyDescent="0.3">
      <c r="A1533" s="4"/>
    </row>
    <row r="1534" spans="1:1" x14ac:dyDescent="0.3">
      <c r="A1534" s="4"/>
    </row>
    <row r="1535" spans="1:1" x14ac:dyDescent="0.3">
      <c r="A1535" s="4"/>
    </row>
    <row r="1536" spans="1:1" x14ac:dyDescent="0.3">
      <c r="A1536" s="4"/>
    </row>
    <row r="1537" spans="1:1" x14ac:dyDescent="0.3">
      <c r="A1537" s="4"/>
    </row>
    <row r="1538" spans="1:1" x14ac:dyDescent="0.3">
      <c r="A1538" s="4"/>
    </row>
    <row r="1539" spans="1:1" x14ac:dyDescent="0.3">
      <c r="A1539" s="4"/>
    </row>
    <row r="1540" spans="1:1" x14ac:dyDescent="0.3">
      <c r="A1540" s="4"/>
    </row>
    <row r="1541" spans="1:1" x14ac:dyDescent="0.3">
      <c r="A1541" s="4"/>
    </row>
    <row r="1542" spans="1:1" x14ac:dyDescent="0.3">
      <c r="A1542" s="4"/>
    </row>
    <row r="1543" spans="1:1" x14ac:dyDescent="0.3">
      <c r="A1543" s="4"/>
    </row>
    <row r="1544" spans="1:1" x14ac:dyDescent="0.3">
      <c r="A1544" s="4"/>
    </row>
    <row r="1545" spans="1:1" x14ac:dyDescent="0.3">
      <c r="A1545" s="4"/>
    </row>
    <row r="1546" spans="1:1" x14ac:dyDescent="0.3">
      <c r="A1546" s="4"/>
    </row>
    <row r="1547" spans="1:1" x14ac:dyDescent="0.3">
      <c r="A1547" s="4"/>
    </row>
    <row r="1548" spans="1:1" x14ac:dyDescent="0.3">
      <c r="A1548" s="4"/>
    </row>
    <row r="1549" spans="1:1" x14ac:dyDescent="0.3">
      <c r="A1549" s="4"/>
    </row>
    <row r="1550" spans="1:1" x14ac:dyDescent="0.3">
      <c r="A1550" s="4"/>
    </row>
    <row r="1551" spans="1:1" x14ac:dyDescent="0.3">
      <c r="A1551" s="4"/>
    </row>
    <row r="1552" spans="1:1" x14ac:dyDescent="0.3">
      <c r="A1552" s="4"/>
    </row>
    <row r="1553" spans="1:1" x14ac:dyDescent="0.3">
      <c r="A1553" s="4"/>
    </row>
    <row r="1554" spans="1:1" x14ac:dyDescent="0.3">
      <c r="A1554" s="4"/>
    </row>
    <row r="1555" spans="1:1" x14ac:dyDescent="0.3">
      <c r="A1555" s="4"/>
    </row>
    <row r="1556" spans="1:1" x14ac:dyDescent="0.3">
      <c r="A1556" s="4"/>
    </row>
    <row r="1557" spans="1:1" x14ac:dyDescent="0.3">
      <c r="A1557" s="4"/>
    </row>
    <row r="1558" spans="1:1" x14ac:dyDescent="0.3">
      <c r="A1558" s="4"/>
    </row>
    <row r="1559" spans="1:1" x14ac:dyDescent="0.3">
      <c r="A1559" s="4"/>
    </row>
    <row r="1560" spans="1:1" x14ac:dyDescent="0.3">
      <c r="A1560" s="4"/>
    </row>
    <row r="1561" spans="1:1" x14ac:dyDescent="0.3">
      <c r="A1561" s="4"/>
    </row>
    <row r="1562" spans="1:1" x14ac:dyDescent="0.3">
      <c r="A1562" s="4"/>
    </row>
    <row r="1563" spans="1:1" x14ac:dyDescent="0.3">
      <c r="A1563" s="4"/>
    </row>
    <row r="1564" spans="1:1" x14ac:dyDescent="0.3">
      <c r="A1564" s="4"/>
    </row>
    <row r="1565" spans="1:1" x14ac:dyDescent="0.3">
      <c r="A1565" s="4"/>
    </row>
    <row r="1566" spans="1:1" x14ac:dyDescent="0.3">
      <c r="A1566" s="4"/>
    </row>
    <row r="1567" spans="1:1" x14ac:dyDescent="0.3">
      <c r="A1567" s="4"/>
    </row>
    <row r="1568" spans="1:1" x14ac:dyDescent="0.3">
      <c r="A1568" s="4"/>
    </row>
    <row r="1569" spans="1:1" x14ac:dyDescent="0.3">
      <c r="A1569" s="4"/>
    </row>
    <row r="1570" spans="1:1" x14ac:dyDescent="0.3">
      <c r="A1570" s="4"/>
    </row>
    <row r="1571" spans="1:1" x14ac:dyDescent="0.3">
      <c r="A1571" s="4"/>
    </row>
    <row r="1572" spans="1:1" x14ac:dyDescent="0.3">
      <c r="A1572" s="4"/>
    </row>
    <row r="1573" spans="1:1" x14ac:dyDescent="0.3">
      <c r="A1573" s="4"/>
    </row>
    <row r="1574" spans="1:1" x14ac:dyDescent="0.3">
      <c r="A1574" s="4"/>
    </row>
    <row r="1575" spans="1:1" x14ac:dyDescent="0.3">
      <c r="A1575" s="4"/>
    </row>
    <row r="1576" spans="1:1" x14ac:dyDescent="0.3">
      <c r="A1576" s="4"/>
    </row>
    <row r="1577" spans="1:1" x14ac:dyDescent="0.3">
      <c r="A1577" s="4"/>
    </row>
    <row r="1578" spans="1:1" x14ac:dyDescent="0.3">
      <c r="A1578" s="4"/>
    </row>
    <row r="1579" spans="1:1" x14ac:dyDescent="0.3">
      <c r="A1579" s="4"/>
    </row>
    <row r="1580" spans="1:1" x14ac:dyDescent="0.3">
      <c r="A1580" s="4"/>
    </row>
    <row r="1581" spans="1:1" x14ac:dyDescent="0.3">
      <c r="A1581" s="4"/>
    </row>
    <row r="1582" spans="1:1" x14ac:dyDescent="0.3">
      <c r="A1582" s="4"/>
    </row>
    <row r="1583" spans="1:1" x14ac:dyDescent="0.3">
      <c r="A1583" s="4"/>
    </row>
    <row r="1584" spans="1:1" x14ac:dyDescent="0.3">
      <c r="A1584" s="4"/>
    </row>
    <row r="1585" spans="1:1" x14ac:dyDescent="0.3">
      <c r="A1585" s="4"/>
    </row>
    <row r="1586" spans="1:1" x14ac:dyDescent="0.3">
      <c r="A1586" s="4"/>
    </row>
    <row r="1587" spans="1:1" x14ac:dyDescent="0.3">
      <c r="A1587" s="4"/>
    </row>
    <row r="1588" spans="1:1" x14ac:dyDescent="0.3">
      <c r="A1588" s="4"/>
    </row>
    <row r="1589" spans="1:1" x14ac:dyDescent="0.3">
      <c r="A1589" s="4"/>
    </row>
    <row r="1590" spans="1:1" x14ac:dyDescent="0.3">
      <c r="A1590" s="4"/>
    </row>
    <row r="1591" spans="1:1" x14ac:dyDescent="0.3">
      <c r="A1591" s="4"/>
    </row>
    <row r="1592" spans="1:1" x14ac:dyDescent="0.3">
      <c r="A1592" s="4"/>
    </row>
    <row r="1593" spans="1:1" x14ac:dyDescent="0.3">
      <c r="A1593" s="4"/>
    </row>
    <row r="1594" spans="1:1" x14ac:dyDescent="0.3">
      <c r="A1594" s="4"/>
    </row>
    <row r="1595" spans="1:1" x14ac:dyDescent="0.3">
      <c r="A1595" s="4"/>
    </row>
    <row r="1596" spans="1:1" x14ac:dyDescent="0.3">
      <c r="A1596" s="4"/>
    </row>
    <row r="1597" spans="1:1" x14ac:dyDescent="0.3">
      <c r="A1597" s="4"/>
    </row>
    <row r="1598" spans="1:1" x14ac:dyDescent="0.3">
      <c r="A1598" s="4"/>
    </row>
    <row r="1599" spans="1:1" x14ac:dyDescent="0.3">
      <c r="A1599" s="4"/>
    </row>
    <row r="1600" spans="1:1" x14ac:dyDescent="0.3">
      <c r="A1600" s="4"/>
    </row>
    <row r="1601" spans="1:1" x14ac:dyDescent="0.3">
      <c r="A1601" s="4"/>
    </row>
    <row r="1602" spans="1:1" x14ac:dyDescent="0.3">
      <c r="A1602" s="4"/>
    </row>
    <row r="1603" spans="1:1" x14ac:dyDescent="0.3">
      <c r="A1603" s="4"/>
    </row>
    <row r="1604" spans="1:1" x14ac:dyDescent="0.3">
      <c r="A1604" s="4"/>
    </row>
    <row r="1605" spans="1:1" x14ac:dyDescent="0.3">
      <c r="A1605" s="4"/>
    </row>
    <row r="1606" spans="1:1" x14ac:dyDescent="0.3">
      <c r="A1606" s="4"/>
    </row>
    <row r="1607" spans="1:1" x14ac:dyDescent="0.3">
      <c r="A1607" s="4"/>
    </row>
    <row r="1608" spans="1:1" x14ac:dyDescent="0.3">
      <c r="A1608" s="4"/>
    </row>
    <row r="1609" spans="1:1" x14ac:dyDescent="0.3">
      <c r="A1609" s="4"/>
    </row>
    <row r="1610" spans="1:1" x14ac:dyDescent="0.3">
      <c r="A1610" s="4"/>
    </row>
    <row r="1611" spans="1:1" x14ac:dyDescent="0.3">
      <c r="A1611" s="4"/>
    </row>
    <row r="1612" spans="1:1" x14ac:dyDescent="0.3">
      <c r="A1612" s="4"/>
    </row>
    <row r="1613" spans="1:1" x14ac:dyDescent="0.3">
      <c r="A1613" s="4"/>
    </row>
    <row r="1614" spans="1:1" x14ac:dyDescent="0.3">
      <c r="A1614" s="4"/>
    </row>
    <row r="1615" spans="1:1" x14ac:dyDescent="0.3">
      <c r="A1615" s="4"/>
    </row>
    <row r="1616" spans="1:1" x14ac:dyDescent="0.3">
      <c r="A1616" s="4"/>
    </row>
    <row r="1617" spans="1:1" x14ac:dyDescent="0.3">
      <c r="A1617" s="4"/>
    </row>
    <row r="1618" spans="1:1" x14ac:dyDescent="0.3">
      <c r="A1618" s="4"/>
    </row>
    <row r="1619" spans="1:1" x14ac:dyDescent="0.3">
      <c r="A1619" s="4"/>
    </row>
    <row r="1620" spans="1:1" x14ac:dyDescent="0.3">
      <c r="A1620" s="4"/>
    </row>
    <row r="1621" spans="1:1" x14ac:dyDescent="0.3">
      <c r="A1621" s="4"/>
    </row>
    <row r="1622" spans="1:1" x14ac:dyDescent="0.3">
      <c r="A1622" s="4"/>
    </row>
    <row r="1623" spans="1:1" x14ac:dyDescent="0.3">
      <c r="A1623" s="4"/>
    </row>
    <row r="1624" spans="1:1" x14ac:dyDescent="0.3">
      <c r="A1624" s="4"/>
    </row>
    <row r="1625" spans="1:1" x14ac:dyDescent="0.3">
      <c r="A1625" s="4"/>
    </row>
    <row r="1626" spans="1:1" x14ac:dyDescent="0.3">
      <c r="A1626" s="4"/>
    </row>
    <row r="1627" spans="1:1" x14ac:dyDescent="0.3">
      <c r="A1627" s="4"/>
    </row>
    <row r="1628" spans="1:1" x14ac:dyDescent="0.3">
      <c r="A1628" s="4"/>
    </row>
    <row r="1629" spans="1:1" x14ac:dyDescent="0.3">
      <c r="A1629" s="4"/>
    </row>
    <row r="1630" spans="1:1" x14ac:dyDescent="0.3">
      <c r="A1630" s="4"/>
    </row>
    <row r="1631" spans="1:1" x14ac:dyDescent="0.3">
      <c r="A1631" s="4"/>
    </row>
    <row r="1632" spans="1:1" x14ac:dyDescent="0.3">
      <c r="A1632" s="4"/>
    </row>
    <row r="1633" spans="1:1" x14ac:dyDescent="0.3">
      <c r="A1633" s="4"/>
    </row>
    <row r="1634" spans="1:1" x14ac:dyDescent="0.3">
      <c r="A1634" s="4"/>
    </row>
    <row r="1635" spans="1:1" x14ac:dyDescent="0.3">
      <c r="A1635" s="4"/>
    </row>
    <row r="1636" spans="1:1" x14ac:dyDescent="0.3">
      <c r="A1636" s="4"/>
    </row>
    <row r="1637" spans="1:1" x14ac:dyDescent="0.3">
      <c r="A1637" s="4"/>
    </row>
    <row r="1638" spans="1:1" x14ac:dyDescent="0.3">
      <c r="A1638" s="4"/>
    </row>
    <row r="1639" spans="1:1" x14ac:dyDescent="0.3">
      <c r="A1639" s="4"/>
    </row>
    <row r="1640" spans="1:1" x14ac:dyDescent="0.3">
      <c r="A1640" s="4"/>
    </row>
    <row r="1641" spans="1:1" x14ac:dyDescent="0.3">
      <c r="A1641" s="4"/>
    </row>
    <row r="1642" spans="1:1" x14ac:dyDescent="0.3">
      <c r="A1642" s="4"/>
    </row>
    <row r="1643" spans="1:1" x14ac:dyDescent="0.3">
      <c r="A1643" s="4"/>
    </row>
    <row r="1644" spans="1:1" x14ac:dyDescent="0.3">
      <c r="A1644" s="4"/>
    </row>
    <row r="1645" spans="1:1" x14ac:dyDescent="0.3">
      <c r="A1645" s="4"/>
    </row>
    <row r="1646" spans="1:1" x14ac:dyDescent="0.3">
      <c r="A1646" s="4"/>
    </row>
    <row r="1647" spans="1:1" x14ac:dyDescent="0.3">
      <c r="A1647" s="4"/>
    </row>
    <row r="1648" spans="1:1" x14ac:dyDescent="0.3">
      <c r="A1648" s="4"/>
    </row>
    <row r="1649" spans="1:1" x14ac:dyDescent="0.3">
      <c r="A1649" s="4"/>
    </row>
    <row r="1650" spans="1:1" x14ac:dyDescent="0.3">
      <c r="A1650" s="4"/>
    </row>
    <row r="1651" spans="1:1" x14ac:dyDescent="0.3">
      <c r="A1651" s="4"/>
    </row>
    <row r="1652" spans="1:1" x14ac:dyDescent="0.3">
      <c r="A1652" s="4"/>
    </row>
    <row r="1653" spans="1:1" x14ac:dyDescent="0.3">
      <c r="A1653" s="4"/>
    </row>
    <row r="1654" spans="1:1" x14ac:dyDescent="0.3">
      <c r="A1654" s="4"/>
    </row>
    <row r="1655" spans="1:1" x14ac:dyDescent="0.3">
      <c r="A1655" s="4"/>
    </row>
    <row r="1656" spans="1:1" x14ac:dyDescent="0.3">
      <c r="A1656" s="4"/>
    </row>
    <row r="1657" spans="1:1" x14ac:dyDescent="0.3">
      <c r="A1657" s="4"/>
    </row>
    <row r="1658" spans="1:1" x14ac:dyDescent="0.3">
      <c r="A1658" s="4"/>
    </row>
    <row r="1659" spans="1:1" x14ac:dyDescent="0.3">
      <c r="A1659" s="4"/>
    </row>
    <row r="1660" spans="1:1" x14ac:dyDescent="0.3">
      <c r="A1660" s="4"/>
    </row>
    <row r="1661" spans="1:1" x14ac:dyDescent="0.3">
      <c r="A1661" s="4"/>
    </row>
    <row r="1662" spans="1:1" x14ac:dyDescent="0.3">
      <c r="A1662" s="4"/>
    </row>
    <row r="1663" spans="1:1" x14ac:dyDescent="0.3">
      <c r="A1663" s="4"/>
    </row>
    <row r="1664" spans="1:1" x14ac:dyDescent="0.3">
      <c r="A1664" s="4"/>
    </row>
    <row r="1665" spans="1:1" x14ac:dyDescent="0.3">
      <c r="A1665" s="4"/>
    </row>
    <row r="1666" spans="1:1" x14ac:dyDescent="0.3">
      <c r="A1666" s="4"/>
    </row>
    <row r="1667" spans="1:1" x14ac:dyDescent="0.3">
      <c r="A1667" s="4"/>
    </row>
    <row r="1668" spans="1:1" x14ac:dyDescent="0.3">
      <c r="A1668" s="4"/>
    </row>
    <row r="1669" spans="1:1" x14ac:dyDescent="0.3">
      <c r="A1669" s="4"/>
    </row>
    <row r="1670" spans="1:1" x14ac:dyDescent="0.3">
      <c r="A1670" s="4"/>
    </row>
    <row r="1671" spans="1:1" x14ac:dyDescent="0.3">
      <c r="A1671" s="4"/>
    </row>
    <row r="1672" spans="1:1" x14ac:dyDescent="0.3">
      <c r="A1672" s="4"/>
    </row>
    <row r="1673" spans="1:1" x14ac:dyDescent="0.3">
      <c r="A1673" s="4"/>
    </row>
    <row r="1674" spans="1:1" x14ac:dyDescent="0.3">
      <c r="A1674" s="4"/>
    </row>
    <row r="1675" spans="1:1" x14ac:dyDescent="0.3">
      <c r="A1675" s="4"/>
    </row>
    <row r="1676" spans="1:1" x14ac:dyDescent="0.3">
      <c r="A1676" s="4"/>
    </row>
    <row r="1677" spans="1:1" x14ac:dyDescent="0.3">
      <c r="A1677" s="4"/>
    </row>
    <row r="1678" spans="1:1" x14ac:dyDescent="0.3">
      <c r="A1678" s="4"/>
    </row>
    <row r="1679" spans="1:1" x14ac:dyDescent="0.3">
      <c r="A1679" s="4"/>
    </row>
    <row r="1680" spans="1:1" x14ac:dyDescent="0.3">
      <c r="A1680" s="4"/>
    </row>
    <row r="1681" spans="1:1" x14ac:dyDescent="0.3">
      <c r="A1681" s="4"/>
    </row>
    <row r="1682" spans="1:1" x14ac:dyDescent="0.3">
      <c r="A1682" s="4"/>
    </row>
    <row r="1683" spans="1:1" x14ac:dyDescent="0.3">
      <c r="A1683" s="4"/>
    </row>
    <row r="1684" spans="1:1" x14ac:dyDescent="0.3">
      <c r="A1684" s="4"/>
    </row>
    <row r="1685" spans="1:1" x14ac:dyDescent="0.3">
      <c r="A1685" s="4"/>
    </row>
    <row r="1686" spans="1:1" x14ac:dyDescent="0.3">
      <c r="A1686" s="4"/>
    </row>
    <row r="1687" spans="1:1" x14ac:dyDescent="0.3">
      <c r="A1687" s="4"/>
    </row>
    <row r="1688" spans="1:1" x14ac:dyDescent="0.3">
      <c r="A1688" s="4"/>
    </row>
    <row r="1689" spans="1:1" x14ac:dyDescent="0.3">
      <c r="A1689" s="4"/>
    </row>
    <row r="1690" spans="1:1" x14ac:dyDescent="0.3">
      <c r="A1690" s="4"/>
    </row>
    <row r="1691" spans="1:1" x14ac:dyDescent="0.3">
      <c r="A1691" s="4"/>
    </row>
    <row r="1692" spans="1:1" x14ac:dyDescent="0.3">
      <c r="A1692" s="4"/>
    </row>
    <row r="1693" spans="1:1" x14ac:dyDescent="0.3">
      <c r="A1693" s="4"/>
    </row>
    <row r="1694" spans="1:1" x14ac:dyDescent="0.3">
      <c r="A1694" s="4"/>
    </row>
    <row r="1695" spans="1:1" x14ac:dyDescent="0.3">
      <c r="A1695" s="4"/>
    </row>
    <row r="1696" spans="1:1" x14ac:dyDescent="0.3">
      <c r="A1696" s="4"/>
    </row>
    <row r="1697" spans="1:1" x14ac:dyDescent="0.3">
      <c r="A1697" s="4"/>
    </row>
    <row r="1698" spans="1:1" x14ac:dyDescent="0.3">
      <c r="A1698" s="4"/>
    </row>
    <row r="1699" spans="1:1" x14ac:dyDescent="0.3">
      <c r="A1699" s="4"/>
    </row>
    <row r="1700" spans="1:1" x14ac:dyDescent="0.3">
      <c r="A1700" s="4"/>
    </row>
    <row r="1701" spans="1:1" x14ac:dyDescent="0.3">
      <c r="A1701" s="4"/>
    </row>
    <row r="1702" spans="1:1" x14ac:dyDescent="0.3">
      <c r="A1702" s="4"/>
    </row>
    <row r="1703" spans="1:1" x14ac:dyDescent="0.3">
      <c r="A1703" s="4"/>
    </row>
    <row r="1704" spans="1:1" x14ac:dyDescent="0.3">
      <c r="A1704" s="4"/>
    </row>
    <row r="1705" spans="1:1" x14ac:dyDescent="0.3">
      <c r="A1705" s="4"/>
    </row>
    <row r="1706" spans="1:1" x14ac:dyDescent="0.3">
      <c r="A1706" s="4"/>
    </row>
    <row r="1707" spans="1:1" x14ac:dyDescent="0.3">
      <c r="A1707" s="4"/>
    </row>
    <row r="1708" spans="1:1" x14ac:dyDescent="0.3">
      <c r="A1708" s="4"/>
    </row>
    <row r="1709" spans="1:1" x14ac:dyDescent="0.3">
      <c r="A1709" s="4"/>
    </row>
    <row r="1710" spans="1:1" x14ac:dyDescent="0.3">
      <c r="A1710" s="4"/>
    </row>
    <row r="1711" spans="1:1" x14ac:dyDescent="0.3">
      <c r="A1711" s="4"/>
    </row>
    <row r="1712" spans="1:1" x14ac:dyDescent="0.3">
      <c r="A1712" s="4"/>
    </row>
    <row r="1713" spans="1:1" x14ac:dyDescent="0.3">
      <c r="A1713" s="4"/>
    </row>
    <row r="1714" spans="1:1" x14ac:dyDescent="0.3">
      <c r="A1714" s="4"/>
    </row>
    <row r="1715" spans="1:1" x14ac:dyDescent="0.3">
      <c r="A1715" s="4"/>
    </row>
    <row r="1716" spans="1:1" x14ac:dyDescent="0.3">
      <c r="A1716" s="4"/>
    </row>
    <row r="1717" spans="1:1" x14ac:dyDescent="0.3">
      <c r="A1717" s="4"/>
    </row>
    <row r="1718" spans="1:1" x14ac:dyDescent="0.3">
      <c r="A1718" s="4"/>
    </row>
    <row r="1719" spans="1:1" x14ac:dyDescent="0.3">
      <c r="A1719" s="4"/>
    </row>
    <row r="1720" spans="1:1" x14ac:dyDescent="0.3">
      <c r="A1720" s="4"/>
    </row>
    <row r="1721" spans="1:1" x14ac:dyDescent="0.3">
      <c r="A1721" s="4"/>
    </row>
    <row r="1722" spans="1:1" x14ac:dyDescent="0.3">
      <c r="A1722" s="4"/>
    </row>
    <row r="1723" spans="1:1" x14ac:dyDescent="0.3">
      <c r="A1723" s="4"/>
    </row>
    <row r="1724" spans="1:1" x14ac:dyDescent="0.3">
      <c r="A1724" s="4"/>
    </row>
    <row r="1725" spans="1:1" x14ac:dyDescent="0.3">
      <c r="A1725" s="4"/>
    </row>
    <row r="1726" spans="1:1" x14ac:dyDescent="0.3">
      <c r="A1726" s="4"/>
    </row>
    <row r="1727" spans="1:1" x14ac:dyDescent="0.3">
      <c r="A1727" s="4"/>
    </row>
    <row r="1728" spans="1:1" x14ac:dyDescent="0.3">
      <c r="A1728" s="4"/>
    </row>
    <row r="1729" spans="1:1" x14ac:dyDescent="0.3">
      <c r="A1729" s="4"/>
    </row>
    <row r="1730" spans="1:1" x14ac:dyDescent="0.3">
      <c r="A1730" s="4"/>
    </row>
    <row r="1731" spans="1:1" x14ac:dyDescent="0.3">
      <c r="A1731" s="4"/>
    </row>
    <row r="1732" spans="1:1" x14ac:dyDescent="0.3">
      <c r="A1732" s="4"/>
    </row>
    <row r="1733" spans="1:1" x14ac:dyDescent="0.3">
      <c r="A1733" s="4"/>
    </row>
    <row r="1734" spans="1:1" x14ac:dyDescent="0.3">
      <c r="A1734" s="4"/>
    </row>
    <row r="1735" spans="1:1" x14ac:dyDescent="0.3">
      <c r="A1735" s="4"/>
    </row>
    <row r="1736" spans="1:1" x14ac:dyDescent="0.3">
      <c r="A1736" s="4"/>
    </row>
    <row r="1737" spans="1:1" x14ac:dyDescent="0.3">
      <c r="A1737" s="4"/>
    </row>
    <row r="1738" spans="1:1" x14ac:dyDescent="0.3">
      <c r="A1738" s="4"/>
    </row>
    <row r="1739" spans="1:1" x14ac:dyDescent="0.3">
      <c r="A1739" s="4"/>
    </row>
    <row r="1740" spans="1:1" x14ac:dyDescent="0.3">
      <c r="A1740" s="4"/>
    </row>
    <row r="1741" spans="1:1" x14ac:dyDescent="0.3">
      <c r="A1741" s="4"/>
    </row>
    <row r="1742" spans="1:1" x14ac:dyDescent="0.3">
      <c r="A1742" s="4"/>
    </row>
    <row r="1743" spans="1:1" x14ac:dyDescent="0.3">
      <c r="A1743" s="4"/>
    </row>
    <row r="1744" spans="1:1" x14ac:dyDescent="0.3">
      <c r="A1744" s="4"/>
    </row>
    <row r="1745" spans="1:1" x14ac:dyDescent="0.3">
      <c r="A1745" s="4"/>
    </row>
    <row r="1746" spans="1:1" x14ac:dyDescent="0.3">
      <c r="A1746" s="4"/>
    </row>
    <row r="1747" spans="1:1" x14ac:dyDescent="0.3">
      <c r="A1747" s="4"/>
    </row>
    <row r="1748" spans="1:1" x14ac:dyDescent="0.3">
      <c r="A1748" s="4"/>
    </row>
    <row r="1749" spans="1:1" x14ac:dyDescent="0.3">
      <c r="A1749" s="4"/>
    </row>
    <row r="1750" spans="1:1" x14ac:dyDescent="0.3">
      <c r="A1750" s="4"/>
    </row>
    <row r="1751" spans="1:1" x14ac:dyDescent="0.3">
      <c r="A1751" s="4"/>
    </row>
    <row r="1752" spans="1:1" x14ac:dyDescent="0.3">
      <c r="A1752" s="4"/>
    </row>
    <row r="1753" spans="1:1" x14ac:dyDescent="0.3">
      <c r="A1753" s="4"/>
    </row>
    <row r="1754" spans="1:1" x14ac:dyDescent="0.3">
      <c r="A1754" s="4"/>
    </row>
    <row r="1755" spans="1:1" x14ac:dyDescent="0.3">
      <c r="A1755" s="4"/>
    </row>
    <row r="1756" spans="1:1" x14ac:dyDescent="0.3">
      <c r="A1756" s="4"/>
    </row>
    <row r="1757" spans="1:1" x14ac:dyDescent="0.3">
      <c r="A1757" s="4"/>
    </row>
    <row r="1758" spans="1:1" x14ac:dyDescent="0.3">
      <c r="A1758" s="4"/>
    </row>
    <row r="1759" spans="1:1" x14ac:dyDescent="0.3">
      <c r="A1759" s="4"/>
    </row>
    <row r="1760" spans="1:1" x14ac:dyDescent="0.3">
      <c r="A1760" s="4"/>
    </row>
    <row r="1761" spans="1:1" x14ac:dyDescent="0.3">
      <c r="A1761" s="4"/>
    </row>
    <row r="1762" spans="1:1" x14ac:dyDescent="0.3">
      <c r="A1762" s="4"/>
    </row>
    <row r="1763" spans="1:1" x14ac:dyDescent="0.3">
      <c r="A1763" s="4"/>
    </row>
    <row r="1764" spans="1:1" x14ac:dyDescent="0.3">
      <c r="A1764" s="4"/>
    </row>
    <row r="1765" spans="1:1" x14ac:dyDescent="0.3">
      <c r="A1765" s="4"/>
    </row>
    <row r="1766" spans="1:1" x14ac:dyDescent="0.3">
      <c r="A1766" s="4"/>
    </row>
    <row r="1767" spans="1:1" x14ac:dyDescent="0.3">
      <c r="A1767" s="4"/>
    </row>
    <row r="1768" spans="1:1" x14ac:dyDescent="0.3">
      <c r="A1768" s="4"/>
    </row>
    <row r="1769" spans="1:1" x14ac:dyDescent="0.3">
      <c r="A1769" s="4"/>
    </row>
    <row r="1770" spans="1:1" x14ac:dyDescent="0.3">
      <c r="A1770" s="4"/>
    </row>
    <row r="1771" spans="1:1" x14ac:dyDescent="0.3">
      <c r="A1771" s="4"/>
    </row>
    <row r="1772" spans="1:1" x14ac:dyDescent="0.3">
      <c r="A1772" s="4"/>
    </row>
    <row r="1773" spans="1:1" x14ac:dyDescent="0.3">
      <c r="A1773" s="4"/>
    </row>
    <row r="1774" spans="1:1" x14ac:dyDescent="0.3">
      <c r="A1774" s="4"/>
    </row>
    <row r="1775" spans="1:1" x14ac:dyDescent="0.3">
      <c r="A1775" s="4"/>
    </row>
    <row r="1776" spans="1:1" x14ac:dyDescent="0.3">
      <c r="A1776" s="4"/>
    </row>
    <row r="1777" spans="1:1" x14ac:dyDescent="0.3">
      <c r="A1777" s="4"/>
    </row>
    <row r="1778" spans="1:1" x14ac:dyDescent="0.3">
      <c r="A1778" s="4"/>
    </row>
    <row r="1779" spans="1:1" x14ac:dyDescent="0.3">
      <c r="A1779" s="4"/>
    </row>
    <row r="1780" spans="1:1" x14ac:dyDescent="0.3">
      <c r="A1780" s="4"/>
    </row>
    <row r="1781" spans="1:1" x14ac:dyDescent="0.3">
      <c r="A1781" s="4"/>
    </row>
    <row r="1782" spans="1:1" x14ac:dyDescent="0.3">
      <c r="A1782" s="4"/>
    </row>
    <row r="1783" spans="1:1" x14ac:dyDescent="0.3">
      <c r="A1783" s="4"/>
    </row>
    <row r="1784" spans="1:1" x14ac:dyDescent="0.3">
      <c r="A1784" s="4"/>
    </row>
    <row r="1785" spans="1:1" x14ac:dyDescent="0.3">
      <c r="A1785" s="4"/>
    </row>
    <row r="1786" spans="1:1" x14ac:dyDescent="0.3">
      <c r="A1786" s="4"/>
    </row>
    <row r="1787" spans="1:1" x14ac:dyDescent="0.3">
      <c r="A1787" s="4"/>
    </row>
    <row r="1788" spans="1:1" x14ac:dyDescent="0.3">
      <c r="A1788" s="4"/>
    </row>
    <row r="1789" spans="1:1" x14ac:dyDescent="0.3">
      <c r="A1789" s="4"/>
    </row>
    <row r="1790" spans="1:1" x14ac:dyDescent="0.3">
      <c r="A1790" s="4"/>
    </row>
    <row r="1791" spans="1:1" x14ac:dyDescent="0.3">
      <c r="A1791" s="4"/>
    </row>
    <row r="1792" spans="1:1" x14ac:dyDescent="0.3">
      <c r="A1792" s="4"/>
    </row>
    <row r="1793" spans="1:1" x14ac:dyDescent="0.3">
      <c r="A1793" s="4"/>
    </row>
    <row r="1794" spans="1:1" x14ac:dyDescent="0.3">
      <c r="A1794" s="4"/>
    </row>
    <row r="1795" spans="1:1" x14ac:dyDescent="0.3">
      <c r="A1795" s="4"/>
    </row>
    <row r="1796" spans="1:1" x14ac:dyDescent="0.3">
      <c r="A1796" s="4"/>
    </row>
    <row r="1797" spans="1:1" x14ac:dyDescent="0.3">
      <c r="A1797" s="4"/>
    </row>
    <row r="1798" spans="1:1" x14ac:dyDescent="0.3">
      <c r="A1798" s="4"/>
    </row>
    <row r="1799" spans="1:1" x14ac:dyDescent="0.3">
      <c r="A1799" s="4"/>
    </row>
    <row r="1800" spans="1:1" x14ac:dyDescent="0.3">
      <c r="A1800" s="4"/>
    </row>
    <row r="1801" spans="1:1" x14ac:dyDescent="0.3">
      <c r="A1801" s="4"/>
    </row>
    <row r="1802" spans="1:1" x14ac:dyDescent="0.3">
      <c r="A1802" s="4"/>
    </row>
    <row r="1803" spans="1:1" x14ac:dyDescent="0.3">
      <c r="A1803" s="4"/>
    </row>
    <row r="1804" spans="1:1" x14ac:dyDescent="0.3">
      <c r="A1804" s="4"/>
    </row>
    <row r="1805" spans="1:1" x14ac:dyDescent="0.3">
      <c r="A1805" s="4"/>
    </row>
    <row r="1806" spans="1:1" x14ac:dyDescent="0.3">
      <c r="A1806" s="4"/>
    </row>
    <row r="1807" spans="1:1" x14ac:dyDescent="0.3">
      <c r="A1807" s="4"/>
    </row>
    <row r="1808" spans="1:1" x14ac:dyDescent="0.3">
      <c r="A1808" s="4"/>
    </row>
    <row r="1809" spans="1:1" x14ac:dyDescent="0.3">
      <c r="A1809" s="4"/>
    </row>
    <row r="1810" spans="1:1" x14ac:dyDescent="0.3">
      <c r="A1810" s="4"/>
    </row>
    <row r="1811" spans="1:1" x14ac:dyDescent="0.3">
      <c r="A1811" s="4"/>
    </row>
    <row r="1812" spans="1:1" x14ac:dyDescent="0.3">
      <c r="A1812" s="4"/>
    </row>
    <row r="1813" spans="1:1" x14ac:dyDescent="0.3">
      <c r="A1813" s="4"/>
    </row>
    <row r="1814" spans="1:1" x14ac:dyDescent="0.3">
      <c r="A1814" s="4"/>
    </row>
    <row r="1815" spans="1:1" x14ac:dyDescent="0.3">
      <c r="A1815" s="4"/>
    </row>
    <row r="1816" spans="1:1" x14ac:dyDescent="0.3">
      <c r="A1816" s="4"/>
    </row>
    <row r="1817" spans="1:1" x14ac:dyDescent="0.3">
      <c r="A1817" s="4"/>
    </row>
    <row r="1818" spans="1:1" x14ac:dyDescent="0.3">
      <c r="A1818" s="4"/>
    </row>
    <row r="1819" spans="1:1" x14ac:dyDescent="0.3">
      <c r="A1819" s="4"/>
    </row>
    <row r="1820" spans="1:1" x14ac:dyDescent="0.3">
      <c r="A1820" s="4"/>
    </row>
    <row r="1821" spans="1:1" x14ac:dyDescent="0.3">
      <c r="A1821" s="4"/>
    </row>
    <row r="1822" spans="1:1" x14ac:dyDescent="0.3">
      <c r="A1822" s="4"/>
    </row>
    <row r="1823" spans="1:1" x14ac:dyDescent="0.3">
      <c r="A1823" s="4"/>
    </row>
    <row r="1824" spans="1:1" x14ac:dyDescent="0.3">
      <c r="A1824" s="4"/>
    </row>
    <row r="1825" spans="1:1" x14ac:dyDescent="0.3">
      <c r="A1825" s="4"/>
    </row>
    <row r="1826" spans="1:1" x14ac:dyDescent="0.3">
      <c r="A1826" s="4"/>
    </row>
    <row r="1827" spans="1:1" x14ac:dyDescent="0.3">
      <c r="A1827" s="4"/>
    </row>
    <row r="1828" spans="1:1" x14ac:dyDescent="0.3">
      <c r="A1828" s="4"/>
    </row>
    <row r="1829" spans="1:1" x14ac:dyDescent="0.3">
      <c r="A1829" s="4"/>
    </row>
    <row r="1830" spans="1:1" x14ac:dyDescent="0.3">
      <c r="A1830" s="4"/>
    </row>
    <row r="1831" spans="1:1" x14ac:dyDescent="0.3">
      <c r="A1831" s="4"/>
    </row>
    <row r="1832" spans="1:1" x14ac:dyDescent="0.3">
      <c r="A1832" s="4"/>
    </row>
    <row r="1833" spans="1:1" x14ac:dyDescent="0.3">
      <c r="A1833" s="4"/>
    </row>
    <row r="1834" spans="1:1" x14ac:dyDescent="0.3">
      <c r="A1834" s="4"/>
    </row>
    <row r="1835" spans="1:1" x14ac:dyDescent="0.3">
      <c r="A1835" s="4"/>
    </row>
    <row r="1836" spans="1:1" x14ac:dyDescent="0.3">
      <c r="A1836" s="4"/>
    </row>
    <row r="1837" spans="1:1" x14ac:dyDescent="0.3">
      <c r="A1837" s="4"/>
    </row>
    <row r="1838" spans="1:1" x14ac:dyDescent="0.3">
      <c r="A1838" s="4"/>
    </row>
    <row r="1839" spans="1:1" x14ac:dyDescent="0.3">
      <c r="A1839" s="4"/>
    </row>
    <row r="1840" spans="1:1" x14ac:dyDescent="0.3">
      <c r="A1840" s="4"/>
    </row>
    <row r="1841" spans="1:1" x14ac:dyDescent="0.3">
      <c r="A1841" s="4"/>
    </row>
    <row r="1842" spans="1:1" x14ac:dyDescent="0.3">
      <c r="A1842" s="4"/>
    </row>
    <row r="1843" spans="1:1" x14ac:dyDescent="0.3">
      <c r="A1843" s="4"/>
    </row>
    <row r="1844" spans="1:1" x14ac:dyDescent="0.3">
      <c r="A1844" s="4"/>
    </row>
    <row r="1845" spans="1:1" x14ac:dyDescent="0.3">
      <c r="A1845" s="4"/>
    </row>
    <row r="1846" spans="1:1" x14ac:dyDescent="0.3">
      <c r="A1846" s="4"/>
    </row>
    <row r="1847" spans="1:1" x14ac:dyDescent="0.3">
      <c r="A1847" s="4"/>
    </row>
    <row r="1848" spans="1:1" x14ac:dyDescent="0.3">
      <c r="A1848" s="4"/>
    </row>
    <row r="1849" spans="1:1" x14ac:dyDescent="0.3">
      <c r="A1849" s="4"/>
    </row>
    <row r="1850" spans="1:1" x14ac:dyDescent="0.3">
      <c r="A1850" s="4"/>
    </row>
    <row r="1851" spans="1:1" x14ac:dyDescent="0.3">
      <c r="A1851" s="4"/>
    </row>
    <row r="1852" spans="1:1" x14ac:dyDescent="0.3">
      <c r="A1852" s="4"/>
    </row>
    <row r="1853" spans="1:1" x14ac:dyDescent="0.3">
      <c r="A1853" s="4"/>
    </row>
    <row r="1854" spans="1:1" x14ac:dyDescent="0.3">
      <c r="A1854" s="4"/>
    </row>
    <row r="1855" spans="1:1" x14ac:dyDescent="0.3">
      <c r="A1855" s="4"/>
    </row>
    <row r="1856" spans="1:1" x14ac:dyDescent="0.3">
      <c r="A1856" s="4"/>
    </row>
    <row r="1857" spans="1:1" x14ac:dyDescent="0.3">
      <c r="A1857" s="4"/>
    </row>
    <row r="1858" spans="1:1" x14ac:dyDescent="0.3">
      <c r="A1858" s="4"/>
    </row>
    <row r="1859" spans="1:1" x14ac:dyDescent="0.3">
      <c r="A1859" s="4"/>
    </row>
    <row r="1860" spans="1:1" x14ac:dyDescent="0.3">
      <c r="A1860" s="4"/>
    </row>
    <row r="1861" spans="1:1" x14ac:dyDescent="0.3">
      <c r="A1861" s="4"/>
    </row>
    <row r="1862" spans="1:1" x14ac:dyDescent="0.3">
      <c r="A1862" s="4"/>
    </row>
    <row r="1863" spans="1:1" x14ac:dyDescent="0.3">
      <c r="A1863" s="4"/>
    </row>
    <row r="1864" spans="1:1" x14ac:dyDescent="0.3">
      <c r="A1864" s="4"/>
    </row>
    <row r="1865" spans="1:1" x14ac:dyDescent="0.3">
      <c r="A1865" s="4"/>
    </row>
    <row r="1866" spans="1:1" x14ac:dyDescent="0.3">
      <c r="A1866" s="4"/>
    </row>
    <row r="1867" spans="1:1" x14ac:dyDescent="0.3">
      <c r="A1867" s="4"/>
    </row>
    <row r="1868" spans="1:1" x14ac:dyDescent="0.3">
      <c r="A1868" s="4"/>
    </row>
    <row r="1869" spans="1:1" x14ac:dyDescent="0.3">
      <c r="A1869" s="4"/>
    </row>
    <row r="1870" spans="1:1" x14ac:dyDescent="0.3">
      <c r="A1870" s="4"/>
    </row>
    <row r="1871" spans="1:1" x14ac:dyDescent="0.3">
      <c r="A1871" s="4"/>
    </row>
    <row r="1872" spans="1:1" x14ac:dyDescent="0.3">
      <c r="A1872" s="4"/>
    </row>
    <row r="1873" spans="1:1" x14ac:dyDescent="0.3">
      <c r="A1873" s="4"/>
    </row>
    <row r="1874" spans="1:1" x14ac:dyDescent="0.3">
      <c r="A1874" s="4"/>
    </row>
    <row r="1875" spans="1:1" x14ac:dyDescent="0.3">
      <c r="A1875" s="4"/>
    </row>
    <row r="1876" spans="1:1" x14ac:dyDescent="0.3">
      <c r="A1876" s="4"/>
    </row>
    <row r="1877" spans="1:1" x14ac:dyDescent="0.3">
      <c r="A1877" s="4"/>
    </row>
    <row r="1878" spans="1:1" x14ac:dyDescent="0.3">
      <c r="A1878" s="4"/>
    </row>
    <row r="1879" spans="1:1" x14ac:dyDescent="0.3">
      <c r="A1879" s="4"/>
    </row>
    <row r="1880" spans="1:1" x14ac:dyDescent="0.3">
      <c r="A1880" s="4"/>
    </row>
    <row r="1881" spans="1:1" x14ac:dyDescent="0.3">
      <c r="A1881" s="4"/>
    </row>
    <row r="1882" spans="1:1" x14ac:dyDescent="0.3">
      <c r="A1882" s="4"/>
    </row>
    <row r="1883" spans="1:1" x14ac:dyDescent="0.3">
      <c r="A1883" s="4"/>
    </row>
    <row r="1884" spans="1:1" x14ac:dyDescent="0.3">
      <c r="A1884" s="4"/>
    </row>
    <row r="1885" spans="1:1" x14ac:dyDescent="0.3">
      <c r="A1885" s="4"/>
    </row>
    <row r="1886" spans="1:1" x14ac:dyDescent="0.3">
      <c r="A1886" s="4"/>
    </row>
    <row r="1887" spans="1:1" x14ac:dyDescent="0.3">
      <c r="A1887" s="4"/>
    </row>
    <row r="1888" spans="1:1" x14ac:dyDescent="0.3">
      <c r="A1888" s="4"/>
    </row>
    <row r="1889" spans="1:1" x14ac:dyDescent="0.3">
      <c r="A1889" s="4"/>
    </row>
    <row r="1890" spans="1:1" x14ac:dyDescent="0.3">
      <c r="A1890" s="4"/>
    </row>
    <row r="1891" spans="1:1" x14ac:dyDescent="0.3">
      <c r="A1891" s="4"/>
    </row>
    <row r="1892" spans="1:1" x14ac:dyDescent="0.3">
      <c r="A1892" s="4"/>
    </row>
    <row r="1893" spans="1:1" x14ac:dyDescent="0.3">
      <c r="A1893" s="4"/>
    </row>
    <row r="1894" spans="1:1" x14ac:dyDescent="0.3">
      <c r="A1894" s="4"/>
    </row>
    <row r="1895" spans="1:1" x14ac:dyDescent="0.3">
      <c r="A1895" s="4"/>
    </row>
    <row r="1896" spans="1:1" x14ac:dyDescent="0.3">
      <c r="A1896" s="4"/>
    </row>
    <row r="1897" spans="1:1" x14ac:dyDescent="0.3">
      <c r="A1897" s="4"/>
    </row>
    <row r="1898" spans="1:1" x14ac:dyDescent="0.3">
      <c r="A1898" s="4"/>
    </row>
    <row r="1899" spans="1:1" x14ac:dyDescent="0.3">
      <c r="A1899" s="4"/>
    </row>
    <row r="1900" spans="1:1" x14ac:dyDescent="0.3">
      <c r="A1900" s="4"/>
    </row>
    <row r="1901" spans="1:1" x14ac:dyDescent="0.3">
      <c r="A1901" s="4"/>
    </row>
    <row r="1902" spans="1:1" x14ac:dyDescent="0.3">
      <c r="A1902" s="4"/>
    </row>
    <row r="1903" spans="1:1" x14ac:dyDescent="0.3">
      <c r="A1903" s="4"/>
    </row>
    <row r="1904" spans="1:1" x14ac:dyDescent="0.3">
      <c r="A1904" s="4"/>
    </row>
    <row r="1905" spans="1:1" x14ac:dyDescent="0.3">
      <c r="A1905" s="4"/>
    </row>
    <row r="1906" spans="1:1" x14ac:dyDescent="0.3">
      <c r="A1906" s="4"/>
    </row>
    <row r="1907" spans="1:1" x14ac:dyDescent="0.3">
      <c r="A1907" s="4"/>
    </row>
    <row r="1908" spans="1:1" x14ac:dyDescent="0.3">
      <c r="A1908" s="4"/>
    </row>
    <row r="1909" spans="1:1" x14ac:dyDescent="0.3">
      <c r="A1909" s="4"/>
    </row>
    <row r="1910" spans="1:1" x14ac:dyDescent="0.3">
      <c r="A1910" s="4"/>
    </row>
    <row r="1911" spans="1:1" x14ac:dyDescent="0.3">
      <c r="A1911" s="4"/>
    </row>
    <row r="1912" spans="1:1" x14ac:dyDescent="0.3">
      <c r="A1912" s="4"/>
    </row>
    <row r="1913" spans="1:1" x14ac:dyDescent="0.3">
      <c r="A1913" s="4"/>
    </row>
    <row r="1914" spans="1:1" x14ac:dyDescent="0.3">
      <c r="A1914" s="4"/>
    </row>
    <row r="1915" spans="1:1" x14ac:dyDescent="0.3">
      <c r="A1915" s="4"/>
    </row>
    <row r="1916" spans="1:1" x14ac:dyDescent="0.3">
      <c r="A1916" s="4"/>
    </row>
    <row r="1917" spans="1:1" x14ac:dyDescent="0.3">
      <c r="A1917" s="4"/>
    </row>
    <row r="1918" spans="1:1" x14ac:dyDescent="0.3">
      <c r="A1918" s="4"/>
    </row>
    <row r="1919" spans="1:1" x14ac:dyDescent="0.3">
      <c r="A1919" s="4"/>
    </row>
    <row r="1920" spans="1:1" x14ac:dyDescent="0.3">
      <c r="A1920" s="4"/>
    </row>
    <row r="1921" spans="1:1" x14ac:dyDescent="0.3">
      <c r="A1921" s="4"/>
    </row>
    <row r="1922" spans="1:1" x14ac:dyDescent="0.3">
      <c r="A1922" s="4"/>
    </row>
    <row r="1923" spans="1:1" x14ac:dyDescent="0.3">
      <c r="A1923" s="4"/>
    </row>
    <row r="1924" spans="1:1" x14ac:dyDescent="0.3">
      <c r="A1924" s="4"/>
    </row>
    <row r="1925" spans="1:1" x14ac:dyDescent="0.3">
      <c r="A1925" s="4"/>
    </row>
    <row r="1926" spans="1:1" x14ac:dyDescent="0.3">
      <c r="A1926" s="4"/>
    </row>
    <row r="1927" spans="1:1" x14ac:dyDescent="0.3">
      <c r="A1927" s="4"/>
    </row>
    <row r="1928" spans="1:1" x14ac:dyDescent="0.3">
      <c r="A1928" s="4"/>
    </row>
    <row r="1929" spans="1:1" x14ac:dyDescent="0.3">
      <c r="A1929" s="4"/>
    </row>
    <row r="1930" spans="1:1" x14ac:dyDescent="0.3">
      <c r="A1930" s="4"/>
    </row>
    <row r="1931" spans="1:1" x14ac:dyDescent="0.3">
      <c r="A1931" s="4"/>
    </row>
    <row r="1932" spans="1:1" x14ac:dyDescent="0.3">
      <c r="A1932" s="4"/>
    </row>
    <row r="1933" spans="1:1" x14ac:dyDescent="0.3">
      <c r="A1933" s="4"/>
    </row>
    <row r="1934" spans="1:1" x14ac:dyDescent="0.3">
      <c r="A1934" s="4"/>
    </row>
    <row r="1935" spans="1:1" x14ac:dyDescent="0.3">
      <c r="A1935" s="4"/>
    </row>
    <row r="1936" spans="1:1" x14ac:dyDescent="0.3">
      <c r="A1936" s="4"/>
    </row>
    <row r="1937" spans="1:1" x14ac:dyDescent="0.3">
      <c r="A1937" s="4"/>
    </row>
    <row r="1938" spans="1:1" x14ac:dyDescent="0.3">
      <c r="A1938" s="4"/>
    </row>
    <row r="1939" spans="1:1" x14ac:dyDescent="0.3">
      <c r="A1939" s="4"/>
    </row>
    <row r="1940" spans="1:1" x14ac:dyDescent="0.3">
      <c r="A1940" s="4"/>
    </row>
    <row r="1941" spans="1:1" x14ac:dyDescent="0.3">
      <c r="A1941" s="4"/>
    </row>
    <row r="1942" spans="1:1" x14ac:dyDescent="0.3">
      <c r="A1942" s="4"/>
    </row>
    <row r="1943" spans="1:1" x14ac:dyDescent="0.3">
      <c r="A1943" s="4"/>
    </row>
    <row r="1944" spans="1:1" x14ac:dyDescent="0.3">
      <c r="A1944" s="4"/>
    </row>
    <row r="1945" spans="1:1" x14ac:dyDescent="0.3">
      <c r="A1945" s="4"/>
    </row>
    <row r="1946" spans="1:1" x14ac:dyDescent="0.3">
      <c r="A1946" s="4"/>
    </row>
    <row r="1947" spans="1:1" x14ac:dyDescent="0.3">
      <c r="A1947" s="4"/>
    </row>
    <row r="1948" spans="1:1" x14ac:dyDescent="0.3">
      <c r="A1948" s="4"/>
    </row>
    <row r="1949" spans="1:1" x14ac:dyDescent="0.3">
      <c r="A1949" s="4"/>
    </row>
    <row r="1950" spans="1:1" x14ac:dyDescent="0.3">
      <c r="A1950" s="4"/>
    </row>
    <row r="1951" spans="1:1" x14ac:dyDescent="0.3">
      <c r="A1951" s="4"/>
    </row>
    <row r="1952" spans="1:1" x14ac:dyDescent="0.3">
      <c r="A1952" s="4"/>
    </row>
    <row r="1953" spans="1:1" x14ac:dyDescent="0.3">
      <c r="A1953" s="4"/>
    </row>
    <row r="1954" spans="1:1" x14ac:dyDescent="0.3">
      <c r="A1954" s="4"/>
    </row>
    <row r="1955" spans="1:1" x14ac:dyDescent="0.3">
      <c r="A1955" s="4"/>
    </row>
    <row r="1956" spans="1:1" x14ac:dyDescent="0.3">
      <c r="A1956" s="4"/>
    </row>
    <row r="1957" spans="1:1" x14ac:dyDescent="0.3">
      <c r="A1957" s="4"/>
    </row>
    <row r="1958" spans="1:1" x14ac:dyDescent="0.3">
      <c r="A1958" s="4"/>
    </row>
    <row r="1959" spans="1:1" x14ac:dyDescent="0.3">
      <c r="A1959" s="4"/>
    </row>
    <row r="1960" spans="1:1" x14ac:dyDescent="0.3">
      <c r="A1960" s="4"/>
    </row>
    <row r="1961" spans="1:1" x14ac:dyDescent="0.3">
      <c r="A1961" s="4"/>
    </row>
    <row r="1962" spans="1:1" x14ac:dyDescent="0.3">
      <c r="A1962" s="4"/>
    </row>
    <row r="1963" spans="1:1" x14ac:dyDescent="0.3">
      <c r="A1963" s="4"/>
    </row>
    <row r="1964" spans="1:1" x14ac:dyDescent="0.3">
      <c r="A1964" s="4"/>
    </row>
    <row r="1965" spans="1:1" x14ac:dyDescent="0.3">
      <c r="A1965" s="4"/>
    </row>
    <row r="1966" spans="1:1" x14ac:dyDescent="0.3">
      <c r="A1966" s="4"/>
    </row>
    <row r="1967" spans="1:1" x14ac:dyDescent="0.3">
      <c r="A1967" s="4"/>
    </row>
    <row r="1968" spans="1:1" x14ac:dyDescent="0.3">
      <c r="A1968" s="4"/>
    </row>
    <row r="1969" spans="1:1" x14ac:dyDescent="0.3">
      <c r="A1969" s="4"/>
    </row>
    <row r="1970" spans="1:1" x14ac:dyDescent="0.3">
      <c r="A1970" s="4"/>
    </row>
    <row r="1971" spans="1:1" x14ac:dyDescent="0.3">
      <c r="A1971" s="4"/>
    </row>
    <row r="1972" spans="1:1" x14ac:dyDescent="0.3">
      <c r="A1972" s="4"/>
    </row>
    <row r="1973" spans="1:1" x14ac:dyDescent="0.3">
      <c r="A1973" s="4"/>
    </row>
    <row r="1974" spans="1:1" x14ac:dyDescent="0.3">
      <c r="A1974" s="4"/>
    </row>
    <row r="1975" spans="1:1" x14ac:dyDescent="0.3">
      <c r="A1975" s="4"/>
    </row>
    <row r="1976" spans="1:1" x14ac:dyDescent="0.3">
      <c r="A1976" s="4"/>
    </row>
    <row r="1977" spans="1:1" x14ac:dyDescent="0.3">
      <c r="A1977" s="4"/>
    </row>
    <row r="1978" spans="1:1" x14ac:dyDescent="0.3">
      <c r="A1978" s="4"/>
    </row>
    <row r="1979" spans="1:1" x14ac:dyDescent="0.3">
      <c r="A1979" s="4"/>
    </row>
    <row r="1980" spans="1:1" x14ac:dyDescent="0.3">
      <c r="A1980" s="4"/>
    </row>
    <row r="1981" spans="1:1" x14ac:dyDescent="0.3">
      <c r="A1981" s="4"/>
    </row>
    <row r="1982" spans="1:1" x14ac:dyDescent="0.3">
      <c r="A1982" s="4"/>
    </row>
    <row r="1983" spans="1:1" x14ac:dyDescent="0.3">
      <c r="A1983" s="4"/>
    </row>
    <row r="1984" spans="1:1" x14ac:dyDescent="0.3">
      <c r="A1984" s="4"/>
    </row>
    <row r="1985" spans="1:1" x14ac:dyDescent="0.3">
      <c r="A1985" s="4"/>
    </row>
    <row r="1986" spans="1:1" x14ac:dyDescent="0.3">
      <c r="A1986" s="4"/>
    </row>
    <row r="1987" spans="1:1" x14ac:dyDescent="0.3">
      <c r="A1987" s="4"/>
    </row>
    <row r="1988" spans="1:1" x14ac:dyDescent="0.3">
      <c r="A1988" s="4"/>
    </row>
    <row r="1989" spans="1:1" x14ac:dyDescent="0.3">
      <c r="A1989" s="4"/>
    </row>
    <row r="1990" spans="1:1" x14ac:dyDescent="0.3">
      <c r="A1990" s="4"/>
    </row>
    <row r="1991" spans="1:1" x14ac:dyDescent="0.3">
      <c r="A1991" s="4"/>
    </row>
    <row r="1992" spans="1:1" x14ac:dyDescent="0.3">
      <c r="A1992" s="4"/>
    </row>
    <row r="1993" spans="1:1" x14ac:dyDescent="0.3">
      <c r="A1993" s="4"/>
    </row>
    <row r="1994" spans="1:1" x14ac:dyDescent="0.3">
      <c r="A1994" s="4"/>
    </row>
    <row r="1995" spans="1:1" x14ac:dyDescent="0.3">
      <c r="A1995" s="4"/>
    </row>
    <row r="1996" spans="1:1" x14ac:dyDescent="0.3">
      <c r="A1996" s="4"/>
    </row>
    <row r="1997" spans="1:1" x14ac:dyDescent="0.3">
      <c r="A1997" s="4"/>
    </row>
    <row r="1998" spans="1:1" x14ac:dyDescent="0.3">
      <c r="A1998" s="4"/>
    </row>
    <row r="1999" spans="1:1" x14ac:dyDescent="0.3">
      <c r="A1999" s="4"/>
    </row>
    <row r="2000" spans="1:1" x14ac:dyDescent="0.3">
      <c r="A2000" s="4"/>
    </row>
    <row r="2001" spans="1:1" x14ac:dyDescent="0.3">
      <c r="A2001" s="4"/>
    </row>
    <row r="2002" spans="1:1" x14ac:dyDescent="0.3">
      <c r="A2002" s="4"/>
    </row>
    <row r="2003" spans="1:1" x14ac:dyDescent="0.3">
      <c r="A2003" s="4"/>
    </row>
    <row r="2004" spans="1:1" x14ac:dyDescent="0.3">
      <c r="A2004" s="4"/>
    </row>
    <row r="2005" spans="1:1" x14ac:dyDescent="0.3">
      <c r="A2005" s="4"/>
    </row>
    <row r="2006" spans="1:1" x14ac:dyDescent="0.3">
      <c r="A2006" s="4"/>
    </row>
    <row r="2007" spans="1:1" x14ac:dyDescent="0.3">
      <c r="A2007" s="4"/>
    </row>
    <row r="2008" spans="1:1" x14ac:dyDescent="0.3">
      <c r="A2008" s="4"/>
    </row>
    <row r="2009" spans="1:1" x14ac:dyDescent="0.3">
      <c r="A2009" s="4"/>
    </row>
    <row r="2010" spans="1:1" x14ac:dyDescent="0.3">
      <c r="A2010" s="4"/>
    </row>
    <row r="2011" spans="1:1" x14ac:dyDescent="0.3">
      <c r="A2011" s="4"/>
    </row>
    <row r="2012" spans="1:1" x14ac:dyDescent="0.3">
      <c r="A2012" s="4"/>
    </row>
    <row r="2013" spans="1:1" x14ac:dyDescent="0.3">
      <c r="A2013" s="4"/>
    </row>
    <row r="2014" spans="1:1" x14ac:dyDescent="0.3">
      <c r="A2014" s="4"/>
    </row>
    <row r="2015" spans="1:1" x14ac:dyDescent="0.3">
      <c r="A2015" s="4"/>
    </row>
    <row r="2016" spans="1:1" x14ac:dyDescent="0.3">
      <c r="A2016" s="4"/>
    </row>
    <row r="2017" spans="1:1" x14ac:dyDescent="0.3">
      <c r="A2017" s="4"/>
    </row>
    <row r="2018" spans="1:1" x14ac:dyDescent="0.3">
      <c r="A2018" s="4"/>
    </row>
    <row r="2019" spans="1:1" x14ac:dyDescent="0.3">
      <c r="A2019" s="4"/>
    </row>
    <row r="2020" spans="1:1" x14ac:dyDescent="0.3">
      <c r="A2020" s="4"/>
    </row>
    <row r="2021" spans="1:1" x14ac:dyDescent="0.3">
      <c r="A2021" s="4"/>
    </row>
    <row r="2022" spans="1:1" x14ac:dyDescent="0.3">
      <c r="A2022" s="4"/>
    </row>
    <row r="2023" spans="1:1" x14ac:dyDescent="0.3">
      <c r="A2023" s="4"/>
    </row>
    <row r="2024" spans="1:1" x14ac:dyDescent="0.3">
      <c r="A2024" s="4"/>
    </row>
    <row r="2025" spans="1:1" x14ac:dyDescent="0.3">
      <c r="A2025" s="4"/>
    </row>
    <row r="2026" spans="1:1" x14ac:dyDescent="0.3">
      <c r="A2026" s="4"/>
    </row>
    <row r="2027" spans="1:1" x14ac:dyDescent="0.3">
      <c r="A2027" s="4"/>
    </row>
    <row r="2028" spans="1:1" x14ac:dyDescent="0.3">
      <c r="A2028" s="4"/>
    </row>
    <row r="2029" spans="1:1" x14ac:dyDescent="0.3">
      <c r="A2029" s="4"/>
    </row>
    <row r="2030" spans="1:1" x14ac:dyDescent="0.3">
      <c r="A2030" s="4"/>
    </row>
    <row r="2031" spans="1:1" x14ac:dyDescent="0.3">
      <c r="A2031" s="4"/>
    </row>
    <row r="2032" spans="1:1" x14ac:dyDescent="0.3">
      <c r="A2032" s="4"/>
    </row>
    <row r="2033" spans="1:1" x14ac:dyDescent="0.3">
      <c r="A2033" s="4"/>
    </row>
    <row r="2034" spans="1:1" x14ac:dyDescent="0.3">
      <c r="A2034" s="4"/>
    </row>
    <row r="2035" spans="1:1" x14ac:dyDescent="0.3">
      <c r="A2035" s="4"/>
    </row>
    <row r="2036" spans="1:1" x14ac:dyDescent="0.3">
      <c r="A2036" s="4"/>
    </row>
    <row r="2037" spans="1:1" x14ac:dyDescent="0.3">
      <c r="A2037" s="4"/>
    </row>
    <row r="2038" spans="1:1" x14ac:dyDescent="0.3">
      <c r="A2038" s="4"/>
    </row>
    <row r="2039" spans="1:1" x14ac:dyDescent="0.3">
      <c r="A2039" s="4"/>
    </row>
    <row r="2040" spans="1:1" x14ac:dyDescent="0.3">
      <c r="A2040" s="4"/>
    </row>
    <row r="2041" spans="1:1" x14ac:dyDescent="0.3">
      <c r="A2041" s="4"/>
    </row>
    <row r="2042" spans="1:1" x14ac:dyDescent="0.3">
      <c r="A2042" s="4"/>
    </row>
    <row r="2043" spans="1:1" x14ac:dyDescent="0.3">
      <c r="A2043" s="4"/>
    </row>
    <row r="2044" spans="1:1" x14ac:dyDescent="0.3">
      <c r="A2044" s="4"/>
    </row>
    <row r="2045" spans="1:1" x14ac:dyDescent="0.3">
      <c r="A2045" s="4"/>
    </row>
    <row r="2046" spans="1:1" x14ac:dyDescent="0.3">
      <c r="A2046" s="4"/>
    </row>
    <row r="2047" spans="1:1" x14ac:dyDescent="0.3">
      <c r="A2047" s="4"/>
    </row>
    <row r="2048" spans="1:1" x14ac:dyDescent="0.3">
      <c r="A2048" s="4"/>
    </row>
    <row r="2049" spans="1:1" x14ac:dyDescent="0.3">
      <c r="A2049" s="4"/>
    </row>
    <row r="2050" spans="1:1" x14ac:dyDescent="0.3">
      <c r="A2050" s="4"/>
    </row>
    <row r="2051" spans="1:1" x14ac:dyDescent="0.3">
      <c r="A2051" s="4"/>
    </row>
    <row r="2052" spans="1:1" x14ac:dyDescent="0.3">
      <c r="A2052" s="4"/>
    </row>
    <row r="2053" spans="1:1" x14ac:dyDescent="0.3">
      <c r="A2053" s="4"/>
    </row>
    <row r="2054" spans="1:1" x14ac:dyDescent="0.3">
      <c r="A2054" s="4"/>
    </row>
    <row r="2055" spans="1:1" x14ac:dyDescent="0.3">
      <c r="A2055" s="4"/>
    </row>
    <row r="2056" spans="1:1" x14ac:dyDescent="0.3">
      <c r="A2056" s="4"/>
    </row>
    <row r="2057" spans="1:1" x14ac:dyDescent="0.3">
      <c r="A2057" s="4"/>
    </row>
    <row r="2058" spans="1:1" x14ac:dyDescent="0.3">
      <c r="A2058" s="4"/>
    </row>
    <row r="2059" spans="1:1" x14ac:dyDescent="0.3">
      <c r="A2059" s="4"/>
    </row>
    <row r="2060" spans="1:1" x14ac:dyDescent="0.3">
      <c r="A2060" s="4"/>
    </row>
    <row r="2061" spans="1:1" x14ac:dyDescent="0.3">
      <c r="A2061" s="4"/>
    </row>
    <row r="2062" spans="1:1" x14ac:dyDescent="0.3">
      <c r="A2062" s="4"/>
    </row>
    <row r="2063" spans="1:1" x14ac:dyDescent="0.3">
      <c r="A2063" s="4"/>
    </row>
    <row r="2064" spans="1:1" x14ac:dyDescent="0.3">
      <c r="A2064" s="4"/>
    </row>
    <row r="2065" spans="1:1" x14ac:dyDescent="0.3">
      <c r="A2065" s="4"/>
    </row>
    <row r="2066" spans="1:1" x14ac:dyDescent="0.3">
      <c r="A2066" s="4"/>
    </row>
    <row r="2067" spans="1:1" x14ac:dyDescent="0.3">
      <c r="A2067" s="4"/>
    </row>
    <row r="2068" spans="1:1" x14ac:dyDescent="0.3">
      <c r="A2068" s="4"/>
    </row>
    <row r="2069" spans="1:1" x14ac:dyDescent="0.3">
      <c r="A2069" s="4"/>
    </row>
    <row r="2070" spans="1:1" x14ac:dyDescent="0.3">
      <c r="A2070" s="4"/>
    </row>
    <row r="2071" spans="1:1" x14ac:dyDescent="0.3">
      <c r="A2071" s="4"/>
    </row>
    <row r="2072" spans="1:1" x14ac:dyDescent="0.3">
      <c r="A2072" s="4"/>
    </row>
    <row r="2073" spans="1:1" x14ac:dyDescent="0.3">
      <c r="A2073" s="4"/>
    </row>
    <row r="2074" spans="1:1" x14ac:dyDescent="0.3">
      <c r="A2074" s="4"/>
    </row>
    <row r="2075" spans="1:1" x14ac:dyDescent="0.3">
      <c r="A2075" s="4"/>
    </row>
    <row r="2076" spans="1:1" x14ac:dyDescent="0.3">
      <c r="A2076" s="4"/>
    </row>
    <row r="2077" spans="1:1" x14ac:dyDescent="0.3">
      <c r="A2077" s="4"/>
    </row>
    <row r="2078" spans="1:1" x14ac:dyDescent="0.3">
      <c r="A2078" s="4"/>
    </row>
    <row r="2079" spans="1:1" x14ac:dyDescent="0.3">
      <c r="A2079" s="4"/>
    </row>
    <row r="2080" spans="1:1" x14ac:dyDescent="0.3">
      <c r="A2080" s="4"/>
    </row>
    <row r="2081" spans="1:1" x14ac:dyDescent="0.3">
      <c r="A2081" s="4"/>
    </row>
    <row r="2082" spans="1:1" x14ac:dyDescent="0.3">
      <c r="A2082" s="4"/>
    </row>
    <row r="2083" spans="1:1" x14ac:dyDescent="0.3">
      <c r="A2083" s="4"/>
    </row>
    <row r="2084" spans="1:1" x14ac:dyDescent="0.3">
      <c r="A2084" s="4"/>
    </row>
    <row r="2085" spans="1:1" x14ac:dyDescent="0.3">
      <c r="A2085" s="4"/>
    </row>
    <row r="2086" spans="1:1" x14ac:dyDescent="0.3">
      <c r="A2086" s="4"/>
    </row>
    <row r="2087" spans="1:1" x14ac:dyDescent="0.3">
      <c r="A2087" s="4"/>
    </row>
    <row r="2088" spans="1:1" x14ac:dyDescent="0.3">
      <c r="A2088" s="4"/>
    </row>
    <row r="2089" spans="1:1" x14ac:dyDescent="0.3">
      <c r="A2089" s="4"/>
    </row>
    <row r="2090" spans="1:1" x14ac:dyDescent="0.3">
      <c r="A2090" s="4"/>
    </row>
    <row r="2091" spans="1:1" x14ac:dyDescent="0.3">
      <c r="A2091" s="4"/>
    </row>
    <row r="2092" spans="1:1" x14ac:dyDescent="0.3">
      <c r="A2092" s="4"/>
    </row>
    <row r="2093" spans="1:1" x14ac:dyDescent="0.3">
      <c r="A2093" s="4"/>
    </row>
    <row r="2094" spans="1:1" x14ac:dyDescent="0.3">
      <c r="A2094" s="4"/>
    </row>
    <row r="2095" spans="1:1" x14ac:dyDescent="0.3">
      <c r="A2095" s="4"/>
    </row>
    <row r="2096" spans="1:1" x14ac:dyDescent="0.3">
      <c r="A2096" s="4"/>
    </row>
    <row r="2097" spans="1:1" x14ac:dyDescent="0.3">
      <c r="A2097" s="4"/>
    </row>
    <row r="2098" spans="1:1" x14ac:dyDescent="0.3">
      <c r="A2098" s="4"/>
    </row>
    <row r="2099" spans="1:1" x14ac:dyDescent="0.3">
      <c r="A2099" s="4"/>
    </row>
    <row r="2100" spans="1:1" x14ac:dyDescent="0.3">
      <c r="A2100" s="4"/>
    </row>
    <row r="2101" spans="1:1" x14ac:dyDescent="0.3">
      <c r="A2101" s="4"/>
    </row>
    <row r="2102" spans="1:1" x14ac:dyDescent="0.3">
      <c r="A2102" s="4"/>
    </row>
    <row r="2103" spans="1:1" x14ac:dyDescent="0.3">
      <c r="A2103" s="4"/>
    </row>
    <row r="2104" spans="1:1" x14ac:dyDescent="0.3">
      <c r="A2104" s="4"/>
    </row>
    <row r="2105" spans="1:1" x14ac:dyDescent="0.3">
      <c r="A2105" s="4"/>
    </row>
    <row r="2106" spans="1:1" x14ac:dyDescent="0.3">
      <c r="A2106" s="4"/>
    </row>
    <row r="2107" spans="1:1" x14ac:dyDescent="0.3">
      <c r="A2107" s="4"/>
    </row>
    <row r="2108" spans="1:1" x14ac:dyDescent="0.3">
      <c r="A2108" s="4"/>
    </row>
    <row r="2109" spans="1:1" x14ac:dyDescent="0.3">
      <c r="A2109" s="4"/>
    </row>
    <row r="2110" spans="1:1" x14ac:dyDescent="0.3">
      <c r="A2110" s="4"/>
    </row>
    <row r="2111" spans="1:1" x14ac:dyDescent="0.3">
      <c r="A2111" s="4"/>
    </row>
    <row r="2112" spans="1:1" x14ac:dyDescent="0.3">
      <c r="A2112" s="4"/>
    </row>
    <row r="2113" spans="1:1" x14ac:dyDescent="0.3">
      <c r="A2113" s="4"/>
    </row>
    <row r="2114" spans="1:1" x14ac:dyDescent="0.3">
      <c r="A2114" s="4"/>
    </row>
    <row r="2115" spans="1:1" x14ac:dyDescent="0.3">
      <c r="A2115" s="4"/>
    </row>
    <row r="2116" spans="1:1" x14ac:dyDescent="0.3">
      <c r="A2116" s="4"/>
    </row>
    <row r="2117" spans="1:1" x14ac:dyDescent="0.3">
      <c r="A2117" s="4"/>
    </row>
    <row r="2118" spans="1:1" x14ac:dyDescent="0.3">
      <c r="A2118" s="4"/>
    </row>
    <row r="2119" spans="1:1" x14ac:dyDescent="0.3">
      <c r="A2119" s="4"/>
    </row>
    <row r="2120" spans="1:1" x14ac:dyDescent="0.3">
      <c r="A2120" s="4"/>
    </row>
    <row r="2121" spans="1:1" x14ac:dyDescent="0.3">
      <c r="A2121" s="4"/>
    </row>
    <row r="2122" spans="1:1" x14ac:dyDescent="0.3">
      <c r="A2122" s="4"/>
    </row>
    <row r="2123" spans="1:1" x14ac:dyDescent="0.3">
      <c r="A2123" s="4"/>
    </row>
    <row r="2124" spans="1:1" x14ac:dyDescent="0.3">
      <c r="A2124" s="4"/>
    </row>
    <row r="2125" spans="1:1" x14ac:dyDescent="0.3">
      <c r="A2125" s="4"/>
    </row>
    <row r="2126" spans="1:1" x14ac:dyDescent="0.3">
      <c r="A2126" s="4"/>
    </row>
    <row r="2127" spans="1:1" x14ac:dyDescent="0.3">
      <c r="A2127" s="4"/>
    </row>
    <row r="2128" spans="1:1" x14ac:dyDescent="0.3">
      <c r="A2128" s="4"/>
    </row>
    <row r="2129" spans="1:1" x14ac:dyDescent="0.3">
      <c r="A2129" s="4"/>
    </row>
    <row r="2130" spans="1:1" x14ac:dyDescent="0.3">
      <c r="A2130" s="4"/>
    </row>
    <row r="2131" spans="1:1" x14ac:dyDescent="0.3">
      <c r="A2131" s="4"/>
    </row>
    <row r="2132" spans="1:1" x14ac:dyDescent="0.3">
      <c r="A2132" s="4"/>
    </row>
    <row r="2133" spans="1:1" x14ac:dyDescent="0.3">
      <c r="A2133" s="4"/>
    </row>
    <row r="2134" spans="1:1" x14ac:dyDescent="0.3">
      <c r="A2134" s="4"/>
    </row>
    <row r="2135" spans="1:1" x14ac:dyDescent="0.3">
      <c r="A2135" s="4"/>
    </row>
    <row r="2136" spans="1:1" x14ac:dyDescent="0.3">
      <c r="A2136" s="4"/>
    </row>
    <row r="2137" spans="1:1" x14ac:dyDescent="0.3">
      <c r="A2137" s="4"/>
    </row>
    <row r="2138" spans="1:1" x14ac:dyDescent="0.3">
      <c r="A2138" s="4"/>
    </row>
    <row r="2139" spans="1:1" x14ac:dyDescent="0.3">
      <c r="A2139" s="4"/>
    </row>
    <row r="2140" spans="1:1" x14ac:dyDescent="0.3">
      <c r="A2140" s="4"/>
    </row>
    <row r="2141" spans="1:1" x14ac:dyDescent="0.3">
      <c r="A2141" s="4"/>
    </row>
    <row r="2142" spans="1:1" x14ac:dyDescent="0.3">
      <c r="A2142" s="4"/>
    </row>
    <row r="2143" spans="1:1" x14ac:dyDescent="0.3">
      <c r="A2143" s="4"/>
    </row>
    <row r="2144" spans="1:1" x14ac:dyDescent="0.3">
      <c r="A2144" s="4"/>
    </row>
    <row r="2145" spans="1:1" x14ac:dyDescent="0.3">
      <c r="A2145" s="4"/>
    </row>
    <row r="2146" spans="1:1" x14ac:dyDescent="0.3">
      <c r="A2146" s="4"/>
    </row>
    <row r="2147" spans="1:1" x14ac:dyDescent="0.3">
      <c r="A2147" s="4"/>
    </row>
    <row r="2148" spans="1:1" x14ac:dyDescent="0.3">
      <c r="A2148" s="4"/>
    </row>
    <row r="2149" spans="1:1" x14ac:dyDescent="0.3">
      <c r="A2149" s="4"/>
    </row>
    <row r="2150" spans="1:1" x14ac:dyDescent="0.3">
      <c r="A2150" s="4"/>
    </row>
    <row r="2151" spans="1:1" x14ac:dyDescent="0.3">
      <c r="A2151" s="4"/>
    </row>
    <row r="2152" spans="1:1" x14ac:dyDescent="0.3">
      <c r="A2152" s="4"/>
    </row>
    <row r="2153" spans="1:1" x14ac:dyDescent="0.3">
      <c r="A2153" s="4"/>
    </row>
    <row r="2154" spans="1:1" x14ac:dyDescent="0.3">
      <c r="A2154" s="4"/>
    </row>
    <row r="2155" spans="1:1" x14ac:dyDescent="0.3">
      <c r="A2155" s="4"/>
    </row>
    <row r="2156" spans="1:1" x14ac:dyDescent="0.3">
      <c r="A2156" s="4"/>
    </row>
    <row r="2157" spans="1:1" x14ac:dyDescent="0.3">
      <c r="A2157" s="4"/>
    </row>
    <row r="2158" spans="1:1" x14ac:dyDescent="0.3">
      <c r="A2158" s="4"/>
    </row>
    <row r="2159" spans="1:1" x14ac:dyDescent="0.3">
      <c r="A2159" s="4"/>
    </row>
    <row r="2160" spans="1:1" x14ac:dyDescent="0.3">
      <c r="A2160" s="4"/>
    </row>
    <row r="2161" spans="1:1" x14ac:dyDescent="0.3">
      <c r="A2161" s="4"/>
    </row>
    <row r="2162" spans="1:1" x14ac:dyDescent="0.3">
      <c r="A2162" s="4"/>
    </row>
    <row r="2163" spans="1:1" x14ac:dyDescent="0.3">
      <c r="A2163" s="4"/>
    </row>
    <row r="2164" spans="1:1" x14ac:dyDescent="0.3">
      <c r="A2164" s="4"/>
    </row>
    <row r="2165" spans="1:1" x14ac:dyDescent="0.3">
      <c r="A2165" s="4"/>
    </row>
    <row r="2166" spans="1:1" x14ac:dyDescent="0.3">
      <c r="A2166" s="4"/>
    </row>
    <row r="2167" spans="1:1" x14ac:dyDescent="0.3">
      <c r="A2167" s="4"/>
    </row>
    <row r="2168" spans="1:1" x14ac:dyDescent="0.3">
      <c r="A2168" s="4"/>
    </row>
    <row r="2169" spans="1:1" x14ac:dyDescent="0.3">
      <c r="A2169" s="4"/>
    </row>
    <row r="2170" spans="1:1" x14ac:dyDescent="0.3">
      <c r="A2170" s="4"/>
    </row>
    <row r="2171" spans="1:1" x14ac:dyDescent="0.3">
      <c r="A2171" s="4"/>
    </row>
    <row r="2172" spans="1:1" x14ac:dyDescent="0.3">
      <c r="A2172" s="4"/>
    </row>
    <row r="2173" spans="1:1" x14ac:dyDescent="0.3">
      <c r="A2173" s="4"/>
    </row>
    <row r="2174" spans="1:1" x14ac:dyDescent="0.3">
      <c r="A2174" s="4"/>
    </row>
    <row r="2175" spans="1:1" x14ac:dyDescent="0.3">
      <c r="A2175" s="4"/>
    </row>
    <row r="2176" spans="1:1" x14ac:dyDescent="0.3">
      <c r="A2176" s="4"/>
    </row>
    <row r="2177" spans="1:1" x14ac:dyDescent="0.3">
      <c r="A2177" s="4"/>
    </row>
    <row r="2178" spans="1:1" x14ac:dyDescent="0.3">
      <c r="A2178" s="4"/>
    </row>
    <row r="2179" spans="1:1" x14ac:dyDescent="0.3">
      <c r="A2179" s="4"/>
    </row>
    <row r="2180" spans="1:1" x14ac:dyDescent="0.3">
      <c r="A2180" s="4"/>
    </row>
    <row r="2181" spans="1:1" x14ac:dyDescent="0.3">
      <c r="A2181" s="4"/>
    </row>
    <row r="2182" spans="1:1" x14ac:dyDescent="0.3">
      <c r="A2182" s="4"/>
    </row>
    <row r="2183" spans="1:1" x14ac:dyDescent="0.3">
      <c r="A2183" s="4"/>
    </row>
    <row r="2184" spans="1:1" x14ac:dyDescent="0.3">
      <c r="A2184" s="4"/>
    </row>
    <row r="2185" spans="1:1" x14ac:dyDescent="0.3">
      <c r="A2185" s="4"/>
    </row>
    <row r="2186" spans="1:1" x14ac:dyDescent="0.3">
      <c r="A2186" s="4"/>
    </row>
    <row r="2187" spans="1:1" x14ac:dyDescent="0.3">
      <c r="A2187" s="4"/>
    </row>
    <row r="2188" spans="1:1" x14ac:dyDescent="0.3">
      <c r="A2188" s="4"/>
    </row>
    <row r="2189" spans="1:1" x14ac:dyDescent="0.3">
      <c r="A2189" s="4"/>
    </row>
    <row r="2190" spans="1:1" x14ac:dyDescent="0.3">
      <c r="A2190" s="4"/>
    </row>
    <row r="2191" spans="1:1" x14ac:dyDescent="0.3">
      <c r="A2191" s="4"/>
    </row>
    <row r="2192" spans="1:1" x14ac:dyDescent="0.3">
      <c r="A2192" s="4"/>
    </row>
    <row r="2193" spans="1:1" x14ac:dyDescent="0.3">
      <c r="A2193" s="4"/>
    </row>
    <row r="2194" spans="1:1" x14ac:dyDescent="0.3">
      <c r="A2194" s="4"/>
    </row>
    <row r="2195" spans="1:1" x14ac:dyDescent="0.3">
      <c r="A2195" s="4"/>
    </row>
    <row r="2196" spans="1:1" x14ac:dyDescent="0.3">
      <c r="A2196" s="4"/>
    </row>
    <row r="2197" spans="1:1" x14ac:dyDescent="0.3">
      <c r="A2197" s="4"/>
    </row>
    <row r="2198" spans="1:1" x14ac:dyDescent="0.3">
      <c r="A2198" s="4"/>
    </row>
    <row r="2199" spans="1:1" x14ac:dyDescent="0.3">
      <c r="A2199" s="4"/>
    </row>
    <row r="2200" spans="1:1" x14ac:dyDescent="0.3">
      <c r="A2200" s="4"/>
    </row>
    <row r="2201" spans="1:1" x14ac:dyDescent="0.3">
      <c r="A2201" s="4"/>
    </row>
    <row r="2202" spans="1:1" x14ac:dyDescent="0.3">
      <c r="A2202" s="4"/>
    </row>
    <row r="2203" spans="1:1" x14ac:dyDescent="0.3">
      <c r="A2203" s="4"/>
    </row>
    <row r="2204" spans="1:1" x14ac:dyDescent="0.3">
      <c r="A2204" s="4"/>
    </row>
    <row r="2205" spans="1:1" x14ac:dyDescent="0.3">
      <c r="A2205" s="4"/>
    </row>
    <row r="2206" spans="1:1" x14ac:dyDescent="0.3">
      <c r="A2206" s="4"/>
    </row>
    <row r="2207" spans="1:1" x14ac:dyDescent="0.3">
      <c r="A2207" s="4"/>
    </row>
    <row r="2208" spans="1:1" x14ac:dyDescent="0.3">
      <c r="A2208" s="4"/>
    </row>
    <row r="2209" spans="1:1" x14ac:dyDescent="0.3">
      <c r="A2209" s="4"/>
    </row>
    <row r="2210" spans="1:1" x14ac:dyDescent="0.3">
      <c r="A2210" s="4"/>
    </row>
    <row r="2211" spans="1:1" x14ac:dyDescent="0.3">
      <c r="A2211" s="4"/>
    </row>
    <row r="2212" spans="1:1" x14ac:dyDescent="0.3">
      <c r="A2212" s="4"/>
    </row>
    <row r="2213" spans="1:1" x14ac:dyDescent="0.3">
      <c r="A2213" s="7"/>
    </row>
    <row r="2214" spans="1:1" x14ac:dyDescent="0.3">
      <c r="A2214" s="7"/>
    </row>
    <row r="2215" spans="1:1" x14ac:dyDescent="0.3">
      <c r="A2215" s="7"/>
    </row>
    <row r="2216" spans="1:1" x14ac:dyDescent="0.3">
      <c r="A2216" s="7"/>
    </row>
    <row r="2217" spans="1:1" x14ac:dyDescent="0.3">
      <c r="A2217" s="7"/>
    </row>
    <row r="2218" spans="1:1" x14ac:dyDescent="0.3">
      <c r="A2218" s="7"/>
    </row>
    <row r="2219" spans="1:1" x14ac:dyDescent="0.3">
      <c r="A2219" s="7"/>
    </row>
    <row r="2220" spans="1:1" x14ac:dyDescent="0.3">
      <c r="A2220" s="7"/>
    </row>
    <row r="2221" spans="1:1" x14ac:dyDescent="0.3">
      <c r="A2221" s="7"/>
    </row>
    <row r="2222" spans="1:1" x14ac:dyDescent="0.3">
      <c r="A2222" s="7"/>
    </row>
    <row r="2223" spans="1:1" x14ac:dyDescent="0.3">
      <c r="A2223" s="7"/>
    </row>
    <row r="2224" spans="1:1" x14ac:dyDescent="0.3">
      <c r="A2224" s="7"/>
    </row>
    <row r="2225" spans="1:1" x14ac:dyDescent="0.3">
      <c r="A2225" s="7"/>
    </row>
    <row r="2226" spans="1:1" x14ac:dyDescent="0.3">
      <c r="A2226" s="7"/>
    </row>
    <row r="2227" spans="1:1" x14ac:dyDescent="0.3">
      <c r="A2227" s="7"/>
    </row>
    <row r="2228" spans="1:1" x14ac:dyDescent="0.3">
      <c r="A2228" s="7"/>
    </row>
    <row r="2229" spans="1:1" x14ac:dyDescent="0.3">
      <c r="A2229" s="7"/>
    </row>
    <row r="2230" spans="1:1" x14ac:dyDescent="0.3">
      <c r="A2230" s="7"/>
    </row>
    <row r="2231" spans="1:1" x14ac:dyDescent="0.3">
      <c r="A2231" s="7"/>
    </row>
    <row r="2232" spans="1:1" x14ac:dyDescent="0.3">
      <c r="A2232" s="7"/>
    </row>
    <row r="2233" spans="1:1" x14ac:dyDescent="0.3">
      <c r="A2233" s="7"/>
    </row>
    <row r="2234" spans="1:1" x14ac:dyDescent="0.3">
      <c r="A2234" s="7"/>
    </row>
    <row r="2235" spans="1:1" x14ac:dyDescent="0.3">
      <c r="A2235" s="7"/>
    </row>
    <row r="2236" spans="1:1" x14ac:dyDescent="0.3">
      <c r="A2236" s="7"/>
    </row>
    <row r="2237" spans="1:1" x14ac:dyDescent="0.3">
      <c r="A2237" s="7"/>
    </row>
    <row r="2238" spans="1:1" x14ac:dyDescent="0.3">
      <c r="A2238" s="7"/>
    </row>
    <row r="2239" spans="1:1" x14ac:dyDescent="0.3">
      <c r="A2239" s="7"/>
    </row>
    <row r="2240" spans="1:1" x14ac:dyDescent="0.3">
      <c r="A2240" s="7"/>
    </row>
    <row r="2241" spans="1:1" x14ac:dyDescent="0.3">
      <c r="A2241" s="7"/>
    </row>
    <row r="2242" spans="1:1" x14ac:dyDescent="0.3">
      <c r="A2242" s="7"/>
    </row>
    <row r="2243" spans="1:1" x14ac:dyDescent="0.3">
      <c r="A2243" s="7"/>
    </row>
    <row r="2244" spans="1:1" x14ac:dyDescent="0.3">
      <c r="A2244" s="7"/>
    </row>
    <row r="2245" spans="1:1" x14ac:dyDescent="0.3">
      <c r="A2245" s="7"/>
    </row>
    <row r="2246" spans="1:1" x14ac:dyDescent="0.3">
      <c r="A2246" s="7"/>
    </row>
    <row r="2247" spans="1:1" x14ac:dyDescent="0.3">
      <c r="A2247" s="7"/>
    </row>
    <row r="2248" spans="1:1" x14ac:dyDescent="0.3">
      <c r="A2248" s="7"/>
    </row>
    <row r="2249" spans="1:1" x14ac:dyDescent="0.3">
      <c r="A2249" s="7"/>
    </row>
    <row r="2250" spans="1:1" x14ac:dyDescent="0.3">
      <c r="A2250" s="7"/>
    </row>
    <row r="2251" spans="1:1" x14ac:dyDescent="0.3">
      <c r="A2251" s="7"/>
    </row>
    <row r="2252" spans="1:1" x14ac:dyDescent="0.3">
      <c r="A2252" s="7"/>
    </row>
    <row r="2253" spans="1:1" x14ac:dyDescent="0.3">
      <c r="A2253" s="7"/>
    </row>
    <row r="2254" spans="1:1" x14ac:dyDescent="0.3">
      <c r="A2254" s="7"/>
    </row>
    <row r="2255" spans="1:1" x14ac:dyDescent="0.3">
      <c r="A2255" s="7"/>
    </row>
    <row r="2256" spans="1:1" x14ac:dyDescent="0.3">
      <c r="A2256" s="7"/>
    </row>
    <row r="2257" spans="1:1" x14ac:dyDescent="0.3">
      <c r="A2257" s="7"/>
    </row>
    <row r="2258" spans="1:1" x14ac:dyDescent="0.3">
      <c r="A2258" s="7"/>
    </row>
    <row r="2259" spans="1:1" x14ac:dyDescent="0.3">
      <c r="A2259" s="7"/>
    </row>
    <row r="2260" spans="1:1" x14ac:dyDescent="0.3">
      <c r="A2260" s="7"/>
    </row>
    <row r="2261" spans="1:1" x14ac:dyDescent="0.3">
      <c r="A2261" s="7"/>
    </row>
    <row r="2262" spans="1:1" x14ac:dyDescent="0.3">
      <c r="A2262" s="7"/>
    </row>
    <row r="2263" spans="1:1" x14ac:dyDescent="0.3">
      <c r="A2263" s="7"/>
    </row>
    <row r="2264" spans="1:1" x14ac:dyDescent="0.3">
      <c r="A2264" s="7"/>
    </row>
    <row r="2265" spans="1:1" x14ac:dyDescent="0.3">
      <c r="A2265" s="7"/>
    </row>
    <row r="2266" spans="1:1" x14ac:dyDescent="0.3">
      <c r="A2266" s="7"/>
    </row>
    <row r="2267" spans="1:1" x14ac:dyDescent="0.3">
      <c r="A2267" s="7"/>
    </row>
    <row r="2268" spans="1:1" x14ac:dyDescent="0.3">
      <c r="A2268" s="7"/>
    </row>
    <row r="2269" spans="1:1" x14ac:dyDescent="0.3">
      <c r="A2269" s="7"/>
    </row>
    <row r="2270" spans="1:1" x14ac:dyDescent="0.3">
      <c r="A2270" s="7"/>
    </row>
    <row r="2271" spans="1:1" x14ac:dyDescent="0.3">
      <c r="A2271" s="7"/>
    </row>
    <row r="2272" spans="1:1" x14ac:dyDescent="0.3">
      <c r="A2272" s="7"/>
    </row>
    <row r="2273" spans="1:1" x14ac:dyDescent="0.3">
      <c r="A2273" s="7"/>
    </row>
    <row r="2274" spans="1:1" x14ac:dyDescent="0.3">
      <c r="A2274" s="7"/>
    </row>
    <row r="2275" spans="1:1" x14ac:dyDescent="0.3">
      <c r="A2275" s="7"/>
    </row>
    <row r="2276" spans="1:1" x14ac:dyDescent="0.3">
      <c r="A2276" s="7"/>
    </row>
    <row r="2277" spans="1:1" x14ac:dyDescent="0.3">
      <c r="A2277" s="7"/>
    </row>
    <row r="2278" spans="1:1" x14ac:dyDescent="0.3">
      <c r="A2278" s="7"/>
    </row>
    <row r="2279" spans="1:1" x14ac:dyDescent="0.3">
      <c r="A2279" s="7"/>
    </row>
    <row r="2280" spans="1:1" x14ac:dyDescent="0.3">
      <c r="A2280" s="7"/>
    </row>
    <row r="2281" spans="1:1" x14ac:dyDescent="0.3">
      <c r="A2281" s="7"/>
    </row>
    <row r="2282" spans="1:1" x14ac:dyDescent="0.3">
      <c r="A2282" s="7"/>
    </row>
    <row r="2283" spans="1:1" x14ac:dyDescent="0.3">
      <c r="A2283" s="7"/>
    </row>
    <row r="2284" spans="1:1" x14ac:dyDescent="0.3">
      <c r="A2284" s="7"/>
    </row>
    <row r="2285" spans="1:1" x14ac:dyDescent="0.3">
      <c r="A2285" s="7"/>
    </row>
    <row r="2286" spans="1:1" x14ac:dyDescent="0.3">
      <c r="A2286" s="7"/>
    </row>
    <row r="2287" spans="1:1" x14ac:dyDescent="0.3">
      <c r="A2287" s="7"/>
    </row>
    <row r="2288" spans="1:1" x14ac:dyDescent="0.3">
      <c r="A2288" s="7"/>
    </row>
    <row r="2289" spans="1:1" x14ac:dyDescent="0.3">
      <c r="A2289" s="7"/>
    </row>
    <row r="2290" spans="1:1" x14ac:dyDescent="0.3">
      <c r="A2290" s="7"/>
    </row>
    <row r="2291" spans="1:1" x14ac:dyDescent="0.3">
      <c r="A2291" s="7"/>
    </row>
    <row r="2292" spans="1:1" x14ac:dyDescent="0.3">
      <c r="A2292" s="7"/>
    </row>
    <row r="2293" spans="1:1" x14ac:dyDescent="0.3">
      <c r="A2293" s="7"/>
    </row>
    <row r="2294" spans="1:1" x14ac:dyDescent="0.3">
      <c r="A2294" s="7"/>
    </row>
    <row r="2295" spans="1:1" x14ac:dyDescent="0.3">
      <c r="A2295" s="7"/>
    </row>
    <row r="2296" spans="1:1" x14ac:dyDescent="0.3">
      <c r="A2296" s="7"/>
    </row>
    <row r="2297" spans="1:1" x14ac:dyDescent="0.3">
      <c r="A2297" s="7"/>
    </row>
    <row r="2298" spans="1:1" x14ac:dyDescent="0.3">
      <c r="A2298" s="7"/>
    </row>
    <row r="2299" spans="1:1" x14ac:dyDescent="0.3">
      <c r="A2299" s="7"/>
    </row>
    <row r="2300" spans="1:1" x14ac:dyDescent="0.3">
      <c r="A2300" s="7"/>
    </row>
    <row r="2301" spans="1:1" x14ac:dyDescent="0.3">
      <c r="A2301" s="7"/>
    </row>
    <row r="2302" spans="1:1" x14ac:dyDescent="0.3">
      <c r="A2302" s="7"/>
    </row>
    <row r="2303" spans="1:1" x14ac:dyDescent="0.3">
      <c r="A2303" s="7"/>
    </row>
    <row r="2304" spans="1:1" x14ac:dyDescent="0.3">
      <c r="A2304" s="7"/>
    </row>
    <row r="2305" spans="1:1" x14ac:dyDescent="0.3">
      <c r="A2305" s="7"/>
    </row>
    <row r="2306" spans="1:1" x14ac:dyDescent="0.3">
      <c r="A2306" s="7"/>
    </row>
    <row r="2307" spans="1:1" x14ac:dyDescent="0.3">
      <c r="A2307" s="7"/>
    </row>
    <row r="2308" spans="1:1" x14ac:dyDescent="0.3">
      <c r="A2308" s="7"/>
    </row>
    <row r="2309" spans="1:1" x14ac:dyDescent="0.3">
      <c r="A2309" s="7"/>
    </row>
    <row r="2310" spans="1:1" x14ac:dyDescent="0.3">
      <c r="A2310" s="7"/>
    </row>
    <row r="2311" spans="1:1" x14ac:dyDescent="0.3">
      <c r="A2311" s="7"/>
    </row>
    <row r="2312" spans="1:1" x14ac:dyDescent="0.3">
      <c r="A2312" s="7"/>
    </row>
    <row r="2313" spans="1:1" x14ac:dyDescent="0.3">
      <c r="A2313" s="7"/>
    </row>
    <row r="2314" spans="1:1" x14ac:dyDescent="0.3">
      <c r="A2314" s="7"/>
    </row>
    <row r="2315" spans="1:1" x14ac:dyDescent="0.3">
      <c r="A2315" s="7"/>
    </row>
    <row r="2316" spans="1:1" x14ac:dyDescent="0.3">
      <c r="A2316" s="7"/>
    </row>
    <row r="2317" spans="1:1" x14ac:dyDescent="0.3">
      <c r="A2317" s="7"/>
    </row>
    <row r="2318" spans="1:1" x14ac:dyDescent="0.3">
      <c r="A2318" s="7"/>
    </row>
    <row r="2319" spans="1:1" x14ac:dyDescent="0.3">
      <c r="A2319" s="7"/>
    </row>
    <row r="2320" spans="1:1" x14ac:dyDescent="0.3">
      <c r="A2320" s="7"/>
    </row>
    <row r="2321" spans="1:1" x14ac:dyDescent="0.3">
      <c r="A2321" s="7"/>
    </row>
    <row r="2322" spans="1:1" x14ac:dyDescent="0.3">
      <c r="A2322" s="7"/>
    </row>
    <row r="2323" spans="1:1" x14ac:dyDescent="0.3">
      <c r="A2323" s="7"/>
    </row>
    <row r="2324" spans="1:1" x14ac:dyDescent="0.3">
      <c r="A2324" s="7"/>
    </row>
    <row r="2325" spans="1:1" x14ac:dyDescent="0.3">
      <c r="A2325" s="7"/>
    </row>
    <row r="2326" spans="1:1" x14ac:dyDescent="0.3">
      <c r="A2326" s="7"/>
    </row>
    <row r="2327" spans="1:1" x14ac:dyDescent="0.3">
      <c r="A2327" s="7"/>
    </row>
    <row r="2328" spans="1:1" x14ac:dyDescent="0.3">
      <c r="A2328" s="7"/>
    </row>
    <row r="2329" spans="1:1" x14ac:dyDescent="0.3">
      <c r="A2329" s="7"/>
    </row>
    <row r="2330" spans="1:1" x14ac:dyDescent="0.3">
      <c r="A2330" s="7"/>
    </row>
    <row r="2331" spans="1:1" x14ac:dyDescent="0.3">
      <c r="A2331" s="7"/>
    </row>
    <row r="2332" spans="1:1" x14ac:dyDescent="0.3">
      <c r="A2332" s="7"/>
    </row>
    <row r="2333" spans="1:1" x14ac:dyDescent="0.3">
      <c r="A2333" s="7"/>
    </row>
    <row r="2334" spans="1:1" x14ac:dyDescent="0.3">
      <c r="A2334" s="7"/>
    </row>
    <row r="2335" spans="1:1" x14ac:dyDescent="0.3">
      <c r="A2335" s="7"/>
    </row>
    <row r="2336" spans="1:1" x14ac:dyDescent="0.3">
      <c r="A2336" s="7"/>
    </row>
    <row r="2337" spans="1:1" x14ac:dyDescent="0.3">
      <c r="A2337" s="7"/>
    </row>
    <row r="2338" spans="1:1" x14ac:dyDescent="0.3">
      <c r="A2338" s="7"/>
    </row>
    <row r="2339" spans="1:1" x14ac:dyDescent="0.3">
      <c r="A2339" s="7"/>
    </row>
    <row r="2340" spans="1:1" x14ac:dyDescent="0.3">
      <c r="A2340" s="7"/>
    </row>
    <row r="2341" spans="1:1" x14ac:dyDescent="0.3">
      <c r="A2341" s="7"/>
    </row>
    <row r="2342" spans="1:1" x14ac:dyDescent="0.3">
      <c r="A2342" s="7"/>
    </row>
    <row r="2343" spans="1:1" x14ac:dyDescent="0.3">
      <c r="A2343" s="7"/>
    </row>
    <row r="2344" spans="1:1" x14ac:dyDescent="0.3">
      <c r="A2344" s="7"/>
    </row>
    <row r="2345" spans="1:1" x14ac:dyDescent="0.3">
      <c r="A2345" s="7"/>
    </row>
    <row r="2346" spans="1:1" x14ac:dyDescent="0.3">
      <c r="A2346" s="7"/>
    </row>
    <row r="2347" spans="1:1" x14ac:dyDescent="0.3">
      <c r="A2347" s="7"/>
    </row>
    <row r="2348" spans="1:1" x14ac:dyDescent="0.3">
      <c r="A2348" s="7"/>
    </row>
    <row r="2349" spans="1:1" x14ac:dyDescent="0.3">
      <c r="A2349" s="7"/>
    </row>
    <row r="2350" spans="1:1" x14ac:dyDescent="0.3">
      <c r="A2350" s="7"/>
    </row>
    <row r="2351" spans="1:1" x14ac:dyDescent="0.3">
      <c r="A2351" s="7"/>
    </row>
    <row r="2352" spans="1:1" x14ac:dyDescent="0.3">
      <c r="A2352" s="7"/>
    </row>
    <row r="2353" spans="1:1" x14ac:dyDescent="0.3">
      <c r="A2353" s="7"/>
    </row>
    <row r="2354" spans="1:1" x14ac:dyDescent="0.3">
      <c r="A2354" s="7"/>
    </row>
    <row r="2355" spans="1:1" x14ac:dyDescent="0.3">
      <c r="A2355" s="7"/>
    </row>
    <row r="2356" spans="1:1" x14ac:dyDescent="0.3">
      <c r="A2356" s="7"/>
    </row>
    <row r="2357" spans="1:1" x14ac:dyDescent="0.3">
      <c r="A2357" s="7"/>
    </row>
    <row r="2358" spans="1:1" x14ac:dyDescent="0.3">
      <c r="A2358" s="7"/>
    </row>
    <row r="2359" spans="1:1" x14ac:dyDescent="0.3">
      <c r="A2359" s="7"/>
    </row>
    <row r="2360" spans="1:1" x14ac:dyDescent="0.3">
      <c r="A2360" s="7"/>
    </row>
    <row r="2361" spans="1:1" x14ac:dyDescent="0.3">
      <c r="A2361" s="7"/>
    </row>
    <row r="2362" spans="1:1" x14ac:dyDescent="0.3">
      <c r="A2362" s="7"/>
    </row>
    <row r="2363" spans="1:1" x14ac:dyDescent="0.3">
      <c r="A2363" s="7"/>
    </row>
    <row r="2364" spans="1:1" x14ac:dyDescent="0.3">
      <c r="A2364" s="7"/>
    </row>
    <row r="2365" spans="1:1" x14ac:dyDescent="0.3">
      <c r="A2365" s="7"/>
    </row>
    <row r="2366" spans="1:1" x14ac:dyDescent="0.3">
      <c r="A2366" s="7"/>
    </row>
    <row r="2367" spans="1:1" x14ac:dyDescent="0.3">
      <c r="A2367" s="7"/>
    </row>
    <row r="2368" spans="1:1" x14ac:dyDescent="0.3">
      <c r="A2368" s="7"/>
    </row>
    <row r="2369" spans="1:1" x14ac:dyDescent="0.3">
      <c r="A2369" s="7"/>
    </row>
    <row r="2370" spans="1:1" x14ac:dyDescent="0.3">
      <c r="A2370" s="7"/>
    </row>
    <row r="2371" spans="1:1" x14ac:dyDescent="0.3">
      <c r="A2371" s="7"/>
    </row>
    <row r="2372" spans="1:1" x14ac:dyDescent="0.3">
      <c r="A2372" s="7"/>
    </row>
    <row r="2373" spans="1:1" x14ac:dyDescent="0.3">
      <c r="A2373" s="7"/>
    </row>
    <row r="2374" spans="1:1" x14ac:dyDescent="0.3">
      <c r="A2374" s="7"/>
    </row>
    <row r="2375" spans="1:1" x14ac:dyDescent="0.3">
      <c r="A2375" s="7"/>
    </row>
    <row r="2376" spans="1:1" x14ac:dyDescent="0.3">
      <c r="A2376" s="7"/>
    </row>
    <row r="2377" spans="1:1" x14ac:dyDescent="0.3">
      <c r="A2377" s="7"/>
    </row>
    <row r="2378" spans="1:1" x14ac:dyDescent="0.3">
      <c r="A2378" s="7"/>
    </row>
    <row r="2379" spans="1:1" x14ac:dyDescent="0.3">
      <c r="A2379" s="7"/>
    </row>
    <row r="2380" spans="1:1" x14ac:dyDescent="0.3">
      <c r="A2380" s="7"/>
    </row>
    <row r="2381" spans="1:1" x14ac:dyDescent="0.3">
      <c r="A2381" s="7"/>
    </row>
    <row r="2382" spans="1:1" x14ac:dyDescent="0.3">
      <c r="A2382" s="7"/>
    </row>
    <row r="2383" spans="1:1" x14ac:dyDescent="0.3">
      <c r="A2383" s="7"/>
    </row>
    <row r="2384" spans="1:1" x14ac:dyDescent="0.3">
      <c r="A2384" s="7"/>
    </row>
    <row r="2385" spans="1:1" x14ac:dyDescent="0.3">
      <c r="A2385" s="7"/>
    </row>
    <row r="2386" spans="1:1" x14ac:dyDescent="0.3">
      <c r="A2386" s="7"/>
    </row>
    <row r="2387" spans="1:1" x14ac:dyDescent="0.3">
      <c r="A2387" s="7"/>
    </row>
    <row r="2388" spans="1:1" x14ac:dyDescent="0.3">
      <c r="A2388" s="7"/>
    </row>
    <row r="2389" spans="1:1" x14ac:dyDescent="0.3">
      <c r="A2389" s="7"/>
    </row>
    <row r="2390" spans="1:1" x14ac:dyDescent="0.3">
      <c r="A2390" s="7"/>
    </row>
    <row r="2391" spans="1:1" x14ac:dyDescent="0.3">
      <c r="A2391" s="7"/>
    </row>
    <row r="2392" spans="1:1" x14ac:dyDescent="0.3">
      <c r="A2392" s="7"/>
    </row>
    <row r="2393" spans="1:1" x14ac:dyDescent="0.3">
      <c r="A2393" s="7"/>
    </row>
    <row r="2394" spans="1:1" x14ac:dyDescent="0.3">
      <c r="A2394" s="7"/>
    </row>
    <row r="2395" spans="1:1" x14ac:dyDescent="0.3">
      <c r="A2395" s="7"/>
    </row>
    <row r="2396" spans="1:1" x14ac:dyDescent="0.3">
      <c r="A2396" s="7"/>
    </row>
    <row r="2397" spans="1:1" x14ac:dyDescent="0.3">
      <c r="A2397" s="7"/>
    </row>
    <row r="2398" spans="1:1" x14ac:dyDescent="0.3">
      <c r="A2398" s="7"/>
    </row>
    <row r="2399" spans="1:1" x14ac:dyDescent="0.3">
      <c r="A2399" s="7"/>
    </row>
    <row r="2400" spans="1:1" x14ac:dyDescent="0.3">
      <c r="A2400" s="7"/>
    </row>
    <row r="2401" spans="1:1" x14ac:dyDescent="0.3">
      <c r="A2401" s="7"/>
    </row>
    <row r="2402" spans="1:1" x14ac:dyDescent="0.3">
      <c r="A2402" s="7"/>
    </row>
    <row r="2403" spans="1:1" x14ac:dyDescent="0.3">
      <c r="A2403" s="7"/>
    </row>
    <row r="2404" spans="1:1" x14ac:dyDescent="0.3">
      <c r="A2404" s="7"/>
    </row>
    <row r="2405" spans="1:1" x14ac:dyDescent="0.3">
      <c r="A2405" s="7"/>
    </row>
    <row r="2406" spans="1:1" x14ac:dyDescent="0.3">
      <c r="A2406" s="7"/>
    </row>
    <row r="2407" spans="1:1" x14ac:dyDescent="0.3">
      <c r="A2407" s="7"/>
    </row>
    <row r="2408" spans="1:1" x14ac:dyDescent="0.3">
      <c r="A2408" s="7"/>
    </row>
    <row r="2409" spans="1:1" x14ac:dyDescent="0.3">
      <c r="A2409" s="7"/>
    </row>
    <row r="2410" spans="1:1" x14ac:dyDescent="0.3">
      <c r="A2410" s="7"/>
    </row>
    <row r="2411" spans="1:1" x14ac:dyDescent="0.3">
      <c r="A2411" s="7"/>
    </row>
    <row r="2412" spans="1:1" x14ac:dyDescent="0.3">
      <c r="A2412" s="7"/>
    </row>
    <row r="2413" spans="1:1" x14ac:dyDescent="0.3">
      <c r="A2413" s="7"/>
    </row>
    <row r="2414" spans="1:1" x14ac:dyDescent="0.3">
      <c r="A2414" s="7"/>
    </row>
    <row r="2415" spans="1:1" x14ac:dyDescent="0.3">
      <c r="A2415" s="7"/>
    </row>
    <row r="2416" spans="1:1" x14ac:dyDescent="0.3">
      <c r="A2416" s="7"/>
    </row>
    <row r="2417" spans="1:1" x14ac:dyDescent="0.3">
      <c r="A2417" s="7"/>
    </row>
    <row r="2418" spans="1:1" x14ac:dyDescent="0.3">
      <c r="A2418" s="7"/>
    </row>
    <row r="2419" spans="1:1" x14ac:dyDescent="0.3">
      <c r="A2419" s="7"/>
    </row>
    <row r="2420" spans="1:1" x14ac:dyDescent="0.3">
      <c r="A2420" s="7"/>
    </row>
    <row r="2421" spans="1:1" x14ac:dyDescent="0.3">
      <c r="A2421" s="7"/>
    </row>
    <row r="2422" spans="1:1" x14ac:dyDescent="0.3">
      <c r="A2422" s="7"/>
    </row>
    <row r="2423" spans="1:1" x14ac:dyDescent="0.3">
      <c r="A2423" s="7"/>
    </row>
    <row r="2424" spans="1:1" x14ac:dyDescent="0.3">
      <c r="A2424" s="7"/>
    </row>
    <row r="2425" spans="1:1" x14ac:dyDescent="0.3">
      <c r="A2425" s="7"/>
    </row>
    <row r="2426" spans="1:1" x14ac:dyDescent="0.3">
      <c r="A2426" s="7"/>
    </row>
    <row r="2427" spans="1:1" x14ac:dyDescent="0.3">
      <c r="A2427" s="7"/>
    </row>
    <row r="2428" spans="1:1" x14ac:dyDescent="0.3">
      <c r="A2428" s="7"/>
    </row>
    <row r="2429" spans="1:1" x14ac:dyDescent="0.3">
      <c r="A2429" s="7"/>
    </row>
    <row r="2430" spans="1:1" x14ac:dyDescent="0.3">
      <c r="A2430" s="7"/>
    </row>
    <row r="2431" spans="1:1" x14ac:dyDescent="0.3">
      <c r="A2431" s="7"/>
    </row>
    <row r="2432" spans="1:1" x14ac:dyDescent="0.3">
      <c r="A2432" s="7"/>
    </row>
    <row r="2433" spans="1:1" x14ac:dyDescent="0.3">
      <c r="A2433" s="7"/>
    </row>
    <row r="2434" spans="1:1" x14ac:dyDescent="0.3">
      <c r="A2434" s="7"/>
    </row>
    <row r="2435" spans="1:1" x14ac:dyDescent="0.3">
      <c r="A2435" s="7"/>
    </row>
    <row r="2436" spans="1:1" x14ac:dyDescent="0.3">
      <c r="A2436" s="7"/>
    </row>
    <row r="2437" spans="1:1" x14ac:dyDescent="0.3">
      <c r="A2437" s="7"/>
    </row>
    <row r="2438" spans="1:1" x14ac:dyDescent="0.3">
      <c r="A2438" s="7"/>
    </row>
    <row r="2439" spans="1:1" x14ac:dyDescent="0.3">
      <c r="A2439" s="7"/>
    </row>
    <row r="2440" spans="1:1" x14ac:dyDescent="0.3">
      <c r="A2440" s="7"/>
    </row>
    <row r="2441" spans="1:1" x14ac:dyDescent="0.3">
      <c r="A2441" s="7"/>
    </row>
    <row r="2442" spans="1:1" x14ac:dyDescent="0.3">
      <c r="A2442" s="7"/>
    </row>
    <row r="2443" spans="1:1" x14ac:dyDescent="0.3">
      <c r="A2443" s="7"/>
    </row>
    <row r="2444" spans="1:1" x14ac:dyDescent="0.3">
      <c r="A2444" s="7"/>
    </row>
    <row r="2445" spans="1:1" x14ac:dyDescent="0.3">
      <c r="A2445" s="7"/>
    </row>
    <row r="2446" spans="1:1" x14ac:dyDescent="0.3">
      <c r="A2446" s="7"/>
    </row>
    <row r="2447" spans="1:1" x14ac:dyDescent="0.3">
      <c r="A2447" s="7"/>
    </row>
    <row r="2448" spans="1:1" x14ac:dyDescent="0.3">
      <c r="A2448" s="7"/>
    </row>
    <row r="2449" spans="1:1" x14ac:dyDescent="0.3">
      <c r="A2449" s="7"/>
    </row>
    <row r="2450" spans="1:1" x14ac:dyDescent="0.3">
      <c r="A2450" s="7"/>
    </row>
    <row r="2451" spans="1:1" x14ac:dyDescent="0.3">
      <c r="A2451" s="7"/>
    </row>
    <row r="2452" spans="1:1" x14ac:dyDescent="0.3">
      <c r="A2452" s="7"/>
    </row>
    <row r="2453" spans="1:1" x14ac:dyDescent="0.3">
      <c r="A2453" s="7"/>
    </row>
    <row r="2454" spans="1:1" x14ac:dyDescent="0.3">
      <c r="A2454" s="7"/>
    </row>
    <row r="2455" spans="1:1" x14ac:dyDescent="0.3">
      <c r="A2455" s="7"/>
    </row>
    <row r="2456" spans="1:1" x14ac:dyDescent="0.3">
      <c r="A2456" s="7"/>
    </row>
    <row r="2457" spans="1:1" x14ac:dyDescent="0.3">
      <c r="A2457" s="7"/>
    </row>
    <row r="2458" spans="1:1" x14ac:dyDescent="0.3">
      <c r="A2458" s="7"/>
    </row>
    <row r="2459" spans="1:1" x14ac:dyDescent="0.3">
      <c r="A2459" s="7"/>
    </row>
    <row r="2460" spans="1:1" x14ac:dyDescent="0.3">
      <c r="A2460" s="7"/>
    </row>
    <row r="2461" spans="1:1" x14ac:dyDescent="0.3">
      <c r="A2461" s="7"/>
    </row>
    <row r="2462" spans="1:1" x14ac:dyDescent="0.3">
      <c r="A2462" s="7"/>
    </row>
    <row r="2463" spans="1:1" x14ac:dyDescent="0.3">
      <c r="A2463" s="7"/>
    </row>
    <row r="2464" spans="1:1" x14ac:dyDescent="0.3">
      <c r="A2464" s="7"/>
    </row>
    <row r="2465" spans="1:1" x14ac:dyDescent="0.3">
      <c r="A2465" s="7"/>
    </row>
    <row r="2466" spans="1:1" x14ac:dyDescent="0.3">
      <c r="A2466" s="7"/>
    </row>
    <row r="2467" spans="1:1" x14ac:dyDescent="0.3">
      <c r="A2467" s="7"/>
    </row>
    <row r="2468" spans="1:1" x14ac:dyDescent="0.3">
      <c r="A2468" s="7"/>
    </row>
    <row r="2469" spans="1:1" x14ac:dyDescent="0.3">
      <c r="A2469" s="7"/>
    </row>
    <row r="2470" spans="1:1" x14ac:dyDescent="0.3">
      <c r="A2470" s="7"/>
    </row>
    <row r="2471" spans="1:1" x14ac:dyDescent="0.3">
      <c r="A2471" s="7"/>
    </row>
    <row r="2472" spans="1:1" x14ac:dyDescent="0.3">
      <c r="A2472" s="7"/>
    </row>
    <row r="2473" spans="1:1" x14ac:dyDescent="0.3">
      <c r="A2473" s="7"/>
    </row>
    <row r="2474" spans="1:1" x14ac:dyDescent="0.3">
      <c r="A2474" s="7"/>
    </row>
    <row r="2475" spans="1:1" x14ac:dyDescent="0.3">
      <c r="A2475" s="7"/>
    </row>
    <row r="2476" spans="1:1" x14ac:dyDescent="0.3">
      <c r="A2476" s="7"/>
    </row>
    <row r="2477" spans="1:1" x14ac:dyDescent="0.3">
      <c r="A2477" s="7"/>
    </row>
    <row r="2478" spans="1:1" x14ac:dyDescent="0.3">
      <c r="A2478" s="7"/>
    </row>
    <row r="2479" spans="1:1" x14ac:dyDescent="0.3">
      <c r="A2479" s="7"/>
    </row>
    <row r="2480" spans="1:1" x14ac:dyDescent="0.3">
      <c r="A2480" s="7"/>
    </row>
    <row r="2481" spans="1:1" x14ac:dyDescent="0.3">
      <c r="A2481" s="7"/>
    </row>
    <row r="2482" spans="1:1" x14ac:dyDescent="0.3">
      <c r="A2482" s="7"/>
    </row>
    <row r="2483" spans="1:1" x14ac:dyDescent="0.3">
      <c r="A2483" s="7"/>
    </row>
    <row r="2484" spans="1:1" x14ac:dyDescent="0.3">
      <c r="A2484" s="7"/>
    </row>
    <row r="2485" spans="1:1" x14ac:dyDescent="0.3">
      <c r="A2485" s="7"/>
    </row>
    <row r="2486" spans="1:1" x14ac:dyDescent="0.3">
      <c r="A2486" s="7"/>
    </row>
    <row r="2487" spans="1:1" x14ac:dyDescent="0.3">
      <c r="A2487" s="7"/>
    </row>
    <row r="2488" spans="1:1" x14ac:dyDescent="0.3">
      <c r="A2488" s="7"/>
    </row>
    <row r="2489" spans="1:1" x14ac:dyDescent="0.3">
      <c r="A2489" s="7"/>
    </row>
    <row r="2490" spans="1:1" x14ac:dyDescent="0.3">
      <c r="A2490" s="7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454"/>
  <sheetViews>
    <sheetView zoomScale="90" zoomScaleNormal="90" workbookViewId="0">
      <selection activeCell="D5" sqref="D5"/>
    </sheetView>
  </sheetViews>
  <sheetFormatPr baseColWidth="10" defaultRowHeight="14.4" x14ac:dyDescent="0.3"/>
  <cols>
    <col min="1" max="1" width="21.109375" customWidth="1"/>
    <col min="2" max="2" width="18.5546875" customWidth="1"/>
    <col min="3" max="3" width="19.5546875" customWidth="1"/>
    <col min="4" max="4" width="19.33203125" customWidth="1"/>
    <col min="5" max="5" width="15" customWidth="1"/>
    <col min="6" max="6" width="21.33203125" customWidth="1"/>
    <col min="7" max="7" width="42.88671875" customWidth="1"/>
    <col min="9" max="9" width="11.5546875" customWidth="1"/>
  </cols>
  <sheetData>
    <row r="1" spans="1:8" ht="12" customHeight="1" x14ac:dyDescent="0.3">
      <c r="A1" s="22" t="s">
        <v>20</v>
      </c>
      <c r="B1" s="1" t="s">
        <v>18</v>
      </c>
      <c r="C1" s="2" t="s">
        <v>25</v>
      </c>
      <c r="D1" s="2" t="s">
        <v>21</v>
      </c>
      <c r="E1" s="2" t="s">
        <v>22</v>
      </c>
      <c r="F1" s="2" t="s">
        <v>24</v>
      </c>
      <c r="G1" s="2" t="s">
        <v>23</v>
      </c>
      <c r="H1" s="10" t="s">
        <v>44</v>
      </c>
    </row>
    <row r="2" spans="1:8" ht="12" customHeight="1" x14ac:dyDescent="0.3">
      <c r="A2" s="20" t="s">
        <v>37</v>
      </c>
      <c r="B2" s="9">
        <v>44978</v>
      </c>
      <c r="C2" s="4">
        <v>5555</v>
      </c>
      <c r="D2" s="4" t="s">
        <v>26</v>
      </c>
      <c r="E2" s="4" t="s">
        <v>28</v>
      </c>
      <c r="F2" s="4" t="s">
        <v>33</v>
      </c>
      <c r="G2" s="4" t="s">
        <v>36</v>
      </c>
      <c r="H2" s="4"/>
    </row>
    <row r="3" spans="1:8" ht="12" customHeight="1" x14ac:dyDescent="0.3">
      <c r="A3" s="21" t="s">
        <v>38</v>
      </c>
      <c r="B3" s="9">
        <v>44979</v>
      </c>
      <c r="C3" s="4">
        <v>4444</v>
      </c>
      <c r="D3" s="4" t="s">
        <v>27</v>
      </c>
      <c r="E3" s="4" t="s">
        <v>33</v>
      </c>
      <c r="F3" s="4" t="s">
        <v>33</v>
      </c>
      <c r="G3" s="4" t="s">
        <v>36</v>
      </c>
      <c r="H3" s="4"/>
    </row>
    <row r="4" spans="1:8" ht="12" customHeight="1" x14ac:dyDescent="0.3">
      <c r="A4" s="20" t="s">
        <v>39</v>
      </c>
      <c r="B4" s="9">
        <v>44980</v>
      </c>
      <c r="C4" s="4">
        <v>3333</v>
      </c>
      <c r="D4" s="4" t="s">
        <v>26</v>
      </c>
      <c r="E4" s="4" t="s">
        <v>29</v>
      </c>
      <c r="F4" s="4" t="s">
        <v>33</v>
      </c>
      <c r="G4" s="4" t="s">
        <v>36</v>
      </c>
      <c r="H4" s="4"/>
    </row>
    <row r="5" spans="1:8" ht="12" customHeight="1" x14ac:dyDescent="0.3">
      <c r="A5" s="21" t="s">
        <v>40</v>
      </c>
      <c r="B5" s="9">
        <v>44981</v>
      </c>
      <c r="C5" s="4">
        <v>2222</v>
      </c>
      <c r="D5" s="4" t="s">
        <v>27</v>
      </c>
      <c r="E5" s="4" t="s">
        <v>30</v>
      </c>
      <c r="F5" s="4" t="s">
        <v>33</v>
      </c>
      <c r="G5" s="4" t="s">
        <v>36</v>
      </c>
      <c r="H5" s="4"/>
    </row>
    <row r="6" spans="1:8" ht="12" customHeight="1" x14ac:dyDescent="0.3">
      <c r="A6" s="20" t="s">
        <v>41</v>
      </c>
      <c r="B6" s="9">
        <v>44982</v>
      </c>
      <c r="C6" s="4">
        <v>1111</v>
      </c>
      <c r="D6" s="4" t="s">
        <v>26</v>
      </c>
      <c r="E6" s="4" t="s">
        <v>31</v>
      </c>
      <c r="F6" s="4" t="s">
        <v>32</v>
      </c>
      <c r="G6" s="4" t="s">
        <v>36</v>
      </c>
      <c r="H6" s="4"/>
    </row>
    <row r="7" spans="1:8" ht="12" customHeight="1" x14ac:dyDescent="0.3">
      <c r="A7" s="21" t="s">
        <v>42</v>
      </c>
      <c r="B7" s="9">
        <v>44983</v>
      </c>
      <c r="C7" s="4">
        <v>0</v>
      </c>
      <c r="D7" s="4" t="s">
        <v>27</v>
      </c>
      <c r="E7" s="4" t="s">
        <v>32</v>
      </c>
      <c r="F7" s="4" t="s">
        <v>33</v>
      </c>
      <c r="G7" s="4" t="s">
        <v>36</v>
      </c>
      <c r="H7" s="4"/>
    </row>
    <row r="8" spans="1:8" ht="12" customHeight="1" x14ac:dyDescent="0.3">
      <c r="A8" s="20" t="s">
        <v>43</v>
      </c>
      <c r="B8" s="9">
        <v>44984</v>
      </c>
      <c r="C8" s="4">
        <v>-1111</v>
      </c>
      <c r="D8" s="4" t="s">
        <v>26</v>
      </c>
      <c r="E8" s="4" t="s">
        <v>32</v>
      </c>
      <c r="F8" s="4" t="s">
        <v>34</v>
      </c>
      <c r="G8" s="4" t="s">
        <v>36</v>
      </c>
      <c r="H8" s="4"/>
    </row>
    <row r="9" spans="1:8" ht="12" customHeight="1" x14ac:dyDescent="0.3">
      <c r="A9" s="21" t="s">
        <v>59</v>
      </c>
      <c r="B9" s="9">
        <v>44985</v>
      </c>
      <c r="C9" s="4">
        <v>-2222</v>
      </c>
      <c r="D9" s="4" t="s">
        <v>27</v>
      </c>
      <c r="E9" s="4" t="s">
        <v>32</v>
      </c>
      <c r="F9" s="4" t="s">
        <v>35</v>
      </c>
      <c r="G9" s="4" t="s">
        <v>36</v>
      </c>
      <c r="H9" s="4"/>
    </row>
    <row r="10" spans="1:8" ht="12" customHeight="1" x14ac:dyDescent="0.3">
      <c r="A10" s="20" t="s">
        <v>60</v>
      </c>
      <c r="B10" s="9">
        <v>44986</v>
      </c>
      <c r="C10" s="4">
        <v>-3333</v>
      </c>
      <c r="D10" s="4" t="s">
        <v>26</v>
      </c>
      <c r="E10" s="4" t="s">
        <v>32</v>
      </c>
      <c r="F10" s="4" t="s">
        <v>32</v>
      </c>
      <c r="G10" s="4" t="s">
        <v>36</v>
      </c>
      <c r="H10" s="4"/>
    </row>
    <row r="11" spans="1:8" ht="12" customHeight="1" x14ac:dyDescent="0.3">
      <c r="A11" s="21" t="s">
        <v>61</v>
      </c>
      <c r="B11" s="9">
        <v>44987</v>
      </c>
      <c r="C11" s="4">
        <v>-4444</v>
      </c>
      <c r="D11" s="4" t="s">
        <v>27</v>
      </c>
      <c r="E11" s="4" t="s">
        <v>32</v>
      </c>
      <c r="F11" s="4" t="s">
        <v>32</v>
      </c>
      <c r="G11" s="4" t="s">
        <v>36</v>
      </c>
      <c r="H11" s="4"/>
    </row>
    <row r="12" spans="1:8" ht="12" customHeight="1" x14ac:dyDescent="0.3">
      <c r="A12" s="20" t="s">
        <v>62</v>
      </c>
      <c r="B12" s="9">
        <v>44988</v>
      </c>
      <c r="C12" s="4">
        <v>-5555</v>
      </c>
      <c r="D12" s="4" t="s">
        <v>26</v>
      </c>
      <c r="E12" s="4" t="s">
        <v>32</v>
      </c>
      <c r="F12" s="4" t="s">
        <v>36</v>
      </c>
      <c r="G12" s="4" t="s">
        <v>36</v>
      </c>
      <c r="H12" s="4"/>
    </row>
    <row r="13" spans="1:8" ht="12" customHeight="1" x14ac:dyDescent="0.3"/>
    <row r="14" spans="1:8" ht="12" customHeight="1" x14ac:dyDescent="0.3"/>
    <row r="15" spans="1:8" ht="12" customHeight="1" x14ac:dyDescent="0.3"/>
    <row r="16" spans="1:8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454"/>
  <sheetViews>
    <sheetView zoomScale="90" zoomScaleNormal="90" workbookViewId="0">
      <selection activeCell="F28" sqref="F28"/>
    </sheetView>
  </sheetViews>
  <sheetFormatPr baseColWidth="10" defaultRowHeight="14.4" x14ac:dyDescent="0.3"/>
  <cols>
    <col min="1" max="1" width="37.21875" customWidth="1"/>
    <col min="2" max="2" width="19.5546875" customWidth="1"/>
    <col min="3" max="3" width="19.33203125" customWidth="1"/>
    <col min="4" max="4" width="15" customWidth="1"/>
    <col min="5" max="5" width="21.33203125" customWidth="1"/>
    <col min="6" max="6" width="42.88671875" customWidth="1"/>
  </cols>
  <sheetData>
    <row r="1" spans="1:6" ht="12" customHeight="1" x14ac:dyDescent="0.3">
      <c r="A1" s="2" t="s">
        <v>20</v>
      </c>
      <c r="B1" s="2" t="s">
        <v>25</v>
      </c>
      <c r="C1" s="2" t="s">
        <v>21</v>
      </c>
      <c r="D1" s="2" t="s">
        <v>22</v>
      </c>
      <c r="E1" s="2" t="s">
        <v>24</v>
      </c>
      <c r="F1" s="2" t="s">
        <v>23</v>
      </c>
    </row>
    <row r="2" spans="1:6" ht="12" customHeight="1" x14ac:dyDescent="0.3">
      <c r="A2" s="20" t="s">
        <v>37</v>
      </c>
      <c r="B2" s="4">
        <f>VLOOKUP(TABLA_PROVEEDORES_LISTBOX[[#This Row],[Razon social]],TABLA_PROVEEDORES[#All],3,FALSE)</f>
        <v>5555</v>
      </c>
      <c r="C2" s="4" t="str">
        <f>VLOOKUP(TABLA_PROVEEDORES_LISTBOX[[#This Row],[Razon social]],TABLA_PROVEEDORES[#All],4,FALSE)</f>
        <v>gera</v>
      </c>
      <c r="D2" s="4" t="str">
        <f>VLOOKUP(TABLA_PROVEEDORES_LISTBOX[[#This Row],[Razon social]],TABLA_PROVEEDORES[#All],5,FALSE)</f>
        <v>liybb</v>
      </c>
      <c r="E2" s="4" t="str">
        <f>VLOOKUP(TABLA_PROVEEDORES_LISTBOX[[#This Row],[Razon social]],TABLA_PROVEEDORES[#All],6,FALSE)</f>
        <v>qwd</v>
      </c>
      <c r="F2" s="4" t="str">
        <f>VLOOKUP(TABLA_PROVEEDORES_LISTBOX[[#This Row],[Razon social]],TABLA_PROVEEDORES[#All],7,FALSE)</f>
        <v>w</v>
      </c>
    </row>
    <row r="3" spans="1:6" ht="12" customHeight="1" x14ac:dyDescent="0.3">
      <c r="A3" s="21" t="s">
        <v>38</v>
      </c>
      <c r="B3" s="4">
        <f>VLOOKUP(TABLA_PROVEEDORES_LISTBOX[[#This Row],[Razon social]],TABLA_PROVEEDORES[#All],3,FALSE)</f>
        <v>4444</v>
      </c>
      <c r="C3" s="4" t="str">
        <f>VLOOKUP(TABLA_PROVEEDORES_LISTBOX[[#This Row],[Razon social]],TABLA_PROVEEDORES[#All],4,FALSE)</f>
        <v>hola</v>
      </c>
      <c r="D3" s="4" t="str">
        <f>VLOOKUP(TABLA_PROVEEDORES_LISTBOX[[#This Row],[Razon social]],TABLA_PROVEEDORES[#All],5,FALSE)</f>
        <v>qwd</v>
      </c>
      <c r="E3" s="4" t="str">
        <f>VLOOKUP(TABLA_PROVEEDORES_LISTBOX[[#This Row],[Razon social]],TABLA_PROVEEDORES[#All],6,FALSE)</f>
        <v>qwd</v>
      </c>
      <c r="F3" s="4" t="str">
        <f>VLOOKUP(TABLA_PROVEEDORES_LISTBOX[[#This Row],[Razon social]],TABLA_PROVEEDORES[#All],7,FALSE)</f>
        <v>w</v>
      </c>
    </row>
    <row r="4" spans="1:6" ht="12" customHeight="1" x14ac:dyDescent="0.3">
      <c r="A4" s="20" t="s">
        <v>39</v>
      </c>
      <c r="B4" s="4">
        <f>VLOOKUP(TABLA_PROVEEDORES_LISTBOX[[#This Row],[Razon social]],TABLA_PROVEEDORES[#All],3,FALSE)</f>
        <v>3333</v>
      </c>
      <c r="C4" s="4" t="str">
        <f>VLOOKUP(TABLA_PROVEEDORES_LISTBOX[[#This Row],[Razon social]],TABLA_PROVEEDORES[#All],4,FALSE)</f>
        <v>gera</v>
      </c>
      <c r="D4" s="4" t="str">
        <f>VLOOKUP(TABLA_PROVEEDORES_LISTBOX[[#This Row],[Razon social]],TABLA_PROVEEDORES[#All],5,FALSE)</f>
        <v>s</v>
      </c>
      <c r="E4" s="4" t="str">
        <f>VLOOKUP(TABLA_PROVEEDORES_LISTBOX[[#This Row],[Razon social]],TABLA_PROVEEDORES[#All],6,FALSE)</f>
        <v>qwd</v>
      </c>
      <c r="F4" s="4" t="str">
        <f>VLOOKUP(TABLA_PROVEEDORES_LISTBOX[[#This Row],[Razon social]],TABLA_PROVEEDORES[#All],7,FALSE)</f>
        <v>w</v>
      </c>
    </row>
    <row r="5" spans="1:6" ht="12" customHeight="1" x14ac:dyDescent="0.3">
      <c r="A5" s="21" t="s">
        <v>40</v>
      </c>
      <c r="B5" s="4">
        <f>VLOOKUP(TABLA_PROVEEDORES_LISTBOX[[#This Row],[Razon social]],TABLA_PROVEEDORES[#All],3,FALSE)</f>
        <v>2222</v>
      </c>
      <c r="C5" s="4" t="str">
        <f>VLOOKUP(TABLA_PROVEEDORES_LISTBOX[[#This Row],[Razon social]],TABLA_PROVEEDORES[#All],4,FALSE)</f>
        <v>hola</v>
      </c>
      <c r="D5" s="4" t="str">
        <f>VLOOKUP(TABLA_PROVEEDORES_LISTBOX[[#This Row],[Razon social]],TABLA_PROVEEDORES[#All],5,FALSE)</f>
        <v>c</v>
      </c>
      <c r="E5" s="4" t="str">
        <f>VLOOKUP(TABLA_PROVEEDORES_LISTBOX[[#This Row],[Razon social]],TABLA_PROVEEDORES[#All],6,FALSE)</f>
        <v>qwd</v>
      </c>
      <c r="F5" s="4" t="str">
        <f>VLOOKUP(TABLA_PROVEEDORES_LISTBOX[[#This Row],[Razon social]],TABLA_PROVEEDORES[#All],7,FALSE)</f>
        <v>w</v>
      </c>
    </row>
    <row r="6" spans="1:6" ht="12" customHeight="1" x14ac:dyDescent="0.3">
      <c r="A6" s="20" t="s">
        <v>41</v>
      </c>
      <c r="B6" s="4">
        <f>VLOOKUP(TABLA_PROVEEDORES_LISTBOX[[#This Row],[Razon social]],TABLA_PROVEEDORES[#All],3,FALSE)</f>
        <v>1111</v>
      </c>
      <c r="C6" s="4" t="str">
        <f>VLOOKUP(TABLA_PROVEEDORES_LISTBOX[[#This Row],[Razon social]],TABLA_PROVEEDORES[#All],4,FALSE)</f>
        <v>gera</v>
      </c>
      <c r="D6" s="4" t="str">
        <f>VLOOKUP(TABLA_PROVEEDORES_LISTBOX[[#This Row],[Razon social]],TABLA_PROVEEDORES[#All],5,FALSE)</f>
        <v>sd</v>
      </c>
      <c r="E6" s="4" t="str">
        <f>VLOOKUP(TABLA_PROVEEDORES_LISTBOX[[#This Row],[Razon social]],TABLA_PROVEEDORES[#All],6,FALSE)</f>
        <v>d</v>
      </c>
      <c r="F6" s="4" t="str">
        <f>VLOOKUP(TABLA_PROVEEDORES_LISTBOX[[#This Row],[Razon social]],TABLA_PROVEEDORES[#All],7,FALSE)</f>
        <v>w</v>
      </c>
    </row>
    <row r="7" spans="1:6" ht="12" customHeight="1" x14ac:dyDescent="0.3">
      <c r="A7" s="21" t="s">
        <v>42</v>
      </c>
      <c r="B7" s="4">
        <f>VLOOKUP(TABLA_PROVEEDORES_LISTBOX[[#This Row],[Razon social]],TABLA_PROVEEDORES[#All],3,FALSE)</f>
        <v>0</v>
      </c>
      <c r="C7" s="4" t="str">
        <f>VLOOKUP(TABLA_PROVEEDORES_LISTBOX[[#This Row],[Razon social]],TABLA_PROVEEDORES[#All],4,FALSE)</f>
        <v>hola</v>
      </c>
      <c r="D7" s="4" t="str">
        <f>VLOOKUP(TABLA_PROVEEDORES_LISTBOX[[#This Row],[Razon social]],TABLA_PROVEEDORES[#All],5,FALSE)</f>
        <v>d</v>
      </c>
      <c r="E7" s="4" t="str">
        <f>VLOOKUP(TABLA_PROVEEDORES_LISTBOX[[#This Row],[Razon social]],TABLA_PROVEEDORES[#All],6,FALSE)</f>
        <v>qwd</v>
      </c>
      <c r="F7" s="4" t="str">
        <f>VLOOKUP(TABLA_PROVEEDORES_LISTBOX[[#This Row],[Razon social]],TABLA_PROVEEDORES[#All],7,FALSE)</f>
        <v>w</v>
      </c>
    </row>
    <row r="8" spans="1:6" ht="12" customHeight="1" x14ac:dyDescent="0.3">
      <c r="A8" s="20" t="s">
        <v>43</v>
      </c>
      <c r="B8" s="4">
        <f>VLOOKUP(TABLA_PROVEEDORES_LISTBOX[[#This Row],[Razon social]],TABLA_PROVEEDORES[#All],3,FALSE)</f>
        <v>-1111</v>
      </c>
      <c r="C8" s="4" t="str">
        <f>VLOOKUP(TABLA_PROVEEDORES_LISTBOX[[#This Row],[Razon social]],TABLA_PROVEEDORES[#All],4,FALSE)</f>
        <v>gera</v>
      </c>
      <c r="D8" s="4" t="str">
        <f>VLOOKUP(TABLA_PROVEEDORES_LISTBOX[[#This Row],[Razon social]],TABLA_PROVEEDORES[#All],5,FALSE)</f>
        <v>d</v>
      </c>
      <c r="E8" s="4" t="str">
        <f>VLOOKUP(TABLA_PROVEEDORES_LISTBOX[[#This Row],[Razon social]],TABLA_PROVEEDORES[#All],6,FALSE)</f>
        <v>ax</v>
      </c>
      <c r="F8" s="4" t="str">
        <f>VLOOKUP(TABLA_PROVEEDORES_LISTBOX[[#This Row],[Razon social]],TABLA_PROVEEDORES[#All],7,FALSE)</f>
        <v>w</v>
      </c>
    </row>
    <row r="9" spans="1:6" ht="12" customHeight="1" x14ac:dyDescent="0.3">
      <c r="A9" s="21" t="s">
        <v>59</v>
      </c>
      <c r="B9" s="4">
        <f>VLOOKUP(TABLA_PROVEEDORES_LISTBOX[[#This Row],[Razon social]],TABLA_PROVEEDORES[#All],3,FALSE)</f>
        <v>-2222</v>
      </c>
      <c r="C9" s="4" t="str">
        <f>VLOOKUP(TABLA_PROVEEDORES_LISTBOX[[#This Row],[Razon social]],TABLA_PROVEEDORES[#All],4,FALSE)</f>
        <v>hola</v>
      </c>
      <c r="D9" s="4" t="str">
        <f>VLOOKUP(TABLA_PROVEEDORES_LISTBOX[[#This Row],[Razon social]],TABLA_PROVEEDORES[#All],5,FALSE)</f>
        <v>d</v>
      </c>
      <c r="E9" s="4" t="str">
        <f>VLOOKUP(TABLA_PROVEEDORES_LISTBOX[[#This Row],[Razon social]],TABLA_PROVEEDORES[#All],6,FALSE)</f>
        <v>czx</v>
      </c>
      <c r="F9" s="4" t="str">
        <f>VLOOKUP(TABLA_PROVEEDORES_LISTBOX[[#This Row],[Razon social]],TABLA_PROVEEDORES[#All],7,FALSE)</f>
        <v>w</v>
      </c>
    </row>
    <row r="10" spans="1:6" ht="12" customHeight="1" x14ac:dyDescent="0.3">
      <c r="A10" s="20" t="s">
        <v>60</v>
      </c>
      <c r="B10" s="4">
        <f>VLOOKUP(TABLA_PROVEEDORES_LISTBOX[[#This Row],[Razon social]],TABLA_PROVEEDORES[#All],3,FALSE)</f>
        <v>-3333</v>
      </c>
      <c r="C10" s="4" t="str">
        <f>VLOOKUP(TABLA_PROVEEDORES_LISTBOX[[#This Row],[Razon social]],TABLA_PROVEEDORES[#All],4,FALSE)</f>
        <v>gera</v>
      </c>
      <c r="D10" s="4" t="str">
        <f>VLOOKUP(TABLA_PROVEEDORES_LISTBOX[[#This Row],[Razon social]],TABLA_PROVEEDORES[#All],5,FALSE)</f>
        <v>d</v>
      </c>
      <c r="E10" s="4" t="str">
        <f>VLOOKUP(TABLA_PROVEEDORES_LISTBOX[[#This Row],[Razon social]],TABLA_PROVEEDORES[#All],6,FALSE)</f>
        <v>d</v>
      </c>
      <c r="F10" s="4" t="str">
        <f>VLOOKUP(TABLA_PROVEEDORES_LISTBOX[[#This Row],[Razon social]],TABLA_PROVEEDORES[#All],7,FALSE)</f>
        <v>w</v>
      </c>
    </row>
    <row r="11" spans="1:6" ht="12" customHeight="1" x14ac:dyDescent="0.3">
      <c r="A11" s="21" t="s">
        <v>61</v>
      </c>
      <c r="B11" s="4">
        <f>VLOOKUP(TABLA_PROVEEDORES_LISTBOX[[#This Row],[Razon social]],TABLA_PROVEEDORES[#All],3,FALSE)</f>
        <v>-4444</v>
      </c>
      <c r="C11" s="4" t="str">
        <f>VLOOKUP(TABLA_PROVEEDORES_LISTBOX[[#This Row],[Razon social]],TABLA_PROVEEDORES[#All],4,FALSE)</f>
        <v>hola</v>
      </c>
      <c r="D11" s="4" t="str">
        <f>VLOOKUP(TABLA_PROVEEDORES_LISTBOX[[#This Row],[Razon social]],TABLA_PROVEEDORES[#All],5,FALSE)</f>
        <v>d</v>
      </c>
      <c r="E11" s="4" t="str">
        <f>VLOOKUP(TABLA_PROVEEDORES_LISTBOX[[#This Row],[Razon social]],TABLA_PROVEEDORES[#All],6,FALSE)</f>
        <v>d</v>
      </c>
      <c r="F11" s="4" t="str">
        <f>VLOOKUP(TABLA_PROVEEDORES_LISTBOX[[#This Row],[Razon social]],TABLA_PROVEEDORES[#All],7,FALSE)</f>
        <v>w</v>
      </c>
    </row>
    <row r="12" spans="1:6" ht="12" customHeight="1" x14ac:dyDescent="0.3">
      <c r="A12" s="20" t="s">
        <v>62</v>
      </c>
      <c r="B12" s="4">
        <f>VLOOKUP(TABLA_PROVEEDORES_LISTBOX[[#This Row],[Razon social]],TABLA_PROVEEDORES[#All],3,FALSE)</f>
        <v>-5555</v>
      </c>
      <c r="C12" s="4" t="str">
        <f>VLOOKUP(TABLA_PROVEEDORES_LISTBOX[[#This Row],[Razon social]],TABLA_PROVEEDORES[#All],4,FALSE)</f>
        <v>gera</v>
      </c>
      <c r="D12" s="4" t="str">
        <f>VLOOKUP(TABLA_PROVEEDORES_LISTBOX[[#This Row],[Razon social]],TABLA_PROVEEDORES[#All],5,FALSE)</f>
        <v>d</v>
      </c>
      <c r="E12" s="4" t="str">
        <f>VLOOKUP(TABLA_PROVEEDORES_LISTBOX[[#This Row],[Razon social]],TABLA_PROVEEDORES[#All],6,FALSE)</f>
        <v>w</v>
      </c>
      <c r="F12" s="4" t="str">
        <f>VLOOKUP(TABLA_PROVEEDORES_LISTBOX[[#This Row],[Razon social]],TABLA_PROVEEDORES[#All],7,FALSE)</f>
        <v>w</v>
      </c>
    </row>
    <row r="13" spans="1:6" ht="12" customHeight="1" x14ac:dyDescent="0.3"/>
    <row r="14" spans="1:6" ht="12" customHeight="1" x14ac:dyDescent="0.3"/>
    <row r="15" spans="1:6" ht="12" customHeight="1" x14ac:dyDescent="0.3"/>
    <row r="16" spans="1:6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M427"/>
  <sheetViews>
    <sheetView zoomScale="70" zoomScaleNormal="70" workbookViewId="0">
      <selection activeCell="I20" sqref="I20"/>
    </sheetView>
  </sheetViews>
  <sheetFormatPr baseColWidth="10" defaultRowHeight="14.4" x14ac:dyDescent="0.3"/>
  <cols>
    <col min="1" max="2" width="20.6640625" customWidth="1"/>
    <col min="3" max="3" width="19.5546875" customWidth="1"/>
    <col min="4" max="5" width="19.33203125" customWidth="1"/>
    <col min="6" max="6" width="15" customWidth="1"/>
    <col min="7" max="9" width="26.77734375" customWidth="1"/>
    <col min="10" max="10" width="19.5546875" customWidth="1"/>
  </cols>
  <sheetData>
    <row r="1" spans="1:13" ht="12" customHeight="1" x14ac:dyDescent="0.3">
      <c r="A1" s="2" t="s">
        <v>874</v>
      </c>
      <c r="B1" s="2" t="s">
        <v>864</v>
      </c>
      <c r="C1" s="2" t="s">
        <v>867</v>
      </c>
      <c r="D1" s="2" t="s">
        <v>868</v>
      </c>
      <c r="E1" s="2" t="s">
        <v>83</v>
      </c>
      <c r="F1" s="2" t="s">
        <v>84</v>
      </c>
      <c r="G1" s="2" t="s">
        <v>869</v>
      </c>
      <c r="H1" s="2" t="s">
        <v>86</v>
      </c>
      <c r="I1" s="2" t="s">
        <v>23</v>
      </c>
      <c r="J1" s="10" t="s">
        <v>5</v>
      </c>
      <c r="L1" s="49" t="s">
        <v>874</v>
      </c>
      <c r="M1" s="49">
        <f>MAX(CLIENTES[ID cuenta])+1</f>
        <v>6</v>
      </c>
    </row>
    <row r="2" spans="1:13" ht="12" customHeight="1" x14ac:dyDescent="0.3">
      <c r="A2" s="59">
        <v>1</v>
      </c>
      <c r="B2" s="50" t="s">
        <v>902</v>
      </c>
      <c r="C2" s="51" t="s">
        <v>13</v>
      </c>
      <c r="D2" s="51" t="s">
        <v>13</v>
      </c>
      <c r="E2" s="51" t="s">
        <v>13</v>
      </c>
      <c r="F2" s="51" t="s">
        <v>13</v>
      </c>
      <c r="G2" s="63" t="s">
        <v>13</v>
      </c>
      <c r="H2" s="55" t="s">
        <v>13</v>
      </c>
      <c r="I2" s="55" t="s">
        <v>13</v>
      </c>
      <c r="J2" s="55" t="s">
        <v>13</v>
      </c>
    </row>
    <row r="3" spans="1:13" ht="12" customHeight="1" x14ac:dyDescent="0.3">
      <c r="A3" s="61">
        <v>2</v>
      </c>
      <c r="B3" s="52" t="s">
        <v>927</v>
      </c>
      <c r="C3" s="65" t="s">
        <v>932</v>
      </c>
      <c r="D3" s="65" t="s">
        <v>968</v>
      </c>
      <c r="E3" s="66">
        <v>12569854</v>
      </c>
      <c r="F3" s="65">
        <v>2991265487</v>
      </c>
      <c r="G3" s="65" t="s">
        <v>934</v>
      </c>
      <c r="H3" s="67" t="s">
        <v>935</v>
      </c>
      <c r="I3" s="67" t="s">
        <v>936</v>
      </c>
      <c r="J3" s="67" t="s">
        <v>13</v>
      </c>
    </row>
    <row r="4" spans="1:13" ht="12" customHeight="1" x14ac:dyDescent="0.3">
      <c r="A4" s="61">
        <v>3</v>
      </c>
      <c r="B4" s="52" t="s">
        <v>928</v>
      </c>
      <c r="C4" s="65" t="s">
        <v>930</v>
      </c>
      <c r="D4" s="65" t="s">
        <v>937</v>
      </c>
      <c r="E4" s="66">
        <v>15879562</v>
      </c>
      <c r="F4" s="65">
        <v>2991261245</v>
      </c>
      <c r="G4" s="65" t="s">
        <v>938</v>
      </c>
      <c r="H4" s="67" t="s">
        <v>931</v>
      </c>
      <c r="I4" s="67" t="s">
        <v>939</v>
      </c>
      <c r="J4" s="67" t="s">
        <v>13</v>
      </c>
    </row>
    <row r="5" spans="1:13" ht="12" customHeight="1" x14ac:dyDescent="0.3">
      <c r="A5" s="61">
        <v>4</v>
      </c>
      <c r="B5" s="52" t="s">
        <v>941</v>
      </c>
      <c r="C5" s="65" t="s">
        <v>941</v>
      </c>
      <c r="D5" s="65" t="s">
        <v>942</v>
      </c>
      <c r="E5" s="66">
        <v>30562855</v>
      </c>
      <c r="F5" s="65">
        <v>2993658574</v>
      </c>
      <c r="G5" s="65" t="s">
        <v>943</v>
      </c>
      <c r="H5" s="67" t="s">
        <v>944</v>
      </c>
      <c r="I5" s="67" t="s">
        <v>945</v>
      </c>
      <c r="J5" s="67" t="s">
        <v>13</v>
      </c>
    </row>
    <row r="6" spans="1:13" ht="12" customHeight="1" x14ac:dyDescent="0.3">
      <c r="A6" s="61">
        <v>5</v>
      </c>
      <c r="B6" s="52" t="s">
        <v>947</v>
      </c>
      <c r="C6" s="65" t="s">
        <v>947</v>
      </c>
      <c r="D6" s="65" t="s">
        <v>948</v>
      </c>
      <c r="E6" s="66">
        <v>28955463</v>
      </c>
      <c r="F6" s="65">
        <v>2991568978</v>
      </c>
      <c r="G6" s="65" t="s">
        <v>949</v>
      </c>
      <c r="H6" s="67" t="s">
        <v>935</v>
      </c>
      <c r="I6" s="67" t="s">
        <v>950</v>
      </c>
      <c r="J6" s="67" t="s">
        <v>13</v>
      </c>
    </row>
    <row r="7" spans="1:13" ht="12" customHeight="1" x14ac:dyDescent="0.3"/>
    <row r="8" spans="1:13" ht="12" customHeight="1" x14ac:dyDescent="0.3"/>
    <row r="9" spans="1:13" ht="12" customHeight="1" x14ac:dyDescent="0.3"/>
    <row r="10" spans="1:13" ht="12" customHeight="1" x14ac:dyDescent="0.3"/>
    <row r="11" spans="1:13" ht="12" customHeight="1" x14ac:dyDescent="0.3"/>
    <row r="12" spans="1:13" ht="12" customHeight="1" x14ac:dyDescent="0.3"/>
    <row r="13" spans="1:13" ht="12" customHeight="1" x14ac:dyDescent="0.3"/>
    <row r="14" spans="1:13" ht="12" customHeight="1" x14ac:dyDescent="0.3"/>
    <row r="15" spans="1:13" ht="12" customHeight="1" x14ac:dyDescent="0.3"/>
    <row r="16" spans="1:13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H396"/>
  <sheetViews>
    <sheetView tabSelected="1" zoomScale="90" zoomScaleNormal="90" workbookViewId="0">
      <selection activeCell="G7" sqref="G7"/>
    </sheetView>
  </sheetViews>
  <sheetFormatPr baseColWidth="10" defaultRowHeight="14.4" x14ac:dyDescent="0.3"/>
  <cols>
    <col min="1" max="2" width="20.6640625" style="53" customWidth="1"/>
    <col min="3" max="3" width="19.5546875" style="53" customWidth="1"/>
    <col min="4" max="4" width="19.33203125" style="53" customWidth="1"/>
    <col min="5" max="5" width="38.88671875" style="53" customWidth="1"/>
    <col min="6" max="16384" width="11.5546875" style="53"/>
  </cols>
  <sheetData>
    <row r="1" spans="1:8" customFormat="1" ht="12" customHeight="1" x14ac:dyDescent="0.3">
      <c r="A1" s="2" t="s">
        <v>81</v>
      </c>
      <c r="B1" s="2" t="s">
        <v>864</v>
      </c>
      <c r="C1" s="2" t="s">
        <v>82</v>
      </c>
      <c r="D1" s="2" t="s">
        <v>80</v>
      </c>
      <c r="E1" s="10" t="s">
        <v>873</v>
      </c>
      <c r="G1" s="48" t="s">
        <v>81</v>
      </c>
      <c r="H1" s="48">
        <f>MAX(TABLA_AUTORIZADOS[ID cliente])+1</f>
        <v>11</v>
      </c>
    </row>
    <row r="2" spans="1:8" customFormat="1" ht="12" customHeight="1" x14ac:dyDescent="0.3">
      <c r="A2" s="54">
        <v>1</v>
      </c>
      <c r="B2" s="50" t="s">
        <v>902</v>
      </c>
      <c r="C2" s="51" t="s">
        <v>902</v>
      </c>
      <c r="D2" s="51" t="s">
        <v>902</v>
      </c>
      <c r="E2" s="55" t="s">
        <v>903</v>
      </c>
    </row>
    <row r="3" spans="1:8" ht="12" customHeight="1" x14ac:dyDescent="0.3">
      <c r="A3" s="68">
        <v>2</v>
      </c>
      <c r="B3" s="52" t="s">
        <v>927</v>
      </c>
      <c r="C3" s="65" t="s">
        <v>933</v>
      </c>
      <c r="D3" s="65" t="s">
        <v>932</v>
      </c>
      <c r="E3" s="67" t="s">
        <v>969</v>
      </c>
    </row>
    <row r="4" spans="1:8" ht="12" customHeight="1" x14ac:dyDescent="0.3">
      <c r="A4" s="68">
        <v>3</v>
      </c>
      <c r="B4" s="52" t="s">
        <v>928</v>
      </c>
      <c r="C4" s="65" t="s">
        <v>937</v>
      </c>
      <c r="D4" s="65" t="s">
        <v>930</v>
      </c>
      <c r="E4" s="67" t="s">
        <v>940</v>
      </c>
    </row>
    <row r="5" spans="1:8" ht="12" customHeight="1" x14ac:dyDescent="0.3">
      <c r="A5" s="68">
        <v>4</v>
      </c>
      <c r="B5" s="52" t="s">
        <v>941</v>
      </c>
      <c r="C5" s="65" t="s">
        <v>942</v>
      </c>
      <c r="D5" s="65" t="s">
        <v>941</v>
      </c>
      <c r="E5" s="67" t="s">
        <v>946</v>
      </c>
    </row>
    <row r="6" spans="1:8" ht="12" customHeight="1" x14ac:dyDescent="0.3">
      <c r="A6" s="68">
        <v>5</v>
      </c>
      <c r="B6" s="52" t="s">
        <v>947</v>
      </c>
      <c r="C6" s="65" t="s">
        <v>948</v>
      </c>
      <c r="D6" s="65" t="s">
        <v>947</v>
      </c>
      <c r="E6" s="67" t="s">
        <v>951</v>
      </c>
    </row>
    <row r="7" spans="1:8" ht="12" customHeight="1" x14ac:dyDescent="0.3">
      <c r="A7" s="68">
        <v>6</v>
      </c>
      <c r="B7" s="52" t="s">
        <v>927</v>
      </c>
      <c r="C7" s="65" t="s">
        <v>952</v>
      </c>
      <c r="D7" s="65" t="s">
        <v>953</v>
      </c>
      <c r="E7" s="67" t="s">
        <v>954</v>
      </c>
    </row>
    <row r="8" spans="1:8" ht="12" customHeight="1" x14ac:dyDescent="0.3">
      <c r="A8" s="68">
        <v>7</v>
      </c>
      <c r="B8" s="52" t="s">
        <v>927</v>
      </c>
      <c r="C8" s="65" t="s">
        <v>955</v>
      </c>
      <c r="D8" s="65" t="s">
        <v>929</v>
      </c>
      <c r="E8" s="67" t="s">
        <v>956</v>
      </c>
    </row>
    <row r="9" spans="1:8" ht="12" customHeight="1" x14ac:dyDescent="0.3">
      <c r="A9" s="68">
        <v>8</v>
      </c>
      <c r="B9" s="52" t="s">
        <v>928</v>
      </c>
      <c r="C9" s="65" t="s">
        <v>957</v>
      </c>
      <c r="D9" s="65" t="s">
        <v>958</v>
      </c>
      <c r="E9" s="67" t="s">
        <v>959</v>
      </c>
    </row>
    <row r="10" spans="1:8" ht="12" customHeight="1" x14ac:dyDescent="0.3">
      <c r="A10" s="68">
        <v>9</v>
      </c>
      <c r="B10" s="52" t="s">
        <v>928</v>
      </c>
      <c r="C10" s="65" t="s">
        <v>960</v>
      </c>
      <c r="D10" s="65" t="s">
        <v>961</v>
      </c>
      <c r="E10" s="67" t="s">
        <v>962</v>
      </c>
    </row>
    <row r="11" spans="1:8" ht="12" customHeight="1" x14ac:dyDescent="0.3">
      <c r="A11" s="68">
        <v>10</v>
      </c>
      <c r="B11" s="52" t="s">
        <v>928</v>
      </c>
      <c r="C11" s="65" t="s">
        <v>963</v>
      </c>
      <c r="D11" s="65" t="s">
        <v>964</v>
      </c>
      <c r="E11" s="67" t="s">
        <v>965</v>
      </c>
    </row>
    <row r="12" spans="1:8" ht="12" customHeight="1" x14ac:dyDescent="0.3"/>
    <row r="13" spans="1:8" ht="12" customHeight="1" x14ac:dyDescent="0.3"/>
    <row r="14" spans="1:8" ht="12" customHeight="1" x14ac:dyDescent="0.3"/>
    <row r="15" spans="1:8" ht="12" customHeight="1" x14ac:dyDescent="0.3"/>
    <row r="16" spans="1:8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427"/>
  <sheetViews>
    <sheetView zoomScale="90" zoomScaleNormal="90" workbookViewId="0">
      <selection activeCell="G21" sqref="G21"/>
    </sheetView>
  </sheetViews>
  <sheetFormatPr baseColWidth="10" defaultRowHeight="14.4" x14ac:dyDescent="0.3"/>
  <cols>
    <col min="1" max="2" width="20.6640625" customWidth="1"/>
    <col min="3" max="3" width="17" customWidth="1"/>
  </cols>
  <sheetData>
    <row r="1" spans="1:3" ht="12" customHeight="1" x14ac:dyDescent="0.3">
      <c r="A1" s="2" t="s">
        <v>874</v>
      </c>
      <c r="B1" s="2" t="s">
        <v>864</v>
      </c>
      <c r="C1" s="10" t="s">
        <v>918</v>
      </c>
    </row>
    <row r="2" spans="1:3" ht="12" customHeight="1" x14ac:dyDescent="0.3">
      <c r="A2" s="59">
        <v>1</v>
      </c>
      <c r="B2" s="50" t="s">
        <v>902</v>
      </c>
      <c r="C2" s="62">
        <v>0</v>
      </c>
    </row>
    <row r="3" spans="1:3" ht="12" customHeight="1" x14ac:dyDescent="0.3">
      <c r="A3" s="61">
        <v>2</v>
      </c>
      <c r="B3" s="52" t="s">
        <v>927</v>
      </c>
      <c r="C3" s="60">
        <v>0</v>
      </c>
    </row>
    <row r="4" spans="1:3" ht="12" customHeight="1" x14ac:dyDescent="0.3">
      <c r="A4" s="61">
        <v>3</v>
      </c>
      <c r="B4" s="52" t="s">
        <v>928</v>
      </c>
      <c r="C4" s="60">
        <v>0</v>
      </c>
    </row>
    <row r="5" spans="1:3" ht="12" customHeight="1" x14ac:dyDescent="0.3">
      <c r="A5" s="61">
        <v>4</v>
      </c>
      <c r="B5" s="52" t="s">
        <v>941</v>
      </c>
      <c r="C5" s="60">
        <v>0</v>
      </c>
    </row>
    <row r="6" spans="1:3" ht="12" customHeight="1" x14ac:dyDescent="0.3">
      <c r="A6" s="61">
        <v>5</v>
      </c>
      <c r="B6" s="52" t="s">
        <v>947</v>
      </c>
      <c r="C6" s="60">
        <v>0</v>
      </c>
    </row>
    <row r="7" spans="1:3" ht="12" customHeight="1" x14ac:dyDescent="0.3"/>
    <row r="8" spans="1:3" ht="12" customHeight="1" x14ac:dyDescent="0.3"/>
    <row r="9" spans="1:3" ht="12" customHeight="1" x14ac:dyDescent="0.3"/>
    <row r="10" spans="1:3" ht="12" customHeight="1" x14ac:dyDescent="0.3"/>
    <row r="11" spans="1:3" ht="12" customHeight="1" x14ac:dyDescent="0.3"/>
    <row r="12" spans="1:3" ht="12" customHeight="1" x14ac:dyDescent="0.3"/>
    <row r="13" spans="1:3" ht="12" customHeight="1" x14ac:dyDescent="0.3"/>
    <row r="14" spans="1:3" ht="12" customHeight="1" x14ac:dyDescent="0.3"/>
    <row r="15" spans="1:3" ht="12" customHeight="1" x14ac:dyDescent="0.3"/>
    <row r="16" spans="1:3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437"/>
  <sheetViews>
    <sheetView zoomScale="90" zoomScaleNormal="90" workbookViewId="0">
      <selection activeCell="D40" sqref="D40"/>
    </sheetView>
  </sheetViews>
  <sheetFormatPr baseColWidth="10" defaultRowHeight="14.4" x14ac:dyDescent="0.3"/>
  <cols>
    <col min="1" max="1" width="33.109375" customWidth="1"/>
    <col min="2" max="2" width="16.77734375" customWidth="1"/>
    <col min="3" max="3" width="35.5546875" customWidth="1"/>
    <col min="4" max="4" width="12.77734375" customWidth="1"/>
    <col min="5" max="5" width="23.109375" customWidth="1"/>
    <col min="6" max="6" width="1.77734375" customWidth="1"/>
    <col min="7" max="7" width="72.5546875" customWidth="1"/>
    <col min="8" max="8" width="12.77734375" customWidth="1"/>
  </cols>
  <sheetData>
    <row r="1" spans="1:1" ht="12" customHeight="1" x14ac:dyDescent="0.3">
      <c r="A1" s="4" t="s">
        <v>16</v>
      </c>
    </row>
    <row r="2" spans="1:1" ht="12" customHeight="1" x14ac:dyDescent="0.3">
      <c r="A2" s="47" t="s">
        <v>17</v>
      </c>
    </row>
    <row r="3" spans="1:1" ht="12" customHeight="1" x14ac:dyDescent="0.3">
      <c r="A3" s="47" t="s">
        <v>90</v>
      </c>
    </row>
    <row r="4" spans="1:1" ht="12" customHeight="1" x14ac:dyDescent="0.3">
      <c r="A4" s="47" t="s">
        <v>91</v>
      </c>
    </row>
    <row r="5" spans="1:1" ht="12" customHeight="1" x14ac:dyDescent="0.3">
      <c r="A5" s="47" t="s">
        <v>92</v>
      </c>
    </row>
    <row r="6" spans="1:1" ht="12" customHeight="1" x14ac:dyDescent="0.3">
      <c r="A6" s="47" t="s">
        <v>93</v>
      </c>
    </row>
    <row r="7" spans="1:1" ht="12" customHeight="1" x14ac:dyDescent="0.3">
      <c r="A7" s="47" t="s">
        <v>94</v>
      </c>
    </row>
    <row r="8" spans="1:1" ht="12" customHeight="1" x14ac:dyDescent="0.3">
      <c r="A8" s="47" t="s">
        <v>95</v>
      </c>
    </row>
    <row r="9" spans="1:1" ht="12" customHeight="1" x14ac:dyDescent="0.3">
      <c r="A9" s="47" t="s">
        <v>96</v>
      </c>
    </row>
    <row r="10" spans="1:1" ht="12" customHeight="1" x14ac:dyDescent="0.3">
      <c r="A10" s="47" t="s">
        <v>97</v>
      </c>
    </row>
    <row r="11" spans="1:1" ht="12" customHeight="1" x14ac:dyDescent="0.3"/>
    <row r="12" spans="1:1" ht="12" customHeight="1" x14ac:dyDescent="0.3"/>
    <row r="13" spans="1:1" ht="12" customHeight="1" x14ac:dyDescent="0.3"/>
    <row r="14" spans="1:1" ht="12" customHeight="1" x14ac:dyDescent="0.3"/>
    <row r="15" spans="1:1" ht="12" customHeight="1" x14ac:dyDescent="0.3"/>
    <row r="16" spans="1:1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433"/>
  <sheetViews>
    <sheetView zoomScale="90" zoomScaleNormal="90" workbookViewId="0">
      <selection activeCell="C15" sqref="C15"/>
    </sheetView>
  </sheetViews>
  <sheetFormatPr baseColWidth="10" defaultRowHeight="14.4" x14ac:dyDescent="0.3"/>
  <cols>
    <col min="1" max="1" width="33.109375" customWidth="1"/>
    <col min="2" max="2" width="16.77734375" customWidth="1"/>
    <col min="3" max="3" width="35.5546875" customWidth="1"/>
    <col min="4" max="4" width="12.77734375" customWidth="1"/>
    <col min="5" max="5" width="23.109375" customWidth="1"/>
    <col min="6" max="6" width="1.77734375" customWidth="1"/>
    <col min="7" max="7" width="72.5546875" customWidth="1"/>
    <col min="8" max="8" width="12.77734375" customWidth="1"/>
  </cols>
  <sheetData>
    <row r="1" spans="1:1" ht="12" customHeight="1" x14ac:dyDescent="0.3">
      <c r="A1" s="4" t="s">
        <v>861</v>
      </c>
    </row>
    <row r="2" spans="1:1" ht="12" customHeight="1" x14ac:dyDescent="0.3">
      <c r="A2" s="47" t="s">
        <v>857</v>
      </c>
    </row>
    <row r="3" spans="1:1" ht="12" customHeight="1" x14ac:dyDescent="0.3">
      <c r="A3" s="47" t="s">
        <v>858</v>
      </c>
    </row>
    <row r="4" spans="1:1" ht="12" customHeight="1" x14ac:dyDescent="0.3">
      <c r="A4" s="47" t="s">
        <v>859</v>
      </c>
    </row>
    <row r="5" spans="1:1" ht="12" customHeight="1" x14ac:dyDescent="0.3">
      <c r="A5" s="47" t="s">
        <v>860</v>
      </c>
    </row>
    <row r="6" spans="1:1" ht="12" customHeight="1" x14ac:dyDescent="0.3">
      <c r="A6" s="47" t="s">
        <v>862</v>
      </c>
    </row>
    <row r="7" spans="1:1" ht="12" customHeight="1" x14ac:dyDescent="0.3">
      <c r="A7" s="47" t="s">
        <v>863</v>
      </c>
    </row>
    <row r="8" spans="1:1" ht="12" customHeight="1" x14ac:dyDescent="0.3"/>
    <row r="9" spans="1:1" ht="12" customHeight="1" x14ac:dyDescent="0.3"/>
    <row r="10" spans="1:1" ht="12" customHeight="1" x14ac:dyDescent="0.3"/>
    <row r="11" spans="1:1" ht="12" customHeight="1" x14ac:dyDescent="0.3"/>
    <row r="12" spans="1:1" ht="12" customHeight="1" x14ac:dyDescent="0.3"/>
    <row r="13" spans="1:1" ht="12" customHeight="1" x14ac:dyDescent="0.3"/>
    <row r="14" spans="1:1" ht="12" customHeight="1" x14ac:dyDescent="0.3"/>
    <row r="15" spans="1:1" ht="12" customHeight="1" x14ac:dyDescent="0.3"/>
    <row r="16" spans="1:1" ht="12" customHeight="1" x14ac:dyDescent="0.3"/>
    <row r="17" ht="12" customHeight="1" x14ac:dyDescent="0.3"/>
    <row r="18" ht="12" customHeight="1" x14ac:dyDescent="0.3"/>
    <row r="19" ht="12" customHeight="1" x14ac:dyDescent="0.3"/>
    <row r="20" ht="12" customHeight="1" x14ac:dyDescent="0.3"/>
    <row r="21" ht="12" customHeight="1" x14ac:dyDescent="0.3"/>
    <row r="22" ht="12" customHeight="1" x14ac:dyDescent="0.3"/>
    <row r="23" ht="12" customHeight="1" x14ac:dyDescent="0.3"/>
    <row r="24" ht="12" customHeight="1" x14ac:dyDescent="0.3"/>
    <row r="25" ht="12" customHeight="1" x14ac:dyDescent="0.3"/>
    <row r="26" ht="12" customHeight="1" x14ac:dyDescent="0.3"/>
    <row r="27" ht="12" customHeight="1" x14ac:dyDescent="0.3"/>
    <row r="28" ht="12" customHeight="1" x14ac:dyDescent="0.3"/>
    <row r="29" ht="12" customHeight="1" x14ac:dyDescent="0.3"/>
    <row r="30" ht="12" customHeight="1" x14ac:dyDescent="0.3"/>
    <row r="31" ht="12" customHeight="1" x14ac:dyDescent="0.3"/>
    <row r="32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</sheetData>
  <sheetProtection password="EAD9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I5"/>
  <sheetViews>
    <sheetView workbookViewId="0">
      <selection activeCell="D21" sqref="D21"/>
    </sheetView>
  </sheetViews>
  <sheetFormatPr baseColWidth="10" defaultRowHeight="14.4" x14ac:dyDescent="0.3"/>
  <cols>
    <col min="1" max="1" width="11" customWidth="1"/>
    <col min="4" max="4" width="16.77734375" customWidth="1"/>
    <col min="5" max="5" width="12.44140625" customWidth="1"/>
    <col min="10" max="10" width="27.21875" customWidth="1"/>
  </cols>
  <sheetData>
    <row r="1" spans="1:9" x14ac:dyDescent="0.3">
      <c r="A1" t="s">
        <v>877</v>
      </c>
      <c r="B1" t="s">
        <v>878</v>
      </c>
      <c r="C1" t="s">
        <v>82</v>
      </c>
      <c r="D1" t="s">
        <v>886</v>
      </c>
      <c r="E1" t="s">
        <v>879</v>
      </c>
      <c r="I1" t="s">
        <v>893</v>
      </c>
    </row>
    <row r="2" spans="1:9" x14ac:dyDescent="0.3">
      <c r="A2" t="s">
        <v>880</v>
      </c>
      <c r="B2" t="s">
        <v>881</v>
      </c>
      <c r="C2" t="s">
        <v>876</v>
      </c>
      <c r="D2">
        <v>1</v>
      </c>
      <c r="E2" t="s">
        <v>882</v>
      </c>
    </row>
    <row r="3" spans="1:9" x14ac:dyDescent="0.3">
      <c r="A3" t="s">
        <v>883</v>
      </c>
      <c r="B3" t="s">
        <v>884</v>
      </c>
      <c r="C3" t="s">
        <v>885</v>
      </c>
      <c r="D3">
        <v>3</v>
      </c>
      <c r="E3" t="s">
        <v>887</v>
      </c>
    </row>
    <row r="4" spans="1:9" x14ac:dyDescent="0.3">
      <c r="A4" t="s">
        <v>893</v>
      </c>
      <c r="B4" t="s">
        <v>875</v>
      </c>
      <c r="C4" t="s">
        <v>876</v>
      </c>
      <c r="D4">
        <v>0</v>
      </c>
      <c r="E4" t="s">
        <v>888</v>
      </c>
    </row>
    <row r="5" spans="1:9" x14ac:dyDescent="0.3">
      <c r="A5" t="s">
        <v>889</v>
      </c>
      <c r="B5" t="s">
        <v>890</v>
      </c>
      <c r="C5" t="s">
        <v>891</v>
      </c>
      <c r="D5">
        <v>2</v>
      </c>
      <c r="E5" t="s">
        <v>892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H407"/>
  <sheetViews>
    <sheetView workbookViewId="0">
      <selection activeCell="K18" sqref="K18"/>
    </sheetView>
  </sheetViews>
  <sheetFormatPr baseColWidth="10" defaultRowHeight="14.4" x14ac:dyDescent="0.3"/>
  <sheetData>
    <row r="1" spans="2:6" x14ac:dyDescent="0.3">
      <c r="B1" s="56" t="s">
        <v>874</v>
      </c>
    </row>
    <row r="15" spans="2:6" x14ac:dyDescent="0.3">
      <c r="F15" s="35"/>
    </row>
    <row r="16" spans="2:6" x14ac:dyDescent="0.3">
      <c r="F16" s="35"/>
    </row>
    <row r="17" spans="6:7" x14ac:dyDescent="0.3">
      <c r="F17" s="35"/>
    </row>
    <row r="18" spans="6:7" x14ac:dyDescent="0.3">
      <c r="F18" s="35"/>
    </row>
    <row r="22" spans="6:7" ht="28.8" x14ac:dyDescent="0.3">
      <c r="G22" s="36" t="s">
        <v>89</v>
      </c>
    </row>
    <row r="124" spans="3:8" x14ac:dyDescent="0.3">
      <c r="C124">
        <v>101256</v>
      </c>
      <c r="D124" t="s">
        <v>17</v>
      </c>
      <c r="E124" t="s">
        <v>12</v>
      </c>
      <c r="F124" t="s">
        <v>13</v>
      </c>
      <c r="G124">
        <v>10</v>
      </c>
      <c r="H124" t="s">
        <v>13</v>
      </c>
    </row>
    <row r="407" spans="3:8" x14ac:dyDescent="0.3">
      <c r="C407">
        <v>101539</v>
      </c>
      <c r="D407" t="s">
        <v>17</v>
      </c>
      <c r="E407" t="s">
        <v>15</v>
      </c>
      <c r="F407" t="s">
        <v>13</v>
      </c>
      <c r="G407">
        <v>11</v>
      </c>
      <c r="H407" t="s">
        <v>13</v>
      </c>
    </row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H398"/>
  <sheetViews>
    <sheetView workbookViewId="0">
      <selection activeCell="C15" sqref="C15"/>
    </sheetView>
  </sheetViews>
  <sheetFormatPr baseColWidth="10" defaultRowHeight="14.4" x14ac:dyDescent="0.3"/>
  <sheetData>
    <row r="1" spans="2:7" x14ac:dyDescent="0.3">
      <c r="B1" s="56" t="s">
        <v>874</v>
      </c>
    </row>
    <row r="6" spans="2:7" x14ac:dyDescent="0.3">
      <c r="F6" s="35"/>
    </row>
    <row r="7" spans="2:7" x14ac:dyDescent="0.3">
      <c r="F7" s="35"/>
    </row>
    <row r="8" spans="2:7" x14ac:dyDescent="0.3">
      <c r="F8" s="35"/>
    </row>
    <row r="9" spans="2:7" x14ac:dyDescent="0.3">
      <c r="F9" s="35"/>
    </row>
    <row r="13" spans="2:7" ht="28.8" x14ac:dyDescent="0.3">
      <c r="G13" s="36" t="s">
        <v>89</v>
      </c>
    </row>
    <row r="115" spans="3:8" x14ac:dyDescent="0.3">
      <c r="C115">
        <v>101256</v>
      </c>
      <c r="D115" t="s">
        <v>17</v>
      </c>
      <c r="E115" t="s">
        <v>12</v>
      </c>
      <c r="F115" t="s">
        <v>13</v>
      </c>
      <c r="G115">
        <v>10</v>
      </c>
      <c r="H115" t="s">
        <v>13</v>
      </c>
    </row>
    <row r="398" spans="3:8" x14ac:dyDescent="0.3">
      <c r="C398">
        <v>101539</v>
      </c>
      <c r="D398" t="s">
        <v>17</v>
      </c>
      <c r="E398" t="s">
        <v>15</v>
      </c>
      <c r="F398" t="s">
        <v>13</v>
      </c>
      <c r="G398">
        <v>11</v>
      </c>
      <c r="H398" t="s">
        <v>13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LISTADO PRODUCTOS</vt:lpstr>
      <vt:lpstr>LISTADO PRODUCTOS LISTBOX</vt:lpstr>
      <vt:lpstr>INGRESO MERCADERÍA</vt:lpstr>
      <vt:lpstr>INGRESO MERCADERÍA LISTBOX</vt:lpstr>
      <vt:lpstr>PRECIOS MERCADERÍA</vt:lpstr>
      <vt:lpstr>PRECIOS MERCADERÍA LISTBOX</vt:lpstr>
      <vt:lpstr>PRECIOS LISTBOX VENTAS</vt:lpstr>
      <vt:lpstr>VENTAS</vt:lpstr>
      <vt:lpstr>VENTAS LISTBOX</vt:lpstr>
      <vt:lpstr>FIADOS</vt:lpstr>
      <vt:lpstr>FIADOS LISTBOX</vt:lpstr>
      <vt:lpstr>STOCK</vt:lpstr>
      <vt:lpstr>STOCK LISTBOX</vt:lpstr>
      <vt:lpstr>PROVEEDORES</vt:lpstr>
      <vt:lpstr>PROVEEDORES LISTBOX</vt:lpstr>
      <vt:lpstr>CLIENTES</vt:lpstr>
      <vt:lpstr>AUTORIZADOS</vt:lpstr>
      <vt:lpstr>SALDO A FAVOR CLIENTES</vt:lpstr>
      <vt:lpstr>CATEGORIAS DE PRODUCTOS</vt:lpstr>
      <vt:lpstr>MEDIOS DE PAGO</vt:lpstr>
      <vt:lpstr>USUARIOS Y CONTRASEÑAS</vt:lpstr>
      <vt:lpstr>LIBRERÍA GARABATOS</vt:lpstr>
      <vt:lpstr>LIBRERÍA GARABATOS EMPLEADO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gtoso</dc:creator>
  <cp:lastModifiedBy>gtoso</cp:lastModifiedBy>
  <dcterms:created xsi:type="dcterms:W3CDTF">2023-01-31T00:06:26Z</dcterms:created>
  <dcterms:modified xsi:type="dcterms:W3CDTF">2023-08-24T15:44:35Z</dcterms:modified>
</cp:coreProperties>
</file>